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"/>
    </mc:Choice>
  </mc:AlternateContent>
  <xr:revisionPtr revIDLastSave="0" documentId="13_ncr:1_{8F833F95-D0CB-4CC9-B1D2-B2F7CA925AF9}" xr6:coauthVersionLast="47" xr6:coauthVersionMax="47" xr10:uidLastSave="{00000000-0000-0000-0000-000000000000}"/>
  <bookViews>
    <workbookView xWindow="-28920" yWindow="-120" windowWidth="29040" windowHeight="15720" tabRatio="808" activeTab="4" xr2:uid="{5EFD5A8A-D9C0-475C-897C-38F83BDF0EC7}"/>
  </bookViews>
  <sheets>
    <sheet name="Data" sheetId="2" r:id="rId1"/>
    <sheet name="VKDH1" sheetId="13" r:id="rId2"/>
    <sheet name="VKDH2" sheetId="4" r:id="rId3"/>
    <sheet name="VK" sheetId="5" r:id="rId4"/>
    <sheet name="VK3" sheetId="15" r:id="rId5"/>
    <sheet name="LK" sheetId="19" r:id="rId6"/>
    <sheet name="VD" sheetId="20" r:id="rId7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0" i="19" l="1"/>
  <c r="I37" i="19"/>
  <c r="A209" i="20"/>
  <c r="F209" i="20" s="1"/>
  <c r="A208" i="20"/>
  <c r="F208" i="20" s="1"/>
  <c r="A205" i="20"/>
  <c r="A206" i="20" s="1"/>
  <c r="D157" i="20"/>
  <c r="E157" i="20"/>
  <c r="F157" i="20"/>
  <c r="D158" i="20"/>
  <c r="E158" i="20"/>
  <c r="F158" i="20"/>
  <c r="D159" i="20"/>
  <c r="E159" i="20"/>
  <c r="F159" i="20"/>
  <c r="E156" i="20"/>
  <c r="F156" i="20"/>
  <c r="D156" i="20"/>
  <c r="A157" i="20"/>
  <c r="A158" i="20"/>
  <c r="A159" i="20"/>
  <c r="A156" i="20"/>
  <c r="A155" i="20"/>
  <c r="B107" i="20"/>
  <c r="B106" i="20"/>
  <c r="B56" i="20"/>
  <c r="H102" i="15"/>
  <c r="H104" i="15" s="1"/>
  <c r="O104" i="15" s="1"/>
  <c r="G102" i="15"/>
  <c r="G104" i="15" s="1"/>
  <c r="N104" i="15" s="1"/>
  <c r="B271" i="19"/>
  <c r="A271" i="19"/>
  <c r="F118" i="19"/>
  <c r="Y29" i="13"/>
  <c r="A207" i="20" l="1"/>
  <c r="F206" i="20"/>
  <c r="E206" i="20"/>
  <c r="D206" i="20"/>
  <c r="D208" i="20"/>
  <c r="E208" i="20"/>
  <c r="D209" i="20"/>
  <c r="E209" i="20"/>
  <c r="O102" i="15"/>
  <c r="N102" i="15"/>
  <c r="J11" i="20"/>
  <c r="J12" i="20"/>
  <c r="J13" i="20"/>
  <c r="J14" i="20"/>
  <c r="J15" i="20"/>
  <c r="J10" i="20"/>
  <c r="J61" i="20"/>
  <c r="J62" i="20"/>
  <c r="J64" i="20"/>
  <c r="J65" i="20"/>
  <c r="J60" i="20"/>
  <c r="J112" i="20"/>
  <c r="J113" i="20"/>
  <c r="J114" i="20"/>
  <c r="J115" i="20"/>
  <c r="J116" i="20"/>
  <c r="J111" i="20"/>
  <c r="I62" i="20"/>
  <c r="D56" i="20"/>
  <c r="J55" i="20"/>
  <c r="H55" i="20"/>
  <c r="F55" i="20"/>
  <c r="J6" i="20"/>
  <c r="I6" i="20"/>
  <c r="I12" i="20" s="1"/>
  <c r="I113" i="20"/>
  <c r="J107" i="20"/>
  <c r="J105" i="20"/>
  <c r="H107" i="20"/>
  <c r="H105" i="20"/>
  <c r="D107" i="20"/>
  <c r="D106" i="20"/>
  <c r="F107" i="20"/>
  <c r="F105" i="20"/>
  <c r="B231" i="19"/>
  <c r="A231" i="19"/>
  <c r="L14" i="4"/>
  <c r="N8" i="15"/>
  <c r="V40" i="15"/>
  <c r="V37" i="15"/>
  <c r="V41" i="15" s="1"/>
  <c r="V36" i="15"/>
  <c r="V42" i="15" s="1"/>
  <c r="V35" i="15"/>
  <c r="V43" i="15" s="1"/>
  <c r="V34" i="15"/>
  <c r="V44" i="15" s="1"/>
  <c r="V46" i="15"/>
  <c r="V31" i="15"/>
  <c r="V47" i="15" s="1"/>
  <c r="V30" i="15"/>
  <c r="V48" i="15" s="1"/>
  <c r="V33" i="15"/>
  <c r="V45" i="15" s="1"/>
  <c r="L13" i="4"/>
  <c r="L15" i="4"/>
  <c r="F13" i="15"/>
  <c r="C32" i="15"/>
  <c r="L15" i="15"/>
  <c r="B9" i="15"/>
  <c r="B8" i="15"/>
  <c r="B7" i="15"/>
  <c r="F207" i="20" l="1"/>
  <c r="E207" i="20"/>
  <c r="D207" i="20"/>
  <c r="L15" i="5"/>
  <c r="F14" i="4"/>
  <c r="G14" i="4" s="1"/>
  <c r="F13" i="4"/>
  <c r="G13" i="4" s="1"/>
  <c r="B9" i="4"/>
  <c r="B8" i="4"/>
  <c r="B7" i="4"/>
  <c r="F15" i="5"/>
  <c r="G14" i="5"/>
  <c r="G13" i="5"/>
  <c r="B9" i="5"/>
  <c r="B8" i="5"/>
  <c r="B7" i="5"/>
  <c r="F15" i="4" l="1"/>
  <c r="Q9" i="19"/>
  <c r="J1" i="19"/>
  <c r="F12" i="13"/>
  <c r="F11" i="13"/>
  <c r="P13" i="19"/>
  <c r="P12" i="19"/>
  <c r="F5" i="19"/>
  <c r="C33" i="15" l="1"/>
  <c r="F14" i="15" s="1"/>
  <c r="G14" i="15" s="1"/>
  <c r="F13" i="13"/>
  <c r="L10" i="13"/>
  <c r="L9" i="13"/>
  <c r="L8" i="13"/>
  <c r="G13" i="15" l="1"/>
  <c r="F1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N4" authorId="0" shapeId="0" xr:uid="{3D7752AE-6A2E-4AA2-8F46-C0983A8B0998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J13" authorId="0" shapeId="0" xr:uid="{755A46A3-A246-4F14-9F86-B0467B9B86F2}">
      <text>
        <r>
          <rPr>
            <b/>
            <sz val="9"/>
            <color indexed="81"/>
            <rFont val="Tahoma"/>
            <family val="2"/>
          </rPr>
          <t>Tổng số bu lông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N4" authorId="0" shapeId="0" xr:uid="{71C28638-ACC5-4E71-8725-151630BDD798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K6" authorId="0" shapeId="0" xr:uid="{8DA1DD31-70F8-49B0-85C6-205E33324160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Q6" authorId="0" shapeId="0" xr:uid="{84BAE5BB-C507-4999-B6F1-6A380E7EF4D5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7" authorId="0" shapeId="0" xr:uid="{0AC4B208-FC48-4084-B29E-8626D5874604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03D887D9-AF96-464C-B01B-2A6EE43A6B67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F8" authorId="0" shapeId="0" xr:uid="{B4948FF3-07CD-4ED6-BED7-8173E850CA5D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F9" authorId="0" shapeId="0" xr:uid="{B7544BDD-B79A-4A34-BBFA-BFC4D38576B6}">
      <text>
        <r>
          <rPr>
            <b/>
            <sz val="9"/>
            <color indexed="81"/>
            <rFont val="Tahoma"/>
            <family val="2"/>
          </rPr>
          <t>[Toan]
Chiều cao đỉnh mái và trục mép phải</t>
        </r>
      </text>
    </comment>
    <comment ref="K9" authorId="0" shapeId="0" xr:uid="{80374BA2-E0AB-4291-A020-7FC4315C470F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K10" authorId="0" shapeId="0" xr:uid="{C78B8F2B-1240-439F-840F-6C59FB562698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4" authorId="0" shapeId="0" xr:uid="{6BA54907-AF1B-44D8-9D69-23C4C44BF9CF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F6" authorId="0" shapeId="0" xr:uid="{0C2B073D-A09E-4577-9519-C8845A8365B4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K6" authorId="0" shapeId="0" xr:uid="{AA11ADFA-F734-4ADA-9AC7-20F3377AED2A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Q6" authorId="0" shapeId="0" xr:uid="{E44824D7-4798-4EED-B482-A39933925E89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7" authorId="0" shapeId="0" xr:uid="{6E6CF6C5-31DB-4B19-9A77-33147DA70E0C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CDEAC6DE-DC44-414F-8DFE-BF2375A1020A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F8" authorId="0" shapeId="0" xr:uid="{344D3A97-45D5-4CBC-BC76-7F613B3BBDFB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F9" authorId="0" shapeId="0" xr:uid="{5BC7C899-FE75-4D5C-8F2A-98401A3F81F1}">
      <text>
        <r>
          <rPr>
            <b/>
            <sz val="9"/>
            <color indexed="81"/>
            <rFont val="Tahoma"/>
            <family val="2"/>
          </rPr>
          <t>[Toan]
Chiều cao đỉnh mái và trục mép phải</t>
        </r>
      </text>
    </comment>
    <comment ref="K9" authorId="0" shapeId="0" xr:uid="{3DE7EDF2-EE7F-4EE0-9F36-CD799D5324E3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K10" authorId="0" shapeId="0" xr:uid="{88849475-5D5D-47A2-B7D4-96E59CE1B63A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F28" authorId="0" shapeId="0" xr:uid="{26A9E2AE-DAD8-44FA-8809-EEFB228EF672}">
      <text>
        <r>
          <rPr>
            <b/>
            <sz val="9"/>
            <color indexed="81"/>
            <rFont val="Tahoma"/>
            <family val="2"/>
          </rPr>
          <t>[HVMT]:
- Bên trái = Bên phải: Ghi 1 số
Ví dụ: 500
-Bên trái &lt;&gt; Bên phải: Bên trái / Bên phải
Ví dụ 700/300</t>
        </r>
      </text>
    </comment>
    <comment ref="H28" authorId="0" shapeId="0" xr:uid="{6B02F81B-F4C6-4334-82A8-8C8191AB0462}">
      <text>
        <r>
          <rPr>
            <b/>
            <sz val="9"/>
            <color indexed="81"/>
            <rFont val="Tahoma"/>
            <family val="2"/>
          </rPr>
          <t>[HVMT]:
- Cánh trên = Cánh dưới: Ghi 1 số
Ví dụ: 150
-Cánh trên &lt;&gt; Cánh dưới: Bề rộng cánh trên / Bề rộng cánh dưới
Ví dụ 150/200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0" shapeId="0" xr:uid="{05064BF4-3D7C-40C3-B479-F7F8C29A8D71}">
      <text>
        <r>
          <rPr>
            <b/>
            <sz val="9"/>
            <color indexed="81"/>
            <rFont val="Tahoma"/>
            <family val="2"/>
          </rPr>
          <t>[HVMT]:
- Cánh trên = Cánh dưới: Ghi 1 số
Ví dụ: 8
-Cánh trên &lt;&gt; Cánh dưới: Chiều rộng cánh trên / Chiều rộng cánh dưới
Ví dụ 8/12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8" authorId="0" shapeId="0" xr:uid="{91BC8A75-41C8-4639-95B2-B5FBC928E29E}">
      <text>
        <r>
          <rPr>
            <b/>
            <sz val="9"/>
            <color indexed="81"/>
            <rFont val="Tahoma"/>
            <family val="2"/>
          </rPr>
          <t>[HVMT]:
- Chân cột = Đỉnh cột: Ghi 1 số
Ví dụ: 300
-Chân cột &lt;&gt; Đỉnh cột: Chiều cao chân / Chiều cao đỉnh
Ví dụ 300/700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 xr:uid="{755F4AED-D2AC-4877-9F4A-AE070B3DBF30}">
      <text>
        <r>
          <rPr>
            <sz val="9"/>
            <color indexed="81"/>
            <rFont val="Tahoma"/>
            <family val="2"/>
          </rPr>
          <t>[Toan]
- Chiều dài bên trái = Chiều dài bên phải: Nhập 1 số, ví dụ 1500
- Chiều dài bên trái &lt;&gt; Chiều dài bên phải: Ví dụ: 1500/2000</t>
        </r>
      </text>
    </comment>
    <comment ref="F40" authorId="0" shapeId="0" xr:uid="{034763D6-8A90-41D5-83AB-EC903B64E74A}">
      <text>
        <r>
          <rPr>
            <sz val="9"/>
            <color indexed="81"/>
            <rFont val="Tahoma"/>
            <family val="2"/>
          </rPr>
          <t xml:space="preserve">[Toan]
</t>
        </r>
        <r>
          <rPr>
            <b/>
            <sz val="9"/>
            <color indexed="81"/>
            <rFont val="Tahoma"/>
            <family val="2"/>
          </rPr>
          <t>a_b_c</t>
        </r>
        <r>
          <rPr>
            <sz val="9"/>
            <color indexed="81"/>
            <rFont val="Tahoma"/>
            <family val="2"/>
          </rPr>
          <t xml:space="preserve">
a: Chiều cao bên trái
b: Chiều cao ở giữa
c: Chiều cao bên phải
Giá trị b = 0 được hiểu nối 2 bên trái &amp; phải
Ví dụ:
+ Nhập 1200_1500_1000: Bên trái 1200, giữa 1500, phải 1000
+ Nhập 1200_0_1000: Bên trái 1200, phải 1000, ở giữa kéo ngang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M4" authorId="0" shapeId="0" xr:uid="{B029886D-86FB-40F1-AAB1-B6F814F4D668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F6" authorId="0" shapeId="0" xr:uid="{1B2AE9A4-75E1-419B-8650-201E01EBD1F9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K6" authorId="0" shapeId="0" xr:uid="{D66B1134-1D07-4696-88ED-BA0288826151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P6" authorId="0" shapeId="0" xr:uid="{B46371E5-5187-4006-A133-7DD4A29551ED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7" authorId="0" shapeId="0" xr:uid="{F6DEBB44-BD1F-4553-B2AA-D2BF343E0B19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7C2CC372-2577-48A1-9006-FA2AF0A75AA7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F8" authorId="0" shapeId="0" xr:uid="{D5BC4800-2364-4C97-81D4-2CBFA9747A65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P8" authorId="1" shapeId="0" xr:uid="{F4F375AF-7B1F-4CA1-BC0B-CBB51C43ABB3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Tổng số bu lông bố trí</t>
        </r>
      </text>
    </comment>
    <comment ref="F9" authorId="0" shapeId="0" xr:uid="{D24DC718-FE65-45A5-9AC5-AD487071CAF1}">
      <text>
        <r>
          <rPr>
            <b/>
            <sz val="9"/>
            <color indexed="81"/>
            <rFont val="Tahoma"/>
            <family val="2"/>
          </rPr>
          <t>[Toan]
Chiều cao đỉnh mái và trục mép phải</t>
        </r>
      </text>
    </comment>
    <comment ref="K9" authorId="0" shapeId="0" xr:uid="{D626ACFF-7000-4CCF-A6B0-1FE7822BCE85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K10" authorId="0" shapeId="0" xr:uid="{3B7DB796-7966-4BBD-ACBC-9C11B71821D7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C30" authorId="0" shapeId="0" xr:uid="{1FF6A3B3-77D1-49FE-A5A2-106100C57E74}">
      <text>
        <r>
          <rPr>
            <b/>
            <sz val="9"/>
            <color indexed="81"/>
            <rFont val="Tahoma"/>
            <family val="2"/>
          </rPr>
          <t>K/c từ trục biên đến trục thứ 2</t>
        </r>
      </text>
    </comment>
    <comment ref="C31" authorId="0" shapeId="0" xr:uid="{AAFB7D75-B6D9-4DA3-A284-AD5A242124B0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C32" authorId="0" shapeId="0" xr:uid="{E0083E56-3E2B-4DEE-BC43-7E503850E9BA}">
      <text>
        <r>
          <rPr>
            <b/>
            <sz val="9"/>
            <color indexed="81"/>
            <rFont val="Tahoma"/>
            <family val="2"/>
          </rPr>
          <t>K/c từ giữa nhà đến trục thứ 4</t>
        </r>
      </text>
    </comment>
    <comment ref="C33" authorId="0" shapeId="0" xr:uid="{93FEFE75-9315-458A-9192-4A5B1E29CC8E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  <comment ref="M34" authorId="0" shapeId="0" xr:uid="{16AF40E0-2364-4F44-AA50-1A77E2EA7C83}">
      <text>
        <r>
          <rPr>
            <b/>
            <sz val="9"/>
            <color indexed="81"/>
            <rFont val="Tahoma"/>
            <family val="2"/>
          </rPr>
          <t>- Số thứ 1: Bên mép trái
- Số thứ 2: ở giữa, bên trái cột
- Số thứ 3: Bên mép phải</t>
        </r>
      </text>
    </comment>
    <comment ref="L39" authorId="0" shapeId="0" xr:uid="{2FAEFFCC-A3D1-419A-B613-A739DBBFD4BD}">
      <text>
        <r>
          <rPr>
            <sz val="9"/>
            <color indexed="81"/>
            <rFont val="Tahoma"/>
            <family val="2"/>
          </rPr>
          <t>[Toan]
- Chiều dài bên trái = Chiều dài bên phải: Nhập 1 số, ví dụ 1500
- Chiều dài bên trái &lt;&gt; Chiều dài bên phải: Ví dụ: 1500/2000</t>
        </r>
      </text>
    </comment>
    <comment ref="M39" authorId="0" shapeId="0" xr:uid="{B1C21965-FAD3-4F4A-B493-7979DA00A8AC}">
      <text>
        <r>
          <rPr>
            <sz val="9"/>
            <color indexed="81"/>
            <rFont val="Tahoma"/>
            <family val="2"/>
          </rPr>
          <t xml:space="preserve">[Toan]
</t>
        </r>
        <r>
          <rPr>
            <b/>
            <sz val="9"/>
            <color indexed="81"/>
            <rFont val="Tahoma"/>
            <family val="2"/>
          </rPr>
          <t>a_b_c</t>
        </r>
        <r>
          <rPr>
            <sz val="9"/>
            <color indexed="81"/>
            <rFont val="Tahoma"/>
            <family val="2"/>
          </rPr>
          <t xml:space="preserve">
a: Chiều cao bên trái
b: Chiều cao ở giữa
c: Chiều cao bên phải
Giá trị b = 0 được hiểu nối 2 bên trái &amp; phải
Ví dụ:
+ Nhập 1200_1500_1000: Bên trái 1200, giữa 1500, phải 1000
+ Nhập 1200_0_1000: Bên trái 1200, phải 1000, ở giữa kéo ngang</t>
        </r>
      </text>
    </comment>
    <comment ref="M105" authorId="0" shapeId="0" xr:uid="{BFCB39B0-E7E4-4BE5-A8F6-BEC8098E6603}">
      <text>
        <r>
          <rPr>
            <b/>
            <sz val="9"/>
            <color indexed="81"/>
            <rFont val="Tahoma"/>
            <family val="2"/>
          </rPr>
          <t>- Số thứ 1: Bên mép trái
- Số thứ 2: ở giữa, bên trái cột
- Số thứ 3: Bên mép phải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  <author>ADMIN</author>
  </authors>
  <commentList>
    <comment ref="P12" authorId="0" shapeId="0" xr:uid="{9D8957E8-AA9B-4B5E-9C7F-1719EEB8DA42}">
      <text>
        <r>
          <rPr>
            <sz val="9"/>
            <color indexed="81"/>
            <rFont val="Tahoma"/>
            <family val="2"/>
          </rPr>
          <t>[HVMT]
- D &lt; 24,  Max (8,tw)
- D &gt;=24, Max (10,tw)</t>
        </r>
      </text>
    </comment>
    <comment ref="P13" authorId="0" shapeId="0" xr:uid="{E18FDC7D-D2C4-4D26-A82E-559AD4384062}">
      <text>
        <r>
          <rPr>
            <sz val="9"/>
            <color indexed="81"/>
            <rFont val="Tahoma"/>
            <family val="2"/>
          </rPr>
          <t xml:space="preserve">[HVMT]
ts = tb / 2
</t>
        </r>
      </text>
    </comment>
    <comment ref="P14" authorId="0" shapeId="0" xr:uid="{BA93EDA9-C8BB-48BF-9A3F-D7B2F35801D0}">
      <text>
        <r>
          <rPr>
            <b/>
            <sz val="9"/>
            <color indexed="81"/>
            <rFont val="Tahoma"/>
            <family val="2"/>
          </rPr>
          <t>[Toan]
Khi khoảng cách giữa 2 bu lông lớn hơn hoặc bằng giá trị này sẽ tự động gia cường bản bụng</t>
        </r>
      </text>
    </comment>
    <comment ref="I18" authorId="0" shapeId="0" xr:uid="{AF3B2F09-4C1C-43DF-84DA-A9B0C2EF9B6A}">
      <text>
        <r>
          <rPr>
            <sz val="9"/>
            <color indexed="81"/>
            <rFont val="Tahoma"/>
            <family val="2"/>
          </rPr>
          <t xml:space="preserve">[Toàn]
Nếu liên kết tại đỉnh mái (Mái bên trái &amp; Mái phải) thì nhập, còn không bỏ qua
</t>
        </r>
      </text>
    </comment>
    <comment ref="I34" authorId="1" shapeId="0" xr:uid="{FDFB422E-DE82-4E97-8BDC-F8BEC500A474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Số bu lông nằm về phía P1
Trên hình: 6</t>
        </r>
      </text>
    </comment>
    <comment ref="I35" authorId="1" shapeId="0" xr:uid="{0D593EC5-34BE-4856-A964-0AE8BBC1F2C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Bố trí 2 bu lông cân bằng
Trên hình là 2</t>
        </r>
      </text>
    </comment>
    <comment ref="I36" authorId="1" shapeId="0" xr:uid="{9C58EB99-054A-4DE2-8CB0-67E7488F5F34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Số bu lông nằm về phía P2
Trên hình 2 con</t>
        </r>
      </text>
    </comment>
    <comment ref="I46" authorId="1" shapeId="0" xr:uid="{78CE9137-82DE-4F41-A2C1-059556FC101F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- Nhập = 0, lấy theo setup
- Nhâp &lt;&gt;0, lấy theo excel</t>
        </r>
      </text>
    </comment>
    <comment ref="I58" authorId="0" shapeId="0" xr:uid="{D65F8C3D-9EFB-4074-8A6B-50A46501DDF9}">
      <text>
        <r>
          <rPr>
            <sz val="9"/>
            <color indexed="81"/>
            <rFont val="Tahoma"/>
            <family val="2"/>
          </rPr>
          <t xml:space="preserve">[HVMT]:
1 - Lấy bản cánh dầm làm bản bích
2 - Vẽ 2 bản bích
</t>
        </r>
      </text>
    </comment>
    <comment ref="I67" authorId="0" shapeId="0" xr:uid="{A27CF1EE-503E-414E-9560-6180BED66583}">
      <text>
        <r>
          <rPr>
            <sz val="9"/>
            <color indexed="81"/>
            <rFont val="Tahoma"/>
            <family val="2"/>
          </rPr>
          <t xml:space="preserve">[HVMT]:
1 - Lấy bản cánh dầm làm bản bích
2 - Vẽ 2 bản bích
</t>
        </r>
      </text>
    </comment>
    <comment ref="I226" authorId="0" shapeId="0" xr:uid="{B954C723-7DF9-431F-A4F1-87F0601A3D14}">
      <text>
        <r>
          <rPr>
            <b/>
            <sz val="9"/>
            <color indexed="81"/>
            <rFont val="Tahoma"/>
            <family val="2"/>
          </rPr>
          <t>Huỳnh Vũ Minh Toàn
- Số chẵn
- Hình ví dụ: 6</t>
        </r>
      </text>
    </comment>
    <comment ref="I227" authorId="0" shapeId="0" xr:uid="{2B43F978-9A12-4FFE-8ACF-4D51C97CA120}">
      <text>
        <r>
          <rPr>
            <b/>
            <sz val="9"/>
            <color indexed="81"/>
            <rFont val="Tahoma"/>
            <family val="2"/>
          </rPr>
          <t>Huỳnh Vũ Minh Toàn
- Số chẵn
- Hình ví dụ: 6</t>
        </r>
      </text>
    </comment>
    <comment ref="I230" authorId="0" shapeId="0" xr:uid="{A0775361-6651-4D99-88F2-93878CAED88B}">
      <text>
        <r>
          <rPr>
            <b/>
            <sz val="9"/>
            <color indexed="81"/>
            <rFont val="Tahoma"/>
            <family val="2"/>
          </rPr>
          <t>Huỳnh Vũ Minh Toàn
Hình ví dụ: 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1" authorId="0" shapeId="0" xr:uid="{BC2B4A30-6509-4DB6-912F-801E3C641B17}">
      <text>
        <r>
          <rPr>
            <b/>
            <sz val="9"/>
            <color indexed="81"/>
            <rFont val="Tahoma"/>
            <family val="2"/>
          </rPr>
          <t>Huỳnh Vũ Minh Toàn
Hình ví dụ: 2</t>
        </r>
      </text>
    </comment>
    <comment ref="I266" authorId="0" shapeId="0" xr:uid="{55297053-9856-4AC2-924F-3D3935EECB81}">
      <text>
        <r>
          <rPr>
            <b/>
            <sz val="9"/>
            <color indexed="81"/>
            <rFont val="Tahoma"/>
            <family val="2"/>
          </rPr>
          <t>Huỳnh Vũ Minh Toàn
- Số chẵn
- Hình ví dụ: 6</t>
        </r>
      </text>
    </comment>
    <comment ref="I267" authorId="0" shapeId="0" xr:uid="{A780BBB9-573F-4318-B122-92E72CD5331F}">
      <text>
        <r>
          <rPr>
            <b/>
            <sz val="9"/>
            <color indexed="81"/>
            <rFont val="Tahoma"/>
            <family val="2"/>
          </rPr>
          <t>Huỳnh Vũ Minh Toàn
- Số chẵn
- Hình ví dụ: 6</t>
        </r>
      </text>
    </comment>
    <comment ref="I270" authorId="0" shapeId="0" xr:uid="{EA6CAAEA-D829-4DF3-BA92-70AC58B1B706}">
      <text>
        <r>
          <rPr>
            <b/>
            <sz val="9"/>
            <color indexed="81"/>
            <rFont val="Tahoma"/>
            <family val="2"/>
          </rPr>
          <t>Huỳnh Vũ Minh Toàn
Hình ví dụ: 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1" authorId="0" shapeId="0" xr:uid="{96C019DB-3DCF-41CA-B230-6F58D58C84FB}">
      <text>
        <r>
          <rPr>
            <b/>
            <sz val="9"/>
            <color indexed="81"/>
            <rFont val="Tahoma"/>
            <family val="2"/>
          </rPr>
          <t>Huỳnh Vũ Minh Toàn
Hình ví dụ: 2</t>
        </r>
      </text>
    </comment>
    <comment ref="G367" authorId="2" shapeId="0" xr:uid="{3056EA42-8290-494C-950B-F17ECA70CE8D}">
      <text>
        <r>
          <rPr>
            <b/>
            <sz val="9"/>
            <color indexed="81"/>
            <rFont val="Tahoma"/>
            <charset val="1"/>
          </rPr>
          <t>Toàn
Nếu nhập số 0, phần mềm tự động canh giữa dầm I và bản mã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C6" authorId="0" shapeId="0" xr:uid="{322F562D-ECBA-4053-B30C-7A06BD64E018}">
      <text>
        <r>
          <rPr>
            <sz val="9"/>
            <color indexed="81"/>
            <rFont val="Tahoma"/>
            <family val="2"/>
          </rPr>
          <t xml:space="preserve">Nhập = 0 thì phần mềm tự đồng trừ ra
</t>
        </r>
      </text>
    </comment>
    <comment ref="C55" authorId="0" shapeId="0" xr:uid="{4DBD3711-C47D-414C-AB4C-8C4A0C0B218C}">
      <text>
        <r>
          <rPr>
            <sz val="9"/>
            <color indexed="81"/>
            <rFont val="Tahoma"/>
            <family val="2"/>
          </rPr>
          <t xml:space="preserve">Nhập = 0 thì phần mềm tự đồng trừ ra
</t>
        </r>
      </text>
    </comment>
    <comment ref="C105" authorId="0" shapeId="0" xr:uid="{7507074D-1F9C-48B5-8B51-B9B4D76661E0}">
      <text>
        <r>
          <rPr>
            <sz val="9"/>
            <color indexed="81"/>
            <rFont val="Tahoma"/>
            <family val="2"/>
          </rPr>
          <t xml:space="preserve">Nhập = 0 thì phần mềm tự đồng trừ ra
</t>
        </r>
      </text>
    </comment>
    <comment ref="C107" authorId="0" shapeId="0" xr:uid="{25E7BF47-1760-4552-943F-B4784867BB0E}">
      <text>
        <r>
          <rPr>
            <sz val="9"/>
            <color indexed="81"/>
            <rFont val="Tahoma"/>
            <family val="2"/>
          </rPr>
          <t xml:space="preserve">Nhập = 0 thì phần mềm tự đồng trừ ra
</t>
        </r>
      </text>
    </comment>
  </commentList>
</comments>
</file>

<file path=xl/sharedStrings.xml><?xml version="1.0" encoding="utf-8"?>
<sst xmlns="http://schemas.openxmlformats.org/spreadsheetml/2006/main" count="1280" uniqueCount="544">
  <si>
    <t>Cao độ chân cột</t>
  </si>
  <si>
    <t>A</t>
  </si>
  <si>
    <t>B</t>
  </si>
  <si>
    <t>C</t>
  </si>
  <si>
    <t>mm</t>
  </si>
  <si>
    <t>%</t>
  </si>
  <si>
    <t>Xà gồ mái</t>
  </si>
  <si>
    <t>Z200</t>
  </si>
  <si>
    <t>Xà gồ tường</t>
  </si>
  <si>
    <t>C200</t>
  </si>
  <si>
    <t>Z150</t>
  </si>
  <si>
    <t>Z250</t>
  </si>
  <si>
    <t>Z300</t>
  </si>
  <si>
    <t>C100</t>
  </si>
  <si>
    <t>C150</t>
  </si>
  <si>
    <t>C180</t>
  </si>
  <si>
    <t>C250</t>
  </si>
  <si>
    <t>C300</t>
  </si>
  <si>
    <t>Xà gồ</t>
  </si>
  <si>
    <t>Chiều cao tường gạch</t>
  </si>
  <si>
    <t>Tiết diện thép</t>
  </si>
  <si>
    <t>Tên cột</t>
  </si>
  <si>
    <t>Chiều dày bụng</t>
  </si>
  <si>
    <t>tw</t>
  </si>
  <si>
    <t>Bảng thông số cột</t>
  </si>
  <si>
    <t>Bu lông</t>
  </si>
  <si>
    <t>Tỉ lệ bản vẽ</t>
  </si>
  <si>
    <t>Tổng bề rộng 1/2 nhà bên trái</t>
  </si>
  <si>
    <t>Tổng bề rộng 1/2 nhà bên phải</t>
  </si>
  <si>
    <t>Tên lưới</t>
  </si>
  <si>
    <t>Bề dày bản mã liên kết (mm)</t>
  </si>
  <si>
    <t>Thông số liên kết</t>
  </si>
  <si>
    <t>Bảng thông số kèo</t>
  </si>
  <si>
    <t>K/c trục ngoài đến mép cột</t>
  </si>
  <si>
    <t>Bolt</t>
  </si>
  <si>
    <t>Cách thể hiện tên cột</t>
  </si>
  <si>
    <t>Cách thể hiện tên kèo</t>
  </si>
  <si>
    <t>Total</t>
  </si>
  <si>
    <t>Chiều cao</t>
  </si>
  <si>
    <t>Bề rộng cánh</t>
  </si>
  <si>
    <t>Chiều dày cánh</t>
  </si>
  <si>
    <t>Chiều dài kèo</t>
  </si>
  <si>
    <t>Tên kèo</t>
  </si>
  <si>
    <t>H</t>
  </si>
  <si>
    <t>Bf</t>
  </si>
  <si>
    <t>Tf</t>
  </si>
  <si>
    <t>Thông số H cột (5)&amp;(13)</t>
  </si>
  <si>
    <t>Tổng bề rộng nhà, B</t>
  </si>
  <si>
    <t>Loại liên kết</t>
  </si>
  <si>
    <t>Y1</t>
  </si>
  <si>
    <t>Y2</t>
  </si>
  <si>
    <t>Y3</t>
  </si>
  <si>
    <t>Y4</t>
  </si>
  <si>
    <t>KHUNG K2</t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</si>
  <si>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trái</t>
    </r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</si>
  <si>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phải</t>
    </r>
  </si>
  <si>
    <t>Ngàm</t>
  </si>
  <si>
    <t>Khớp</t>
  </si>
  <si>
    <t>Tên liên kết</t>
  </si>
  <si>
    <t>Loại liên kết k</t>
  </si>
  <si>
    <t>Nách</t>
  </si>
  <si>
    <t>Liên kết</t>
  </si>
  <si>
    <t>Vị trí</t>
  </si>
  <si>
    <t>Độ dốc mái, i</t>
  </si>
  <si>
    <t>Bên trái</t>
  </si>
  <si>
    <t>Chiều cao
trái/phải</t>
  </si>
  <si>
    <t>B cánh trên/dưới</t>
  </si>
  <si>
    <t>t cánh trên/dưới</t>
  </si>
  <si>
    <t>Chiều cao
Chân/đỉnh</t>
  </si>
  <si>
    <t>Y</t>
  </si>
  <si>
    <t>Chiều cao cột</t>
  </si>
  <si>
    <t>Khoảng cách</t>
  </si>
  <si>
    <t>Chiều cao bệ bê tông</t>
  </si>
  <si>
    <t>Chiều dày bản đế</t>
  </si>
  <si>
    <t>Khung đầu hồi</t>
  </si>
  <si>
    <t>Red</t>
  </si>
  <si>
    <t>Color</t>
  </si>
  <si>
    <t>Yellow</t>
  </si>
  <si>
    <t>Green</t>
  </si>
  <si>
    <t>Cyan</t>
  </si>
  <si>
    <t>Blue</t>
  </si>
  <si>
    <t>Magenta</t>
  </si>
  <si>
    <t>White</t>
  </si>
  <si>
    <t>Sliver</t>
  </si>
  <si>
    <t>Gray</t>
  </si>
  <si>
    <t>Độ dốc mái</t>
  </si>
  <si>
    <t>Đường kính bu lông</t>
  </si>
  <si>
    <t>Hệ lưới</t>
  </si>
  <si>
    <t>D</t>
  </si>
  <si>
    <t>Chiều dày lớp vữa</t>
  </si>
  <si>
    <t>Z150x50x56x20x1.5</t>
  </si>
  <si>
    <t>Z150x50x56x20x1.8</t>
  </si>
  <si>
    <t>Z150x50x56x20x2.0</t>
  </si>
  <si>
    <t>Z150x50x56x20x2.3</t>
  </si>
  <si>
    <t>Z150x50x56x20x2.5</t>
  </si>
  <si>
    <t>Z150x62x68x20x1.5</t>
  </si>
  <si>
    <t>Z150x62x68x20x1.8</t>
  </si>
  <si>
    <t>Z150x62x68x20x2.0</t>
  </si>
  <si>
    <t>Z150x62x68x20x2.3</t>
  </si>
  <si>
    <t>Z150x62x68x20x2.5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</si>
  <si>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</si>
  <si>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</si>
  <si>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</si>
  <si>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</si>
  <si>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</si>
  <si>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</si>
  <si>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</si>
  <si>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</si>
  <si>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Z175x62x68x20x2.5</t>
  </si>
  <si>
    <t>Z200x50x56x20x1.5</t>
  </si>
  <si>
    <t>Z200x50x56x20x1.8</t>
  </si>
  <si>
    <t>Z200x50x56x20x2.0</t>
  </si>
  <si>
    <t>Z200x50x56x20x2.3</t>
  </si>
  <si>
    <t>Z200x50x56x20x2.5</t>
  </si>
  <si>
    <t>Z200x50x56x20x2.8</t>
  </si>
  <si>
    <t>Z200x50x56x20x3.0</t>
  </si>
  <si>
    <t>Z200x62x68x20x1.5</t>
  </si>
  <si>
    <t>Z200x62x68x20x1.8</t>
  </si>
  <si>
    <t>Z200x62x68x20x2.0</t>
  </si>
  <si>
    <t>Z200x62x68x20x2.3</t>
  </si>
  <si>
    <t>Z200x62x68x20x2.5</t>
  </si>
  <si>
    <t>Z200x62x68x20x2.8</t>
  </si>
  <si>
    <t>Z200x62x68x20x3.0</t>
  </si>
  <si>
    <t>Z200x72x78x20x1.5</t>
  </si>
  <si>
    <t>Z200x72x78x20x1.8</t>
  </si>
  <si>
    <t>Z200x72x78x20x2.0</t>
  </si>
  <si>
    <t>Z200x72x78x20x2.3</t>
  </si>
  <si>
    <t>Z200x72x78x20x2.5</t>
  </si>
  <si>
    <t>Z200x72x78x20x2.8</t>
  </si>
  <si>
    <t>Z200x72x78x20x3.0</t>
  </si>
  <si>
    <t>Z250x62x68x20x1.5</t>
  </si>
  <si>
    <t>Z250x62x68x20x1.8</t>
  </si>
  <si>
    <t>Z250x62x68x20x2.0</t>
  </si>
  <si>
    <t>Z250x62x68x20x2.3</t>
  </si>
  <si>
    <t>Z250x62x68x20x2.5</t>
  </si>
  <si>
    <t>Z250x62x68x20x2.8</t>
  </si>
  <si>
    <t>Z250x62x68x20x3.0</t>
  </si>
  <si>
    <t>Z250x72x78x20x1.5</t>
  </si>
  <si>
    <t>Z250x72x78x20x1.8</t>
  </si>
  <si>
    <t>Z250x72x78x20x2.0</t>
  </si>
  <si>
    <t>Z250x72x78x20x2.3</t>
  </si>
  <si>
    <t>Z250x72x78x20x2.5</t>
  </si>
  <si>
    <t>Z250x72x78x20x2.8</t>
  </si>
  <si>
    <t>Z250x72x78x20x3.0</t>
  </si>
  <si>
    <t>Z300x72x78x20x1.8</t>
  </si>
  <si>
    <t>Z300x72x78x20x2.0</t>
  </si>
  <si>
    <t>Z300x72x78x20x2.3</t>
  </si>
  <si>
    <t>Z300x72x78x20x2.5</t>
  </si>
  <si>
    <t>Z300x72x78x20x2.8</t>
  </si>
  <si>
    <t>Z300x72x78x20x3.0</t>
  </si>
  <si>
    <t>C100x50x20x1.5</t>
  </si>
  <si>
    <t>C100x50x20x1.8</t>
  </si>
  <si>
    <t>C100x50x20x2.0</t>
  </si>
  <si>
    <t>C100x50x20x2.3</t>
  </si>
  <si>
    <t>C100x50x20x2.5</t>
  </si>
  <si>
    <t>C120x50x20x1.5</t>
  </si>
  <si>
    <t>C120x50x20x1.8</t>
  </si>
  <si>
    <t>C120x50x20x2.0</t>
  </si>
  <si>
    <t>C120x50x20x2.3</t>
  </si>
  <si>
    <t>C120x50x20x2.5</t>
  </si>
  <si>
    <t>C150x50x20x1.5</t>
  </si>
  <si>
    <t>C150x50x20x1.8</t>
  </si>
  <si>
    <t>C150x50x20x2.0</t>
  </si>
  <si>
    <t>C150x50x20x2.3</t>
  </si>
  <si>
    <t>C150x50x20x2.5</t>
  </si>
  <si>
    <t>C150x65x20x1.5</t>
  </si>
  <si>
    <t>C150x65x20x1.8</t>
  </si>
  <si>
    <t>C150x65x20x2.0</t>
  </si>
  <si>
    <t>C150x65x20x2.3</t>
  </si>
  <si>
    <t>C150x65x20x2.5</t>
  </si>
  <si>
    <t>C150x75x20x1.5</t>
  </si>
  <si>
    <t>C150x75x20x1.8</t>
  </si>
  <si>
    <t>C150x75x20x2.0</t>
  </si>
  <si>
    <t>C150x75x20x2.3</t>
  </si>
  <si>
    <t>C150x75x20x2.5</t>
  </si>
  <si>
    <t>C180x50x20x1.5</t>
  </si>
  <si>
    <t>C180x50x20x1.8</t>
  </si>
  <si>
    <t>C180x50x20x2.0</t>
  </si>
  <si>
    <t>C180x50x20x2.3</t>
  </si>
  <si>
    <t>C180x50x20x2.5</t>
  </si>
  <si>
    <t>C180x65x20x1.5</t>
  </si>
  <si>
    <t>C180x65x20x1.8</t>
  </si>
  <si>
    <t>C180x65x20x2.0</t>
  </si>
  <si>
    <t>C180x65x20x2.3</t>
  </si>
  <si>
    <t>C180x65x20x2.5</t>
  </si>
  <si>
    <t>C200x50x20x1.5</t>
  </si>
  <si>
    <t>C200x50x20x1.8</t>
  </si>
  <si>
    <t>C200x50x20x2.0</t>
  </si>
  <si>
    <t>C200x50x20x2.3</t>
  </si>
  <si>
    <t>C200x50x20x2.5</t>
  </si>
  <si>
    <t>C200x50x20x2.8</t>
  </si>
  <si>
    <t>C200x50x20x3.0</t>
  </si>
  <si>
    <t>C200x65x20x1.5</t>
  </si>
  <si>
    <t>C200x65x20x1.8</t>
  </si>
  <si>
    <t>C200x65x20x2.0</t>
  </si>
  <si>
    <t>C200x65x20x2.3</t>
  </si>
  <si>
    <t>C200x65x20x2.5</t>
  </si>
  <si>
    <t>C200x65x20x2.8</t>
  </si>
  <si>
    <t>C200x65x20x3.0</t>
  </si>
  <si>
    <t>C200x70x20x1.5</t>
  </si>
  <si>
    <t>C200x70x20x1.8</t>
  </si>
  <si>
    <t>C200x70x20x2.0</t>
  </si>
  <si>
    <t>C200x70x20x2.3</t>
  </si>
  <si>
    <t>C200x70x20x2.5</t>
  </si>
  <si>
    <t>C200x70x20x2.8</t>
  </si>
  <si>
    <t>C200x70x20x3.0</t>
  </si>
  <si>
    <t>C200x100x20x1.5</t>
  </si>
  <si>
    <t>C200x100x20x1.8</t>
  </si>
  <si>
    <t>C200x100x20x2.0</t>
  </si>
  <si>
    <t>C200x100x20x2.3</t>
  </si>
  <si>
    <t>C200x100x20x2.5</t>
  </si>
  <si>
    <t>C200x100x20x2.8</t>
  </si>
  <si>
    <t>C200x100x20x3.0</t>
  </si>
  <si>
    <t>C250x65x20x1.5</t>
  </si>
  <si>
    <t>C250x65x20x1.8</t>
  </si>
  <si>
    <t>C250x65x20x2.0</t>
  </si>
  <si>
    <t>C250x65x20x2.3</t>
  </si>
  <si>
    <t>C250x65x20x2.5</t>
  </si>
  <si>
    <t>C250x65x20x2.8</t>
  </si>
  <si>
    <t>C250x65x20x3.0</t>
  </si>
  <si>
    <t>C300x65x20x1.8</t>
  </si>
  <si>
    <t>C300x65x20x2.0</t>
  </si>
  <si>
    <t>C300x65x20x2.3</t>
  </si>
  <si>
    <t>C300x65x20x2.5</t>
  </si>
  <si>
    <t>C300x65x20x2.8</t>
  </si>
  <si>
    <t>C300x65x20x3.0</t>
  </si>
  <si>
    <t>Khung thứ 1 &amp; 2</t>
  </si>
  <si>
    <t xml:space="preserve">Đỉnh cột </t>
  </si>
  <si>
    <t>Top / Bot</t>
  </si>
  <si>
    <t>Đoạn 1</t>
  </si>
  <si>
    <t>Phân đoạn kèo</t>
  </si>
  <si>
    <t>Đoạn 2</t>
  </si>
  <si>
    <t>Đoạn 3</t>
  </si>
  <si>
    <t>Đoạn 5</t>
  </si>
  <si>
    <t>Đoạn 6</t>
  </si>
  <si>
    <t>Đoạn 7</t>
  </si>
  <si>
    <t>Đỉnh mái</t>
  </si>
  <si>
    <t>Chiều dài</t>
  </si>
  <si>
    <t>Chiều dày</t>
  </si>
  <si>
    <t>Chiều dày sườn tăng cứng</t>
  </si>
  <si>
    <t>Tên cột
hoăc tên tiền tố</t>
  </si>
  <si>
    <t>Đoạn 4</t>
  </si>
  <si>
    <t>Đoạn 8</t>
  </si>
  <si>
    <t>Đoạn 9</t>
  </si>
  <si>
    <t>Đoạn 10</t>
  </si>
  <si>
    <t>Đỉnh mái (Nếu có cột giữa thì nhập vào hàng này)</t>
  </si>
  <si>
    <t>M</t>
  </si>
  <si>
    <t>Dày</t>
  </si>
  <si>
    <t>Vị trí kèo</t>
  </si>
  <si>
    <t>Bên phải</t>
  </si>
  <si>
    <t>KHUNG ĐẦU HỒI - K1</t>
  </si>
  <si>
    <t>S-2-4</t>
  </si>
  <si>
    <t>S-4-4</t>
  </si>
  <si>
    <t>V-2-4</t>
  </si>
  <si>
    <t>V-4-4</t>
  </si>
  <si>
    <t>Chiều dày bản bích</t>
  </si>
  <si>
    <t>Tên lệnh trong autocad</t>
  </si>
  <si>
    <t>(Rafter Splice connection)</t>
  </si>
  <si>
    <t>VẼ LIÊN KẾT NỐI CỘT, KÈO (MOMENT)</t>
  </si>
  <si>
    <t>VẼ LIÊN KẾT K (1 BÊN)</t>
  </si>
  <si>
    <t>LKS</t>
  </si>
  <si>
    <t>LKRS</t>
  </si>
  <si>
    <t>LKCPPin</t>
  </si>
  <si>
    <t>LKCPMoment</t>
  </si>
  <si>
    <t>Tên lệnh</t>
  </si>
  <si>
    <t>LKKnee</t>
  </si>
  <si>
    <t>VẼ LIÊN KẾT NỐI CỘT, KÈO</t>
  </si>
  <si>
    <t>VKDH1</t>
  </si>
  <si>
    <t>VKDH2</t>
  </si>
  <si>
    <t>(%)</t>
  </si>
  <si>
    <t>Số lượng bản bích</t>
  </si>
  <si>
    <t>Loại</t>
  </si>
  <si>
    <t>Chiều cao , H</t>
  </si>
  <si>
    <t>Bề rộng cánh, B</t>
  </si>
  <si>
    <t>Bề dày bụng, tw</t>
  </si>
  <si>
    <t>Bề dày cánh, tf</t>
  </si>
  <si>
    <t>Kích thước I</t>
  </si>
  <si>
    <t>Bản bích</t>
  </si>
  <si>
    <t>Chiều dày, t</t>
  </si>
  <si>
    <t>Sườn tăng cứng</t>
  </si>
  <si>
    <t>Đường kính, D</t>
  </si>
  <si>
    <t>Gia cường bản cánh, ta</t>
  </si>
  <si>
    <t>Bu lông nằm bên ngoài, n</t>
  </si>
  <si>
    <t>Bu lông nằm bên trong, n</t>
  </si>
  <si>
    <t>Hình dạng tiết diện</t>
  </si>
  <si>
    <t>Tên chi tiết</t>
  </si>
  <si>
    <t>Chiều dày bản bụng</t>
  </si>
  <si>
    <t>Chiều dày bản cánh</t>
  </si>
  <si>
    <t>TÊN LỆNH TRONG AUTOCAD</t>
  </si>
  <si>
    <t>VK</t>
  </si>
  <si>
    <t>VK3</t>
  </si>
  <si>
    <t>VẼ LIÊN KẾT ("CAP PLATE PIN")</t>
  </si>
  <si>
    <t>VẼ LIÊN KẾT ("CAP PLATE MOMENT")</t>
  </si>
  <si>
    <t>VẼ LIÊN KẾT DẦM PHỤ VÀO DẦM CHÍNH</t>
  </si>
  <si>
    <t>LKDP1</t>
  </si>
  <si>
    <t>Thông số dầm chính</t>
  </si>
  <si>
    <t>Bề rộng bản cánh</t>
  </si>
  <si>
    <t>tf</t>
  </si>
  <si>
    <t>Thông số dầm phụ</t>
  </si>
  <si>
    <t>Khoảng cách 2 bu lông</t>
  </si>
  <si>
    <t>Khoảng cách tâm tới mép</t>
  </si>
  <si>
    <t>Chiều dày sườn gia cường</t>
  </si>
  <si>
    <t>Đương kính bu lông</t>
  </si>
  <si>
    <t>SB2</t>
  </si>
  <si>
    <t>CHI TIẾT 1</t>
  </si>
  <si>
    <t>LKDP2</t>
  </si>
  <si>
    <t>VẼ LIÊN KẾT DẦM PHỤ VÀO BẢN BỤNG CỘT</t>
  </si>
  <si>
    <t>Thông số cột</t>
  </si>
  <si>
    <t>VẼ LIÊN KẾT DẦM PHỤ VÀO BẢN CÁNH CỘT (LIÊN KẾT KHỚP)</t>
  </si>
  <si>
    <t>LKDP3</t>
  </si>
  <si>
    <t>VẼ LIÊN KẾT DẦM PHỤ VÀO BẢN CÁNH CỘT (LIÊN KẾT NGÀM)</t>
  </si>
  <si>
    <t>LKDP4</t>
  </si>
  <si>
    <t>Số lượng hàng bu lông</t>
  </si>
  <si>
    <t>Text màu hồng là dữ liệu có thể load từ Etabs/Sap2000</t>
  </si>
  <si>
    <t>C1</t>
  </si>
  <si>
    <t>Thông số dầm liên kết vào ( bề rộng cánh = 0 thì không vẽ)</t>
  </si>
  <si>
    <t>CHI TIẾT 2</t>
  </si>
  <si>
    <t>Ngang</t>
  </si>
  <si>
    <t>Chiều dày tường biên bao che</t>
  </si>
  <si>
    <t>BANBICH</t>
  </si>
  <si>
    <r>
      <t xml:space="preserve">CHỨC NĂNG ÁP DỤNG CHO KHUNG ĐẦU HỒI  
KÈO </t>
    </r>
    <r>
      <rPr>
        <b/>
        <u/>
        <sz val="20"/>
        <color rgb="FF0000CC"/>
        <rFont val="Aptos Narrow"/>
        <family val="2"/>
        <scheme val="minor"/>
      </rPr>
      <t>BỊ CHIA</t>
    </r>
    <r>
      <rPr>
        <b/>
        <sz val="20"/>
        <color rgb="FFFF0000"/>
        <rFont val="Aptos Narrow"/>
        <family val="2"/>
        <scheme val="minor"/>
      </rPr>
      <t xml:space="preserve"> TẠI VỊ TRÍ </t>
    </r>
    <r>
      <rPr>
        <b/>
        <u/>
        <sz val="20"/>
        <color rgb="FF0000CC"/>
        <rFont val="Aptos Narrow"/>
        <family val="2"/>
        <scheme val="minor"/>
      </rPr>
      <t>CỘT THÉP</t>
    </r>
  </si>
  <si>
    <t>Hướng của text cột</t>
  </si>
  <si>
    <t>Bản bụng</t>
  </si>
  <si>
    <t>K/c bolt lớn nhất</t>
  </si>
  <si>
    <t>Sườn gia cường bản cánh</t>
  </si>
  <si>
    <t>K/c bolt max</t>
  </si>
  <si>
    <t>Sườn tăng cứng
Bản bụng</t>
  </si>
  <si>
    <t>Vẽ mặt cắt bản bích</t>
  </si>
  <si>
    <t>Vị trí cột</t>
  </si>
  <si>
    <t>Biên trái</t>
  </si>
  <si>
    <t>Biên phải</t>
  </si>
  <si>
    <t>Thông số về chiều cao mái</t>
  </si>
  <si>
    <t>Chưa tính lớp bao che</t>
  </si>
  <si>
    <t>K/c trục và mép cột</t>
  </si>
  <si>
    <t>Tên lệnh Autocad</t>
  </si>
  <si>
    <t>Quan trọng: Vì dim xiên nên sẽ có 1 đoạn kèo bị lẻ, vui lòng để trống chiều dài đoạn đó (Chỉ duy nhất 1 đoạn)</t>
  </si>
  <si>
    <t>Chiều cao tường biên bao che</t>
  </si>
  <si>
    <r>
      <rPr>
        <b/>
        <u/>
        <sz val="11"/>
        <rFont val="Aptos Narrow"/>
        <family val="2"/>
        <scheme val="minor"/>
      </rPr>
      <t>Thông số cột:</t>
    </r>
    <r>
      <rPr>
        <sz val="11"/>
        <rFont val="Aptos Narrow"/>
        <family val="2"/>
        <scheme val="minor"/>
      </rPr>
      <t xml:space="preserve">
- Nếu điền 1 số thì mặc định chiều cao trái = phải, bề rộng cánh trên = dưới, chiều dày trên = dưới. Ví dụ 200
- Nếu điền 2 số thì mặc định số đầu tiên là trái, số thứ 2 là phải. Phân cách giữa 2 số có thể dùng dấu </t>
    </r>
    <r>
      <rPr>
        <b/>
        <sz val="11"/>
        <color rgb="FFFF0000"/>
        <rFont val="Aptos Narrow"/>
        <family val="2"/>
        <scheme val="minor"/>
      </rPr>
      <t>_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;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/</t>
    </r>
    <r>
      <rPr>
        <sz val="11"/>
        <rFont val="Aptos Narrow"/>
        <family val="2"/>
        <scheme val="minor"/>
      </rPr>
      <t>. Ví dụ 150_200 hoặc 150;200 hoặc 150/200</t>
    </r>
  </si>
  <si>
    <t>Dọc</t>
  </si>
  <si>
    <t>300/500</t>
  </si>
  <si>
    <t>K/c mép tường và mép cột</t>
  </si>
  <si>
    <t>Giữa trái</t>
  </si>
  <si>
    <t xml:space="preserve">Giữa phải </t>
  </si>
  <si>
    <t>E</t>
  </si>
  <si>
    <t>900/500</t>
  </si>
  <si>
    <t>Lưu ý: Từ đoạn 1 đến đoạn 4, phải có 1 đoạn số lẻ để trống
Từ đoạn 6 đến đoạn 9, phải co 1 đoạn số lẻ để trống</t>
  </si>
  <si>
    <t>500_900</t>
  </si>
  <si>
    <r>
      <t xml:space="preserve">Sườn tăng cứng </t>
    </r>
    <r>
      <rPr>
        <b/>
        <u/>
        <sz val="11"/>
        <color theme="1"/>
        <rFont val="Aptos Narrow"/>
        <family val="2"/>
        <scheme val="minor"/>
      </rPr>
      <t>cánh</t>
    </r>
    <r>
      <rPr>
        <sz val="11"/>
        <color theme="1"/>
        <rFont val="Aptos Narrow"/>
        <family val="2"/>
        <scheme val="minor"/>
      </rPr>
      <t>, dày</t>
    </r>
  </si>
  <si>
    <t>Chiều dày bản bích (mặt trên)</t>
  </si>
  <si>
    <t>Chiều dày bản bích (mặt dưới)</t>
  </si>
  <si>
    <t>K-4-2-2</t>
  </si>
  <si>
    <t>K-6-2-2</t>
  </si>
  <si>
    <t>K-4-2-4</t>
  </si>
  <si>
    <t>K-8-2-2</t>
  </si>
  <si>
    <t>K-6-2-4</t>
  </si>
  <si>
    <t>K-8-2-4</t>
  </si>
  <si>
    <t>K-4-0-2</t>
  </si>
  <si>
    <t>K-4-0-4</t>
  </si>
  <si>
    <t>K-6-0-2</t>
  </si>
  <si>
    <t>K-6-0-4</t>
  </si>
  <si>
    <t>K-6-2-6</t>
  </si>
  <si>
    <t>K-6-0-6</t>
  </si>
  <si>
    <t>K-8-0-2</t>
  </si>
  <si>
    <t>K-8-0-4</t>
  </si>
  <si>
    <t>K-10-0-2</t>
  </si>
  <si>
    <t>K-10-0-4</t>
  </si>
  <si>
    <t>K-12-0-2</t>
  </si>
  <si>
    <t>Hình dạng vai đỡ máng xối</t>
  </si>
  <si>
    <t>K/c mép</t>
  </si>
  <si>
    <t>Chiều cao đỉnh</t>
  </si>
  <si>
    <t>Text màu hồng là text có thể lấy trực tiếp từ Etabs/Sap2000</t>
  </si>
  <si>
    <t>Nếu thông tin nhiều hơn 5 đoạn thì unhine hàng excel</t>
  </si>
  <si>
    <t>Phân đoạn</t>
  </si>
  <si>
    <t>K1</t>
  </si>
  <si>
    <t>K2</t>
  </si>
  <si>
    <t>K3</t>
  </si>
  <si>
    <t>K4</t>
  </si>
  <si>
    <t>Thông số H cột</t>
  </si>
  <si>
    <t>K6</t>
  </si>
  <si>
    <t>K5</t>
  </si>
  <si>
    <t>K7</t>
  </si>
  <si>
    <t>C1T</t>
  </si>
  <si>
    <t>C2T</t>
  </si>
  <si>
    <t>Tên &amp; Kích thước</t>
  </si>
  <si>
    <t>Thông số H cột (5)&amp;(15)</t>
  </si>
  <si>
    <t xml:space="preserve"> </t>
  </si>
  <si>
    <t>LƯU Ý: ĐỂ THUẬN TIỆN THỐNG KÊ KHỐI LƯỢNG, SỐ LƯỢNG BU LÔNG LÀ NHẬP SỐ TỔNG (TÍNH LUÔN 2 HOẶC 4 CON BU LÔNG NGOÀI BIÊN)</t>
  </si>
  <si>
    <t>Tổng số bu lông</t>
  </si>
  <si>
    <t>Ghi chú vị trí điểm liên kết</t>
  </si>
  <si>
    <t>Tổng bu lông</t>
  </si>
  <si>
    <t>Liên kết đỉnh cột giữa và dầm đỉnh mái</t>
  </si>
  <si>
    <t>K9</t>
  </si>
  <si>
    <r>
      <t xml:space="preserve">Hướng của cột </t>
    </r>
    <r>
      <rPr>
        <b/>
        <u/>
        <sz val="11"/>
        <color theme="1"/>
        <rFont val="Aptos Narrow"/>
        <family val="2"/>
        <scheme val="minor"/>
      </rPr>
      <t>góc</t>
    </r>
    <r>
      <rPr>
        <sz val="11"/>
        <color theme="1"/>
        <rFont val="Aptos Narrow"/>
        <family val="2"/>
        <scheme val="minor"/>
      </rPr>
      <t xml:space="preserve"> đầu hồi</t>
    </r>
  </si>
  <si>
    <r>
      <t xml:space="preserve">Hướng của cột </t>
    </r>
    <r>
      <rPr>
        <b/>
        <u/>
        <sz val="11"/>
        <color theme="1"/>
        <rFont val="Aptos Narrow"/>
        <family val="2"/>
        <scheme val="minor"/>
      </rPr>
      <t>giữa</t>
    </r>
    <r>
      <rPr>
        <sz val="11"/>
        <color theme="1"/>
        <rFont val="Aptos Narrow"/>
        <family val="2"/>
        <scheme val="minor"/>
      </rPr>
      <t xml:space="preserve"> đầu hồi</t>
    </r>
  </si>
  <si>
    <t>CT2</t>
  </si>
  <si>
    <t>CT3</t>
  </si>
  <si>
    <t>CT4</t>
  </si>
  <si>
    <t>CT1</t>
  </si>
  <si>
    <t>Tên</t>
  </si>
  <si>
    <t>CT6</t>
  </si>
  <si>
    <t>CT7</t>
  </si>
  <si>
    <t>CT8</t>
  </si>
  <si>
    <t>CT9</t>
  </si>
  <si>
    <t>LIÊN KẾT NỐI CỘT BẢN GHÉP</t>
  </si>
  <si>
    <t>LKNC</t>
  </si>
  <si>
    <t>Khoảng hở cột</t>
  </si>
  <si>
    <t>K/c tâm tới mép</t>
  </si>
  <si>
    <t>K/c giữa 2 bu lông</t>
  </si>
  <si>
    <t>Số cột</t>
  </si>
  <si>
    <t>Số hàng</t>
  </si>
  <si>
    <t>Ghép bản cánh
(1 bên)</t>
  </si>
  <si>
    <t>Ghép bản bụng
(1 bên)</t>
  </si>
  <si>
    <t>Bề rộng</t>
  </si>
  <si>
    <t>Ốp mặt trong</t>
  </si>
  <si>
    <t>N</t>
  </si>
  <si>
    <t>Phân
đoạn</t>
  </si>
  <si>
    <t>Chiều
dài</t>
  </si>
  <si>
    <t>H1</t>
  </si>
  <si>
    <t>H2</t>
  </si>
  <si>
    <t>Dày
bụng</t>
  </si>
  <si>
    <t>Cánh trên</t>
  </si>
  <si>
    <t>Cánh dưới</t>
  </si>
  <si>
    <t>Tên dầm</t>
  </si>
  <si>
    <t>SB1</t>
  </si>
  <si>
    <t>Số lượng bu lông</t>
  </si>
  <si>
    <t>Trái</t>
  </si>
  <si>
    <t>Phải</t>
  </si>
  <si>
    <t>Liên kết
dầm chính &amp; cột</t>
  </si>
  <si>
    <t>Chiều dày thép tấm - dầm</t>
  </si>
  <si>
    <t>Chiều dày thép tấm - cột</t>
  </si>
  <si>
    <t>Bề rộng tấm</t>
  </si>
  <si>
    <t>Chiều cao tổng</t>
  </si>
  <si>
    <t>Chiều dày bản bích nối dầm</t>
  </si>
  <si>
    <t>Chiều dày bản bích nối cột</t>
  </si>
  <si>
    <t>Z175</t>
  </si>
  <si>
    <t>Số lượng</t>
  </si>
  <si>
    <t>Đỉnh mái (K cột giữa)</t>
  </si>
  <si>
    <t>Số bolt</t>
  </si>
  <si>
    <t>Vẽ dầm 1 phân đoạn</t>
  </si>
  <si>
    <t>Lệnh tắt</t>
  </si>
  <si>
    <t>VD1</t>
  </si>
  <si>
    <t>Chiều dày sườn tam giác</t>
  </si>
  <si>
    <t>Vẽ dầm 2 phân đoạn</t>
  </si>
  <si>
    <t>VD2</t>
  </si>
  <si>
    <t>Vẽ dầm 3 phân đoạn</t>
  </si>
  <si>
    <t>VD3</t>
  </si>
  <si>
    <t>Nếu phân đoạn lẻ thì nhập = 0</t>
  </si>
  <si>
    <t>Ghi chú chiều dài</t>
  </si>
  <si>
    <t>Nếu dạng tam giác cân thì nhập cả 2 phân đoạn = 0</t>
  </si>
  <si>
    <t>Số bước cột</t>
  </si>
  <si>
    <t>®</t>
  </si>
  <si>
    <r>
      <t xml:space="preserve">Liên kết (nút giao </t>
    </r>
    <r>
      <rPr>
        <b/>
        <sz val="11"/>
        <color rgb="FFFF0000"/>
        <rFont val="Aptos Narrow"/>
        <family val="2"/>
        <scheme val="minor"/>
      </rPr>
      <t>đầu kèo + cột</t>
    </r>
    <r>
      <rPr>
        <b/>
        <sz val="11"/>
        <rFont val="Aptos Narrow"/>
        <family val="2"/>
        <scheme val="minor"/>
      </rPr>
      <t>)</t>
    </r>
  </si>
  <si>
    <t>Thông số kèo</t>
  </si>
  <si>
    <t>Số
bolt</t>
  </si>
  <si>
    <t>Đường kính</t>
  </si>
  <si>
    <t>Tên
cột</t>
  </si>
  <si>
    <t>Tên
kèo</t>
  </si>
  <si>
    <t>k2</t>
  </si>
  <si>
    <t>-</t>
  </si>
  <si>
    <t>Khoảng cách 2 hàng bu lông</t>
  </si>
  <si>
    <t>Số lượng cột bu lông</t>
  </si>
  <si>
    <t>Tỷ lệ bản vẽ</t>
  </si>
  <si>
    <t>Scale</t>
  </si>
  <si>
    <t>Bề rộng cánh cột</t>
  </si>
  <si>
    <t>Chiều dày bụng cột</t>
  </si>
  <si>
    <t>Tỷ lệ</t>
  </si>
  <si>
    <t>LIÊN KẾT NỐI DẦM BẢN GHÉP</t>
  </si>
  <si>
    <t>LKND</t>
  </si>
  <si>
    <t>300/400</t>
  </si>
  <si>
    <t>600;1500;600</t>
  </si>
  <si>
    <t>Vẽ dầm &amp; cột giữa</t>
  </si>
  <si>
    <t>VK3KEO</t>
  </si>
  <si>
    <t>Chân kèo</t>
  </si>
  <si>
    <t>Đỉnh kèo</t>
  </si>
  <si>
    <t>Đỉnh cột</t>
  </si>
  <si>
    <t>Chân cột</t>
  </si>
  <si>
    <t>Thông số chiều cao</t>
  </si>
  <si>
    <t>Web</t>
  </si>
  <si>
    <t>Quan trọng: Chọn loại H rồi mới nhập thông số kích thước</t>
  </si>
  <si>
    <t>VD4</t>
  </si>
  <si>
    <t>Vẽ nhiều kèo thép (Liên kết K đứng)</t>
  </si>
  <si>
    <t>Thép tấm</t>
  </si>
  <si>
    <t>ĐK</t>
  </si>
  <si>
    <t>800/500</t>
  </si>
  <si>
    <t>Liên kết chân</t>
  </si>
  <si>
    <t>Liên kết đỉnh</t>
  </si>
  <si>
    <t>Vẽ nhiều kèo thép (Liên kết K ngang)</t>
  </si>
  <si>
    <t>Bề rộng cấu kiện bê tông</t>
  </si>
  <si>
    <t>K/c bu lông theo phương ngang</t>
  </si>
  <si>
    <t>K/c bu lông theo phương đứng</t>
  </si>
  <si>
    <r>
      <t xml:space="preserve">Liên kết bu lông giữa dầm I và </t>
    </r>
    <r>
      <rPr>
        <sz val="11"/>
        <color rgb="FFFF0000"/>
        <rFont val="Aptos Narrow"/>
        <family val="2"/>
        <scheme val="minor"/>
      </rPr>
      <t>thép tấm</t>
    </r>
  </si>
  <si>
    <r>
      <t xml:space="preserve">Liên kết bu lông giữa bê tông và </t>
    </r>
    <r>
      <rPr>
        <sz val="11"/>
        <color rgb="FF0000FF"/>
        <rFont val="Aptos Narrow"/>
        <family val="2"/>
        <scheme val="minor"/>
      </rPr>
      <t>thép tấm</t>
    </r>
  </si>
  <si>
    <t>40 40</t>
  </si>
  <si>
    <t>65 120 65</t>
  </si>
  <si>
    <t>Chiều dày bản thép số 1 (red)</t>
  </si>
  <si>
    <t>Chiều dày bản thép số 2 (green)</t>
  </si>
  <si>
    <t>Chiều dày bản thép số 3 (blue)</t>
  </si>
  <si>
    <t>60 100 100 100 60</t>
  </si>
  <si>
    <t>100 150 150 100</t>
  </si>
  <si>
    <t>LKBT1</t>
  </si>
  <si>
    <t>Loại bu lông</t>
  </si>
  <si>
    <t>Lỗ tròn</t>
  </si>
  <si>
    <t>Bu lông khoan cấy</t>
  </si>
  <si>
    <t>K/c từ dầm lên đỉnh bản mã</t>
  </si>
  <si>
    <t>Chiều dày tăng cứng tam giác</t>
  </si>
  <si>
    <t>Bu lông L</t>
  </si>
  <si>
    <t>LIÊN KẾT NỐI DẦM THÉP &amp; CỘT/DẦM BÊ TÔNG (LIÊN KẾT KHỚP)</t>
  </si>
  <si>
    <t>LIÊN KẾT NỐI DẦM THÉP &amp; CỘT/DẦM BÊ TÔNG ( (LIÊN KẾT NGÀM)</t>
  </si>
  <si>
    <t>50 110 130 110 50</t>
  </si>
  <si>
    <t>LKBT2</t>
  </si>
  <si>
    <t>Số bu lông nhóm A</t>
  </si>
  <si>
    <t>Số bu lông nhóm B</t>
  </si>
  <si>
    <t>Số bu lông nhóm C</t>
  </si>
  <si>
    <t>Chiều dày STC cánh</t>
  </si>
  <si>
    <t>(tai)</t>
  </si>
  <si>
    <t>Chiều dày STC bụng</t>
  </si>
  <si>
    <t>(màu xanh)</t>
  </si>
  <si>
    <t>Chiều dày STC xiên</t>
  </si>
  <si>
    <t>(màu vàng)</t>
  </si>
  <si>
    <t>Chiều dày bản bích bên dưới</t>
  </si>
  <si>
    <t>Bề rộng mặt bích</t>
  </si>
  <si>
    <t>Chiều dài sườn tăng cứng</t>
  </si>
  <si>
    <t>Chiều dày
gân</t>
  </si>
  <si>
    <t>Chiều dày
mặt bích</t>
  </si>
  <si>
    <t>Chiều dày mặt bích (mm)</t>
  </si>
  <si>
    <t>Chiều dày gân (mm)</t>
  </si>
  <si>
    <t>Thông số liên kết nối các đoạn kèo</t>
  </si>
  <si>
    <t>Đỉnh cột trung gian &amp; kèo</t>
  </si>
  <si>
    <t>Thông số cột điển hình</t>
  </si>
  <si>
    <t>BẢNG THÔNG SỐ NHẬP DỮ LIỆU NHANH</t>
  </si>
  <si>
    <t>Chiều dày
sườn TC</t>
  </si>
  <si>
    <t>Đỉnh cột giữa nhà (nếu có)</t>
  </si>
  <si>
    <t>500;1500;500</t>
  </si>
  <si>
    <t>500_1500_500</t>
  </si>
  <si>
    <t>400/900</t>
  </si>
  <si>
    <t>500_0_500</t>
  </si>
  <si>
    <t>C3</t>
  </si>
  <si>
    <t>Chiều dày gân tăng cứng</t>
  </si>
  <si>
    <t>Chiều dày bản mã liên kết (mm)</t>
  </si>
  <si>
    <t>I</t>
  </si>
  <si>
    <t>1300_700</t>
  </si>
  <si>
    <t>700_0_700</t>
  </si>
  <si>
    <t>500_1300</t>
  </si>
  <si>
    <t>700_1300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</si>
</sst>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0&quot;)&quot;"/>
    <numFmt numFmtId="165" formatCode="&quot;M&quot;0"/>
    <numFmt numFmtId="166" formatCode="0.0%"/>
  </numFmts>
  <fonts count="6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1"/>
      <name val="Arial"/>
      <family val="2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name val="Aptos Narrow"/>
      <family val="2"/>
      <scheme val="minor"/>
    </font>
    <font>
      <sz val="9"/>
      <color rgb="FF0000CC"/>
      <name val="Aptos Narrow"/>
      <family val="2"/>
      <scheme val="minor"/>
    </font>
    <font>
      <sz val="11"/>
      <color rgb="FFFF00FF"/>
      <name val="Aptos Narrow"/>
      <family val="2"/>
      <scheme val="minor"/>
    </font>
    <font>
      <sz val="20"/>
      <color rgb="FFFF00FF"/>
      <name val="Times New Roman"/>
      <family val="1"/>
    </font>
    <font>
      <sz val="20"/>
      <color rgb="FF0000CC"/>
      <name val="Times New Roman"/>
      <family val="1"/>
    </font>
    <font>
      <sz val="11"/>
      <color rgb="FF00B050"/>
      <name val="Aptos Narrow"/>
      <family val="2"/>
      <scheme val="minor"/>
    </font>
    <font>
      <sz val="11"/>
      <color rgb="FFD5D000"/>
      <name val="Aptos Narrow"/>
      <family val="2"/>
      <scheme val="minor"/>
    </font>
    <font>
      <sz val="11"/>
      <color rgb="FF00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Times New Roman"/>
      <family val="1"/>
    </font>
    <font>
      <sz val="13"/>
      <name val="Times New Roman"/>
      <family val="1"/>
    </font>
    <font>
      <sz val="11"/>
      <color rgb="FFFF0000"/>
      <name val="Arial"/>
      <family val="2"/>
    </font>
    <font>
      <i/>
      <sz val="1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color rgb="FFCC00CC"/>
      <name val="Aptos Narrow"/>
      <family val="2"/>
      <scheme val="minor"/>
    </font>
    <font>
      <sz val="1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20"/>
      <color rgb="FF0000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CC"/>
      <name val="Aptos Narrow"/>
      <family val="2"/>
      <scheme val="minor"/>
    </font>
    <font>
      <sz val="20"/>
      <color rgb="FF006100"/>
      <name val="Aptos Narrow"/>
      <family val="2"/>
      <scheme val="minor"/>
    </font>
    <font>
      <b/>
      <u/>
      <sz val="11"/>
      <color rgb="FFFF00FF"/>
      <name val="Aptos Narrow"/>
      <family val="2"/>
      <scheme val="minor"/>
    </font>
    <font>
      <sz val="1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b/>
      <sz val="14"/>
      <color theme="0"/>
      <name val="Aptos Narrow"/>
      <family val="2"/>
      <scheme val="minor"/>
    </font>
    <font>
      <sz val="10"/>
      <color rgb="FF0000CC"/>
      <name val="Aptos Narrow"/>
      <family val="2"/>
      <scheme val="minor"/>
    </font>
    <font>
      <b/>
      <sz val="14"/>
      <color theme="5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ptos Narrow"/>
      <family val="2"/>
      <scheme val="minor"/>
    </font>
    <font>
      <sz val="18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6"/>
      <color rgb="FF0000CC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6" fillId="6" borderId="42" applyNumberFormat="0" applyAlignment="0" applyProtection="0"/>
    <xf numFmtId="0" fontId="27" fillId="8" borderId="0" applyNumberFormat="0" applyBorder="0" applyAlignment="0" applyProtection="0"/>
    <xf numFmtId="0" fontId="28" fillId="9" borderId="0" applyNumberFormat="0" applyBorder="0" applyAlignment="0" applyProtection="0"/>
    <xf numFmtId="9" fontId="41" fillId="0" borderId="0" applyFont="0" applyFill="0" applyBorder="0" applyAlignment="0" applyProtection="0"/>
    <xf numFmtId="0" fontId="60" fillId="0" borderId="0" applyNumberFormat="0" applyFill="0" applyBorder="0" applyAlignment="0" applyProtection="0"/>
  </cellStyleXfs>
  <cellXfs count="557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7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10" xfId="0" applyFont="1" applyBorder="1" applyAlignment="1">
      <alignment horizontal="center" vertical="center"/>
    </xf>
    <xf numFmtId="0" fontId="0" fillId="0" borderId="11" xfId="0" applyBorder="1"/>
    <xf numFmtId="0" fontId="4" fillId="0" borderId="10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7" xfId="0" applyFont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9" xfId="0" applyBorder="1" applyAlignment="1">
      <alignment horizontal="left" vertical="center" indent="1"/>
    </xf>
    <xf numFmtId="0" fontId="9" fillId="0" borderId="10" xfId="0" applyFont="1" applyBorder="1"/>
    <xf numFmtId="0" fontId="9" fillId="0" borderId="9" xfId="0" applyFont="1" applyBorder="1" applyAlignment="1">
      <alignment horizontal="left" vertical="center" indent="1"/>
    </xf>
    <xf numFmtId="165" fontId="3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3" fillId="0" borderId="33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0" fillId="0" borderId="38" xfId="0" applyBorder="1"/>
    <xf numFmtId="0" fontId="0" fillId="5" borderId="0" xfId="0" applyFill="1"/>
    <xf numFmtId="0" fontId="3" fillId="0" borderId="2" xfId="0" applyFont="1" applyBorder="1" applyAlignment="1">
      <alignment horizontal="center" vertical="center"/>
    </xf>
    <xf numFmtId="0" fontId="0" fillId="0" borderId="17" xfId="0" applyBorder="1"/>
    <xf numFmtId="0" fontId="0" fillId="0" borderId="45" xfId="0" applyBorder="1"/>
    <xf numFmtId="0" fontId="0" fillId="0" borderId="46" xfId="0" applyBorder="1"/>
    <xf numFmtId="0" fontId="3" fillId="0" borderId="31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9" fillId="0" borderId="8" xfId="0" applyFont="1" applyBorder="1" applyAlignment="1">
      <alignment horizontal="right"/>
    </xf>
    <xf numFmtId="0" fontId="19" fillId="0" borderId="11" xfId="0" applyFont="1" applyBorder="1" applyAlignment="1">
      <alignment horizontal="right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3" fillId="0" borderId="1" xfId="0" applyFont="1" applyBorder="1"/>
    <xf numFmtId="0" fontId="9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0" fillId="0" borderId="0" xfId="0" applyFont="1"/>
    <xf numFmtId="0" fontId="0" fillId="0" borderId="1" xfId="0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0" fontId="26" fillId="0" borderId="10" xfId="0" applyFont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left" indent="3"/>
    </xf>
    <xf numFmtId="0" fontId="32" fillId="11" borderId="0" xfId="0" applyFont="1" applyFill="1"/>
    <xf numFmtId="165" fontId="3" fillId="11" borderId="1" xfId="0" applyNumberFormat="1" applyFont="1" applyFill="1" applyBorder="1" applyAlignment="1">
      <alignment horizontal="center" vertical="center"/>
    </xf>
    <xf numFmtId="165" fontId="3" fillId="11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7" xfId="0" applyBorder="1"/>
    <xf numFmtId="0" fontId="26" fillId="0" borderId="3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4" fontId="0" fillId="0" borderId="56" xfId="0" applyNumberFormat="1" applyBorder="1" applyAlignment="1">
      <alignment horizontal="center" vertical="center"/>
    </xf>
    <xf numFmtId="164" fontId="0" fillId="0" borderId="51" xfId="0" applyNumberFormat="1" applyBorder="1" applyAlignment="1">
      <alignment horizontal="center" vertical="center"/>
    </xf>
    <xf numFmtId="164" fontId="0" fillId="0" borderId="57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17" xfId="0" applyFont="1" applyBorder="1" applyAlignment="1">
      <alignment horizontal="left" vertical="center" indent="1"/>
    </xf>
    <xf numFmtId="0" fontId="3" fillId="0" borderId="16" xfId="0" applyFont="1" applyBorder="1" applyAlignment="1">
      <alignment horizontal="center" vertical="center"/>
    </xf>
    <xf numFmtId="0" fontId="9" fillId="0" borderId="16" xfId="0" applyFont="1" applyBorder="1"/>
    <xf numFmtId="165" fontId="26" fillId="0" borderId="1" xfId="0" applyNumberFormat="1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0" fillId="7" borderId="0" xfId="0" applyFill="1"/>
    <xf numFmtId="0" fontId="0" fillId="13" borderId="0" xfId="0" applyFill="1"/>
    <xf numFmtId="0" fontId="8" fillId="13" borderId="0" xfId="0" applyFont="1" applyFill="1" applyProtection="1">
      <protection locked="0"/>
    </xf>
    <xf numFmtId="0" fontId="9" fillId="5" borderId="0" xfId="0" applyFont="1" applyFill="1"/>
    <xf numFmtId="0" fontId="33" fillId="13" borderId="0" xfId="0" applyFont="1" applyFill="1" applyAlignment="1" applyProtection="1">
      <alignment vertical="center"/>
      <protection locked="0"/>
    </xf>
    <xf numFmtId="0" fontId="26" fillId="11" borderId="1" xfId="0" applyFont="1" applyFill="1" applyBorder="1" applyAlignment="1">
      <alignment horizontal="center" vertical="center"/>
    </xf>
    <xf numFmtId="0" fontId="26" fillId="11" borderId="59" xfId="0" applyFont="1" applyFill="1" applyBorder="1" applyAlignment="1">
      <alignment horizontal="center" vertical="center"/>
    </xf>
    <xf numFmtId="0" fontId="26" fillId="11" borderId="60" xfId="0" applyFont="1" applyFill="1" applyBorder="1" applyAlignment="1">
      <alignment horizontal="center" vertical="center"/>
    </xf>
    <xf numFmtId="0" fontId="26" fillId="11" borderId="61" xfId="0" applyFont="1" applyFill="1" applyBorder="1" applyAlignment="1">
      <alignment horizontal="center" vertical="center"/>
    </xf>
    <xf numFmtId="0" fontId="4" fillId="11" borderId="59" xfId="0" applyFont="1" applyFill="1" applyBorder="1" applyAlignment="1">
      <alignment horizontal="center" vertical="center"/>
    </xf>
    <xf numFmtId="0" fontId="0" fillId="11" borderId="0" xfId="0" applyFill="1"/>
    <xf numFmtId="0" fontId="4" fillId="11" borderId="60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11" borderId="1" xfId="0" applyFill="1" applyBorder="1"/>
    <xf numFmtId="0" fontId="26" fillId="0" borderId="2" xfId="0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164" fontId="0" fillId="0" borderId="50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left" indent="1"/>
    </xf>
    <xf numFmtId="0" fontId="0" fillId="14" borderId="0" xfId="0" applyFill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" fillId="11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65" fontId="3" fillId="11" borderId="4" xfId="0" applyNumberFormat="1" applyFont="1" applyFill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38" fillId="13" borderId="0" xfId="0" applyFont="1" applyFill="1" applyAlignment="1" applyProtection="1">
      <alignment vertical="center"/>
      <protection locked="0"/>
    </xf>
    <xf numFmtId="0" fontId="0" fillId="0" borderId="24" xfId="0" applyBorder="1"/>
    <xf numFmtId="0" fontId="34" fillId="11" borderId="9" xfId="0" applyFont="1" applyFill="1" applyBorder="1" applyAlignment="1">
      <alignment horizontal="left" indent="1"/>
    </xf>
    <xf numFmtId="0" fontId="4" fillId="11" borderId="10" xfId="0" applyFont="1" applyFill="1" applyBorder="1"/>
    <xf numFmtId="0" fontId="34" fillId="11" borderId="11" xfId="0" applyFont="1" applyFill="1" applyBorder="1"/>
    <xf numFmtId="0" fontId="0" fillId="13" borderId="13" xfId="0" applyFill="1" applyBorder="1" applyAlignment="1">
      <alignment vertical="center"/>
    </xf>
    <xf numFmtId="0" fontId="0" fillId="13" borderId="14" xfId="0" applyFill="1" applyBorder="1" applyAlignment="1">
      <alignment vertical="center"/>
    </xf>
    <xf numFmtId="0" fontId="0" fillId="13" borderId="10" xfId="0" applyFill="1" applyBorder="1" applyAlignment="1">
      <alignment vertical="center"/>
    </xf>
    <xf numFmtId="0" fontId="0" fillId="13" borderId="11" xfId="0" applyFill="1" applyBorder="1" applyAlignment="1">
      <alignment vertical="center"/>
    </xf>
    <xf numFmtId="0" fontId="30" fillId="13" borderId="5" xfId="0" applyFont="1" applyFill="1" applyBorder="1" applyAlignment="1">
      <alignment horizontal="center"/>
    </xf>
    <xf numFmtId="0" fontId="3" fillId="0" borderId="3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0" borderId="40" xfId="0" applyFont="1" applyBorder="1" applyAlignment="1">
      <alignment vertical="center"/>
    </xf>
    <xf numFmtId="0" fontId="3" fillId="15" borderId="62" xfId="0" applyFont="1" applyFill="1" applyBorder="1" applyAlignment="1">
      <alignment horizontal="center" vertical="center"/>
    </xf>
    <xf numFmtId="0" fontId="3" fillId="15" borderId="63" xfId="0" applyFont="1" applyFill="1" applyBorder="1" applyAlignment="1">
      <alignment horizontal="center" vertical="center"/>
    </xf>
    <xf numFmtId="165" fontId="3" fillId="15" borderId="63" xfId="0" applyNumberFormat="1" applyFont="1" applyFill="1" applyBorder="1" applyAlignment="1">
      <alignment horizontal="center" vertical="center"/>
    </xf>
    <xf numFmtId="0" fontId="3" fillId="15" borderId="64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0" fillId="7" borderId="37" xfId="0" applyFill="1" applyBorder="1"/>
    <xf numFmtId="0" fontId="0" fillId="7" borderId="39" xfId="0" applyFill="1" applyBorder="1"/>
    <xf numFmtId="0" fontId="0" fillId="7" borderId="40" xfId="0" applyFill="1" applyBorder="1"/>
    <xf numFmtId="0" fontId="0" fillId="7" borderId="41" xfId="0" applyFill="1" applyBorder="1"/>
    <xf numFmtId="0" fontId="0" fillId="7" borderId="10" xfId="0" applyFill="1" applyBorder="1" applyAlignment="1">
      <alignment horizontal="left" vertical="center" indent="1"/>
    </xf>
    <xf numFmtId="0" fontId="0" fillId="7" borderId="11" xfId="0" applyFill="1" applyBorder="1" applyAlignment="1">
      <alignment horizontal="left" vertical="center" indent="1"/>
    </xf>
    <xf numFmtId="0" fontId="0" fillId="7" borderId="10" xfId="0" applyFill="1" applyBorder="1" applyAlignment="1">
      <alignment horizontal="left" indent="1"/>
    </xf>
    <xf numFmtId="0" fontId="0" fillId="7" borderId="11" xfId="0" applyFill="1" applyBorder="1" applyAlignment="1">
      <alignment horizontal="left" indent="1"/>
    </xf>
    <xf numFmtId="0" fontId="29" fillId="7" borderId="0" xfId="0" applyFont="1" applyFill="1" applyAlignment="1">
      <alignment horizontal="left" indent="2"/>
    </xf>
    <xf numFmtId="0" fontId="0" fillId="14" borderId="24" xfId="0" applyFill="1" applyBorder="1"/>
    <xf numFmtId="0" fontId="0" fillId="14" borderId="25" xfId="0" applyFill="1" applyBorder="1" applyAlignment="1">
      <alignment wrapText="1"/>
    </xf>
    <xf numFmtId="0" fontId="0" fillId="14" borderId="25" xfId="0" applyFill="1" applyBorder="1"/>
    <xf numFmtId="0" fontId="29" fillId="14" borderId="0" xfId="0" applyFont="1" applyFill="1" applyAlignment="1">
      <alignment horizontal="left" indent="2"/>
    </xf>
    <xf numFmtId="0" fontId="0" fillId="14" borderId="19" xfId="0" applyFill="1" applyBorder="1"/>
    <xf numFmtId="0" fontId="0" fillId="14" borderId="15" xfId="0" applyFill="1" applyBorder="1"/>
    <xf numFmtId="0" fontId="0" fillId="14" borderId="20" xfId="0" applyFill="1" applyBorder="1"/>
    <xf numFmtId="0" fontId="7" fillId="11" borderId="22" xfId="0" applyFont="1" applyFill="1" applyBorder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/>
    </xf>
    <xf numFmtId="0" fontId="4" fillId="3" borderId="23" xfId="0" applyFont="1" applyFill="1" applyBorder="1"/>
    <xf numFmtId="0" fontId="0" fillId="7" borderId="24" xfId="0" applyFill="1" applyBorder="1"/>
    <xf numFmtId="0" fontId="0" fillId="7" borderId="25" xfId="0" applyFill="1" applyBorder="1"/>
    <xf numFmtId="0" fontId="0" fillId="7" borderId="19" xfId="0" applyFill="1" applyBorder="1"/>
    <xf numFmtId="0" fontId="0" fillId="7" borderId="15" xfId="0" applyFill="1" applyBorder="1"/>
    <xf numFmtId="0" fontId="0" fillId="7" borderId="20" xfId="0" applyFill="1" applyBorder="1"/>
    <xf numFmtId="166" fontId="0" fillId="0" borderId="11" xfId="4" applyNumberFormat="1" applyFont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26" fillId="11" borderId="68" xfId="0" applyFont="1" applyFill="1" applyBorder="1" applyAlignment="1">
      <alignment horizontal="center" vertical="center"/>
    </xf>
    <xf numFmtId="0" fontId="39" fillId="0" borderId="0" xfId="0" applyFont="1" applyAlignment="1">
      <alignment vertical="center" wrapText="1"/>
    </xf>
    <xf numFmtId="0" fontId="29" fillId="0" borderId="10" xfId="0" applyFont="1" applyBorder="1" applyAlignment="1">
      <alignment horizontal="left" indent="3"/>
    </xf>
    <xf numFmtId="0" fontId="39" fillId="0" borderId="15" xfId="0" applyFont="1" applyBorder="1" applyAlignment="1">
      <alignment vertical="center" wrapText="1"/>
    </xf>
    <xf numFmtId="0" fontId="14" fillId="11" borderId="0" xfId="0" applyFont="1" applyFill="1" applyAlignment="1">
      <alignment vertical="center"/>
    </xf>
    <xf numFmtId="0" fontId="4" fillId="0" borderId="0" xfId="0" applyFont="1" applyAlignment="1">
      <alignment horizontal="left" vertical="center"/>
    </xf>
    <xf numFmtId="1" fontId="3" fillId="0" borderId="7" xfId="0" applyNumberFormat="1" applyFont="1" applyBorder="1" applyAlignment="1">
      <alignment horizontal="center" vertical="center"/>
    </xf>
    <xf numFmtId="0" fontId="35" fillId="0" borderId="15" xfId="0" applyFont="1" applyBorder="1" applyAlignment="1">
      <alignment vertical="center"/>
    </xf>
    <xf numFmtId="0" fontId="39" fillId="0" borderId="22" xfId="0" applyFont="1" applyBorder="1" applyAlignment="1">
      <alignment vertical="center" wrapText="1"/>
    </xf>
    <xf numFmtId="0" fontId="3" fillId="0" borderId="48" xfId="0" applyFont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0" fillId="0" borderId="41" xfId="0" applyBorder="1"/>
    <xf numFmtId="0" fontId="0" fillId="0" borderId="35" xfId="0" applyBorder="1"/>
    <xf numFmtId="0" fontId="3" fillId="0" borderId="59" xfId="0" applyFont="1" applyBorder="1" applyAlignment="1">
      <alignment horizontal="center" vertical="center"/>
    </xf>
    <xf numFmtId="165" fontId="3" fillId="11" borderId="59" xfId="0" applyNumberFormat="1" applyFont="1" applyFill="1" applyBorder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165" fontId="3" fillId="11" borderId="60" xfId="0" applyNumberFormat="1" applyFont="1" applyFill="1" applyBorder="1" applyAlignment="1">
      <alignment horizontal="center" vertical="center"/>
    </xf>
    <xf numFmtId="0" fontId="9" fillId="0" borderId="6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165" fontId="3" fillId="11" borderId="74" xfId="0" applyNumberFormat="1" applyFont="1" applyFill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9" fillId="0" borderId="9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26" fillId="11" borderId="2" xfId="0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left" indent="1"/>
    </xf>
    <xf numFmtId="0" fontId="3" fillId="0" borderId="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44" fillId="0" borderId="0" xfId="0" applyFont="1"/>
    <xf numFmtId="0" fontId="28" fillId="9" borderId="1" xfId="3" applyBorder="1" applyAlignment="1">
      <alignment vertical="center"/>
    </xf>
    <xf numFmtId="0" fontId="27" fillId="8" borderId="1" xfId="2" applyBorder="1" applyAlignment="1">
      <alignment vertical="center"/>
    </xf>
    <xf numFmtId="0" fontId="28" fillId="9" borderId="1" xfId="3" applyBorder="1" applyAlignment="1">
      <alignment horizontal="left" vertical="center"/>
    </xf>
    <xf numFmtId="0" fontId="16" fillId="6" borderId="1" xfId="1" applyBorder="1" applyAlignment="1">
      <alignment vertical="center"/>
    </xf>
    <xf numFmtId="0" fontId="28" fillId="9" borderId="27" xfId="3" applyBorder="1" applyAlignment="1">
      <alignment horizontal="center" vertical="center"/>
    </xf>
    <xf numFmtId="0" fontId="28" fillId="9" borderId="23" xfId="3" applyBorder="1" applyAlignment="1">
      <alignment horizontal="center" vertical="center"/>
    </xf>
    <xf numFmtId="0" fontId="27" fillId="8" borderId="20" xfId="2" applyBorder="1" applyAlignment="1">
      <alignment vertical="center"/>
    </xf>
    <xf numFmtId="0" fontId="27" fillId="8" borderId="27" xfId="2" applyBorder="1" applyAlignment="1">
      <alignment vertical="center"/>
    </xf>
    <xf numFmtId="0" fontId="7" fillId="15" borderId="63" xfId="0" applyFont="1" applyFill="1" applyBorder="1"/>
    <xf numFmtId="0" fontId="28" fillId="9" borderId="69" xfId="3" applyBorder="1" applyAlignment="1">
      <alignment horizontal="center" vertical="center"/>
    </xf>
    <xf numFmtId="0" fontId="28" fillId="9" borderId="71" xfId="3" applyBorder="1" applyAlignment="1">
      <alignment horizontal="center" vertical="center"/>
    </xf>
    <xf numFmtId="0" fontId="26" fillId="0" borderId="59" xfId="0" applyFont="1" applyBorder="1" applyAlignment="1">
      <alignment horizontal="center" vertical="center" wrapText="1"/>
    </xf>
    <xf numFmtId="0" fontId="26" fillId="0" borderId="60" xfId="0" applyFont="1" applyBorder="1" applyAlignment="1">
      <alignment horizontal="center" vertical="center" wrapText="1"/>
    </xf>
    <xf numFmtId="0" fontId="27" fillId="8" borderId="71" xfId="2" applyBorder="1" applyAlignment="1">
      <alignment horizontal="center" vertical="center"/>
    </xf>
    <xf numFmtId="0" fontId="7" fillId="0" borderId="71" xfId="0" applyFont="1" applyBorder="1" applyAlignment="1">
      <alignment vertical="center"/>
    </xf>
    <xf numFmtId="0" fontId="26" fillId="0" borderId="74" xfId="0" applyFont="1" applyBorder="1" applyAlignment="1">
      <alignment horizontal="center" vertical="center" wrapText="1"/>
    </xf>
    <xf numFmtId="0" fontId="26" fillId="0" borderId="60" xfId="0" applyFont="1" applyBorder="1" applyAlignment="1">
      <alignment horizontal="center" vertical="center"/>
    </xf>
    <xf numFmtId="165" fontId="9" fillId="11" borderId="60" xfId="0" applyNumberFormat="1" applyFont="1" applyFill="1" applyBorder="1" applyAlignment="1">
      <alignment horizontal="center" vertical="center"/>
    </xf>
    <xf numFmtId="0" fontId="16" fillId="6" borderId="1" xfId="1" applyBorder="1" applyAlignment="1">
      <alignment horizontal="center" vertical="center"/>
    </xf>
    <xf numFmtId="0" fontId="26" fillId="0" borderId="10" xfId="0" applyFont="1" applyBorder="1" applyAlignment="1">
      <alignment horizontal="left" vertical="center" indent="2"/>
    </xf>
    <xf numFmtId="164" fontId="0" fillId="0" borderId="54" xfId="0" applyNumberFormat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165" fontId="9" fillId="11" borderId="1" xfId="0" applyNumberFormat="1" applyFont="1" applyFill="1" applyBorder="1" applyAlignment="1">
      <alignment horizontal="center" vertical="center"/>
    </xf>
    <xf numFmtId="0" fontId="27" fillId="8" borderId="2" xfId="2" applyBorder="1" applyAlignment="1">
      <alignment vertical="center"/>
    </xf>
    <xf numFmtId="0" fontId="0" fillId="0" borderId="32" xfId="0" applyBorder="1"/>
    <xf numFmtId="0" fontId="28" fillId="9" borderId="73" xfId="3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165" fontId="3" fillId="11" borderId="33" xfId="0" applyNumberFormat="1" applyFont="1" applyFill="1" applyBorder="1" applyAlignment="1">
      <alignment horizontal="center" vertical="center"/>
    </xf>
    <xf numFmtId="0" fontId="0" fillId="0" borderId="34" xfId="0" applyBorder="1"/>
    <xf numFmtId="0" fontId="16" fillId="6" borderId="52" xfId="1" applyBorder="1" applyAlignment="1">
      <alignment vertical="center"/>
    </xf>
    <xf numFmtId="0" fontId="16" fillId="6" borderId="3" xfId="1" applyBorder="1" applyAlignme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27" fillId="8" borderId="77" xfId="2" applyBorder="1" applyAlignment="1">
      <alignment horizontal="center" vertical="center"/>
    </xf>
    <xf numFmtId="0" fontId="26" fillId="0" borderId="78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/>
    </xf>
    <xf numFmtId="0" fontId="3" fillId="11" borderId="29" xfId="0" applyFont="1" applyFill="1" applyBorder="1" applyAlignment="1">
      <alignment horizontal="center" vertical="center"/>
    </xf>
    <xf numFmtId="165" fontId="3" fillId="11" borderId="29" xfId="0" applyNumberFormat="1" applyFont="1" applyFill="1" applyBorder="1" applyAlignment="1">
      <alignment horizontal="center" vertical="center"/>
    </xf>
    <xf numFmtId="0" fontId="0" fillId="0" borderId="30" xfId="0" applyBorder="1"/>
    <xf numFmtId="0" fontId="27" fillId="8" borderId="73" xfId="2" applyBorder="1" applyAlignment="1">
      <alignment horizontal="center" vertical="center"/>
    </xf>
    <xf numFmtId="0" fontId="3" fillId="11" borderId="59" xfId="0" applyFont="1" applyFill="1" applyBorder="1" applyAlignment="1">
      <alignment horizontal="center" vertical="center"/>
    </xf>
    <xf numFmtId="0" fontId="0" fillId="0" borderId="70" xfId="0" applyBorder="1"/>
    <xf numFmtId="0" fontId="3" fillId="11" borderId="60" xfId="0" applyFont="1" applyFill="1" applyBorder="1" applyAlignment="1">
      <alignment horizontal="center" vertical="center"/>
    </xf>
    <xf numFmtId="0" fontId="0" fillId="0" borderId="72" xfId="0" applyBorder="1"/>
    <xf numFmtId="0" fontId="9" fillId="11" borderId="60" xfId="0" applyFont="1" applyFill="1" applyBorder="1" applyAlignment="1">
      <alignment horizontal="center" vertical="center"/>
    </xf>
    <xf numFmtId="0" fontId="3" fillId="11" borderId="74" xfId="0" applyFont="1" applyFill="1" applyBorder="1" applyAlignment="1">
      <alignment horizontal="center" vertical="center"/>
    </xf>
    <xf numFmtId="0" fontId="0" fillId="0" borderId="76" xfId="0" applyBorder="1"/>
    <xf numFmtId="0" fontId="3" fillId="4" borderId="24" xfId="0" applyFont="1" applyFill="1" applyBorder="1" applyAlignment="1">
      <alignment horizontal="center" vertical="center"/>
    </xf>
    <xf numFmtId="0" fontId="3" fillId="11" borderId="69" xfId="0" applyFont="1" applyFill="1" applyBorder="1" applyAlignment="1">
      <alignment horizontal="center" vertical="center"/>
    </xf>
    <xf numFmtId="0" fontId="3" fillId="11" borderId="71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horizontal="center" vertical="center"/>
    </xf>
    <xf numFmtId="0" fontId="3" fillId="11" borderId="73" xfId="0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 vertical="center"/>
    </xf>
    <xf numFmtId="0" fontId="3" fillId="11" borderId="31" xfId="0" applyFont="1" applyFill="1" applyBorder="1" applyAlignment="1">
      <alignment horizontal="center" vertical="center"/>
    </xf>
    <xf numFmtId="0" fontId="9" fillId="11" borderId="31" xfId="0" applyFont="1" applyFill="1" applyBorder="1" applyAlignment="1">
      <alignment horizontal="center" vertical="center"/>
    </xf>
    <xf numFmtId="0" fontId="3" fillId="11" borderId="48" xfId="0" applyFont="1" applyFill="1" applyBorder="1" applyAlignment="1">
      <alignment horizontal="center" vertical="center"/>
    </xf>
    <xf numFmtId="164" fontId="0" fillId="0" borderId="80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6" fillId="6" borderId="5" xfId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16" fillId="6" borderId="81" xfId="1" applyBorder="1" applyAlignment="1">
      <alignment horizontal="center" vertical="center"/>
    </xf>
    <xf numFmtId="0" fontId="16" fillId="6" borderId="32" xfId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20" fillId="15" borderId="63" xfId="0" applyFont="1" applyFill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20" fillId="0" borderId="32" xfId="0" applyFont="1" applyBorder="1"/>
    <xf numFmtId="0" fontId="20" fillId="0" borderId="33" xfId="0" applyFont="1" applyBorder="1" applyAlignment="1">
      <alignment horizontal="center" vertical="center"/>
    </xf>
    <xf numFmtId="0" fontId="4" fillId="0" borderId="1" xfId="0" applyFont="1" applyBorder="1" applyAlignment="1">
      <alignment vertical="top"/>
    </xf>
    <xf numFmtId="164" fontId="0" fillId="0" borderId="19" xfId="0" applyNumberForma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8" fillId="9" borderId="20" xfId="3" applyBorder="1" applyAlignment="1">
      <alignment horizontal="center" vertical="center"/>
    </xf>
    <xf numFmtId="0" fontId="28" fillId="9" borderId="31" xfId="3" applyBorder="1" applyAlignment="1">
      <alignment horizontal="center" vertical="center"/>
    </xf>
    <xf numFmtId="0" fontId="28" fillId="9" borderId="48" xfId="3" applyBorder="1" applyAlignment="1">
      <alignment horizontal="center" vertical="center"/>
    </xf>
    <xf numFmtId="0" fontId="20" fillId="15" borderId="82" xfId="0" applyFont="1" applyFill="1" applyBorder="1" applyAlignment="1">
      <alignment horizontal="center" vertical="center"/>
    </xf>
    <xf numFmtId="0" fontId="7" fillId="15" borderId="62" xfId="0" applyFont="1" applyFill="1" applyBorder="1" applyAlignment="1">
      <alignment horizontal="center"/>
    </xf>
    <xf numFmtId="0" fontId="20" fillId="0" borderId="49" xfId="0" applyFont="1" applyBorder="1" applyAlignment="1">
      <alignment horizontal="center" vertical="center"/>
    </xf>
    <xf numFmtId="0" fontId="27" fillId="8" borderId="23" xfId="2" applyBorder="1" applyAlignment="1">
      <alignment vertical="center"/>
    </xf>
    <xf numFmtId="0" fontId="27" fillId="8" borderId="28" xfId="2" applyBorder="1" applyAlignment="1">
      <alignment vertical="center"/>
    </xf>
    <xf numFmtId="0" fontId="3" fillId="0" borderId="29" xfId="0" applyFont="1" applyBorder="1" applyAlignment="1">
      <alignment horizontal="center" vertical="center"/>
    </xf>
    <xf numFmtId="0" fontId="27" fillId="8" borderId="31" xfId="2" applyBorder="1" applyAlignment="1">
      <alignment vertical="center"/>
    </xf>
    <xf numFmtId="0" fontId="27" fillId="8" borderId="48" xfId="2" applyBorder="1" applyAlignment="1">
      <alignment vertical="center"/>
    </xf>
    <xf numFmtId="0" fontId="27" fillId="8" borderId="33" xfId="2" applyBorder="1" applyAlignment="1">
      <alignment vertical="center"/>
    </xf>
    <xf numFmtId="0" fontId="46" fillId="14" borderId="0" xfId="0" applyFont="1" applyFill="1" applyAlignment="1">
      <alignment horizontal="center" vertical="center"/>
    </xf>
    <xf numFmtId="0" fontId="0" fillId="0" borderId="10" xfId="0" applyBorder="1" applyAlignment="1">
      <alignment horizontal="right"/>
    </xf>
    <xf numFmtId="0" fontId="0" fillId="0" borderId="0" xfId="0" applyAlignment="1">
      <alignment horizontal="left" indent="1"/>
    </xf>
    <xf numFmtId="0" fontId="48" fillId="11" borderId="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0" borderId="31" xfId="0" applyFont="1" applyBorder="1"/>
    <xf numFmtId="0" fontId="3" fillId="0" borderId="48" xfId="0" applyFont="1" applyBorder="1"/>
    <xf numFmtId="165" fontId="3" fillId="0" borderId="33" xfId="0" applyNumberFormat="1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26" fillId="0" borderId="5" xfId="0" applyFont="1" applyBorder="1" applyAlignment="1">
      <alignment horizontal="right" vertical="center"/>
    </xf>
    <xf numFmtId="0" fontId="0" fillId="16" borderId="0" xfId="0" applyFill="1"/>
    <xf numFmtId="0" fontId="0" fillId="0" borderId="25" xfId="0" applyBorder="1"/>
    <xf numFmtId="0" fontId="2" fillId="0" borderId="25" xfId="0" applyFont="1" applyBorder="1" applyAlignment="1">
      <alignment vertical="center"/>
    </xf>
    <xf numFmtId="0" fontId="0" fillId="0" borderId="19" xfId="0" applyBorder="1"/>
    <xf numFmtId="0" fontId="0" fillId="0" borderId="15" xfId="0" applyBorder="1"/>
    <xf numFmtId="0" fontId="0" fillId="0" borderId="20" xfId="0" applyBorder="1"/>
    <xf numFmtId="0" fontId="30" fillId="13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vertical="center" wrapText="1"/>
    </xf>
    <xf numFmtId="0" fontId="36" fillId="0" borderId="0" xfId="0" applyFont="1" applyAlignment="1">
      <alignment vertical="center" wrapText="1"/>
    </xf>
    <xf numFmtId="0" fontId="60" fillId="0" borderId="0" xfId="5"/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indent="1"/>
    </xf>
    <xf numFmtId="0" fontId="0" fillId="7" borderId="1" xfId="0" applyFill="1" applyBorder="1"/>
    <xf numFmtId="0" fontId="26" fillId="7" borderId="0" xfId="0" applyFont="1" applyFill="1" applyAlignment="1">
      <alignment vertical="center"/>
    </xf>
    <xf numFmtId="0" fontId="62" fillId="7" borderId="0" xfId="0" applyFont="1" applyFill="1"/>
    <xf numFmtId="0" fontId="61" fillId="7" borderId="0" xfId="0" applyFont="1" applyFill="1"/>
    <xf numFmtId="0" fontId="26" fillId="7" borderId="0" xfId="0" applyFont="1" applyFill="1"/>
    <xf numFmtId="0" fontId="62" fillId="11" borderId="1" xfId="0" applyFont="1" applyFill="1" applyBorder="1" applyAlignment="1">
      <alignment horizontal="center" vertical="center"/>
    </xf>
    <xf numFmtId="0" fontId="61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5" fillId="0" borderId="0" xfId="0" applyFont="1" applyAlignment="1">
      <alignment vertical="top" wrapText="1"/>
    </xf>
    <xf numFmtId="0" fontId="4" fillId="0" borderId="27" xfId="0" applyFont="1" applyBorder="1" applyAlignment="1">
      <alignment vertical="top"/>
    </xf>
    <xf numFmtId="0" fontId="30" fillId="4" borderId="49" xfId="0" applyFont="1" applyFill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164" fontId="0" fillId="0" borderId="55" xfId="0" applyNumberFormat="1" applyBorder="1" applyAlignment="1">
      <alignment horizontal="center" vertical="center"/>
    </xf>
    <xf numFmtId="0" fontId="3" fillId="11" borderId="47" xfId="0" applyFont="1" applyFill="1" applyBorder="1" applyAlignment="1">
      <alignment horizontal="center" vertical="center"/>
    </xf>
    <xf numFmtId="0" fontId="3" fillId="11" borderId="50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65" fillId="0" borderId="0" xfId="0" applyFont="1" applyAlignment="1">
      <alignment vertical="top"/>
    </xf>
    <xf numFmtId="165" fontId="26" fillId="11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32" xfId="0" applyFont="1" applyFill="1" applyBorder="1" applyAlignment="1">
      <alignment horizontal="center" vertical="center"/>
    </xf>
    <xf numFmtId="0" fontId="26" fillId="11" borderId="48" xfId="0" applyFont="1" applyFill="1" applyBorder="1" applyAlignment="1">
      <alignment horizontal="center" vertical="center"/>
    </xf>
    <xf numFmtId="165" fontId="26" fillId="11" borderId="33" xfId="0" applyNumberFormat="1" applyFont="1" applyFill="1" applyBorder="1" applyAlignment="1">
      <alignment horizontal="center" vertical="center"/>
    </xf>
    <xf numFmtId="0" fontId="26" fillId="11" borderId="33" xfId="0" applyFont="1" applyFill="1" applyBorder="1" applyAlignment="1">
      <alignment horizontal="center" vertical="center"/>
    </xf>
    <xf numFmtId="0" fontId="26" fillId="11" borderId="34" xfId="0" applyFont="1" applyFill="1" applyBorder="1" applyAlignment="1">
      <alignment horizontal="center" vertical="center"/>
    </xf>
    <xf numFmtId="0" fontId="0" fillId="0" borderId="24" xfId="0" applyBorder="1" applyAlignment="1">
      <alignment wrapText="1"/>
    </xf>
    <xf numFmtId="0" fontId="0" fillId="0" borderId="0" xfId="0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" xfId="0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7" fillId="11" borderId="15" xfId="0" applyFont="1" applyFill="1" applyBorder="1" applyAlignment="1">
      <alignment horizontal="center"/>
    </xf>
    <xf numFmtId="0" fontId="4" fillId="0" borderId="1" xfId="0" applyFont="1" applyBorder="1" applyAlignment="1">
      <alignment horizontal="left" vertical="center" wrapText="1" indent="1"/>
    </xf>
    <xf numFmtId="0" fontId="0" fillId="0" borderId="1" xfId="0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43" fillId="8" borderId="0" xfId="2" applyFont="1" applyBorder="1" applyAlignment="1">
      <alignment horizontal="center" vertical="center"/>
    </xf>
    <xf numFmtId="0" fontId="9" fillId="11" borderId="15" xfId="0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31" fillId="4" borderId="1" xfId="0" quotePrefix="1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1" fillId="4" borderId="2" xfId="0" quotePrefix="1" applyFont="1" applyFill="1" applyBorder="1" applyAlignment="1">
      <alignment horizontal="center" vertical="center" wrapText="1"/>
    </xf>
    <xf numFmtId="0" fontId="31" fillId="4" borderId="3" xfId="0" quotePrefix="1" applyFont="1" applyFill="1" applyBorder="1" applyAlignment="1">
      <alignment horizontal="center" vertical="center" wrapText="1"/>
    </xf>
    <xf numFmtId="0" fontId="31" fillId="4" borderId="4" xfId="0" quotePrefix="1" applyFont="1" applyFill="1" applyBorder="1" applyAlignment="1">
      <alignment horizontal="center" vertical="center" wrapText="1"/>
    </xf>
    <xf numFmtId="0" fontId="45" fillId="0" borderId="0" xfId="0" applyFont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 wrapText="1"/>
    </xf>
    <xf numFmtId="0" fontId="30" fillId="4" borderId="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55" fillId="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0" fillId="4" borderId="51" xfId="0" applyFont="1" applyFill="1" applyBorder="1" applyAlignment="1">
      <alignment horizontal="center" vertical="center" wrapText="1"/>
    </xf>
    <xf numFmtId="0" fontId="30" fillId="4" borderId="52" xfId="0" applyFont="1" applyFill="1" applyBorder="1" applyAlignment="1">
      <alignment horizontal="center" vertical="center" wrapText="1"/>
    </xf>
    <xf numFmtId="0" fontId="30" fillId="4" borderId="58" xfId="0" applyFont="1" applyFill="1" applyBorder="1" applyAlignment="1">
      <alignment horizontal="center" vertical="center" wrapText="1"/>
    </xf>
    <xf numFmtId="0" fontId="30" fillId="4" borderId="29" xfId="0" applyFont="1" applyFill="1" applyBorder="1" applyAlignment="1">
      <alignment horizontal="center"/>
    </xf>
    <xf numFmtId="0" fontId="30" fillId="4" borderId="28" xfId="0" applyFont="1" applyFill="1" applyBorder="1" applyAlignment="1">
      <alignment horizontal="center"/>
    </xf>
    <xf numFmtId="0" fontId="30" fillId="4" borderId="4" xfId="0" applyFont="1" applyFill="1" applyBorder="1" applyAlignment="1">
      <alignment horizontal="center"/>
    </xf>
    <xf numFmtId="0" fontId="30" fillId="4" borderId="55" xfId="0" applyFont="1" applyFill="1" applyBorder="1" applyAlignment="1">
      <alignment horizontal="center"/>
    </xf>
    <xf numFmtId="0" fontId="30" fillId="4" borderId="33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/>
    </xf>
    <xf numFmtId="0" fontId="30" fillId="4" borderId="32" xfId="0" applyFont="1" applyFill="1" applyBorder="1" applyAlignment="1">
      <alignment horizontal="center" vertical="center" wrapText="1"/>
    </xf>
    <xf numFmtId="0" fontId="39" fillId="0" borderId="21" xfId="0" applyFont="1" applyBorder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1" fillId="4" borderId="33" xfId="0" quotePrefix="1" applyFont="1" applyFill="1" applyBorder="1" applyAlignment="1">
      <alignment horizontal="center" vertical="center" wrapText="1"/>
    </xf>
    <xf numFmtId="0" fontId="35" fillId="0" borderId="15" xfId="0" applyFont="1" applyBorder="1" applyAlignment="1">
      <alignment horizontal="right" vertical="center"/>
    </xf>
    <xf numFmtId="0" fontId="36" fillId="0" borderId="15" xfId="0" applyFont="1" applyBorder="1" applyAlignment="1">
      <alignment horizontal="center"/>
    </xf>
    <xf numFmtId="0" fontId="16" fillId="6" borderId="5" xfId="1" applyBorder="1" applyAlignment="1">
      <alignment horizontal="center" vertical="center"/>
    </xf>
    <xf numFmtId="0" fontId="16" fillId="6" borderId="26" xfId="1" applyBorder="1" applyAlignment="1">
      <alignment horizontal="center" vertical="center"/>
    </xf>
    <xf numFmtId="0" fontId="16" fillId="6" borderId="85" xfId="1" applyBorder="1" applyAlignment="1">
      <alignment horizontal="center" vertical="center"/>
    </xf>
    <xf numFmtId="0" fontId="30" fillId="4" borderId="54" xfId="0" applyFont="1" applyFill="1" applyBorder="1" applyAlignment="1">
      <alignment horizontal="center"/>
    </xf>
    <xf numFmtId="0" fontId="30" fillId="4" borderId="83" xfId="0" applyFont="1" applyFill="1" applyBorder="1" applyAlignment="1">
      <alignment horizontal="center"/>
    </xf>
    <xf numFmtId="0" fontId="30" fillId="4" borderId="84" xfId="0" applyFont="1" applyFill="1" applyBorder="1" applyAlignment="1">
      <alignment horizontal="center"/>
    </xf>
    <xf numFmtId="0" fontId="31" fillId="4" borderId="53" xfId="0" quotePrefix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left" indent="1"/>
    </xf>
    <xf numFmtId="0" fontId="0" fillId="0" borderId="27" xfId="0" applyBorder="1" applyAlignment="1">
      <alignment horizontal="left" indent="1"/>
    </xf>
    <xf numFmtId="0" fontId="30" fillId="4" borderId="31" xfId="0" applyFont="1" applyFill="1" applyBorder="1" applyAlignment="1">
      <alignment horizontal="center" vertical="center" wrapText="1"/>
    </xf>
    <xf numFmtId="0" fontId="30" fillId="4" borderId="48" xfId="0" applyFont="1" applyFill="1" applyBorder="1" applyAlignment="1">
      <alignment horizontal="center" vertical="center" wrapText="1"/>
    </xf>
    <xf numFmtId="0" fontId="30" fillId="4" borderId="3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4" fillId="7" borderId="0" xfId="0" applyFont="1" applyFill="1" applyAlignment="1">
      <alignment horizontal="center" vertical="center"/>
    </xf>
    <xf numFmtId="0" fontId="53" fillId="7" borderId="2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0" borderId="26" xfId="0" applyBorder="1" applyAlignment="1">
      <alignment horizontal="left" indent="1"/>
    </xf>
    <xf numFmtId="0" fontId="51" fillId="4" borderId="36" xfId="0" applyFont="1" applyFill="1" applyBorder="1" applyAlignment="1">
      <alignment horizontal="center" vertical="center"/>
    </xf>
    <xf numFmtId="0" fontId="3" fillId="15" borderId="86" xfId="0" applyFont="1" applyFill="1" applyBorder="1" applyAlignment="1">
      <alignment horizontal="left" vertical="center" indent="1"/>
    </xf>
    <xf numFmtId="0" fontId="3" fillId="15" borderId="87" xfId="0" applyFont="1" applyFill="1" applyBorder="1" applyAlignment="1">
      <alignment horizontal="left" vertical="center" indent="1"/>
    </xf>
    <xf numFmtId="0" fontId="30" fillId="4" borderId="47" xfId="0" applyFont="1" applyFill="1" applyBorder="1" applyAlignment="1">
      <alignment horizontal="center" vertical="center" wrapText="1"/>
    </xf>
    <xf numFmtId="0" fontId="30" fillId="4" borderId="53" xfId="0" applyFont="1" applyFill="1" applyBorder="1" applyAlignment="1">
      <alignment horizontal="center" vertical="center" wrapText="1"/>
    </xf>
    <xf numFmtId="0" fontId="30" fillId="4" borderId="28" xfId="0" applyFont="1" applyFill="1" applyBorder="1" applyAlignment="1">
      <alignment horizontal="center" vertical="center" wrapText="1"/>
    </xf>
    <xf numFmtId="0" fontId="30" fillId="4" borderId="29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25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31" fillId="4" borderId="31" xfId="0" quotePrefix="1" applyFont="1" applyFill="1" applyBorder="1" applyAlignment="1">
      <alignment horizontal="center" vertical="center" wrapText="1"/>
    </xf>
    <xf numFmtId="0" fontId="31" fillId="4" borderId="48" xfId="0" quotePrefix="1" applyFont="1" applyFill="1" applyBorder="1" applyAlignment="1">
      <alignment horizontal="center" vertical="center" wrapText="1"/>
    </xf>
    <xf numFmtId="0" fontId="31" fillId="4" borderId="32" xfId="0" quotePrefix="1" applyFont="1" applyFill="1" applyBorder="1" applyAlignment="1">
      <alignment horizontal="center" vertical="center" wrapText="1"/>
    </xf>
    <xf numFmtId="0" fontId="31" fillId="4" borderId="34" xfId="0" quotePrefix="1" applyFont="1" applyFill="1" applyBorder="1" applyAlignment="1">
      <alignment horizontal="center" vertical="center" wrapText="1"/>
    </xf>
    <xf numFmtId="0" fontId="30" fillId="4" borderId="5" xfId="0" applyFont="1" applyFill="1" applyBorder="1" applyAlignment="1">
      <alignment horizontal="center"/>
    </xf>
    <xf numFmtId="0" fontId="30" fillId="4" borderId="43" xfId="0" applyFont="1" applyFill="1" applyBorder="1" applyAlignment="1">
      <alignment horizontal="center"/>
    </xf>
    <xf numFmtId="0" fontId="30" fillId="4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88" xfId="0" applyFill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6" fillId="17" borderId="0" xfId="0" applyFont="1" applyFill="1" applyAlignment="1">
      <alignment horizontal="center" vertical="center" wrapText="1"/>
    </xf>
    <xf numFmtId="0" fontId="4" fillId="11" borderId="1" xfId="0" applyFont="1" applyFill="1" applyBorder="1" applyAlignment="1">
      <alignment horizontal="left" vertical="center" indent="1"/>
    </xf>
    <xf numFmtId="0" fontId="4" fillId="11" borderId="5" xfId="0" applyFont="1" applyFill="1" applyBorder="1" applyAlignment="1">
      <alignment horizontal="left" vertical="center" indent="1"/>
    </xf>
    <xf numFmtId="0" fontId="4" fillId="11" borderId="26" xfId="0" applyFont="1" applyFill="1" applyBorder="1" applyAlignment="1">
      <alignment horizontal="left" vertical="center" indent="1"/>
    </xf>
    <xf numFmtId="0" fontId="4" fillId="11" borderId="27" xfId="0" applyFont="1" applyFill="1" applyBorder="1" applyAlignment="1">
      <alignment horizontal="left" vertical="center" indent="1"/>
    </xf>
    <xf numFmtId="0" fontId="30" fillId="4" borderId="3" xfId="0" applyFont="1" applyFill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0" fontId="31" fillId="4" borderId="21" xfId="0" quotePrefix="1" applyFont="1" applyFill="1" applyBorder="1" applyAlignment="1">
      <alignment horizontal="center" vertical="center" wrapText="1"/>
    </xf>
    <xf numFmtId="0" fontId="31" fillId="4" borderId="23" xfId="0" quotePrefix="1" applyFont="1" applyFill="1" applyBorder="1" applyAlignment="1">
      <alignment horizontal="center" vertical="center" wrapText="1"/>
    </xf>
    <xf numFmtId="0" fontId="31" fillId="4" borderId="24" xfId="0" quotePrefix="1" applyFont="1" applyFill="1" applyBorder="1" applyAlignment="1">
      <alignment horizontal="center" vertical="center" wrapText="1"/>
    </xf>
    <xf numFmtId="0" fontId="31" fillId="4" borderId="25" xfId="0" quotePrefix="1" applyFont="1" applyFill="1" applyBorder="1" applyAlignment="1">
      <alignment horizontal="center" vertical="center" wrapText="1"/>
    </xf>
    <xf numFmtId="0" fontId="31" fillId="4" borderId="85" xfId="0" quotePrefix="1" applyFont="1" applyFill="1" applyBorder="1" applyAlignment="1">
      <alignment horizontal="center" vertical="center" wrapText="1"/>
    </xf>
    <xf numFmtId="0" fontId="31" fillId="4" borderId="89" xfId="0" quotePrefix="1" applyFont="1" applyFill="1" applyBorder="1" applyAlignment="1">
      <alignment horizontal="center" vertical="center" wrapText="1"/>
    </xf>
    <xf numFmtId="0" fontId="30" fillId="4" borderId="2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 wrapText="1"/>
    </xf>
    <xf numFmtId="0" fontId="30" fillId="4" borderId="24" xfId="0" applyFont="1" applyFill="1" applyBorder="1" applyAlignment="1">
      <alignment horizontal="center" vertical="center" wrapText="1"/>
    </xf>
    <xf numFmtId="0" fontId="30" fillId="4" borderId="54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/>
    </xf>
    <xf numFmtId="0" fontId="4" fillId="0" borderId="37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 indent="1"/>
    </xf>
    <xf numFmtId="0" fontId="0" fillId="5" borderId="0" xfId="0" applyFill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0" fontId="0" fillId="7" borderId="23" xfId="0" applyFill="1" applyBorder="1" applyAlignment="1">
      <alignment horizontal="center" vertical="center" wrapText="1"/>
    </xf>
    <xf numFmtId="0" fontId="0" fillId="7" borderId="24" xfId="0" applyFill="1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 wrapText="1"/>
    </xf>
    <xf numFmtId="0" fontId="0" fillId="7" borderId="20" xfId="0" applyFill="1" applyBorder="1" applyAlignment="1">
      <alignment horizontal="center" vertical="center" wrapText="1"/>
    </xf>
    <xf numFmtId="0" fontId="0" fillId="12" borderId="0" xfId="0" applyFill="1" applyAlignment="1">
      <alignment horizontal="center"/>
    </xf>
    <xf numFmtId="0" fontId="7" fillId="11" borderId="0" xfId="0" applyFont="1" applyFill="1" applyAlignment="1">
      <alignment horizontal="center" vertical="center"/>
    </xf>
    <xf numFmtId="0" fontId="0" fillId="7" borderId="5" xfId="0" applyFill="1" applyBorder="1" applyAlignment="1">
      <alignment horizontal="left"/>
    </xf>
    <xf numFmtId="0" fontId="0" fillId="7" borderId="26" xfId="0" applyFill="1" applyBorder="1" applyAlignment="1">
      <alignment horizontal="left"/>
    </xf>
    <xf numFmtId="0" fontId="0" fillId="7" borderId="27" xfId="0" applyFill="1" applyBorder="1" applyAlignment="1">
      <alignment horizontal="left"/>
    </xf>
    <xf numFmtId="165" fontId="3" fillId="11" borderId="1" xfId="0" applyNumberFormat="1" applyFont="1" applyFill="1" applyBorder="1" applyAlignment="1">
      <alignment horizontal="center" vertical="center"/>
    </xf>
    <xf numFmtId="0" fontId="26" fillId="11" borderId="5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7" borderId="0" xfId="0" applyFont="1" applyFill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6" fillId="3" borderId="21" xfId="0" applyFont="1" applyFill="1" applyBorder="1" applyAlignment="1">
      <alignment horizontal="center"/>
    </xf>
    <xf numFmtId="0" fontId="6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right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3" xfId="0" applyFont="1" applyFill="1" applyBorder="1" applyAlignment="1">
      <alignment horizontal="left" vertical="center"/>
    </xf>
    <xf numFmtId="0" fontId="0" fillId="7" borderId="65" xfId="0" applyFill="1" applyBorder="1" applyAlignment="1">
      <alignment horizontal="center" vertical="center" wrapText="1"/>
    </xf>
    <xf numFmtId="0" fontId="0" fillId="7" borderId="66" xfId="0" applyFill="1" applyBorder="1" applyAlignment="1">
      <alignment horizontal="center" vertical="center" wrapText="1"/>
    </xf>
    <xf numFmtId="0" fontId="0" fillId="7" borderId="67" xfId="0" applyFill="1" applyBorder="1" applyAlignment="1">
      <alignment horizontal="center" vertical="center" wrapText="1"/>
    </xf>
    <xf numFmtId="0" fontId="26" fillId="11" borderId="5" xfId="0" applyFont="1" applyFill="1" applyBorder="1" applyAlignment="1">
      <alignment horizontal="center"/>
    </xf>
    <xf numFmtId="0" fontId="26" fillId="11" borderId="26" xfId="0" applyFont="1" applyFill="1" applyBorder="1" applyAlignment="1">
      <alignment horizontal="center"/>
    </xf>
    <xf numFmtId="0" fontId="26" fillId="11" borderId="27" xfId="0" applyFont="1" applyFill="1" applyBorder="1" applyAlignment="1">
      <alignment horizontal="center"/>
    </xf>
    <xf numFmtId="0" fontId="0" fillId="7" borderId="0" xfId="0" applyFill="1" applyAlignment="1">
      <alignment horizontal="left" vertical="center" indent="2"/>
    </xf>
    <xf numFmtId="0" fontId="0" fillId="13" borderId="9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13" borderId="6" xfId="0" applyFill="1" applyBorder="1" applyAlignment="1">
      <alignment horizontal="right" vertical="center" indent="1"/>
    </xf>
    <xf numFmtId="0" fontId="0" fillId="13" borderId="7" xfId="0" applyFill="1" applyBorder="1" applyAlignment="1">
      <alignment horizontal="right" vertical="center" indent="1"/>
    </xf>
    <xf numFmtId="0" fontId="0" fillId="13" borderId="8" xfId="0" applyFill="1" applyBorder="1" applyAlignment="1">
      <alignment horizontal="right" vertical="center" indent="1"/>
    </xf>
    <xf numFmtId="0" fontId="0" fillId="13" borderId="68" xfId="0" applyFill="1" applyBorder="1" applyAlignment="1">
      <alignment horizontal="right" vertical="center" indent="1"/>
    </xf>
    <xf numFmtId="0" fontId="15" fillId="13" borderId="2" xfId="0" applyFont="1" applyFill="1" applyBorder="1" applyAlignment="1">
      <alignment horizontal="center" vertical="center" wrapText="1"/>
    </xf>
    <xf numFmtId="0" fontId="15" fillId="13" borderId="3" xfId="0" applyFont="1" applyFill="1" applyBorder="1" applyAlignment="1">
      <alignment horizontal="center" vertical="center" wrapText="1"/>
    </xf>
    <xf numFmtId="0" fontId="15" fillId="13" borderId="4" xfId="0" applyFont="1" applyFill="1" applyBorder="1" applyAlignment="1">
      <alignment horizontal="center" vertical="center" wrapText="1"/>
    </xf>
    <xf numFmtId="0" fontId="0" fillId="13" borderId="12" xfId="0" applyFill="1" applyBorder="1" applyAlignment="1">
      <alignment horizontal="right" vertical="center" indent="1"/>
    </xf>
    <xf numFmtId="0" fontId="0" fillId="13" borderId="13" xfId="0" applyFill="1" applyBorder="1" applyAlignment="1">
      <alignment horizontal="right" vertical="center" indent="1"/>
    </xf>
    <xf numFmtId="0" fontId="0" fillId="13" borderId="14" xfId="0" applyFill="1" applyBorder="1" applyAlignment="1">
      <alignment horizontal="right" vertical="center" indent="1"/>
    </xf>
    <xf numFmtId="0" fontId="15" fillId="13" borderId="59" xfId="0" applyFont="1" applyFill="1" applyBorder="1" applyAlignment="1">
      <alignment horizontal="center" vertical="center"/>
    </xf>
    <xf numFmtId="0" fontId="15" fillId="13" borderId="60" xfId="0" applyFont="1" applyFill="1" applyBorder="1" applyAlignment="1">
      <alignment horizontal="center" vertical="center"/>
    </xf>
    <xf numFmtId="0" fontId="15" fillId="13" borderId="61" xfId="0" applyFont="1" applyFill="1" applyBorder="1" applyAlignment="1">
      <alignment horizontal="center" vertical="center"/>
    </xf>
    <xf numFmtId="0" fontId="0" fillId="13" borderId="9" xfId="0" applyFill="1" applyBorder="1" applyAlignment="1">
      <alignment horizontal="right" vertical="center" indent="1"/>
    </xf>
    <xf numFmtId="0" fontId="0" fillId="13" borderId="10" xfId="0" applyFill="1" applyBorder="1" applyAlignment="1">
      <alignment horizontal="right" vertical="center" indent="1"/>
    </xf>
    <xf numFmtId="0" fontId="0" fillId="13" borderId="11" xfId="0" applyFill="1" applyBorder="1" applyAlignment="1">
      <alignment horizontal="right" vertical="center" indent="1"/>
    </xf>
    <xf numFmtId="0" fontId="0" fillId="7" borderId="15" xfId="0" applyFill="1" applyBorder="1" applyAlignment="1">
      <alignment horizontal="left" vertical="center" indent="1"/>
    </xf>
    <xf numFmtId="0" fontId="0" fillId="13" borderId="1" xfId="0" applyFill="1" applyBorder="1" applyAlignment="1">
      <alignment horizontal="center"/>
    </xf>
    <xf numFmtId="0" fontId="15" fillId="13" borderId="59" xfId="0" applyFont="1" applyFill="1" applyBorder="1" applyAlignment="1">
      <alignment horizontal="center" vertical="center" wrapText="1"/>
    </xf>
    <xf numFmtId="0" fontId="15" fillId="13" borderId="60" xfId="0" applyFont="1" applyFill="1" applyBorder="1" applyAlignment="1">
      <alignment horizontal="center" vertical="center" wrapText="1"/>
    </xf>
    <xf numFmtId="0" fontId="15" fillId="13" borderId="61" xfId="0" applyFont="1" applyFill="1" applyBorder="1" applyAlignment="1">
      <alignment horizontal="center" vertical="center" wrapText="1"/>
    </xf>
    <xf numFmtId="0" fontId="49" fillId="4" borderId="24" xfId="0" applyFont="1" applyFill="1" applyBorder="1" applyAlignment="1">
      <alignment horizontal="center" vertical="center"/>
    </xf>
    <xf numFmtId="0" fontId="49" fillId="4" borderId="0" xfId="0" applyFont="1" applyFill="1" applyAlignment="1">
      <alignment horizontal="center" vertical="center"/>
    </xf>
    <xf numFmtId="0" fontId="49" fillId="4" borderId="25" xfId="0" applyFont="1" applyFill="1" applyBorder="1" applyAlignment="1">
      <alignment horizontal="center" vertical="center"/>
    </xf>
    <xf numFmtId="0" fontId="49" fillId="4" borderId="19" xfId="0" applyFont="1" applyFill="1" applyBorder="1" applyAlignment="1">
      <alignment horizontal="center" vertical="center"/>
    </xf>
    <xf numFmtId="0" fontId="49" fillId="4" borderId="15" xfId="0" applyFont="1" applyFill="1" applyBorder="1" applyAlignment="1">
      <alignment horizontal="center" vertical="center"/>
    </xf>
    <xf numFmtId="0" fontId="49" fillId="4" borderId="20" xfId="0" applyFont="1" applyFill="1" applyBorder="1" applyAlignment="1">
      <alignment horizontal="center" vertical="center"/>
    </xf>
    <xf numFmtId="0" fontId="47" fillId="5" borderId="21" xfId="0" applyFont="1" applyFill="1" applyBorder="1" applyAlignment="1">
      <alignment horizontal="center" vertical="center"/>
    </xf>
    <xf numFmtId="0" fontId="47" fillId="5" borderId="22" xfId="0" applyFont="1" applyFill="1" applyBorder="1" applyAlignment="1">
      <alignment horizontal="center" vertical="center"/>
    </xf>
    <xf numFmtId="0" fontId="47" fillId="5" borderId="23" xfId="0" applyFont="1" applyFill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47" fillId="5" borderId="15" xfId="0" applyFont="1" applyFill="1" applyBorder="1" applyAlignment="1">
      <alignment horizontal="center" vertical="center"/>
    </xf>
    <xf numFmtId="0" fontId="47" fillId="5" borderId="20" xfId="0" applyFont="1" applyFill="1" applyBorder="1" applyAlignment="1">
      <alignment horizontal="center" vertical="center"/>
    </xf>
    <xf numFmtId="0" fontId="49" fillId="4" borderId="21" xfId="0" applyFont="1" applyFill="1" applyBorder="1" applyAlignment="1">
      <alignment horizontal="center" vertical="center"/>
    </xf>
    <xf numFmtId="0" fontId="49" fillId="4" borderId="23" xfId="0" applyFont="1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 wrapText="1"/>
    </xf>
    <xf numFmtId="0" fontId="30" fillId="13" borderId="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indent="1"/>
    </xf>
    <xf numFmtId="0" fontId="50" fillId="13" borderId="21" xfId="0" applyFont="1" applyFill="1" applyBorder="1" applyAlignment="1">
      <alignment horizontal="center" vertical="center" wrapText="1"/>
    </xf>
    <xf numFmtId="0" fontId="50" fillId="13" borderId="22" xfId="0" applyFont="1" applyFill="1" applyBorder="1" applyAlignment="1">
      <alignment horizontal="center" vertical="center" wrapText="1"/>
    </xf>
    <xf numFmtId="0" fontId="50" fillId="13" borderId="23" xfId="0" applyFont="1" applyFill="1" applyBorder="1" applyAlignment="1">
      <alignment horizontal="center" vertical="center" wrapText="1"/>
    </xf>
    <xf numFmtId="0" fontId="50" fillId="13" borderId="19" xfId="0" applyFont="1" applyFill="1" applyBorder="1" applyAlignment="1">
      <alignment horizontal="center" vertical="center" wrapText="1"/>
    </xf>
    <xf numFmtId="0" fontId="50" fillId="13" borderId="15" xfId="0" applyFont="1" applyFill="1" applyBorder="1" applyAlignment="1">
      <alignment horizontal="center" vertical="center" wrapText="1"/>
    </xf>
    <xf numFmtId="0" fontId="50" fillId="13" borderId="20" xfId="0" applyFont="1" applyFill="1" applyBorder="1" applyAlignment="1">
      <alignment horizontal="center" vertical="center" wrapText="1"/>
    </xf>
    <xf numFmtId="0" fontId="51" fillId="13" borderId="1" xfId="0" applyFont="1" applyFill="1" applyBorder="1" applyAlignment="1">
      <alignment horizontal="center" vertical="center"/>
    </xf>
    <xf numFmtId="0" fontId="30" fillId="13" borderId="21" xfId="0" applyFont="1" applyFill="1" applyBorder="1" applyAlignment="1">
      <alignment horizontal="center" vertical="center" wrapText="1"/>
    </xf>
    <xf numFmtId="0" fontId="30" fillId="13" borderId="23" xfId="0" applyFont="1" applyFill="1" applyBorder="1" applyAlignment="1">
      <alignment horizontal="center" vertical="center" wrapText="1"/>
    </xf>
    <xf numFmtId="0" fontId="30" fillId="13" borderId="24" xfId="0" applyFont="1" applyFill="1" applyBorder="1" applyAlignment="1">
      <alignment horizontal="center" vertical="center" wrapText="1"/>
    </xf>
    <xf numFmtId="0" fontId="30" fillId="13" borderId="25" xfId="0" applyFont="1" applyFill="1" applyBorder="1" applyAlignment="1">
      <alignment horizontal="center" vertical="center" wrapText="1"/>
    </xf>
    <xf numFmtId="0" fontId="30" fillId="13" borderId="19" xfId="0" applyFont="1" applyFill="1" applyBorder="1" applyAlignment="1">
      <alignment horizontal="center" vertical="center" wrapText="1"/>
    </xf>
    <xf numFmtId="0" fontId="30" fillId="13" borderId="20" xfId="0" applyFont="1" applyFill="1" applyBorder="1" applyAlignment="1">
      <alignment horizontal="center" vertical="center" wrapText="1"/>
    </xf>
    <xf numFmtId="0" fontId="59" fillId="0" borderId="24" xfId="0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</cellXfs>
  <cellStyles count="6">
    <cellStyle name="Good" xfId="2" builtinId="26"/>
    <cellStyle name="Hyperlink" xfId="5" builtinId="8"/>
    <cellStyle name="Input" xfId="1" builtinId="20"/>
    <cellStyle name="Neutral" xfId="3" builtinId="28"/>
    <cellStyle name="Normal" xfId="0" builtinId="0"/>
    <cellStyle name="Percent" xfId="4" builtinId="5"/>
  </cellStyles>
  <dxfs count="24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00CC"/>
      <color rgb="FFFF00FF"/>
      <color rgb="FFCC00CC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41413</xdr:colOff>
      <xdr:row>31</xdr:row>
      <xdr:rowOff>162148</xdr:rowOff>
    </xdr:from>
    <xdr:to>
      <xdr:col>21</xdr:col>
      <xdr:colOff>350420</xdr:colOff>
      <xdr:row>33</xdr:row>
      <xdr:rowOff>184129</xdr:rowOff>
    </xdr:to>
    <xdr:sp macro="[0]!MirrorVKDH1Beam" textlink="">
      <xdr:nvSpPr>
        <xdr:cNvPr id="2" name="Rectangle 1">
          <a:extLst>
            <a:ext uri="{FF2B5EF4-FFF2-40B4-BE49-F238E27FC236}">
              <a16:creationId xmlns:a16="http://schemas.microsoft.com/office/drawing/2014/main" id="{F6260DC0-E20F-6A42-9DDD-043ADFC29725}"/>
            </a:ext>
          </a:extLst>
        </xdr:cNvPr>
        <xdr:cNvSpPr/>
      </xdr:nvSpPr>
      <xdr:spPr>
        <a:xfrm>
          <a:off x="11570804" y="4361431"/>
          <a:ext cx="1601094" cy="40298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MIRROW</a:t>
          </a:r>
          <a:r>
            <a:rPr lang="en-US" sz="2000" baseline="0"/>
            <a:t> KÈO</a:t>
          </a:r>
          <a:endParaRPr lang="en-US" sz="2000"/>
        </a:p>
      </xdr:txBody>
    </xdr:sp>
    <xdr:clientData/>
  </xdr:twoCellAnchor>
  <xdr:twoCellAnchor editAs="oneCell">
    <xdr:from>
      <xdr:col>15</xdr:col>
      <xdr:colOff>367970</xdr:colOff>
      <xdr:row>5</xdr:row>
      <xdr:rowOff>43963</xdr:rowOff>
    </xdr:from>
    <xdr:to>
      <xdr:col>23</xdr:col>
      <xdr:colOff>226871</xdr:colOff>
      <xdr:row>22</xdr:row>
      <xdr:rowOff>29309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4310D6-FC0D-4B9F-576F-CF76B65A1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4335" y="996463"/>
          <a:ext cx="4943786" cy="1509346"/>
        </a:xfrm>
        <a:prstGeom prst="rect">
          <a:avLst/>
        </a:prstGeom>
      </xdr:spPr>
    </xdr:pic>
    <xdr:clientData/>
  </xdr:twoCellAnchor>
  <xdr:twoCellAnchor>
    <xdr:from>
      <xdr:col>19</xdr:col>
      <xdr:colOff>34086</xdr:colOff>
      <xdr:row>35</xdr:row>
      <xdr:rowOff>111497</xdr:rowOff>
    </xdr:from>
    <xdr:to>
      <xdr:col>21</xdr:col>
      <xdr:colOff>343093</xdr:colOff>
      <xdr:row>43</xdr:row>
      <xdr:rowOff>152400</xdr:rowOff>
    </xdr:to>
    <xdr:sp macro="[0]!MirrorVKDH1Col" textlink="">
      <xdr:nvSpPr>
        <xdr:cNvPr id="5" name="Rectangle 4">
          <a:extLst>
            <a:ext uri="{FF2B5EF4-FFF2-40B4-BE49-F238E27FC236}">
              <a16:creationId xmlns:a16="http://schemas.microsoft.com/office/drawing/2014/main" id="{08E8B496-F4D1-4AC0-A454-12B540050444}"/>
            </a:ext>
          </a:extLst>
        </xdr:cNvPr>
        <xdr:cNvSpPr/>
      </xdr:nvSpPr>
      <xdr:spPr>
        <a:xfrm>
          <a:off x="11521236" y="5074022"/>
          <a:ext cx="1604407" cy="4219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MIRROW</a:t>
          </a:r>
          <a:r>
            <a:rPr lang="en-US" sz="2000" baseline="0"/>
            <a:t> CỘT</a:t>
          </a:r>
          <a:endParaRPr lang="en-US" sz="2000"/>
        </a:p>
      </xdr:txBody>
    </xdr:sp>
    <xdr:clientData/>
  </xdr:twoCellAnchor>
  <xdr:twoCellAnchor>
    <xdr:from>
      <xdr:col>26</xdr:col>
      <xdr:colOff>182217</xdr:colOff>
      <xdr:row>27</xdr:row>
      <xdr:rowOff>190502</xdr:rowOff>
    </xdr:from>
    <xdr:to>
      <xdr:col>31</xdr:col>
      <xdr:colOff>66261</xdr:colOff>
      <xdr:row>30</xdr:row>
      <xdr:rowOff>8283</xdr:rowOff>
    </xdr:to>
    <xdr:sp macro="[0]!GanThongTinVKDH1" textlink="">
      <xdr:nvSpPr>
        <xdr:cNvPr id="6" name="Rectangle 5">
          <a:extLst>
            <a:ext uri="{FF2B5EF4-FFF2-40B4-BE49-F238E27FC236}">
              <a16:creationId xmlns:a16="http://schemas.microsoft.com/office/drawing/2014/main" id="{B7F70510-0EB7-458C-8FDF-D7B45FC74DF0}"/>
            </a:ext>
          </a:extLst>
        </xdr:cNvPr>
        <xdr:cNvSpPr/>
      </xdr:nvSpPr>
      <xdr:spPr>
        <a:xfrm>
          <a:off x="15968869" y="3619502"/>
          <a:ext cx="2451653" cy="39756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Nhập</a:t>
          </a:r>
          <a:r>
            <a:rPr lang="en-US" sz="2000" baseline="0"/>
            <a:t> nhanh &gt;&gt;&gt;</a:t>
          </a:r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238251</xdr:colOff>
      <xdr:row>45</xdr:row>
      <xdr:rowOff>182921</xdr:rowOff>
    </xdr:from>
    <xdr:to>
      <xdr:col>23</xdr:col>
      <xdr:colOff>326427</xdr:colOff>
      <xdr:row>49</xdr:row>
      <xdr:rowOff>45225</xdr:rowOff>
    </xdr:to>
    <xdr:sp macro="[0]!MirrorVKDH2" textlink="">
      <xdr:nvSpPr>
        <xdr:cNvPr id="2" name="Rectangle 1">
          <a:extLst>
            <a:ext uri="{FF2B5EF4-FFF2-40B4-BE49-F238E27FC236}">
              <a16:creationId xmlns:a16="http://schemas.microsoft.com/office/drawing/2014/main" id="{C245A2A9-4A8E-4D8C-96B6-A5EF2A4D0BAA}"/>
            </a:ext>
          </a:extLst>
        </xdr:cNvPr>
        <xdr:cNvSpPr/>
      </xdr:nvSpPr>
      <xdr:spPr>
        <a:xfrm>
          <a:off x="12115193" y="5538902"/>
          <a:ext cx="2022484" cy="62430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NÚT</a:t>
          </a:r>
          <a:r>
            <a:rPr lang="en-US" sz="1100" baseline="0"/>
            <a:t> CÓ CHỨC NĂNG MIRROR</a:t>
          </a:r>
        </a:p>
        <a:p>
          <a:pPr algn="l"/>
          <a:r>
            <a:rPr lang="en-US" sz="1100" baseline="0"/>
            <a:t>(NHẬP DỮ LIỆU KÈO TRÁI, THÌ BÊN PHẢI UPDATE THEO)</a:t>
          </a:r>
          <a:endParaRPr lang="en-US" sz="1100"/>
        </a:p>
      </xdr:txBody>
    </xdr:sp>
    <xdr:clientData/>
  </xdr:twoCellAnchor>
  <xdr:twoCellAnchor>
    <xdr:from>
      <xdr:col>0</xdr:col>
      <xdr:colOff>153866</xdr:colOff>
      <xdr:row>54</xdr:row>
      <xdr:rowOff>21981</xdr:rowOff>
    </xdr:from>
    <xdr:to>
      <xdr:col>2</xdr:col>
      <xdr:colOff>64771</xdr:colOff>
      <xdr:row>55</xdr:row>
      <xdr:rowOff>151521</xdr:rowOff>
    </xdr:to>
    <xdr:sp macro="[0]!VKDH2_Col_2" textlink="">
      <xdr:nvSpPr>
        <xdr:cNvPr id="3" name="Rectangle 2">
          <a:extLst>
            <a:ext uri="{FF2B5EF4-FFF2-40B4-BE49-F238E27FC236}">
              <a16:creationId xmlns:a16="http://schemas.microsoft.com/office/drawing/2014/main" id="{8603D068-3009-4403-9094-A35923FF3856}"/>
            </a:ext>
          </a:extLst>
        </xdr:cNvPr>
        <xdr:cNvSpPr/>
      </xdr:nvSpPr>
      <xdr:spPr>
        <a:xfrm>
          <a:off x="153866" y="6909289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3</xdr:col>
      <xdr:colOff>395656</xdr:colOff>
      <xdr:row>54</xdr:row>
      <xdr:rowOff>29307</xdr:rowOff>
    </xdr:from>
    <xdr:to>
      <xdr:col>4</xdr:col>
      <xdr:colOff>519041</xdr:colOff>
      <xdr:row>55</xdr:row>
      <xdr:rowOff>158847</xdr:rowOff>
    </xdr:to>
    <xdr:sp macro="[0]!VKDH2_Col_4" textlink="">
      <xdr:nvSpPr>
        <xdr:cNvPr id="4" name="Rectangle 3">
          <a:extLst>
            <a:ext uri="{FF2B5EF4-FFF2-40B4-BE49-F238E27FC236}">
              <a16:creationId xmlns:a16="http://schemas.microsoft.com/office/drawing/2014/main" id="{CCD609F7-C289-41C8-BA8D-E8559263D5BD}"/>
            </a:ext>
          </a:extLst>
        </xdr:cNvPr>
        <xdr:cNvSpPr/>
      </xdr:nvSpPr>
      <xdr:spPr>
        <a:xfrm>
          <a:off x="1824406" y="6916615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4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6</xdr:col>
      <xdr:colOff>344362</xdr:colOff>
      <xdr:row>54</xdr:row>
      <xdr:rowOff>29308</xdr:rowOff>
    </xdr:from>
    <xdr:to>
      <xdr:col>7</xdr:col>
      <xdr:colOff>586153</xdr:colOff>
      <xdr:row>55</xdr:row>
      <xdr:rowOff>158848</xdr:rowOff>
    </xdr:to>
    <xdr:sp macro="[0]!VKDH2_Col_6" textlink="">
      <xdr:nvSpPr>
        <xdr:cNvPr id="5" name="Rectangle 4">
          <a:extLst>
            <a:ext uri="{FF2B5EF4-FFF2-40B4-BE49-F238E27FC236}">
              <a16:creationId xmlns:a16="http://schemas.microsoft.com/office/drawing/2014/main" id="{64FD3821-6467-4EF2-BDF2-343EB19CFFDF}"/>
            </a:ext>
          </a:extLst>
        </xdr:cNvPr>
        <xdr:cNvSpPr/>
      </xdr:nvSpPr>
      <xdr:spPr>
        <a:xfrm>
          <a:off x="3597516" y="6916616"/>
          <a:ext cx="849925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6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2</xdr:col>
      <xdr:colOff>168518</xdr:colOff>
      <xdr:row>56</xdr:row>
      <xdr:rowOff>65943</xdr:rowOff>
    </xdr:from>
    <xdr:to>
      <xdr:col>3</xdr:col>
      <xdr:colOff>291903</xdr:colOff>
      <xdr:row>58</xdr:row>
      <xdr:rowOff>4983</xdr:rowOff>
    </xdr:to>
    <xdr:sp macro="[0]!VKDH2_Col_8" textlink="">
      <xdr:nvSpPr>
        <xdr:cNvPr id="6" name="Rectangle 5">
          <a:extLst>
            <a:ext uri="{FF2B5EF4-FFF2-40B4-BE49-F238E27FC236}">
              <a16:creationId xmlns:a16="http://schemas.microsoft.com/office/drawing/2014/main" id="{1A0608DF-9FE4-49FC-BED9-9D8DB94D39C9}"/>
            </a:ext>
          </a:extLst>
        </xdr:cNvPr>
        <xdr:cNvSpPr/>
      </xdr:nvSpPr>
      <xdr:spPr>
        <a:xfrm>
          <a:off x="989133" y="7334251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8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5</xdr:col>
      <xdr:colOff>21979</xdr:colOff>
      <xdr:row>56</xdr:row>
      <xdr:rowOff>80597</xdr:rowOff>
    </xdr:from>
    <xdr:to>
      <xdr:col>6</xdr:col>
      <xdr:colOff>227133</xdr:colOff>
      <xdr:row>58</xdr:row>
      <xdr:rowOff>19637</xdr:rowOff>
    </xdr:to>
    <xdr:sp macro="[0]!VKDH2_Col_10" textlink="">
      <xdr:nvSpPr>
        <xdr:cNvPr id="7" name="Rectangle 6">
          <a:extLst>
            <a:ext uri="{FF2B5EF4-FFF2-40B4-BE49-F238E27FC236}">
              <a16:creationId xmlns:a16="http://schemas.microsoft.com/office/drawing/2014/main" id="{ACD81B9B-EFAA-4B9A-827B-859AC85411DF}"/>
            </a:ext>
          </a:extLst>
        </xdr:cNvPr>
        <xdr:cNvSpPr/>
      </xdr:nvSpPr>
      <xdr:spPr>
        <a:xfrm>
          <a:off x="2666998" y="7348905"/>
          <a:ext cx="813289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10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2</xdr:col>
      <xdr:colOff>168519</xdr:colOff>
      <xdr:row>54</xdr:row>
      <xdr:rowOff>29308</xdr:rowOff>
    </xdr:from>
    <xdr:to>
      <xdr:col>3</xdr:col>
      <xdr:colOff>291904</xdr:colOff>
      <xdr:row>55</xdr:row>
      <xdr:rowOff>158848</xdr:rowOff>
    </xdr:to>
    <xdr:sp macro="[0]!VKDH2_Col_3" textlink="">
      <xdr:nvSpPr>
        <xdr:cNvPr id="8" name="Rectangle 7">
          <a:extLst>
            <a:ext uri="{FF2B5EF4-FFF2-40B4-BE49-F238E27FC236}">
              <a16:creationId xmlns:a16="http://schemas.microsoft.com/office/drawing/2014/main" id="{3EAB9CC1-1630-4622-B186-F1D7DD5BCA99}"/>
            </a:ext>
          </a:extLst>
        </xdr:cNvPr>
        <xdr:cNvSpPr/>
      </xdr:nvSpPr>
      <xdr:spPr>
        <a:xfrm>
          <a:off x="989134" y="6916616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3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5</xdr:col>
      <xdr:colOff>21980</xdr:colOff>
      <xdr:row>54</xdr:row>
      <xdr:rowOff>36634</xdr:rowOff>
    </xdr:from>
    <xdr:to>
      <xdr:col>6</xdr:col>
      <xdr:colOff>234460</xdr:colOff>
      <xdr:row>55</xdr:row>
      <xdr:rowOff>166174</xdr:rowOff>
    </xdr:to>
    <xdr:sp macro="[0]!VKDH2_Col_5" textlink="">
      <xdr:nvSpPr>
        <xdr:cNvPr id="9" name="Rectangle 8">
          <a:extLst>
            <a:ext uri="{FF2B5EF4-FFF2-40B4-BE49-F238E27FC236}">
              <a16:creationId xmlns:a16="http://schemas.microsoft.com/office/drawing/2014/main" id="{CF5637DE-4A70-49AB-83A7-57277535EBB5}"/>
            </a:ext>
          </a:extLst>
        </xdr:cNvPr>
        <xdr:cNvSpPr/>
      </xdr:nvSpPr>
      <xdr:spPr>
        <a:xfrm>
          <a:off x="2666999" y="6923942"/>
          <a:ext cx="820615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5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0</xdr:col>
      <xdr:colOff>139210</xdr:colOff>
      <xdr:row>56</xdr:row>
      <xdr:rowOff>65942</xdr:rowOff>
    </xdr:from>
    <xdr:to>
      <xdr:col>2</xdr:col>
      <xdr:colOff>50115</xdr:colOff>
      <xdr:row>58</xdr:row>
      <xdr:rowOff>4982</xdr:rowOff>
    </xdr:to>
    <xdr:sp macro="[0]!VKDH2_Col_7" textlink="">
      <xdr:nvSpPr>
        <xdr:cNvPr id="10" name="Rectangle 9">
          <a:extLst>
            <a:ext uri="{FF2B5EF4-FFF2-40B4-BE49-F238E27FC236}">
              <a16:creationId xmlns:a16="http://schemas.microsoft.com/office/drawing/2014/main" id="{F83A1949-DEDE-44C0-9695-3AA9BDFF2EEA}"/>
            </a:ext>
          </a:extLst>
        </xdr:cNvPr>
        <xdr:cNvSpPr/>
      </xdr:nvSpPr>
      <xdr:spPr>
        <a:xfrm>
          <a:off x="139210" y="7334250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7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3</xdr:col>
      <xdr:colOff>388328</xdr:colOff>
      <xdr:row>56</xdr:row>
      <xdr:rowOff>87923</xdr:rowOff>
    </xdr:from>
    <xdr:to>
      <xdr:col>4</xdr:col>
      <xdr:colOff>511713</xdr:colOff>
      <xdr:row>58</xdr:row>
      <xdr:rowOff>26963</xdr:rowOff>
    </xdr:to>
    <xdr:sp macro="[0]!VKDH2_Col_9" textlink="">
      <xdr:nvSpPr>
        <xdr:cNvPr id="11" name="Rectangle 10">
          <a:extLst>
            <a:ext uri="{FF2B5EF4-FFF2-40B4-BE49-F238E27FC236}">
              <a16:creationId xmlns:a16="http://schemas.microsoft.com/office/drawing/2014/main" id="{C6F5DAFC-F502-4CA3-9C74-90DD33763AE4}"/>
            </a:ext>
          </a:extLst>
        </xdr:cNvPr>
        <xdr:cNvSpPr/>
      </xdr:nvSpPr>
      <xdr:spPr>
        <a:xfrm>
          <a:off x="1817078" y="7356231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9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6</xdr:col>
      <xdr:colOff>366346</xdr:colOff>
      <xdr:row>56</xdr:row>
      <xdr:rowOff>58615</xdr:rowOff>
    </xdr:from>
    <xdr:to>
      <xdr:col>7</xdr:col>
      <xdr:colOff>571501</xdr:colOff>
      <xdr:row>57</xdr:row>
      <xdr:rowOff>188155</xdr:rowOff>
    </xdr:to>
    <xdr:sp macro="[0]!VKDH2_Col_11" textlink="">
      <xdr:nvSpPr>
        <xdr:cNvPr id="13" name="Rectangle 12">
          <a:extLst>
            <a:ext uri="{FF2B5EF4-FFF2-40B4-BE49-F238E27FC236}">
              <a16:creationId xmlns:a16="http://schemas.microsoft.com/office/drawing/2014/main" id="{D37DF7DF-DAE0-4183-875D-E216755D6ED0}"/>
            </a:ext>
          </a:extLst>
        </xdr:cNvPr>
        <xdr:cNvSpPr/>
      </xdr:nvSpPr>
      <xdr:spPr>
        <a:xfrm>
          <a:off x="3619500" y="7326923"/>
          <a:ext cx="813289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11 CỘT</a:t>
          </a:r>
          <a:r>
            <a:rPr lang="en-US" sz="1600" baseline="0"/>
            <a:t> </a:t>
          </a:r>
          <a:endParaRPr lang="en-US" sz="1600"/>
        </a:p>
      </xdr:txBody>
    </xdr:sp>
    <xdr:clientData/>
  </xdr:twoCellAnchor>
  <xdr:twoCellAnchor>
    <xdr:from>
      <xdr:col>10</xdr:col>
      <xdr:colOff>117230</xdr:colOff>
      <xdr:row>54</xdr:row>
      <xdr:rowOff>87923</xdr:rowOff>
    </xdr:from>
    <xdr:to>
      <xdr:col>11</xdr:col>
      <xdr:colOff>240616</xdr:colOff>
      <xdr:row>56</xdr:row>
      <xdr:rowOff>26963</xdr:rowOff>
    </xdr:to>
    <xdr:sp macro="[0]!VKDH2_Rafter_2" textlink="">
      <xdr:nvSpPr>
        <xdr:cNvPr id="12" name="Rectangle 11">
          <a:extLst>
            <a:ext uri="{FF2B5EF4-FFF2-40B4-BE49-F238E27FC236}">
              <a16:creationId xmlns:a16="http://schemas.microsoft.com/office/drawing/2014/main" id="{DFD20EB7-137F-4616-A6BA-32936BF0DD07}"/>
            </a:ext>
          </a:extLst>
        </xdr:cNvPr>
        <xdr:cNvSpPr/>
      </xdr:nvSpPr>
      <xdr:spPr>
        <a:xfrm>
          <a:off x="5766288" y="7290288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KÈO</a:t>
          </a:r>
        </a:p>
      </xdr:txBody>
    </xdr:sp>
    <xdr:clientData/>
  </xdr:twoCellAnchor>
  <xdr:twoCellAnchor>
    <xdr:from>
      <xdr:col>12</xdr:col>
      <xdr:colOff>58616</xdr:colOff>
      <xdr:row>54</xdr:row>
      <xdr:rowOff>58616</xdr:rowOff>
    </xdr:from>
    <xdr:to>
      <xdr:col>13</xdr:col>
      <xdr:colOff>182001</xdr:colOff>
      <xdr:row>55</xdr:row>
      <xdr:rowOff>188156</xdr:rowOff>
    </xdr:to>
    <xdr:sp macro="[0]!VKDH2_Rafter_4" textlink="">
      <xdr:nvSpPr>
        <xdr:cNvPr id="14" name="Rectangle 13">
          <a:extLst>
            <a:ext uri="{FF2B5EF4-FFF2-40B4-BE49-F238E27FC236}">
              <a16:creationId xmlns:a16="http://schemas.microsoft.com/office/drawing/2014/main" id="{192CDAE1-A710-4281-B340-660BC61E4B6B}"/>
            </a:ext>
          </a:extLst>
        </xdr:cNvPr>
        <xdr:cNvSpPr/>
      </xdr:nvSpPr>
      <xdr:spPr>
        <a:xfrm>
          <a:off x="6923943" y="7260981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4 KÈO</a:t>
          </a:r>
        </a:p>
      </xdr:txBody>
    </xdr:sp>
    <xdr:clientData/>
  </xdr:twoCellAnchor>
  <xdr:twoCellAnchor>
    <xdr:from>
      <xdr:col>14</xdr:col>
      <xdr:colOff>36636</xdr:colOff>
      <xdr:row>54</xdr:row>
      <xdr:rowOff>43961</xdr:rowOff>
    </xdr:from>
    <xdr:to>
      <xdr:col>15</xdr:col>
      <xdr:colOff>160021</xdr:colOff>
      <xdr:row>55</xdr:row>
      <xdr:rowOff>173501</xdr:rowOff>
    </xdr:to>
    <xdr:sp macro="[0]!VKDH2_Rafter_6" textlink="">
      <xdr:nvSpPr>
        <xdr:cNvPr id="15" name="Rectangle 14">
          <a:extLst>
            <a:ext uri="{FF2B5EF4-FFF2-40B4-BE49-F238E27FC236}">
              <a16:creationId xmlns:a16="http://schemas.microsoft.com/office/drawing/2014/main" id="{CB0FC763-4A26-4582-9ED0-511E915D33BF}"/>
            </a:ext>
          </a:extLst>
        </xdr:cNvPr>
        <xdr:cNvSpPr/>
      </xdr:nvSpPr>
      <xdr:spPr>
        <a:xfrm>
          <a:off x="8118232" y="7246326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6 KÈO</a:t>
          </a:r>
        </a:p>
      </xdr:txBody>
    </xdr:sp>
    <xdr:clientData/>
  </xdr:twoCellAnchor>
  <xdr:twoCellAnchor>
    <xdr:from>
      <xdr:col>16</xdr:col>
      <xdr:colOff>43962</xdr:colOff>
      <xdr:row>54</xdr:row>
      <xdr:rowOff>58615</xdr:rowOff>
    </xdr:from>
    <xdr:to>
      <xdr:col>17</xdr:col>
      <xdr:colOff>167347</xdr:colOff>
      <xdr:row>55</xdr:row>
      <xdr:rowOff>188155</xdr:rowOff>
    </xdr:to>
    <xdr:sp macro="[0]!VKDH2_Rafter_8" textlink="">
      <xdr:nvSpPr>
        <xdr:cNvPr id="16" name="Rectangle 15">
          <a:extLst>
            <a:ext uri="{FF2B5EF4-FFF2-40B4-BE49-F238E27FC236}">
              <a16:creationId xmlns:a16="http://schemas.microsoft.com/office/drawing/2014/main" id="{47F35F8F-1025-447D-94EE-C1265468712A}"/>
            </a:ext>
          </a:extLst>
        </xdr:cNvPr>
        <xdr:cNvSpPr/>
      </xdr:nvSpPr>
      <xdr:spPr>
        <a:xfrm>
          <a:off x="9341827" y="7260980"/>
          <a:ext cx="73152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8 KÈO</a:t>
          </a:r>
        </a:p>
      </xdr:txBody>
    </xdr:sp>
    <xdr:clientData/>
  </xdr:twoCellAnchor>
  <xdr:twoCellAnchor>
    <xdr:from>
      <xdr:col>18</xdr:col>
      <xdr:colOff>73268</xdr:colOff>
      <xdr:row>54</xdr:row>
      <xdr:rowOff>51288</xdr:rowOff>
    </xdr:from>
    <xdr:to>
      <xdr:col>19</xdr:col>
      <xdr:colOff>256442</xdr:colOff>
      <xdr:row>55</xdr:row>
      <xdr:rowOff>180828</xdr:rowOff>
    </xdr:to>
    <xdr:sp macro="[0]!VKDH2_Rafter_10" textlink="">
      <xdr:nvSpPr>
        <xdr:cNvPr id="17" name="Rectangle 16">
          <a:extLst>
            <a:ext uri="{FF2B5EF4-FFF2-40B4-BE49-F238E27FC236}">
              <a16:creationId xmlns:a16="http://schemas.microsoft.com/office/drawing/2014/main" id="{EFE9725B-AF1E-408C-B8C3-521EAF632E2D}"/>
            </a:ext>
          </a:extLst>
        </xdr:cNvPr>
        <xdr:cNvSpPr/>
      </xdr:nvSpPr>
      <xdr:spPr>
        <a:xfrm>
          <a:off x="10624037" y="7253653"/>
          <a:ext cx="827943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10 KÈO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467585</xdr:colOff>
      <xdr:row>47</xdr:row>
      <xdr:rowOff>152931</xdr:rowOff>
    </xdr:from>
    <xdr:to>
      <xdr:col>16</xdr:col>
      <xdr:colOff>388759</xdr:colOff>
      <xdr:row>49</xdr:row>
      <xdr:rowOff>109475</xdr:rowOff>
    </xdr:to>
    <xdr:sp macro="[0]!MirrorVK" textlink="">
      <xdr:nvSpPr>
        <xdr:cNvPr id="2" name="Rectangle 1">
          <a:extLst>
            <a:ext uri="{FF2B5EF4-FFF2-40B4-BE49-F238E27FC236}">
              <a16:creationId xmlns:a16="http://schemas.microsoft.com/office/drawing/2014/main" id="{179D1027-D8B3-4BE5-8BEC-522D82088A23}"/>
            </a:ext>
          </a:extLst>
        </xdr:cNvPr>
        <xdr:cNvSpPr/>
      </xdr:nvSpPr>
      <xdr:spPr>
        <a:xfrm>
          <a:off x="8950438" y="5509343"/>
          <a:ext cx="1299497" cy="33754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MIRROW</a:t>
          </a:r>
          <a:r>
            <a:rPr lang="en-US" sz="1600" baseline="0"/>
            <a:t> KÈO</a:t>
          </a:r>
          <a:endParaRPr lang="en-US" sz="1600"/>
        </a:p>
      </xdr:txBody>
    </xdr:sp>
    <xdr:clientData/>
  </xdr:twoCellAnchor>
  <xdr:twoCellAnchor>
    <xdr:from>
      <xdr:col>14</xdr:col>
      <xdr:colOff>458578</xdr:colOff>
      <xdr:row>32</xdr:row>
      <xdr:rowOff>156883</xdr:rowOff>
    </xdr:from>
    <xdr:to>
      <xdr:col>16</xdr:col>
      <xdr:colOff>392635</xdr:colOff>
      <xdr:row>46</xdr:row>
      <xdr:rowOff>113427</xdr:rowOff>
    </xdr:to>
    <xdr:sp macro="[0]!MirrorVKCol" textlink="">
      <xdr:nvSpPr>
        <xdr:cNvPr id="3" name="Rectangle 2">
          <a:extLst>
            <a:ext uri="{FF2B5EF4-FFF2-40B4-BE49-F238E27FC236}">
              <a16:creationId xmlns:a16="http://schemas.microsoft.com/office/drawing/2014/main" id="{197E1E2A-B825-437D-AC1A-3CAFCB751DEB}"/>
            </a:ext>
          </a:extLst>
        </xdr:cNvPr>
        <xdr:cNvSpPr/>
      </xdr:nvSpPr>
      <xdr:spPr>
        <a:xfrm>
          <a:off x="8941431" y="4941795"/>
          <a:ext cx="1312380" cy="33754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MIRROW</a:t>
          </a:r>
          <a:r>
            <a:rPr lang="en-US" sz="1600" baseline="0"/>
            <a:t> CỘT</a:t>
          </a:r>
          <a:endParaRPr lang="en-US" sz="1600"/>
        </a:p>
      </xdr:txBody>
    </xdr:sp>
    <xdr:clientData/>
  </xdr:twoCellAnchor>
  <xdr:twoCellAnchor>
    <xdr:from>
      <xdr:col>1</xdr:col>
      <xdr:colOff>62753</xdr:colOff>
      <xdr:row>53</xdr:row>
      <xdr:rowOff>134471</xdr:rowOff>
    </xdr:from>
    <xdr:to>
      <xdr:col>3</xdr:col>
      <xdr:colOff>322730</xdr:colOff>
      <xdr:row>55</xdr:row>
      <xdr:rowOff>134471</xdr:rowOff>
    </xdr:to>
    <xdr:sp macro="[0]!VK_2_2" textlink="">
      <xdr:nvSpPr>
        <xdr:cNvPr id="4" name="Rectangle 3">
          <a:extLst>
            <a:ext uri="{FF2B5EF4-FFF2-40B4-BE49-F238E27FC236}">
              <a16:creationId xmlns:a16="http://schemas.microsoft.com/office/drawing/2014/main" id="{3DD31867-A791-00F7-3AA7-23F64594C171}"/>
            </a:ext>
          </a:extLst>
        </xdr:cNvPr>
        <xdr:cNvSpPr/>
      </xdr:nvSpPr>
      <xdr:spPr>
        <a:xfrm>
          <a:off x="277906" y="6750424"/>
          <a:ext cx="1515036" cy="358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- 2 KÈO</a:t>
          </a:r>
          <a:endParaRPr lang="en-US" sz="1600"/>
        </a:p>
      </xdr:txBody>
    </xdr:sp>
    <xdr:clientData/>
  </xdr:twoCellAnchor>
  <xdr:twoCellAnchor>
    <xdr:from>
      <xdr:col>3</xdr:col>
      <xdr:colOff>502023</xdr:colOff>
      <xdr:row>53</xdr:row>
      <xdr:rowOff>143435</xdr:rowOff>
    </xdr:from>
    <xdr:to>
      <xdr:col>5</xdr:col>
      <xdr:colOff>762000</xdr:colOff>
      <xdr:row>55</xdr:row>
      <xdr:rowOff>143435</xdr:rowOff>
    </xdr:to>
    <xdr:sp macro="[0]!VK_2_4" textlink="">
      <xdr:nvSpPr>
        <xdr:cNvPr id="5" name="Rectangle 4">
          <a:extLst>
            <a:ext uri="{FF2B5EF4-FFF2-40B4-BE49-F238E27FC236}">
              <a16:creationId xmlns:a16="http://schemas.microsoft.com/office/drawing/2014/main" id="{5F20B76C-0416-4DA9-8BCE-9591EBD3C609}"/>
            </a:ext>
          </a:extLst>
        </xdr:cNvPr>
        <xdr:cNvSpPr/>
      </xdr:nvSpPr>
      <xdr:spPr>
        <a:xfrm>
          <a:off x="1972235" y="6759388"/>
          <a:ext cx="1515036" cy="358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- 4 KÈO</a:t>
          </a:r>
          <a:endParaRPr lang="en-US" sz="1600"/>
        </a:p>
      </xdr:txBody>
    </xdr:sp>
    <xdr:clientData/>
  </xdr:twoCellAnchor>
  <xdr:twoCellAnchor>
    <xdr:from>
      <xdr:col>8</xdr:col>
      <xdr:colOff>537883</xdr:colOff>
      <xdr:row>53</xdr:row>
      <xdr:rowOff>145676</xdr:rowOff>
    </xdr:from>
    <xdr:to>
      <xdr:col>11</xdr:col>
      <xdr:colOff>69477</xdr:colOff>
      <xdr:row>55</xdr:row>
      <xdr:rowOff>145676</xdr:rowOff>
    </xdr:to>
    <xdr:sp macro="[0]!VK_2_6" textlink="">
      <xdr:nvSpPr>
        <xdr:cNvPr id="6" name="Rectangle 5">
          <a:extLst>
            <a:ext uri="{FF2B5EF4-FFF2-40B4-BE49-F238E27FC236}">
              <a16:creationId xmlns:a16="http://schemas.microsoft.com/office/drawing/2014/main" id="{BB2BC241-6A56-4C9F-99B8-56F3FBA2351E}"/>
            </a:ext>
          </a:extLst>
        </xdr:cNvPr>
        <xdr:cNvSpPr/>
      </xdr:nvSpPr>
      <xdr:spPr>
        <a:xfrm>
          <a:off x="5266765" y="6645088"/>
          <a:ext cx="1470212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- 6 KÈO</a:t>
          </a:r>
          <a:endParaRPr lang="en-US" sz="1600"/>
        </a:p>
      </xdr:txBody>
    </xdr:sp>
    <xdr:clientData/>
  </xdr:twoCellAnchor>
  <xdr:twoCellAnchor>
    <xdr:from>
      <xdr:col>14</xdr:col>
      <xdr:colOff>33618</xdr:colOff>
      <xdr:row>53</xdr:row>
      <xdr:rowOff>134471</xdr:rowOff>
    </xdr:from>
    <xdr:to>
      <xdr:col>16</xdr:col>
      <xdr:colOff>125507</xdr:colOff>
      <xdr:row>55</xdr:row>
      <xdr:rowOff>134471</xdr:rowOff>
    </xdr:to>
    <xdr:sp macro="[0]!VK_2_8" textlink="">
      <xdr:nvSpPr>
        <xdr:cNvPr id="7" name="Rectangle 6">
          <a:extLst>
            <a:ext uri="{FF2B5EF4-FFF2-40B4-BE49-F238E27FC236}">
              <a16:creationId xmlns:a16="http://schemas.microsoft.com/office/drawing/2014/main" id="{B3A09830-D60D-4C5C-AB4C-7B0338AAEA24}"/>
            </a:ext>
          </a:extLst>
        </xdr:cNvPr>
        <xdr:cNvSpPr/>
      </xdr:nvSpPr>
      <xdr:spPr>
        <a:xfrm>
          <a:off x="8516471" y="6633883"/>
          <a:ext cx="1470212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- 8 KÈO</a:t>
          </a:r>
          <a:endParaRPr lang="en-US" sz="1600"/>
        </a:p>
      </xdr:txBody>
    </xdr:sp>
    <xdr:clientData/>
  </xdr:twoCellAnchor>
  <xdr:twoCellAnchor>
    <xdr:from>
      <xdr:col>1</xdr:col>
      <xdr:colOff>67236</xdr:colOff>
      <xdr:row>56</xdr:row>
      <xdr:rowOff>134470</xdr:rowOff>
    </xdr:from>
    <xdr:to>
      <xdr:col>3</xdr:col>
      <xdr:colOff>327213</xdr:colOff>
      <xdr:row>58</xdr:row>
      <xdr:rowOff>134470</xdr:rowOff>
    </xdr:to>
    <xdr:sp macro="[0]!VK_3_5" textlink="">
      <xdr:nvSpPr>
        <xdr:cNvPr id="8" name="Rectangle 7">
          <a:extLst>
            <a:ext uri="{FF2B5EF4-FFF2-40B4-BE49-F238E27FC236}">
              <a16:creationId xmlns:a16="http://schemas.microsoft.com/office/drawing/2014/main" id="{3EE623F3-61EE-4C7B-B3CD-D2E2987F869C}"/>
            </a:ext>
          </a:extLst>
        </xdr:cNvPr>
        <xdr:cNvSpPr/>
      </xdr:nvSpPr>
      <xdr:spPr>
        <a:xfrm>
          <a:off x="280148" y="7205382"/>
          <a:ext cx="1470212" cy="38100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3 CỘT</a:t>
          </a:r>
          <a:r>
            <a:rPr lang="en-US" sz="1600" baseline="0"/>
            <a:t> - 5 KÈO</a:t>
          </a:r>
          <a:endParaRPr lang="en-US" sz="1600"/>
        </a:p>
      </xdr:txBody>
    </xdr:sp>
    <xdr:clientData/>
  </xdr:twoCellAnchor>
  <xdr:twoCellAnchor>
    <xdr:from>
      <xdr:col>3</xdr:col>
      <xdr:colOff>526677</xdr:colOff>
      <xdr:row>56</xdr:row>
      <xdr:rowOff>134471</xdr:rowOff>
    </xdr:from>
    <xdr:to>
      <xdr:col>5</xdr:col>
      <xdr:colOff>786654</xdr:colOff>
      <xdr:row>58</xdr:row>
      <xdr:rowOff>134471</xdr:rowOff>
    </xdr:to>
    <xdr:sp macro="[0]!VK_3_7" textlink="">
      <xdr:nvSpPr>
        <xdr:cNvPr id="9" name="Rectangle 8">
          <a:extLst>
            <a:ext uri="{FF2B5EF4-FFF2-40B4-BE49-F238E27FC236}">
              <a16:creationId xmlns:a16="http://schemas.microsoft.com/office/drawing/2014/main" id="{33521863-B904-4128-81C6-EBB039F3B5BA}"/>
            </a:ext>
          </a:extLst>
        </xdr:cNvPr>
        <xdr:cNvSpPr/>
      </xdr:nvSpPr>
      <xdr:spPr>
        <a:xfrm>
          <a:off x="1949824" y="7205383"/>
          <a:ext cx="1470212" cy="38100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3 CỘT</a:t>
          </a:r>
          <a:r>
            <a:rPr lang="en-US" sz="1600" baseline="0"/>
            <a:t> - 7 KÈO</a:t>
          </a:r>
          <a:endParaRPr lang="en-US" sz="1600"/>
        </a:p>
      </xdr:txBody>
    </xdr:sp>
    <xdr:clientData/>
  </xdr:twoCellAnchor>
  <xdr:twoCellAnchor>
    <xdr:from>
      <xdr:col>6</xdr:col>
      <xdr:colOff>67235</xdr:colOff>
      <xdr:row>56</xdr:row>
      <xdr:rowOff>123263</xdr:rowOff>
    </xdr:from>
    <xdr:to>
      <xdr:col>8</xdr:col>
      <xdr:colOff>327212</xdr:colOff>
      <xdr:row>58</xdr:row>
      <xdr:rowOff>123263</xdr:rowOff>
    </xdr:to>
    <xdr:sp macro="[0]!VK_3_9" textlink="">
      <xdr:nvSpPr>
        <xdr:cNvPr id="10" name="Rectangle 9">
          <a:extLst>
            <a:ext uri="{FF2B5EF4-FFF2-40B4-BE49-F238E27FC236}">
              <a16:creationId xmlns:a16="http://schemas.microsoft.com/office/drawing/2014/main" id="{803E5FC6-C108-48AF-A5CC-E3A5B8636957}"/>
            </a:ext>
          </a:extLst>
        </xdr:cNvPr>
        <xdr:cNvSpPr/>
      </xdr:nvSpPr>
      <xdr:spPr>
        <a:xfrm>
          <a:off x="3585882" y="7194175"/>
          <a:ext cx="1470212" cy="38100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3 CỘT</a:t>
          </a:r>
          <a:r>
            <a:rPr lang="en-US" sz="1600" baseline="0"/>
            <a:t> - 9 KÈO</a:t>
          </a:r>
          <a:endParaRPr lang="en-US" sz="1600"/>
        </a:p>
      </xdr:txBody>
    </xdr:sp>
    <xdr:clientData/>
  </xdr:twoCellAnchor>
  <xdr:twoCellAnchor editAs="oneCell">
    <xdr:from>
      <xdr:col>21</xdr:col>
      <xdr:colOff>232398</xdr:colOff>
      <xdr:row>0</xdr:row>
      <xdr:rowOff>0</xdr:rowOff>
    </xdr:from>
    <xdr:to>
      <xdr:col>31</xdr:col>
      <xdr:colOff>243606</xdr:colOff>
      <xdr:row>11</xdr:row>
      <xdr:rowOff>138565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E037B29-DB7C-A2AA-6336-B1CE412A1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02963" y="0"/>
          <a:ext cx="5543991" cy="2242348"/>
        </a:xfrm>
        <a:prstGeom prst="rect">
          <a:avLst/>
        </a:prstGeom>
      </xdr:spPr>
    </xdr:pic>
    <xdr:clientData/>
  </xdr:twoCellAnchor>
  <xdr:twoCellAnchor editAs="oneCell">
    <xdr:from>
      <xdr:col>21</xdr:col>
      <xdr:colOff>142754</xdr:colOff>
      <xdr:row>30</xdr:row>
      <xdr:rowOff>164414</xdr:rowOff>
    </xdr:from>
    <xdr:to>
      <xdr:col>31</xdr:col>
      <xdr:colOff>362973</xdr:colOff>
      <xdr:row>53</xdr:row>
      <xdr:rowOff>40950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9DE5A85-E9EF-0AF9-F6ED-0F9976BDE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3319" y="4554197"/>
          <a:ext cx="5753002" cy="1972036"/>
        </a:xfrm>
        <a:prstGeom prst="rect">
          <a:avLst/>
        </a:prstGeom>
      </xdr:spPr>
    </xdr:pic>
    <xdr:clientData/>
  </xdr:twoCellAnchor>
  <xdr:twoCellAnchor editAs="oneCell">
    <xdr:from>
      <xdr:col>21</xdr:col>
      <xdr:colOff>120342</xdr:colOff>
      <xdr:row>12</xdr:row>
      <xdr:rowOff>160139</xdr:rowOff>
    </xdr:from>
    <xdr:to>
      <xdr:col>31</xdr:col>
      <xdr:colOff>328879</xdr:colOff>
      <xdr:row>30</xdr:row>
      <xdr:rowOff>12753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282464F-CF60-A32A-CBE0-00F3BE3B0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90907" y="2454422"/>
          <a:ext cx="5741320" cy="1948114"/>
        </a:xfrm>
        <a:prstGeom prst="rect">
          <a:avLst/>
        </a:prstGeom>
      </xdr:spPr>
    </xdr:pic>
    <xdr:clientData/>
  </xdr:twoCellAnchor>
  <xdr:twoCellAnchor>
    <xdr:from>
      <xdr:col>6</xdr:col>
      <xdr:colOff>78441</xdr:colOff>
      <xdr:row>53</xdr:row>
      <xdr:rowOff>156881</xdr:rowOff>
    </xdr:from>
    <xdr:to>
      <xdr:col>8</xdr:col>
      <xdr:colOff>338418</xdr:colOff>
      <xdr:row>55</xdr:row>
      <xdr:rowOff>156881</xdr:rowOff>
    </xdr:to>
    <xdr:sp macro="[0]!VK_2_5" textlink="">
      <xdr:nvSpPr>
        <xdr:cNvPr id="14" name="Rectangle 13">
          <a:extLst>
            <a:ext uri="{FF2B5EF4-FFF2-40B4-BE49-F238E27FC236}">
              <a16:creationId xmlns:a16="http://schemas.microsoft.com/office/drawing/2014/main" id="{01DC8AE7-877A-4CD1-9A38-591E86550878}"/>
            </a:ext>
          </a:extLst>
        </xdr:cNvPr>
        <xdr:cNvSpPr/>
      </xdr:nvSpPr>
      <xdr:spPr>
        <a:xfrm>
          <a:off x="3597088" y="6656293"/>
          <a:ext cx="1470212" cy="3810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- 5 KÈO</a:t>
          </a:r>
          <a:endParaRPr lang="en-US" sz="1600"/>
        </a:p>
      </xdr:txBody>
    </xdr:sp>
    <xdr:clientData/>
  </xdr:twoCellAnchor>
  <xdr:twoCellAnchor>
    <xdr:from>
      <xdr:col>11</xdr:col>
      <xdr:colOff>190499</xdr:colOff>
      <xdr:row>53</xdr:row>
      <xdr:rowOff>145676</xdr:rowOff>
    </xdr:from>
    <xdr:to>
      <xdr:col>13</xdr:col>
      <xdr:colOff>450476</xdr:colOff>
      <xdr:row>55</xdr:row>
      <xdr:rowOff>145676</xdr:rowOff>
    </xdr:to>
    <xdr:sp macro="[0]!VK_2_7" textlink="">
      <xdr:nvSpPr>
        <xdr:cNvPr id="15" name="Rectangle 14">
          <a:extLst>
            <a:ext uri="{FF2B5EF4-FFF2-40B4-BE49-F238E27FC236}">
              <a16:creationId xmlns:a16="http://schemas.microsoft.com/office/drawing/2014/main" id="{267E1FCF-D2D6-4DCC-9D91-46AF441E98AC}"/>
            </a:ext>
          </a:extLst>
        </xdr:cNvPr>
        <xdr:cNvSpPr/>
      </xdr:nvSpPr>
      <xdr:spPr>
        <a:xfrm>
          <a:off x="6857999" y="6645088"/>
          <a:ext cx="1470212" cy="3810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2 CỘT</a:t>
          </a:r>
          <a:r>
            <a:rPr lang="en-US" sz="1600" baseline="0"/>
            <a:t> - 7 KÈO</a:t>
          </a:r>
          <a:endParaRPr 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414130</xdr:colOff>
      <xdr:row>38</xdr:row>
      <xdr:rowOff>3714</xdr:rowOff>
    </xdr:from>
    <xdr:to>
      <xdr:col>5</xdr:col>
      <xdr:colOff>149088</xdr:colOff>
      <xdr:row>39</xdr:row>
      <xdr:rowOff>107674</xdr:rowOff>
    </xdr:to>
    <xdr:sp macro="[0]!MirrorVK3" textlink="">
      <xdr:nvSpPr>
        <xdr:cNvPr id="2" name="Rectangle 1">
          <a:extLst>
            <a:ext uri="{FF2B5EF4-FFF2-40B4-BE49-F238E27FC236}">
              <a16:creationId xmlns:a16="http://schemas.microsoft.com/office/drawing/2014/main" id="{4FE14C27-3BFE-4230-91E7-0564E42EAE0B}"/>
            </a:ext>
          </a:extLst>
        </xdr:cNvPr>
        <xdr:cNvSpPr/>
      </xdr:nvSpPr>
      <xdr:spPr>
        <a:xfrm>
          <a:off x="1847021" y="5942344"/>
          <a:ext cx="960784" cy="30274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KÈO</a:t>
          </a:r>
          <a:endParaRPr lang="en-US" sz="1100"/>
        </a:p>
      </xdr:txBody>
    </xdr:sp>
    <xdr:clientData/>
  </xdr:twoCellAnchor>
  <xdr:twoCellAnchor>
    <xdr:from>
      <xdr:col>3</xdr:col>
      <xdr:colOff>413845</xdr:colOff>
      <xdr:row>40</xdr:row>
      <xdr:rowOff>137949</xdr:rowOff>
    </xdr:from>
    <xdr:to>
      <xdr:col>5</xdr:col>
      <xdr:colOff>148803</xdr:colOff>
      <xdr:row>42</xdr:row>
      <xdr:rowOff>57978</xdr:rowOff>
    </xdr:to>
    <xdr:sp macro="[0]!MirrorVK3Col" textlink="">
      <xdr:nvSpPr>
        <xdr:cNvPr id="3" name="Rectangle 2">
          <a:extLst>
            <a:ext uri="{FF2B5EF4-FFF2-40B4-BE49-F238E27FC236}">
              <a16:creationId xmlns:a16="http://schemas.microsoft.com/office/drawing/2014/main" id="{0B832F7A-4663-45A8-B11E-4C21C6EBE6F8}"/>
            </a:ext>
          </a:extLst>
        </xdr:cNvPr>
        <xdr:cNvSpPr/>
      </xdr:nvSpPr>
      <xdr:spPr>
        <a:xfrm>
          <a:off x="1845879" y="6457294"/>
          <a:ext cx="956786" cy="3010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CỘT</a:t>
          </a:r>
          <a:endParaRPr lang="en-US" sz="1100"/>
        </a:p>
      </xdr:txBody>
    </xdr:sp>
    <xdr:clientData/>
  </xdr:twoCellAnchor>
  <xdr:twoCellAnchor editAs="oneCell">
    <xdr:from>
      <xdr:col>9</xdr:col>
      <xdr:colOff>255030</xdr:colOff>
      <xdr:row>107</xdr:row>
      <xdr:rowOff>142875</xdr:rowOff>
    </xdr:from>
    <xdr:to>
      <xdr:col>15</xdr:col>
      <xdr:colOff>289066</xdr:colOff>
      <xdr:row>121</xdr:row>
      <xdr:rowOff>116507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D7C8F5E-0670-941B-92CF-2EDA785CD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5180" y="10487025"/>
          <a:ext cx="3967861" cy="2640632"/>
        </a:xfrm>
        <a:prstGeom prst="rect">
          <a:avLst/>
        </a:prstGeom>
      </xdr:spPr>
    </xdr:pic>
    <xdr:clientData/>
  </xdr:twoCellAnchor>
  <xdr:twoCellAnchor>
    <xdr:from>
      <xdr:col>3</xdr:col>
      <xdr:colOff>180975</xdr:colOff>
      <xdr:row>105</xdr:row>
      <xdr:rowOff>133350</xdr:rowOff>
    </xdr:from>
    <xdr:to>
      <xdr:col>3</xdr:col>
      <xdr:colOff>485775</xdr:colOff>
      <xdr:row>108</xdr:row>
      <xdr:rowOff>38100</xdr:rowOff>
    </xdr:to>
    <xdr:sp macro="" textlink="">
      <xdr:nvSpPr>
        <xdr:cNvPr id="5" name="Arrow: Up 4">
          <a:extLst>
            <a:ext uri="{FF2B5EF4-FFF2-40B4-BE49-F238E27FC236}">
              <a16:creationId xmlns:a16="http://schemas.microsoft.com/office/drawing/2014/main" id="{AA9AC8FF-B6A3-AEAB-D732-57A79FB25688}"/>
            </a:ext>
          </a:extLst>
        </xdr:cNvPr>
        <xdr:cNvSpPr/>
      </xdr:nvSpPr>
      <xdr:spPr>
        <a:xfrm>
          <a:off x="1533525" y="10096500"/>
          <a:ext cx="304800" cy="476250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20</xdr:col>
      <xdr:colOff>698815</xdr:colOff>
      <xdr:row>0</xdr:row>
      <xdr:rowOff>65028</xdr:rowOff>
    </xdr:from>
    <xdr:to>
      <xdr:col>31</xdr:col>
      <xdr:colOff>234188</xdr:colOff>
      <xdr:row>7</xdr:row>
      <xdr:rowOff>54302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D908AE9-1E15-FD10-5580-CECEB9636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74250" y="65028"/>
          <a:ext cx="6921389" cy="13227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112699</xdr:colOff>
      <xdr:row>15</xdr:row>
      <xdr:rowOff>133638</xdr:rowOff>
    </xdr:from>
    <xdr:to>
      <xdr:col>3</xdr:col>
      <xdr:colOff>529353</xdr:colOff>
      <xdr:row>27</xdr:row>
      <xdr:rowOff>960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EF1C962-C953-2145-0641-775A86C1A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99" y="3003044"/>
          <a:ext cx="2226880" cy="2146753"/>
        </a:xfrm>
        <a:prstGeom prst="rect">
          <a:avLst/>
        </a:prstGeom>
      </xdr:spPr>
    </xdr:pic>
    <xdr:clientData/>
  </xdr:twoCellAnchor>
  <xdr:twoCellAnchor editAs="oneCell">
    <xdr:from>
      <xdr:col>0</xdr:col>
      <xdr:colOff>164399</xdr:colOff>
      <xdr:row>51</xdr:row>
      <xdr:rowOff>86115</xdr:rowOff>
    </xdr:from>
    <xdr:to>
      <xdr:col>4</xdr:col>
      <xdr:colOff>178431</xdr:colOff>
      <xdr:row>61</xdr:row>
      <xdr:rowOff>131885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E51FFFF-0DD0-7CDA-B6D8-D425E0765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9" y="8856442"/>
          <a:ext cx="2446570" cy="1950770"/>
        </a:xfrm>
        <a:prstGeom prst="rect">
          <a:avLst/>
        </a:prstGeom>
      </xdr:spPr>
    </xdr:pic>
    <xdr:clientData/>
  </xdr:twoCellAnchor>
  <xdr:twoCellAnchor editAs="oneCell">
    <xdr:from>
      <xdr:col>0</xdr:col>
      <xdr:colOff>144516</xdr:colOff>
      <xdr:row>66</xdr:row>
      <xdr:rowOff>23036</xdr:rowOff>
    </xdr:from>
    <xdr:to>
      <xdr:col>4</xdr:col>
      <xdr:colOff>423258</xdr:colOff>
      <xdr:row>75</xdr:row>
      <xdr:rowOff>79682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17BD179-CDCA-489C-1F64-B51B58638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516" y="10888105"/>
          <a:ext cx="2722397" cy="1776861"/>
        </a:xfrm>
        <a:prstGeom prst="rect">
          <a:avLst/>
        </a:prstGeom>
      </xdr:spPr>
    </xdr:pic>
    <xdr:clientData/>
  </xdr:twoCellAnchor>
  <xdr:twoCellAnchor editAs="oneCell">
    <xdr:from>
      <xdr:col>11</xdr:col>
      <xdr:colOff>117582</xdr:colOff>
      <xdr:row>17</xdr:row>
      <xdr:rowOff>149187</xdr:rowOff>
    </xdr:from>
    <xdr:to>
      <xdr:col>16</xdr:col>
      <xdr:colOff>422355</xdr:colOff>
      <xdr:row>23</xdr:row>
      <xdr:rowOff>152484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7A0365-A8FD-46C6-8BC2-3529C046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73410" y="3394256"/>
          <a:ext cx="3473971" cy="1146297"/>
        </a:xfrm>
        <a:prstGeom prst="rect">
          <a:avLst/>
        </a:prstGeom>
      </xdr:spPr>
    </xdr:pic>
    <xdr:clientData/>
  </xdr:twoCellAnchor>
  <xdr:twoCellAnchor editAs="oneCell">
    <xdr:from>
      <xdr:col>0</xdr:col>
      <xdr:colOff>91966</xdr:colOff>
      <xdr:row>102</xdr:row>
      <xdr:rowOff>170793</xdr:rowOff>
    </xdr:from>
    <xdr:to>
      <xdr:col>4</xdr:col>
      <xdr:colOff>529668</xdr:colOff>
      <xdr:row>114</xdr:row>
      <xdr:rowOff>77374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8A2847D-1746-BC2A-164A-6C95810E7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966" y="12178862"/>
          <a:ext cx="2877547" cy="2192581"/>
        </a:xfrm>
        <a:prstGeom prst="rect">
          <a:avLst/>
        </a:prstGeom>
      </xdr:spPr>
    </xdr:pic>
    <xdr:clientData/>
  </xdr:twoCellAnchor>
  <xdr:twoCellAnchor editAs="oneCell">
    <xdr:from>
      <xdr:col>0</xdr:col>
      <xdr:colOff>486105</xdr:colOff>
      <xdr:row>132</xdr:row>
      <xdr:rowOff>144517</xdr:rowOff>
    </xdr:from>
    <xdr:to>
      <xdr:col>3</xdr:col>
      <xdr:colOff>606003</xdr:colOff>
      <xdr:row>147</xdr:row>
      <xdr:rowOff>38249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AB38F28-E4E5-EAF9-E0B4-4C57C8333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6105" y="15772086"/>
          <a:ext cx="1943114" cy="2751232"/>
        </a:xfrm>
        <a:prstGeom prst="rect">
          <a:avLst/>
        </a:prstGeom>
      </xdr:spPr>
    </xdr:pic>
    <xdr:clientData/>
  </xdr:twoCellAnchor>
  <xdr:twoCellAnchor editAs="oneCell">
    <xdr:from>
      <xdr:col>0</xdr:col>
      <xdr:colOff>39414</xdr:colOff>
      <xdr:row>153</xdr:row>
      <xdr:rowOff>65688</xdr:rowOff>
    </xdr:from>
    <xdr:to>
      <xdr:col>4</xdr:col>
      <xdr:colOff>492390</xdr:colOff>
      <xdr:row>167</xdr:row>
      <xdr:rowOff>2758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7147506-AC67-2BE7-AFFD-50EB569E4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414" y="19312757"/>
          <a:ext cx="2879486" cy="2601311"/>
        </a:xfrm>
        <a:prstGeom prst="rect">
          <a:avLst/>
        </a:prstGeom>
      </xdr:spPr>
    </xdr:pic>
    <xdr:clientData/>
  </xdr:twoCellAnchor>
  <xdr:twoCellAnchor editAs="oneCell">
    <xdr:from>
      <xdr:col>0</xdr:col>
      <xdr:colOff>6569</xdr:colOff>
      <xdr:row>182</xdr:row>
      <xdr:rowOff>144516</xdr:rowOff>
    </xdr:from>
    <xdr:to>
      <xdr:col>4</xdr:col>
      <xdr:colOff>537137</xdr:colOff>
      <xdr:row>196</xdr:row>
      <xdr:rowOff>109879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E3D172F-AA9A-0C2B-9279-C36F36BE7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69" y="23582585"/>
          <a:ext cx="2974223" cy="2622838"/>
        </a:xfrm>
        <a:prstGeom prst="rect">
          <a:avLst/>
        </a:prstGeom>
      </xdr:spPr>
    </xdr:pic>
    <xdr:clientData/>
  </xdr:twoCellAnchor>
  <xdr:twoCellAnchor editAs="oneCell">
    <xdr:from>
      <xdr:col>0</xdr:col>
      <xdr:colOff>57481</xdr:colOff>
      <xdr:row>1</xdr:row>
      <xdr:rowOff>100141</xdr:rowOff>
    </xdr:from>
    <xdr:to>
      <xdr:col>4</xdr:col>
      <xdr:colOff>532109</xdr:colOff>
      <xdr:row>11</xdr:row>
      <xdr:rowOff>119062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7071CDB-0CFE-A899-F042-E55442C8E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481" y="290641"/>
          <a:ext cx="2903503" cy="1935827"/>
        </a:xfrm>
        <a:prstGeom prst="rect">
          <a:avLst/>
        </a:prstGeom>
      </xdr:spPr>
    </xdr:pic>
    <xdr:clientData/>
  </xdr:twoCellAnchor>
  <xdr:twoCellAnchor>
    <xdr:from>
      <xdr:col>0</xdr:col>
      <xdr:colOff>19707</xdr:colOff>
      <xdr:row>213</xdr:row>
      <xdr:rowOff>59121</xdr:rowOff>
    </xdr:from>
    <xdr:to>
      <xdr:col>4</xdr:col>
      <xdr:colOff>562592</xdr:colOff>
      <xdr:row>228</xdr:row>
      <xdr:rowOff>124810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E3D439EE-48AD-C100-6DE6-973798E2F7CF}"/>
            </a:ext>
          </a:extLst>
        </xdr:cNvPr>
        <xdr:cNvGrpSpPr/>
      </xdr:nvGrpSpPr>
      <xdr:grpSpPr>
        <a:xfrm>
          <a:off x="19707" y="31879948"/>
          <a:ext cx="2975423" cy="2923189"/>
          <a:chOff x="0" y="29645742"/>
          <a:chExt cx="2986540" cy="2923189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51854988-03F9-6BC6-4C80-72991BBEC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0" y="29645742"/>
            <a:ext cx="2986540" cy="2923189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221C3784-AABB-1845-82BA-453F95BCFFD5}"/>
              </a:ext>
            </a:extLst>
          </xdr:cNvPr>
          <xdr:cNvSpPr/>
        </xdr:nvSpPr>
        <xdr:spPr>
          <a:xfrm>
            <a:off x="2075792" y="30381466"/>
            <a:ext cx="374432" cy="1392620"/>
          </a:xfrm>
          <a:prstGeom prst="rect">
            <a:avLst/>
          </a:prstGeom>
          <a:noFill/>
          <a:ln>
            <a:solidFill>
              <a:srgbClr val="0000FF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>
                <a:solidFill>
                  <a:srgbClr val="0000FF"/>
                </a:solidFill>
              </a:ln>
              <a:solidFill>
                <a:srgbClr val="0000FF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9B3E5061-D2E8-4694-B643-11E66B03F501}"/>
              </a:ext>
            </a:extLst>
          </xdr:cNvPr>
          <xdr:cNvSpPr/>
        </xdr:nvSpPr>
        <xdr:spPr>
          <a:xfrm>
            <a:off x="315310" y="30571966"/>
            <a:ext cx="867104" cy="505810"/>
          </a:xfrm>
          <a:prstGeom prst="rect">
            <a:avLst/>
          </a:prstGeom>
          <a:noFill/>
          <a:ln>
            <a:solidFill>
              <a:srgbClr val="0000FF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>
                <a:solidFill>
                  <a:srgbClr val="0000FF"/>
                </a:solidFill>
              </a:ln>
              <a:solidFill>
                <a:srgbClr val="0000FF"/>
              </a:solidFill>
            </a:endParaRPr>
          </a:p>
        </xdr:txBody>
      </xdr:sp>
      <xdr:sp macro="" textlink="B231">
        <xdr:nvSpPr>
          <xdr:cNvPr id="16" name="TextBox 15">
            <a:extLst>
              <a:ext uri="{FF2B5EF4-FFF2-40B4-BE49-F238E27FC236}">
                <a16:creationId xmlns:a16="http://schemas.microsoft.com/office/drawing/2014/main" id="{1C924A9B-0F3B-BA76-667C-C7002C532333}"/>
              </a:ext>
            </a:extLst>
          </xdr:cNvPr>
          <xdr:cNvSpPr txBox="1"/>
        </xdr:nvSpPr>
        <xdr:spPr>
          <a:xfrm>
            <a:off x="545225" y="30315775"/>
            <a:ext cx="385592" cy="2727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F208564-8C86-41BF-9BD8-352758AF2247}" type="TxLink">
              <a:rPr lang="en-US" sz="1100" b="0" i="0" u="none" strike="noStrike">
                <a:solidFill>
                  <a:srgbClr val="0000FF"/>
                </a:solidFill>
                <a:latin typeface="Aptos Narrow"/>
              </a:rPr>
              <a:pPr/>
              <a:t>4x2</a:t>
            </a:fld>
            <a:endParaRPr lang="en-US" sz="1100">
              <a:solidFill>
                <a:srgbClr val="0000FF"/>
              </a:solidFill>
            </a:endParaRPr>
          </a:p>
        </xdr:txBody>
      </xdr:sp>
      <xdr:sp macro="" textlink="A231">
        <xdr:nvSpPr>
          <xdr:cNvPr id="17" name="TextBox 16">
            <a:extLst>
              <a:ext uri="{FF2B5EF4-FFF2-40B4-BE49-F238E27FC236}">
                <a16:creationId xmlns:a16="http://schemas.microsoft.com/office/drawing/2014/main" id="{F7B61178-D14B-4EF8-9E79-B3080781EDF0}"/>
              </a:ext>
            </a:extLst>
          </xdr:cNvPr>
          <xdr:cNvSpPr txBox="1"/>
        </xdr:nvSpPr>
        <xdr:spPr>
          <a:xfrm>
            <a:off x="1701362" y="30158122"/>
            <a:ext cx="385592" cy="2727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26C6A8E-8768-4EF7-9C2A-5EB049ACFC2A}" type="TxLink">
              <a:rPr lang="en-US" sz="1100" b="0" i="0" u="none" strike="noStrike">
                <a:ln w="3175">
                  <a:solidFill>
                    <a:srgbClr val="0000FF"/>
                  </a:solidFill>
                </a:ln>
                <a:solidFill>
                  <a:srgbClr val="FF00FF"/>
                </a:solidFill>
                <a:latin typeface="Aptos Narrow"/>
              </a:rPr>
              <a:pPr/>
              <a:t>1x6</a:t>
            </a:fld>
            <a:endParaRPr lang="en-US" sz="1100" b="0">
              <a:ln w="3175">
                <a:solidFill>
                  <a:srgbClr val="0000FF"/>
                </a:solidFill>
              </a:ln>
              <a:solidFill>
                <a:srgbClr val="FF00FF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250</xdr:row>
      <xdr:rowOff>152400</xdr:rowOff>
    </xdr:from>
    <xdr:to>
      <xdr:col>4</xdr:col>
      <xdr:colOff>459009</xdr:colOff>
      <xdr:row>261</xdr:row>
      <xdr:rowOff>73094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77CBD71-ADA6-4FCC-D6D2-7508FDBB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3680400"/>
          <a:ext cx="2897409" cy="1943935"/>
        </a:xfrm>
        <a:prstGeom prst="rect">
          <a:avLst/>
        </a:prstGeom>
      </xdr:spPr>
    </xdr:pic>
    <xdr:clientData/>
  </xdr:twoCellAnchor>
  <xdr:twoCellAnchor editAs="oneCell">
    <xdr:from>
      <xdr:col>0</xdr:col>
      <xdr:colOff>6569</xdr:colOff>
      <xdr:row>300</xdr:row>
      <xdr:rowOff>109020</xdr:rowOff>
    </xdr:from>
    <xdr:to>
      <xdr:col>4</xdr:col>
      <xdr:colOff>543319</xdr:colOff>
      <xdr:row>307</xdr:row>
      <xdr:rowOff>134124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6E6CFF-4E0B-8DD8-84B0-3CB727638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569" y="39358589"/>
          <a:ext cx="2980405" cy="13586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350</xdr:row>
      <xdr:rowOff>131378</xdr:rowOff>
    </xdr:from>
    <xdr:to>
      <xdr:col>4</xdr:col>
      <xdr:colOff>541039</xdr:colOff>
      <xdr:row>360</xdr:row>
      <xdr:rowOff>190499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5FF574A-D503-3EA4-F4A4-9045332FC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43952947"/>
          <a:ext cx="2984694" cy="1964121"/>
        </a:xfrm>
        <a:prstGeom prst="rect">
          <a:avLst/>
        </a:prstGeom>
      </xdr:spPr>
    </xdr:pic>
    <xdr:clientData/>
  </xdr:twoCellAnchor>
  <xdr:twoCellAnchor editAs="oneCell">
    <xdr:from>
      <xdr:col>0</xdr:col>
      <xdr:colOff>2867</xdr:colOff>
      <xdr:row>31</xdr:row>
      <xdr:rowOff>51144</xdr:rowOff>
    </xdr:from>
    <xdr:to>
      <xdr:col>4</xdr:col>
      <xdr:colOff>322385</xdr:colOff>
      <xdr:row>45</xdr:row>
      <xdr:rowOff>26173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1D9F2B7-70B9-5713-6E05-1C3A629B95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49999"/>
        <a:stretch>
          <a:fillRect/>
        </a:stretch>
      </xdr:blipFill>
      <xdr:spPr>
        <a:xfrm>
          <a:off x="2867" y="5582971"/>
          <a:ext cx="2752056" cy="26420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74543</xdr:colOff>
      <xdr:row>7</xdr:row>
      <xdr:rowOff>25197</xdr:rowOff>
    </xdr:from>
    <xdr:ext cx="1705849" cy="1391129"/>
    <xdr:pic>
      <xdr:nvPicPr>
        <xdr:cNvPr id="5" name="Picture 4">
          <a:extLst>
            <a:ext uri="{FF2B5EF4-FFF2-40B4-BE49-F238E27FC236}">
              <a16:creationId xmlns:a16="http://schemas.microsoft.com/office/drawing/2014/main" id="{73D95368-0036-4AD9-8B54-C470BF553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65" y="1358697"/>
          <a:ext cx="1705849" cy="1391129"/>
        </a:xfrm>
        <a:prstGeom prst="rect">
          <a:avLst/>
        </a:prstGeom>
      </xdr:spPr>
    </xdr:pic>
    <xdr:clientData/>
  </xdr:oneCellAnchor>
  <xdr:twoCellAnchor editAs="oneCell">
    <xdr:from>
      <xdr:col>10</xdr:col>
      <xdr:colOff>198781</xdr:colOff>
      <xdr:row>99</xdr:row>
      <xdr:rowOff>71023</xdr:rowOff>
    </xdr:from>
    <xdr:to>
      <xdr:col>23</xdr:col>
      <xdr:colOff>400378</xdr:colOff>
      <xdr:row>106</xdr:row>
      <xdr:rowOff>145159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E496D4-00FD-C839-C9CD-138D60A37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9020" y="6738523"/>
          <a:ext cx="8169467" cy="1407636"/>
        </a:xfrm>
        <a:prstGeom prst="rect">
          <a:avLst/>
        </a:prstGeom>
      </xdr:spPr>
    </xdr:pic>
    <xdr:clientData/>
  </xdr:twoCellAnchor>
  <xdr:twoCellAnchor editAs="oneCell">
    <xdr:from>
      <xdr:col>10</xdr:col>
      <xdr:colOff>115958</xdr:colOff>
      <xdr:row>49</xdr:row>
      <xdr:rowOff>8283</xdr:rowOff>
    </xdr:from>
    <xdr:to>
      <xdr:col>22</xdr:col>
      <xdr:colOff>496947</xdr:colOff>
      <xdr:row>56</xdr:row>
      <xdr:rowOff>124238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DA360A0-D014-C54C-508A-8D17F8AD9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36197" y="3246783"/>
          <a:ext cx="7735946" cy="1449455"/>
        </a:xfrm>
        <a:prstGeom prst="rect">
          <a:avLst/>
        </a:prstGeom>
      </xdr:spPr>
    </xdr:pic>
    <xdr:clientData/>
  </xdr:twoCellAnchor>
  <xdr:twoCellAnchor editAs="oneCell">
    <xdr:from>
      <xdr:col>13</xdr:col>
      <xdr:colOff>376918</xdr:colOff>
      <xdr:row>151</xdr:row>
      <xdr:rowOff>16073</xdr:rowOff>
    </xdr:from>
    <xdr:to>
      <xdr:col>24</xdr:col>
      <xdr:colOff>97971</xdr:colOff>
      <xdr:row>158</xdr:row>
      <xdr:rowOff>92888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D3003B-573C-181C-A305-FD5509992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32347" y="10684073"/>
          <a:ext cx="6456588" cy="14103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C3D5-9914-48F2-9DB7-B1DCDDBAA579}">
  <sheetPr codeName="Sheet1"/>
  <dimension ref="A1:Y136"/>
  <sheetViews>
    <sheetView showGridLines="0" zoomScale="175" zoomScaleNormal="175" workbookViewId="0">
      <selection activeCell="G3" sqref="G3:G19"/>
    </sheetView>
  </sheetViews>
  <sheetFormatPr defaultRowHeight="15" x14ac:dyDescent="0.25"/>
  <cols>
    <col min="24" max="24" width="22.42578125" bestFit="1" customWidth="1"/>
  </cols>
  <sheetData>
    <row r="1" spans="1:25" ht="15" customHeight="1" x14ac:dyDescent="0.25">
      <c r="A1" s="2" t="s">
        <v>18</v>
      </c>
      <c r="B1" s="2" t="s">
        <v>25</v>
      </c>
      <c r="E1" s="373" t="s">
        <v>48</v>
      </c>
      <c r="G1" s="373" t="s">
        <v>59</v>
      </c>
      <c r="K1" s="373" t="s">
        <v>76</v>
      </c>
      <c r="X1" s="59" t="s">
        <v>90</v>
      </c>
      <c r="Y1" t="s">
        <v>74</v>
      </c>
    </row>
    <row r="2" spans="1:25" ht="15" customHeight="1" x14ac:dyDescent="0.25">
      <c r="A2" s="1" t="s">
        <v>10</v>
      </c>
      <c r="B2" s="1">
        <v>12</v>
      </c>
      <c r="E2" s="374"/>
      <c r="G2" s="374"/>
      <c r="K2" s="374"/>
      <c r="X2" s="59" t="s">
        <v>91</v>
      </c>
      <c r="Y2" t="s">
        <v>226</v>
      </c>
    </row>
    <row r="3" spans="1:25" ht="15" customHeight="1" x14ac:dyDescent="0.25">
      <c r="A3" s="1" t="s">
        <v>434</v>
      </c>
      <c r="B3" s="1">
        <v>16</v>
      </c>
      <c r="E3" s="1" t="s">
        <v>251</v>
      </c>
      <c r="G3" s="188" t="s">
        <v>356</v>
      </c>
      <c r="I3" s="1" t="s">
        <v>56</v>
      </c>
      <c r="K3" s="46" t="s">
        <v>75</v>
      </c>
      <c r="X3" s="59" t="s">
        <v>92</v>
      </c>
    </row>
    <row r="4" spans="1:25" ht="15" customHeight="1" x14ac:dyDescent="0.25">
      <c r="A4" s="1" t="s">
        <v>7</v>
      </c>
      <c r="B4" s="1">
        <v>20</v>
      </c>
      <c r="E4" s="1" t="s">
        <v>252</v>
      </c>
      <c r="G4" s="188" t="s">
        <v>357</v>
      </c>
      <c r="I4" s="1" t="s">
        <v>57</v>
      </c>
      <c r="K4" s="48" t="s">
        <v>77</v>
      </c>
      <c r="X4" s="59" t="s">
        <v>93</v>
      </c>
    </row>
    <row r="5" spans="1:25" ht="15" customHeight="1" x14ac:dyDescent="0.25">
      <c r="A5" s="1" t="s">
        <v>11</v>
      </c>
      <c r="B5" s="1">
        <v>24</v>
      </c>
      <c r="E5" s="1" t="s">
        <v>253</v>
      </c>
      <c r="G5" s="188" t="s">
        <v>350</v>
      </c>
      <c r="K5" s="47" t="s">
        <v>78</v>
      </c>
      <c r="X5" s="59" t="s">
        <v>94</v>
      </c>
    </row>
    <row r="6" spans="1:25" ht="15" customHeight="1" x14ac:dyDescent="0.25">
      <c r="A6" s="1" t="s">
        <v>12</v>
      </c>
      <c r="B6" s="1">
        <v>27</v>
      </c>
      <c r="E6" s="1" t="s">
        <v>254</v>
      </c>
      <c r="G6" s="188" t="s">
        <v>352</v>
      </c>
      <c r="K6" s="49" t="s">
        <v>79</v>
      </c>
      <c r="X6" s="59" t="s">
        <v>95</v>
      </c>
    </row>
    <row r="7" spans="1:25" ht="15" customHeight="1" x14ac:dyDescent="0.25">
      <c r="A7" s="1" t="s">
        <v>13</v>
      </c>
      <c r="B7" s="1">
        <v>30</v>
      </c>
      <c r="G7" s="188" t="s">
        <v>358</v>
      </c>
      <c r="K7" s="50" t="s">
        <v>80</v>
      </c>
      <c r="X7" s="59" t="s">
        <v>96</v>
      </c>
    </row>
    <row r="8" spans="1:25" ht="15" customHeight="1" x14ac:dyDescent="0.25">
      <c r="A8" s="1" t="s">
        <v>14</v>
      </c>
      <c r="B8" s="1">
        <v>36</v>
      </c>
      <c r="G8" s="188" t="s">
        <v>359</v>
      </c>
      <c r="K8" s="51" t="s">
        <v>81</v>
      </c>
      <c r="X8" s="59" t="s">
        <v>97</v>
      </c>
    </row>
    <row r="9" spans="1:25" ht="15" customHeight="1" x14ac:dyDescent="0.25">
      <c r="A9" s="1" t="s">
        <v>15</v>
      </c>
      <c r="B9" s="1">
        <v>42</v>
      </c>
      <c r="G9" s="188" t="s">
        <v>361</v>
      </c>
      <c r="K9" t="s">
        <v>82</v>
      </c>
      <c r="X9" s="59" t="s">
        <v>98</v>
      </c>
    </row>
    <row r="10" spans="1:25" ht="15" customHeight="1" x14ac:dyDescent="0.25">
      <c r="A10" s="1" t="s">
        <v>9</v>
      </c>
      <c r="G10" s="188" t="s">
        <v>351</v>
      </c>
      <c r="K10" t="s">
        <v>83</v>
      </c>
      <c r="X10" s="59" t="s">
        <v>99</v>
      </c>
    </row>
    <row r="11" spans="1:25" ht="15" customHeight="1" x14ac:dyDescent="0.25">
      <c r="A11" s="1" t="s">
        <v>16</v>
      </c>
      <c r="G11" s="188" t="s">
        <v>354</v>
      </c>
      <c r="K11" t="s">
        <v>84</v>
      </c>
      <c r="X11" s="59" t="s">
        <v>100</v>
      </c>
    </row>
    <row r="12" spans="1:25" ht="15" customHeight="1" x14ac:dyDescent="0.25">
      <c r="A12" s="1" t="s">
        <v>17</v>
      </c>
      <c r="G12" s="188" t="s">
        <v>360</v>
      </c>
      <c r="X12" s="59" t="s">
        <v>101</v>
      </c>
    </row>
    <row r="13" spans="1:25" ht="15" customHeight="1" x14ac:dyDescent="0.25">
      <c r="G13" s="188" t="s">
        <v>362</v>
      </c>
      <c r="X13" s="59" t="s">
        <v>102</v>
      </c>
    </row>
    <row r="14" spans="1:25" ht="15" customHeight="1" x14ac:dyDescent="0.25">
      <c r="G14" s="188" t="s">
        <v>363</v>
      </c>
      <c r="X14" s="59" t="s">
        <v>103</v>
      </c>
    </row>
    <row r="15" spans="1:25" ht="15" customHeight="1" x14ac:dyDescent="0.25">
      <c r="A15" s="44"/>
      <c r="G15" s="188" t="s">
        <v>353</v>
      </c>
      <c r="X15" s="59" t="s">
        <v>104</v>
      </c>
    </row>
    <row r="16" spans="1:25" ht="15" customHeight="1" x14ac:dyDescent="0.25">
      <c r="A16" s="43"/>
      <c r="G16" s="188" t="s">
        <v>355</v>
      </c>
      <c r="X16" s="59" t="s">
        <v>105</v>
      </c>
    </row>
    <row r="17" spans="7:24" ht="15" customHeight="1" x14ac:dyDescent="0.25">
      <c r="G17" s="1" t="s">
        <v>364</v>
      </c>
      <c r="X17" s="59" t="s">
        <v>106</v>
      </c>
    </row>
    <row r="18" spans="7:24" ht="15" customHeight="1" x14ac:dyDescent="0.25">
      <c r="G18" s="1" t="s">
        <v>365</v>
      </c>
      <c r="X18" s="59" t="s">
        <v>107</v>
      </c>
    </row>
    <row r="19" spans="7:24" ht="15" customHeight="1" x14ac:dyDescent="0.25">
      <c r="G19" s="1" t="s">
        <v>366</v>
      </c>
      <c r="X19" s="59" t="s">
        <v>108</v>
      </c>
    </row>
    <row r="20" spans="7:24" ht="15" customHeight="1" x14ac:dyDescent="0.25">
      <c r="X20" s="59" t="s">
        <v>109</v>
      </c>
    </row>
    <row r="21" spans="7:24" ht="15" customHeight="1" x14ac:dyDescent="0.25">
      <c r="X21" s="59" t="s">
        <v>110</v>
      </c>
    </row>
    <row r="22" spans="7:24" ht="15" customHeight="1" x14ac:dyDescent="0.25">
      <c r="X22" s="59" t="s">
        <v>111</v>
      </c>
    </row>
    <row r="23" spans="7:24" ht="15" customHeight="1" x14ac:dyDescent="0.25">
      <c r="X23" s="59" t="s">
        <v>112</v>
      </c>
    </row>
    <row r="24" spans="7:24" ht="15" customHeight="1" x14ac:dyDescent="0.25">
      <c r="X24" s="59" t="s">
        <v>113</v>
      </c>
    </row>
    <row r="25" spans="7:24" ht="15" customHeight="1" x14ac:dyDescent="0.25">
      <c r="X25" s="59" t="s">
        <v>114</v>
      </c>
    </row>
    <row r="26" spans="7:24" ht="15" customHeight="1" x14ac:dyDescent="0.25">
      <c r="X26" s="59" t="s">
        <v>115</v>
      </c>
    </row>
    <row r="27" spans="7:24" ht="15" customHeight="1" x14ac:dyDescent="0.25">
      <c r="X27" s="59" t="s">
        <v>116</v>
      </c>
    </row>
    <row r="28" spans="7:24" ht="15" customHeight="1" x14ac:dyDescent="0.25">
      <c r="X28" s="59" t="s">
        <v>117</v>
      </c>
    </row>
    <row r="29" spans="7:24" ht="16.5" x14ac:dyDescent="0.25">
      <c r="X29" s="59" t="s">
        <v>118</v>
      </c>
    </row>
    <row r="30" spans="7:24" ht="16.5" x14ac:dyDescent="0.25">
      <c r="X30" s="59" t="s">
        <v>119</v>
      </c>
    </row>
    <row r="31" spans="7:24" ht="16.5" x14ac:dyDescent="0.25">
      <c r="X31" s="59" t="s">
        <v>120</v>
      </c>
    </row>
    <row r="32" spans="7:24" ht="16.5" x14ac:dyDescent="0.25">
      <c r="X32" s="59" t="s">
        <v>121</v>
      </c>
    </row>
    <row r="33" spans="24:24" ht="16.5" x14ac:dyDescent="0.25">
      <c r="X33" s="59" t="s">
        <v>122</v>
      </c>
    </row>
    <row r="34" spans="24:24" ht="16.5" x14ac:dyDescent="0.25">
      <c r="X34" s="59" t="s">
        <v>123</v>
      </c>
    </row>
    <row r="35" spans="24:24" ht="16.5" x14ac:dyDescent="0.25">
      <c r="X35" s="59" t="s">
        <v>124</v>
      </c>
    </row>
    <row r="36" spans="24:24" ht="16.5" x14ac:dyDescent="0.25">
      <c r="X36" s="59" t="s">
        <v>125</v>
      </c>
    </row>
    <row r="37" spans="24:24" ht="16.5" x14ac:dyDescent="0.25">
      <c r="X37" s="59" t="s">
        <v>126</v>
      </c>
    </row>
    <row r="38" spans="24:24" ht="16.5" x14ac:dyDescent="0.25">
      <c r="X38" s="59" t="s">
        <v>127</v>
      </c>
    </row>
    <row r="39" spans="24:24" ht="16.5" x14ac:dyDescent="0.25">
      <c r="X39" s="59" t="s">
        <v>128</v>
      </c>
    </row>
    <row r="40" spans="24:24" ht="16.5" x14ac:dyDescent="0.25">
      <c r="X40" s="59" t="s">
        <v>129</v>
      </c>
    </row>
    <row r="41" spans="24:24" ht="16.5" x14ac:dyDescent="0.25">
      <c r="X41" s="59" t="s">
        <v>130</v>
      </c>
    </row>
    <row r="42" spans="24:24" ht="16.5" x14ac:dyDescent="0.25">
      <c r="X42" s="59" t="s">
        <v>131</v>
      </c>
    </row>
    <row r="43" spans="24:24" ht="16.5" x14ac:dyDescent="0.25">
      <c r="X43" s="59" t="s">
        <v>132</v>
      </c>
    </row>
    <row r="44" spans="24:24" ht="16.5" x14ac:dyDescent="0.25">
      <c r="X44" s="59" t="s">
        <v>133</v>
      </c>
    </row>
    <row r="45" spans="24:24" ht="16.5" x14ac:dyDescent="0.25">
      <c r="X45" s="59" t="s">
        <v>134</v>
      </c>
    </row>
    <row r="46" spans="24:24" ht="16.5" x14ac:dyDescent="0.25">
      <c r="X46" s="59" t="s">
        <v>135</v>
      </c>
    </row>
    <row r="47" spans="24:24" ht="16.5" x14ac:dyDescent="0.25">
      <c r="X47" s="59" t="s">
        <v>136</v>
      </c>
    </row>
    <row r="48" spans="24:24" ht="16.5" x14ac:dyDescent="0.25">
      <c r="X48" s="59" t="s">
        <v>137</v>
      </c>
    </row>
    <row r="49" spans="24:24" ht="16.5" x14ac:dyDescent="0.25">
      <c r="X49" s="59" t="s">
        <v>138</v>
      </c>
    </row>
    <row r="50" spans="24:24" ht="16.5" x14ac:dyDescent="0.25">
      <c r="X50" s="59" t="s">
        <v>139</v>
      </c>
    </row>
    <row r="51" spans="24:24" ht="16.5" x14ac:dyDescent="0.25">
      <c r="X51" s="59" t="s">
        <v>140</v>
      </c>
    </row>
    <row r="52" spans="24:24" ht="16.5" x14ac:dyDescent="0.25">
      <c r="X52" s="59" t="s">
        <v>141</v>
      </c>
    </row>
    <row r="53" spans="24:24" ht="16.5" x14ac:dyDescent="0.25">
      <c r="X53" s="59" t="s">
        <v>142</v>
      </c>
    </row>
    <row r="54" spans="24:24" ht="16.5" x14ac:dyDescent="0.25">
      <c r="X54" s="59" t="s">
        <v>143</v>
      </c>
    </row>
    <row r="55" spans="24:24" ht="16.5" x14ac:dyDescent="0.25">
      <c r="X55" s="59" t="s">
        <v>144</v>
      </c>
    </row>
    <row r="56" spans="24:24" ht="16.5" x14ac:dyDescent="0.25">
      <c r="X56" s="59" t="s">
        <v>145</v>
      </c>
    </row>
    <row r="57" spans="24:24" ht="16.5" x14ac:dyDescent="0.25">
      <c r="X57" s="59" t="s">
        <v>146</v>
      </c>
    </row>
    <row r="58" spans="24:24" ht="16.5" x14ac:dyDescent="0.25">
      <c r="X58" s="59" t="s">
        <v>147</v>
      </c>
    </row>
    <row r="59" spans="24:24" ht="16.5" x14ac:dyDescent="0.25">
      <c r="X59" s="59" t="s">
        <v>148</v>
      </c>
    </row>
    <row r="60" spans="24:24" ht="16.5" x14ac:dyDescent="0.25">
      <c r="X60" s="59" t="s">
        <v>149</v>
      </c>
    </row>
    <row r="61" spans="24:24" ht="16.5" x14ac:dyDescent="0.25">
      <c r="X61" s="59" t="s">
        <v>150</v>
      </c>
    </row>
    <row r="62" spans="24:24" ht="16.5" x14ac:dyDescent="0.25">
      <c r="X62" s="59" t="s">
        <v>151</v>
      </c>
    </row>
    <row r="63" spans="24:24" ht="16.5" x14ac:dyDescent="0.25">
      <c r="X63" s="59" t="s">
        <v>152</v>
      </c>
    </row>
    <row r="64" spans="24:24" ht="16.5" x14ac:dyDescent="0.25">
      <c r="X64" s="59" t="s">
        <v>153</v>
      </c>
    </row>
    <row r="65" spans="24:24" ht="16.5" x14ac:dyDescent="0.25">
      <c r="X65" s="59" t="s">
        <v>154</v>
      </c>
    </row>
    <row r="66" spans="24:24" ht="16.5" x14ac:dyDescent="0.25">
      <c r="X66" s="59" t="s">
        <v>155</v>
      </c>
    </row>
    <row r="67" spans="24:24" ht="16.5" x14ac:dyDescent="0.25">
      <c r="X67" s="59" t="s">
        <v>156</v>
      </c>
    </row>
    <row r="68" spans="24:24" ht="16.5" x14ac:dyDescent="0.25">
      <c r="X68" s="59" t="s">
        <v>157</v>
      </c>
    </row>
    <row r="69" spans="24:24" ht="16.5" x14ac:dyDescent="0.25">
      <c r="X69" s="59" t="s">
        <v>158</v>
      </c>
    </row>
    <row r="70" spans="24:24" ht="16.5" x14ac:dyDescent="0.25">
      <c r="X70" s="59" t="s">
        <v>159</v>
      </c>
    </row>
    <row r="71" spans="24:24" ht="16.5" x14ac:dyDescent="0.25">
      <c r="X71" s="59" t="s">
        <v>160</v>
      </c>
    </row>
    <row r="72" spans="24:24" ht="16.5" x14ac:dyDescent="0.25">
      <c r="X72" s="59" t="s">
        <v>161</v>
      </c>
    </row>
    <row r="73" spans="24:24" ht="16.5" x14ac:dyDescent="0.25">
      <c r="X73" s="59" t="s">
        <v>162</v>
      </c>
    </row>
    <row r="74" spans="24:24" ht="16.5" x14ac:dyDescent="0.25">
      <c r="X74" s="59" t="s">
        <v>163</v>
      </c>
    </row>
    <row r="75" spans="24:24" ht="16.5" x14ac:dyDescent="0.25">
      <c r="X75" s="59" t="s">
        <v>164</v>
      </c>
    </row>
    <row r="76" spans="24:24" ht="16.5" x14ac:dyDescent="0.25">
      <c r="X76" s="59" t="s">
        <v>165</v>
      </c>
    </row>
    <row r="77" spans="24:24" ht="16.5" x14ac:dyDescent="0.25">
      <c r="X77" s="59" t="s">
        <v>166</v>
      </c>
    </row>
    <row r="78" spans="24:24" ht="16.5" x14ac:dyDescent="0.25">
      <c r="X78" s="59" t="s">
        <v>167</v>
      </c>
    </row>
    <row r="79" spans="24:24" ht="16.5" x14ac:dyDescent="0.25">
      <c r="X79" s="59" t="s">
        <v>168</v>
      </c>
    </row>
    <row r="80" spans="24:24" ht="16.5" x14ac:dyDescent="0.25">
      <c r="X80" s="59" t="s">
        <v>169</v>
      </c>
    </row>
    <row r="81" spans="24:24" ht="16.5" x14ac:dyDescent="0.25">
      <c r="X81" s="59" t="s">
        <v>170</v>
      </c>
    </row>
    <row r="82" spans="24:24" ht="16.5" x14ac:dyDescent="0.25">
      <c r="X82" s="59" t="s">
        <v>171</v>
      </c>
    </row>
    <row r="83" spans="24:24" ht="16.5" x14ac:dyDescent="0.25">
      <c r="X83" s="59" t="s">
        <v>172</v>
      </c>
    </row>
    <row r="84" spans="24:24" ht="16.5" x14ac:dyDescent="0.25">
      <c r="X84" s="59" t="s">
        <v>173</v>
      </c>
    </row>
    <row r="85" spans="24:24" ht="16.5" x14ac:dyDescent="0.25">
      <c r="X85" s="59" t="s">
        <v>174</v>
      </c>
    </row>
    <row r="86" spans="24:24" ht="16.5" x14ac:dyDescent="0.25">
      <c r="X86" s="59" t="s">
        <v>175</v>
      </c>
    </row>
    <row r="87" spans="24:24" ht="16.5" x14ac:dyDescent="0.25">
      <c r="X87" s="59" t="s">
        <v>176</v>
      </c>
    </row>
    <row r="88" spans="24:24" ht="16.5" x14ac:dyDescent="0.25">
      <c r="X88" s="59" t="s">
        <v>177</v>
      </c>
    </row>
    <row r="89" spans="24:24" ht="16.5" x14ac:dyDescent="0.25">
      <c r="X89" s="59" t="s">
        <v>178</v>
      </c>
    </row>
    <row r="90" spans="24:24" ht="16.5" x14ac:dyDescent="0.25">
      <c r="X90" s="59" t="s">
        <v>179</v>
      </c>
    </row>
    <row r="91" spans="24:24" ht="16.5" x14ac:dyDescent="0.25">
      <c r="X91" s="59" t="s">
        <v>180</v>
      </c>
    </row>
    <row r="92" spans="24:24" ht="16.5" x14ac:dyDescent="0.25">
      <c r="X92" s="59" t="s">
        <v>181</v>
      </c>
    </row>
    <row r="93" spans="24:24" ht="16.5" x14ac:dyDescent="0.25">
      <c r="X93" s="59" t="s">
        <v>182</v>
      </c>
    </row>
    <row r="94" spans="24:24" ht="16.5" x14ac:dyDescent="0.25">
      <c r="X94" s="59" t="s">
        <v>183</v>
      </c>
    </row>
    <row r="95" spans="24:24" ht="16.5" x14ac:dyDescent="0.25">
      <c r="X95" s="59" t="s">
        <v>184</v>
      </c>
    </row>
    <row r="96" spans="24:24" ht="16.5" x14ac:dyDescent="0.25">
      <c r="X96" s="59" t="s">
        <v>185</v>
      </c>
    </row>
    <row r="97" spans="24:24" ht="16.5" x14ac:dyDescent="0.25">
      <c r="X97" s="59" t="s">
        <v>186</v>
      </c>
    </row>
    <row r="98" spans="24:24" ht="16.5" x14ac:dyDescent="0.25">
      <c r="X98" s="59" t="s">
        <v>187</v>
      </c>
    </row>
    <row r="99" spans="24:24" ht="16.5" x14ac:dyDescent="0.25">
      <c r="X99" s="59" t="s">
        <v>188</v>
      </c>
    </row>
    <row r="100" spans="24:24" ht="16.5" x14ac:dyDescent="0.25">
      <c r="X100" s="59" t="s">
        <v>189</v>
      </c>
    </row>
    <row r="101" spans="24:24" ht="16.5" x14ac:dyDescent="0.25">
      <c r="X101" s="59" t="s">
        <v>190</v>
      </c>
    </row>
    <row r="102" spans="24:24" ht="16.5" x14ac:dyDescent="0.25">
      <c r="X102" s="59" t="s">
        <v>191</v>
      </c>
    </row>
    <row r="103" spans="24:24" ht="16.5" x14ac:dyDescent="0.25">
      <c r="X103" s="59" t="s">
        <v>192</v>
      </c>
    </row>
    <row r="104" spans="24:24" ht="16.5" x14ac:dyDescent="0.25">
      <c r="X104" s="59" t="s">
        <v>193</v>
      </c>
    </row>
    <row r="105" spans="24:24" ht="16.5" x14ac:dyDescent="0.25">
      <c r="X105" s="59" t="s">
        <v>194</v>
      </c>
    </row>
    <row r="106" spans="24:24" ht="16.5" x14ac:dyDescent="0.25">
      <c r="X106" s="59" t="s">
        <v>195</v>
      </c>
    </row>
    <row r="107" spans="24:24" ht="16.5" x14ac:dyDescent="0.25">
      <c r="X107" s="59" t="s">
        <v>196</v>
      </c>
    </row>
    <row r="108" spans="24:24" ht="16.5" x14ac:dyDescent="0.25">
      <c r="X108" s="59" t="s">
        <v>197</v>
      </c>
    </row>
    <row r="109" spans="24:24" ht="16.5" x14ac:dyDescent="0.25">
      <c r="X109" s="59" t="s">
        <v>198</v>
      </c>
    </row>
    <row r="110" spans="24:24" ht="16.5" x14ac:dyDescent="0.25">
      <c r="X110" s="59" t="s">
        <v>199</v>
      </c>
    </row>
    <row r="111" spans="24:24" ht="16.5" x14ac:dyDescent="0.25">
      <c r="X111" s="59" t="s">
        <v>200</v>
      </c>
    </row>
    <row r="112" spans="24:24" ht="16.5" x14ac:dyDescent="0.25">
      <c r="X112" s="59" t="s">
        <v>201</v>
      </c>
    </row>
    <row r="113" spans="24:24" ht="16.5" x14ac:dyDescent="0.25">
      <c r="X113" s="59" t="s">
        <v>202</v>
      </c>
    </row>
    <row r="114" spans="24:24" ht="16.5" x14ac:dyDescent="0.25">
      <c r="X114" s="59" t="s">
        <v>203</v>
      </c>
    </row>
    <row r="115" spans="24:24" ht="16.5" x14ac:dyDescent="0.25">
      <c r="X115" s="59" t="s">
        <v>204</v>
      </c>
    </row>
    <row r="116" spans="24:24" ht="16.5" x14ac:dyDescent="0.25">
      <c r="X116" s="59" t="s">
        <v>205</v>
      </c>
    </row>
    <row r="117" spans="24:24" ht="16.5" x14ac:dyDescent="0.25">
      <c r="X117" s="59" t="s">
        <v>206</v>
      </c>
    </row>
    <row r="118" spans="24:24" ht="16.5" x14ac:dyDescent="0.25">
      <c r="X118" s="59" t="s">
        <v>207</v>
      </c>
    </row>
    <row r="119" spans="24:24" ht="16.5" x14ac:dyDescent="0.25">
      <c r="X119" s="59" t="s">
        <v>208</v>
      </c>
    </row>
    <row r="120" spans="24:24" ht="16.5" x14ac:dyDescent="0.25">
      <c r="X120" s="59" t="s">
        <v>209</v>
      </c>
    </row>
    <row r="121" spans="24:24" ht="16.5" x14ac:dyDescent="0.25">
      <c r="X121" s="59" t="s">
        <v>210</v>
      </c>
    </row>
    <row r="122" spans="24:24" ht="16.5" x14ac:dyDescent="0.25">
      <c r="X122" s="59" t="s">
        <v>211</v>
      </c>
    </row>
    <row r="123" spans="24:24" ht="16.5" x14ac:dyDescent="0.25">
      <c r="X123" s="59" t="s">
        <v>212</v>
      </c>
    </row>
    <row r="124" spans="24:24" ht="16.5" x14ac:dyDescent="0.25">
      <c r="X124" s="59" t="s">
        <v>213</v>
      </c>
    </row>
    <row r="125" spans="24:24" ht="16.5" x14ac:dyDescent="0.25">
      <c r="X125" s="59" t="s">
        <v>214</v>
      </c>
    </row>
    <row r="126" spans="24:24" ht="16.5" x14ac:dyDescent="0.25">
      <c r="X126" s="59" t="s">
        <v>215</v>
      </c>
    </row>
    <row r="127" spans="24:24" ht="16.5" x14ac:dyDescent="0.25">
      <c r="X127" s="59" t="s">
        <v>216</v>
      </c>
    </row>
    <row r="128" spans="24:24" ht="16.5" x14ac:dyDescent="0.25">
      <c r="X128" s="59" t="s">
        <v>217</v>
      </c>
    </row>
    <row r="129" spans="24:24" ht="16.5" x14ac:dyDescent="0.25">
      <c r="X129" s="59" t="s">
        <v>218</v>
      </c>
    </row>
    <row r="130" spans="24:24" ht="16.5" x14ac:dyDescent="0.25">
      <c r="X130" s="59" t="s">
        <v>219</v>
      </c>
    </row>
    <row r="131" spans="24:24" ht="16.5" x14ac:dyDescent="0.25">
      <c r="X131" s="59" t="s">
        <v>220</v>
      </c>
    </row>
    <row r="132" spans="24:24" ht="16.5" x14ac:dyDescent="0.25">
      <c r="X132" s="59" t="s">
        <v>221</v>
      </c>
    </row>
    <row r="133" spans="24:24" ht="16.5" x14ac:dyDescent="0.25">
      <c r="X133" s="59" t="s">
        <v>222</v>
      </c>
    </row>
    <row r="134" spans="24:24" ht="16.5" x14ac:dyDescent="0.25">
      <c r="X134" s="59" t="s">
        <v>223</v>
      </c>
    </row>
    <row r="135" spans="24:24" ht="16.5" x14ac:dyDescent="0.25">
      <c r="X135" s="59" t="s">
        <v>224</v>
      </c>
    </row>
    <row r="136" spans="24:24" ht="16.5" x14ac:dyDescent="0.25">
      <c r="X136" s="59" t="s">
        <v>225</v>
      </c>
    </row>
  </sheetData>
  <mergeCells count="3">
    <mergeCell ref="E1:E2"/>
    <mergeCell ref="G1:G2"/>
    <mergeCell ref="K1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5703-FEF9-45B5-AC50-3B995E389C9A}">
  <sheetPr codeName="Sheet9">
    <tabColor rgb="FFFFC000"/>
  </sheetPr>
  <dimension ref="B1:AH52"/>
  <sheetViews>
    <sheetView showGridLines="0" zoomScaleNormal="100" workbookViewId="0">
      <selection activeCell="V29" sqref="V29:W30"/>
    </sheetView>
  </sheetViews>
  <sheetFormatPr defaultRowHeight="15" x14ac:dyDescent="0.25"/>
  <cols>
    <col min="1" max="1" width="3.140625" customWidth="1"/>
    <col min="2" max="7" width="9.140625" customWidth="1"/>
    <col min="8" max="8" width="10.42578125" customWidth="1"/>
    <col min="9" max="9" width="11.28515625" customWidth="1"/>
    <col min="10" max="17" width="9.140625" customWidth="1"/>
    <col min="18" max="24" width="9.7109375" customWidth="1"/>
    <col min="25" max="34" width="7.7109375" customWidth="1"/>
  </cols>
  <sheetData>
    <row r="1" spans="2:24" ht="15" customHeight="1" x14ac:dyDescent="0.25">
      <c r="B1" s="357" t="s">
        <v>250</v>
      </c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77"/>
      <c r="P1" s="390" t="s">
        <v>320</v>
      </c>
      <c r="Q1" s="391"/>
      <c r="R1" s="391"/>
      <c r="S1" s="391"/>
      <c r="T1" s="391"/>
      <c r="U1" s="391"/>
      <c r="V1" s="391"/>
      <c r="W1" s="391"/>
      <c r="X1" s="392"/>
    </row>
    <row r="2" spans="2:24" ht="15" customHeight="1" x14ac:dyDescent="0.25">
      <c r="B2" s="357"/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77"/>
      <c r="P2" s="393"/>
      <c r="Q2" s="394"/>
      <c r="R2" s="394"/>
      <c r="S2" s="394"/>
      <c r="T2" s="394"/>
      <c r="U2" s="394"/>
      <c r="V2" s="394"/>
      <c r="W2" s="394"/>
      <c r="X2" s="395"/>
    </row>
    <row r="3" spans="2:24" ht="15" customHeight="1" x14ac:dyDescent="0.25">
      <c r="B3" s="397" t="s">
        <v>288</v>
      </c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8" t="s">
        <v>267</v>
      </c>
      <c r="O3" s="398"/>
      <c r="P3" s="393"/>
      <c r="Q3" s="394"/>
      <c r="R3" s="394"/>
      <c r="S3" s="394"/>
      <c r="T3" s="394"/>
      <c r="U3" s="394"/>
      <c r="V3" s="394"/>
      <c r="W3" s="394"/>
      <c r="X3" s="395"/>
    </row>
    <row r="4" spans="2:24" ht="15" customHeight="1" x14ac:dyDescent="0.25">
      <c r="B4" s="21" t="s">
        <v>26</v>
      </c>
      <c r="C4" s="7"/>
      <c r="D4" s="8"/>
      <c r="E4" s="8"/>
      <c r="F4" s="161">
        <v>150</v>
      </c>
      <c r="G4" s="9"/>
      <c r="H4" s="21" t="s">
        <v>6</v>
      </c>
      <c r="I4" s="8"/>
      <c r="J4" s="8"/>
      <c r="K4" s="18" t="s">
        <v>7</v>
      </c>
      <c r="L4" s="18">
        <v>1200</v>
      </c>
      <c r="M4" s="189" t="s">
        <v>368</v>
      </c>
      <c r="N4" s="18">
        <v>50</v>
      </c>
      <c r="O4" s="39"/>
      <c r="P4" s="393"/>
      <c r="Q4" s="394"/>
      <c r="R4" s="394"/>
      <c r="S4" s="394"/>
      <c r="T4" s="394"/>
      <c r="U4" s="394"/>
      <c r="V4" s="394"/>
      <c r="W4" s="394"/>
      <c r="X4" s="395"/>
    </row>
    <row r="5" spans="2:24" ht="15" customHeight="1" x14ac:dyDescent="0.25">
      <c r="B5" s="22" t="s">
        <v>0</v>
      </c>
      <c r="C5" s="11"/>
      <c r="D5" s="11"/>
      <c r="E5" s="11"/>
      <c r="F5" s="56">
        <v>0</v>
      </c>
      <c r="G5" s="13" t="s">
        <v>4</v>
      </c>
      <c r="H5" s="22" t="s">
        <v>8</v>
      </c>
      <c r="I5" s="11"/>
      <c r="J5" s="11"/>
      <c r="K5" s="12" t="s">
        <v>7</v>
      </c>
      <c r="L5" s="12">
        <v>1200</v>
      </c>
      <c r="M5" s="11"/>
      <c r="N5" s="11"/>
      <c r="O5" s="40"/>
      <c r="P5" s="393"/>
      <c r="Q5" s="394"/>
      <c r="R5" s="394"/>
      <c r="S5" s="394"/>
      <c r="T5" s="394"/>
      <c r="U5" s="394"/>
      <c r="V5" s="394"/>
      <c r="W5" s="394"/>
      <c r="X5" s="395"/>
    </row>
    <row r="6" spans="2:24" ht="15" customHeight="1" x14ac:dyDescent="0.25">
      <c r="B6" s="22" t="s">
        <v>70</v>
      </c>
      <c r="C6" s="11"/>
      <c r="D6" s="11"/>
      <c r="E6" s="30" t="s">
        <v>369</v>
      </c>
      <c r="F6" s="56">
        <v>6550</v>
      </c>
      <c r="G6" s="13" t="s">
        <v>4</v>
      </c>
      <c r="H6" s="23" t="s">
        <v>33</v>
      </c>
      <c r="I6" s="19"/>
      <c r="J6" s="19"/>
      <c r="K6" s="12">
        <v>250</v>
      </c>
      <c r="L6" s="11" t="s">
        <v>4</v>
      </c>
      <c r="M6" s="11"/>
      <c r="N6" s="11"/>
      <c r="O6" s="13"/>
      <c r="P6" s="110"/>
      <c r="X6" s="292"/>
    </row>
    <row r="7" spans="2:24" ht="15" customHeight="1" x14ac:dyDescent="0.25">
      <c r="B7" s="58" t="s">
        <v>73</v>
      </c>
      <c r="C7" s="11"/>
      <c r="D7" s="11"/>
      <c r="E7" s="11"/>
      <c r="F7" s="56">
        <v>20</v>
      </c>
      <c r="G7" s="13"/>
      <c r="H7" s="22" t="s">
        <v>19</v>
      </c>
      <c r="I7" s="11"/>
      <c r="J7" s="11"/>
      <c r="K7" s="12">
        <v>2500</v>
      </c>
      <c r="L7" s="11" t="s">
        <v>4</v>
      </c>
      <c r="M7" s="282" t="s">
        <v>412</v>
      </c>
      <c r="N7" s="12">
        <v>200</v>
      </c>
      <c r="O7" s="13"/>
      <c r="P7" s="110"/>
      <c r="X7" s="292"/>
    </row>
    <row r="8" spans="2:24" ht="15" customHeight="1" x14ac:dyDescent="0.25">
      <c r="B8" s="58" t="s">
        <v>89</v>
      </c>
      <c r="C8" s="11"/>
      <c r="D8" s="11"/>
      <c r="E8" s="11"/>
      <c r="F8" s="56">
        <v>50</v>
      </c>
      <c r="G8" s="13"/>
      <c r="H8" s="22" t="s">
        <v>36</v>
      </c>
      <c r="I8" s="11"/>
      <c r="J8" s="11"/>
      <c r="K8" s="12" t="s">
        <v>37</v>
      </c>
      <c r="L8" s="11" t="str">
        <f>IF(K8="Name", "Tên lấy theo cột (3)",IF(K8="Total", "Tên sẽ tổ hợp theo chiều cao tổng","Tên sẽ tổ hợp theo chiều cao bụng"))</f>
        <v>Tên sẽ tổ hợp theo chiều cao tổng</v>
      </c>
      <c r="M8" s="11"/>
      <c r="N8" s="11"/>
      <c r="O8" s="13"/>
      <c r="P8" s="110"/>
      <c r="X8" s="292"/>
    </row>
    <row r="9" spans="2:24" ht="15" customHeight="1" x14ac:dyDescent="0.25">
      <c r="B9" s="58" t="s">
        <v>72</v>
      </c>
      <c r="C9" s="11"/>
      <c r="D9" s="11"/>
      <c r="E9" s="11"/>
      <c r="F9" s="56">
        <v>300</v>
      </c>
      <c r="G9" s="13"/>
      <c r="H9" s="22" t="s">
        <v>35</v>
      </c>
      <c r="I9" s="11"/>
      <c r="J9" s="11"/>
      <c r="K9" s="12" t="s">
        <v>37</v>
      </c>
      <c r="L9" s="11" t="str">
        <f>IF(K9="Name", "Tên lấy theo cột (12)",IF(K9="Total", "Tên sẽ tổ hợp theo chiều cao tổng","Tên sẽ tổ hợp theo chiều cao bụng"))</f>
        <v>Tên sẽ tổ hợp theo chiều cao tổng</v>
      </c>
      <c r="M9" s="11"/>
      <c r="N9" s="11"/>
      <c r="O9" s="13"/>
      <c r="P9" s="110"/>
      <c r="X9" s="292"/>
    </row>
    <row r="10" spans="2:24" ht="15" customHeight="1" x14ac:dyDescent="0.25">
      <c r="B10" s="22" t="s">
        <v>63</v>
      </c>
      <c r="C10" s="11"/>
      <c r="D10" s="11"/>
      <c r="E10" s="55"/>
      <c r="F10" s="56">
        <v>15</v>
      </c>
      <c r="G10" s="13" t="s">
        <v>5</v>
      </c>
      <c r="H10" s="70" t="s">
        <v>46</v>
      </c>
      <c r="I10" s="27"/>
      <c r="J10" s="27"/>
      <c r="K10" s="71" t="s">
        <v>37</v>
      </c>
      <c r="L10" s="72" t="str">
        <f>IF(K10="Total","Chiều cao tổng","Chiều cao bụng")</f>
        <v>Chiều cao tổng</v>
      </c>
      <c r="M10" s="11"/>
      <c r="N10" s="11"/>
      <c r="O10" s="13"/>
      <c r="P10" s="110"/>
      <c r="X10" s="292"/>
    </row>
    <row r="11" spans="2:24" ht="15" customHeight="1" x14ac:dyDescent="0.25">
      <c r="B11" s="22" t="s">
        <v>27</v>
      </c>
      <c r="C11" s="11"/>
      <c r="D11" s="11"/>
      <c r="E11" s="11"/>
      <c r="F11" s="14">
        <f>SUM(E30:E39)</f>
        <v>12000</v>
      </c>
      <c r="G11" s="13" t="s">
        <v>4</v>
      </c>
      <c r="N11" s="20"/>
      <c r="O11" s="69"/>
      <c r="P11" s="110"/>
      <c r="W11" s="6"/>
      <c r="X11" s="293"/>
    </row>
    <row r="12" spans="2:24" ht="15" customHeight="1" x14ac:dyDescent="0.25">
      <c r="B12" s="22" t="s">
        <v>28</v>
      </c>
      <c r="C12" s="11"/>
      <c r="D12" s="11"/>
      <c r="E12" s="11"/>
      <c r="F12" s="20">
        <f>SUM(E41:E50)</f>
        <v>12000</v>
      </c>
      <c r="G12" s="13" t="s">
        <v>4</v>
      </c>
      <c r="H12" s="406" t="s">
        <v>62</v>
      </c>
      <c r="I12" s="407"/>
      <c r="J12" s="52" t="s">
        <v>435</v>
      </c>
      <c r="K12" s="52" t="s">
        <v>246</v>
      </c>
      <c r="L12" s="52" t="s">
        <v>247</v>
      </c>
      <c r="M12" s="52" t="s">
        <v>398</v>
      </c>
      <c r="N12" s="20"/>
      <c r="O12" s="69"/>
      <c r="P12" s="110"/>
      <c r="W12" s="6"/>
      <c r="X12" s="293"/>
    </row>
    <row r="13" spans="2:24" x14ac:dyDescent="0.25">
      <c r="B13" s="22" t="s">
        <v>47</v>
      </c>
      <c r="C13" s="11"/>
      <c r="D13" s="11"/>
      <c r="E13" s="11"/>
      <c r="F13" s="20">
        <f>F11+F12</f>
        <v>24000</v>
      </c>
      <c r="G13" s="13" t="s">
        <v>4</v>
      </c>
      <c r="H13" s="408" t="s">
        <v>436</v>
      </c>
      <c r="I13" s="409"/>
      <c r="J13" s="54">
        <v>8</v>
      </c>
      <c r="K13" s="73">
        <v>16</v>
      </c>
      <c r="L13" s="54">
        <v>16</v>
      </c>
      <c r="M13" s="54" t="s">
        <v>394</v>
      </c>
      <c r="N13" s="11"/>
      <c r="O13" s="13"/>
      <c r="P13" s="110"/>
      <c r="X13" s="292"/>
    </row>
    <row r="14" spans="2:24" ht="15" hidden="1" customHeight="1" x14ac:dyDescent="0.25">
      <c r="B14" s="10"/>
      <c r="C14" s="11"/>
      <c r="D14" s="11"/>
      <c r="E14" s="11"/>
      <c r="F14" s="11"/>
      <c r="G14" s="13"/>
      <c r="H14" s="35"/>
      <c r="I14" s="36"/>
      <c r="J14" s="36"/>
      <c r="K14" s="36"/>
      <c r="L14" s="36"/>
      <c r="M14" s="11"/>
      <c r="N14" s="11"/>
      <c r="O14" s="13"/>
      <c r="P14" s="110"/>
      <c r="X14" s="292"/>
    </row>
    <row r="15" spans="2:24" ht="15" hidden="1" customHeight="1" x14ac:dyDescent="0.25">
      <c r="B15" s="10"/>
      <c r="C15" s="11"/>
      <c r="D15" s="11"/>
      <c r="E15" s="11"/>
      <c r="F15" s="11"/>
      <c r="G15" s="13"/>
      <c r="H15" s="10"/>
      <c r="I15" s="11"/>
      <c r="J15" s="11"/>
      <c r="K15" s="11"/>
      <c r="L15" s="11"/>
      <c r="M15" s="11"/>
      <c r="N15" s="11"/>
      <c r="O15" s="13"/>
      <c r="P15" s="110"/>
      <c r="X15" s="292"/>
    </row>
    <row r="16" spans="2:24" ht="15" hidden="1" customHeight="1" x14ac:dyDescent="0.25">
      <c r="B16" s="10"/>
      <c r="C16" s="11"/>
      <c r="D16" s="11"/>
      <c r="E16" s="11"/>
      <c r="F16" s="11"/>
      <c r="G16" s="13"/>
      <c r="H16" s="10"/>
      <c r="I16" s="11"/>
      <c r="J16" s="11"/>
      <c r="K16" s="11"/>
      <c r="L16" s="11"/>
      <c r="M16" s="11"/>
      <c r="N16" s="11"/>
      <c r="O16" s="13"/>
      <c r="P16" s="110"/>
      <c r="X16" s="292"/>
    </row>
    <row r="17" spans="2:34" ht="15" hidden="1" customHeight="1" x14ac:dyDescent="0.25">
      <c r="B17" s="10"/>
      <c r="C17" s="11"/>
      <c r="D17" s="11"/>
      <c r="E17" s="11"/>
      <c r="F17" s="11"/>
      <c r="G17" s="13"/>
      <c r="H17" s="10"/>
      <c r="I17" s="11"/>
      <c r="J17" s="11"/>
      <c r="K17" s="11"/>
      <c r="L17" s="11"/>
      <c r="M17" s="11"/>
      <c r="N17" s="11"/>
      <c r="O17" s="13"/>
      <c r="P17" s="110"/>
      <c r="X17" s="292"/>
    </row>
    <row r="18" spans="2:34" ht="15" hidden="1" customHeight="1" x14ac:dyDescent="0.25">
      <c r="B18" s="10"/>
      <c r="C18" s="11"/>
      <c r="D18" s="11"/>
      <c r="E18" s="11"/>
      <c r="F18" s="11"/>
      <c r="G18" s="13"/>
      <c r="H18" s="10"/>
      <c r="I18" s="11"/>
      <c r="J18" s="11"/>
      <c r="K18" s="11"/>
      <c r="L18" s="11"/>
      <c r="M18" s="11"/>
      <c r="N18" s="11"/>
      <c r="O18" s="13"/>
      <c r="P18" s="110"/>
      <c r="X18" s="292"/>
    </row>
    <row r="19" spans="2:34" ht="15" hidden="1" customHeight="1" x14ac:dyDescent="0.25">
      <c r="B19" s="10"/>
      <c r="C19" s="11"/>
      <c r="D19" s="11"/>
      <c r="E19" s="11"/>
      <c r="F19" s="11"/>
      <c r="G19" s="13"/>
      <c r="H19" s="10"/>
      <c r="I19" s="11"/>
      <c r="J19" s="11"/>
      <c r="K19" s="11"/>
      <c r="L19" s="11"/>
      <c r="M19" s="11"/>
      <c r="N19" s="11"/>
      <c r="O19" s="13"/>
      <c r="P19" s="110"/>
      <c r="X19" s="292"/>
    </row>
    <row r="20" spans="2:34" ht="15" hidden="1" customHeight="1" x14ac:dyDescent="0.25">
      <c r="B20" s="10"/>
      <c r="C20" s="11"/>
      <c r="D20" s="11"/>
      <c r="E20" s="11"/>
      <c r="F20" s="11"/>
      <c r="G20" s="13"/>
      <c r="H20" s="10"/>
      <c r="I20" s="11"/>
      <c r="J20" s="11"/>
      <c r="K20" s="11"/>
      <c r="L20" s="11"/>
      <c r="M20" s="11"/>
      <c r="N20" s="11"/>
      <c r="O20" s="13"/>
      <c r="P20" s="110"/>
      <c r="X20" s="292"/>
    </row>
    <row r="21" spans="2:34" ht="15" hidden="1" customHeight="1" x14ac:dyDescent="0.25">
      <c r="B21" s="10"/>
      <c r="C21" s="11"/>
      <c r="D21" s="11"/>
      <c r="E21" s="11"/>
      <c r="F21" s="11"/>
      <c r="G21" s="13"/>
      <c r="H21" s="10"/>
      <c r="I21" s="11"/>
      <c r="J21" s="11"/>
      <c r="K21" s="11"/>
      <c r="L21" s="11"/>
      <c r="M21" s="11"/>
      <c r="N21" s="11"/>
      <c r="O21" s="13"/>
      <c r="P21" s="110"/>
      <c r="X21" s="292"/>
    </row>
    <row r="22" spans="2:34" ht="15" hidden="1" customHeight="1" x14ac:dyDescent="0.25">
      <c r="B22" s="10"/>
      <c r="C22" s="11"/>
      <c r="D22" s="11"/>
      <c r="E22" s="11"/>
      <c r="F22" s="11"/>
      <c r="G22" s="13"/>
      <c r="H22" s="10"/>
      <c r="I22" s="11"/>
      <c r="J22" s="11"/>
      <c r="K22" s="11"/>
      <c r="L22" s="11"/>
      <c r="M22" s="11"/>
      <c r="N22" s="11"/>
      <c r="O22" s="13"/>
      <c r="P22" s="110"/>
      <c r="X22" s="292"/>
    </row>
    <row r="23" spans="2:34" ht="15" customHeight="1" thickBot="1" x14ac:dyDescent="0.3">
      <c r="B23" s="34"/>
      <c r="C23" s="27"/>
      <c r="D23" s="27"/>
      <c r="E23" s="27"/>
      <c r="F23" s="27"/>
      <c r="G23" s="28"/>
      <c r="H23" s="378"/>
      <c r="I23" s="379"/>
      <c r="J23" s="92"/>
      <c r="K23" s="93"/>
      <c r="L23" s="92"/>
      <c r="M23" s="27"/>
      <c r="N23" s="27"/>
      <c r="O23" s="28"/>
      <c r="P23" s="294"/>
      <c r="Q23" s="295"/>
      <c r="R23" s="295"/>
      <c r="S23" s="295"/>
      <c r="T23" s="295"/>
      <c r="U23" s="295"/>
      <c r="V23" s="295"/>
      <c r="W23" s="295"/>
      <c r="X23" s="296"/>
    </row>
    <row r="24" spans="2:34" ht="15" customHeight="1" x14ac:dyDescent="0.25">
      <c r="B24" s="380" t="s">
        <v>29</v>
      </c>
      <c r="C24" s="383" t="s">
        <v>32</v>
      </c>
      <c r="D24" s="383"/>
      <c r="E24" s="383"/>
      <c r="F24" s="383"/>
      <c r="G24" s="383"/>
      <c r="H24" s="383"/>
      <c r="I24" s="383"/>
      <c r="J24" s="402" t="s">
        <v>451</v>
      </c>
      <c r="K24" s="403"/>
      <c r="L24" s="403"/>
      <c r="M24" s="404"/>
      <c r="N24" s="384" t="s">
        <v>24</v>
      </c>
      <c r="O24" s="383"/>
      <c r="P24" s="385"/>
      <c r="Q24" s="385"/>
      <c r="R24" s="386"/>
      <c r="T24" s="416" t="s">
        <v>452</v>
      </c>
      <c r="U24" s="416"/>
      <c r="V24" s="416"/>
      <c r="W24" s="416"/>
      <c r="X24" s="416"/>
      <c r="Y24" s="413"/>
      <c r="Z24" s="413" t="s">
        <v>31</v>
      </c>
      <c r="AA24" s="413"/>
      <c r="AB24" s="413"/>
      <c r="AC24" s="413"/>
      <c r="AD24" s="413" t="s">
        <v>307</v>
      </c>
      <c r="AE24" s="413"/>
      <c r="AF24" s="413"/>
      <c r="AG24" s="413"/>
      <c r="AH24" s="413"/>
    </row>
    <row r="25" spans="2:34" ht="15" customHeight="1" x14ac:dyDescent="0.25">
      <c r="B25" s="381"/>
      <c r="C25" s="362" t="s">
        <v>248</v>
      </c>
      <c r="D25" s="361" t="s">
        <v>42</v>
      </c>
      <c r="E25" s="361" t="s">
        <v>41</v>
      </c>
      <c r="F25" s="347" t="s">
        <v>20</v>
      </c>
      <c r="G25" s="347"/>
      <c r="H25" s="347"/>
      <c r="I25" s="347"/>
      <c r="J25" s="360" t="s">
        <v>285</v>
      </c>
      <c r="K25" s="360" t="s">
        <v>437</v>
      </c>
      <c r="L25" s="362" t="s">
        <v>34</v>
      </c>
      <c r="M25" s="362" t="s">
        <v>30</v>
      </c>
      <c r="N25" s="410" t="s">
        <v>240</v>
      </c>
      <c r="O25" s="347" t="s">
        <v>20</v>
      </c>
      <c r="P25" s="347"/>
      <c r="Q25" s="347"/>
      <c r="R25" s="412"/>
      <c r="T25" s="361" t="s">
        <v>456</v>
      </c>
      <c r="U25" s="361" t="s">
        <v>237</v>
      </c>
      <c r="V25" s="366" t="s">
        <v>43</v>
      </c>
      <c r="W25" s="366" t="s">
        <v>23</v>
      </c>
      <c r="X25" s="366" t="s">
        <v>44</v>
      </c>
      <c r="Y25" s="366" t="s">
        <v>45</v>
      </c>
      <c r="Z25" s="366" t="s">
        <v>398</v>
      </c>
      <c r="AA25" s="361" t="s">
        <v>453</v>
      </c>
      <c r="AB25" s="361" t="s">
        <v>454</v>
      </c>
      <c r="AC25" s="361" t="s">
        <v>238</v>
      </c>
      <c r="AD25" s="361" t="s">
        <v>455</v>
      </c>
      <c r="AE25" s="366" t="s">
        <v>43</v>
      </c>
      <c r="AF25" s="366" t="s">
        <v>23</v>
      </c>
      <c r="AG25" s="366" t="s">
        <v>44</v>
      </c>
      <c r="AH25" s="366" t="s">
        <v>45</v>
      </c>
    </row>
    <row r="26" spans="2:34" ht="15" customHeight="1" x14ac:dyDescent="0.25">
      <c r="B26" s="381"/>
      <c r="C26" s="363"/>
      <c r="D26" s="361"/>
      <c r="E26" s="366"/>
      <c r="F26" s="361" t="s">
        <v>38</v>
      </c>
      <c r="G26" s="361" t="s">
        <v>22</v>
      </c>
      <c r="H26" s="361" t="s">
        <v>39</v>
      </c>
      <c r="I26" s="361" t="s">
        <v>40</v>
      </c>
      <c r="J26" s="360"/>
      <c r="K26" s="360"/>
      <c r="L26" s="363"/>
      <c r="M26" s="363"/>
      <c r="N26" s="410"/>
      <c r="O26" s="361" t="s">
        <v>38</v>
      </c>
      <c r="P26" s="361" t="s">
        <v>22</v>
      </c>
      <c r="Q26" s="361" t="s">
        <v>39</v>
      </c>
      <c r="R26" s="389" t="s">
        <v>40</v>
      </c>
      <c r="T26" s="366"/>
      <c r="U26" s="366"/>
      <c r="V26" s="366"/>
      <c r="W26" s="366"/>
      <c r="X26" s="366"/>
      <c r="Y26" s="366"/>
      <c r="Z26" s="366"/>
      <c r="AA26" s="366"/>
      <c r="AB26" s="361"/>
      <c r="AC26" s="361"/>
      <c r="AD26" s="366"/>
      <c r="AE26" s="366"/>
      <c r="AF26" s="366"/>
      <c r="AG26" s="366"/>
      <c r="AH26" s="366"/>
    </row>
    <row r="27" spans="2:34" x14ac:dyDescent="0.25">
      <c r="B27" s="381"/>
      <c r="C27" s="363"/>
      <c r="D27" s="361"/>
      <c r="E27" s="366"/>
      <c r="F27" s="361"/>
      <c r="G27" s="361"/>
      <c r="H27" s="361"/>
      <c r="I27" s="361"/>
      <c r="J27" s="360"/>
      <c r="K27" s="360"/>
      <c r="L27" s="363"/>
      <c r="M27" s="363"/>
      <c r="N27" s="410"/>
      <c r="O27" s="361"/>
      <c r="P27" s="361"/>
      <c r="Q27" s="361"/>
      <c r="R27" s="389"/>
      <c r="T27" s="54" t="s">
        <v>457</v>
      </c>
      <c r="U27" s="54">
        <v>6000</v>
      </c>
      <c r="V27" s="54">
        <v>350</v>
      </c>
      <c r="W27" s="54">
        <v>5</v>
      </c>
      <c r="X27" s="54">
        <v>200</v>
      </c>
      <c r="Y27" s="54">
        <v>10</v>
      </c>
      <c r="Z27" s="54" t="s">
        <v>397</v>
      </c>
      <c r="AA27" s="54">
        <v>6</v>
      </c>
      <c r="AB27" s="54">
        <v>16</v>
      </c>
      <c r="AC27" s="54">
        <v>16</v>
      </c>
      <c r="AD27" s="54" t="s">
        <v>373</v>
      </c>
      <c r="AE27" s="54">
        <v>400</v>
      </c>
      <c r="AF27" s="54">
        <v>6</v>
      </c>
      <c r="AG27" s="54">
        <v>200</v>
      </c>
      <c r="AH27" s="54">
        <v>10</v>
      </c>
    </row>
    <row r="28" spans="2:34" ht="15.75" thickBot="1" x14ac:dyDescent="0.3">
      <c r="B28" s="382"/>
      <c r="C28" s="405"/>
      <c r="D28" s="387"/>
      <c r="E28" s="388"/>
      <c r="F28" s="94" t="s">
        <v>43</v>
      </c>
      <c r="G28" s="94" t="s">
        <v>23</v>
      </c>
      <c r="H28" s="94" t="s">
        <v>44</v>
      </c>
      <c r="I28" s="94" t="s">
        <v>45</v>
      </c>
      <c r="J28" s="396"/>
      <c r="K28" s="396"/>
      <c r="L28" s="405"/>
      <c r="M28" s="405"/>
      <c r="N28" s="411"/>
      <c r="O28" s="94" t="s">
        <v>43</v>
      </c>
      <c r="P28" s="94" t="s">
        <v>23</v>
      </c>
      <c r="Q28" s="94" t="s">
        <v>44</v>
      </c>
      <c r="R28" s="95" t="s">
        <v>45</v>
      </c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2:34" x14ac:dyDescent="0.25">
      <c r="B29" s="67">
        <v>1</v>
      </c>
      <c r="C29" s="66">
        <v>2</v>
      </c>
      <c r="D29" s="66">
        <v>3</v>
      </c>
      <c r="E29" s="66">
        <v>4</v>
      </c>
      <c r="F29" s="66">
        <v>5</v>
      </c>
      <c r="G29" s="66">
        <v>6</v>
      </c>
      <c r="H29" s="66">
        <v>7</v>
      </c>
      <c r="I29" s="66">
        <v>8</v>
      </c>
      <c r="J29" s="66">
        <v>9</v>
      </c>
      <c r="K29" s="66">
        <v>10</v>
      </c>
      <c r="L29" s="66">
        <v>11</v>
      </c>
      <c r="M29" s="251">
        <v>12</v>
      </c>
      <c r="N29" s="67">
        <v>13</v>
      </c>
      <c r="O29" s="66">
        <v>14</v>
      </c>
      <c r="P29" s="66">
        <v>15</v>
      </c>
      <c r="Q29" s="66">
        <v>16</v>
      </c>
      <c r="R29" s="68">
        <v>17</v>
      </c>
      <c r="T29" s="375" t="s">
        <v>449</v>
      </c>
      <c r="U29" s="375"/>
      <c r="V29" s="376">
        <v>3</v>
      </c>
      <c r="W29" s="376"/>
      <c r="X29" s="415" t="s">
        <v>450</v>
      </c>
      <c r="Y29" s="414" t="str">
        <f>"Có " &amp;V29+1 &amp; " cột"</f>
        <v>Có 4 cột</v>
      </c>
      <c r="Z29" s="414"/>
      <c r="AA29" s="77"/>
      <c r="AB29" s="77"/>
      <c r="AC29" s="77"/>
      <c r="AD29" s="77"/>
      <c r="AE29" s="77"/>
      <c r="AF29" s="77"/>
      <c r="AG29" s="77"/>
      <c r="AH29" s="77"/>
    </row>
    <row r="30" spans="2:34" x14ac:dyDescent="0.25">
      <c r="B30" s="37" t="s">
        <v>49</v>
      </c>
      <c r="C30" s="194" t="s">
        <v>229</v>
      </c>
      <c r="D30" s="54" t="s">
        <v>457</v>
      </c>
      <c r="E30" s="101">
        <v>6000</v>
      </c>
      <c r="F30" s="101">
        <v>350</v>
      </c>
      <c r="G30" s="101">
        <v>5</v>
      </c>
      <c r="H30" s="101">
        <v>200</v>
      </c>
      <c r="I30" s="101">
        <v>10</v>
      </c>
      <c r="J30" s="54" t="s">
        <v>397</v>
      </c>
      <c r="K30" s="54">
        <v>6</v>
      </c>
      <c r="L30" s="26">
        <v>16</v>
      </c>
      <c r="M30" s="252">
        <v>16</v>
      </c>
      <c r="N30" s="37" t="s">
        <v>373</v>
      </c>
      <c r="O30" s="101">
        <v>400</v>
      </c>
      <c r="P30" s="101">
        <v>6</v>
      </c>
      <c r="Q30" s="101">
        <v>200</v>
      </c>
      <c r="R30" s="254">
        <v>10</v>
      </c>
      <c r="T30" s="375"/>
      <c r="U30" s="375"/>
      <c r="V30" s="376"/>
      <c r="W30" s="376"/>
      <c r="X30" s="415"/>
      <c r="Y30" s="414"/>
      <c r="Z30" s="414"/>
      <c r="AA30" s="77"/>
      <c r="AB30" s="77"/>
      <c r="AC30" s="77"/>
      <c r="AD30" s="77"/>
      <c r="AE30" s="77"/>
      <c r="AF30" s="77"/>
      <c r="AG30" s="77"/>
      <c r="AH30" s="77"/>
    </row>
    <row r="31" spans="2:34" x14ac:dyDescent="0.25">
      <c r="B31" s="37" t="s">
        <v>50</v>
      </c>
      <c r="C31" s="194" t="s">
        <v>231</v>
      </c>
      <c r="D31" s="54" t="s">
        <v>457</v>
      </c>
      <c r="E31" s="101">
        <v>6000</v>
      </c>
      <c r="F31" s="101">
        <v>350</v>
      </c>
      <c r="G31" s="101">
        <v>5</v>
      </c>
      <c r="H31" s="101">
        <v>200</v>
      </c>
      <c r="I31" s="101">
        <v>10</v>
      </c>
      <c r="J31" s="54" t="s">
        <v>397</v>
      </c>
      <c r="K31" s="54">
        <v>6</v>
      </c>
      <c r="L31" s="26">
        <v>16</v>
      </c>
      <c r="M31" s="252">
        <v>16</v>
      </c>
      <c r="N31" s="37" t="s">
        <v>373</v>
      </c>
      <c r="O31" s="101">
        <v>400</v>
      </c>
      <c r="P31" s="101">
        <v>6</v>
      </c>
      <c r="Q31" s="101">
        <v>200</v>
      </c>
      <c r="R31" s="254">
        <v>10</v>
      </c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2:34" x14ac:dyDescent="0.25">
      <c r="B32" s="37" t="s">
        <v>51</v>
      </c>
      <c r="C32" s="194" t="s">
        <v>232</v>
      </c>
      <c r="D32" s="54"/>
      <c r="E32" s="101"/>
      <c r="F32" s="101"/>
      <c r="G32" s="101"/>
      <c r="H32" s="101"/>
      <c r="I32" s="101"/>
      <c r="J32" s="54"/>
      <c r="K32" s="54"/>
      <c r="L32" s="26"/>
      <c r="M32" s="252"/>
      <c r="N32" s="37"/>
      <c r="O32" s="101"/>
      <c r="P32" s="101"/>
      <c r="Q32" s="101"/>
      <c r="R32" s="254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2:34" x14ac:dyDescent="0.25">
      <c r="B33" s="37" t="s">
        <v>52</v>
      </c>
      <c r="C33" s="194" t="s">
        <v>241</v>
      </c>
      <c r="D33" s="54"/>
      <c r="E33" s="101"/>
      <c r="F33" s="101"/>
      <c r="G33" s="101"/>
      <c r="H33" s="101"/>
      <c r="I33" s="101"/>
      <c r="J33" s="54"/>
      <c r="K33" s="54"/>
      <c r="L33" s="26"/>
      <c r="M33" s="252"/>
      <c r="N33" s="37"/>
      <c r="O33" s="101"/>
      <c r="P33" s="101"/>
      <c r="Q33" s="101"/>
      <c r="R33" s="254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2:34" x14ac:dyDescent="0.25">
      <c r="B34" s="37"/>
      <c r="C34" s="194" t="s">
        <v>233</v>
      </c>
      <c r="D34" s="54"/>
      <c r="E34" s="101"/>
      <c r="F34" s="101"/>
      <c r="G34" s="101"/>
      <c r="H34" s="101"/>
      <c r="I34" s="101"/>
      <c r="J34" s="54"/>
      <c r="K34" s="54"/>
      <c r="L34" s="26"/>
      <c r="M34" s="252"/>
      <c r="N34" s="37"/>
      <c r="O34" s="101"/>
      <c r="P34" s="101"/>
      <c r="Q34" s="101"/>
      <c r="R34" s="254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2:34" x14ac:dyDescent="0.25">
      <c r="B35" s="37"/>
      <c r="C35" s="194" t="s">
        <v>234</v>
      </c>
      <c r="D35" s="54"/>
      <c r="E35" s="101"/>
      <c r="F35" s="101"/>
      <c r="G35" s="101"/>
      <c r="H35" s="101"/>
      <c r="I35" s="101"/>
      <c r="J35" s="54"/>
      <c r="K35" s="54"/>
      <c r="L35" s="26"/>
      <c r="M35" s="252"/>
      <c r="N35" s="37"/>
      <c r="O35" s="101"/>
      <c r="P35" s="101"/>
      <c r="Q35" s="101"/>
      <c r="R35" s="254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2:34" x14ac:dyDescent="0.25">
      <c r="B36" s="37"/>
      <c r="C36" s="194" t="s">
        <v>235</v>
      </c>
      <c r="D36" s="54"/>
      <c r="E36" s="101"/>
      <c r="F36" s="101"/>
      <c r="G36" s="101"/>
      <c r="H36" s="101"/>
      <c r="I36" s="101"/>
      <c r="J36" s="54"/>
      <c r="K36" s="54"/>
      <c r="L36" s="26"/>
      <c r="M36" s="252"/>
      <c r="N36" s="37"/>
      <c r="O36" s="101"/>
      <c r="P36" s="101"/>
      <c r="Q36" s="101"/>
      <c r="R36" s="254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2:34" hidden="1" x14ac:dyDescent="0.25">
      <c r="B37" s="37"/>
      <c r="C37" s="194" t="s">
        <v>242</v>
      </c>
      <c r="D37" s="54"/>
      <c r="E37" s="101"/>
      <c r="F37" s="101"/>
      <c r="G37" s="101"/>
      <c r="H37" s="101"/>
      <c r="I37" s="101"/>
      <c r="J37" s="54"/>
      <c r="K37" s="54"/>
      <c r="L37" s="26"/>
      <c r="M37" s="252"/>
      <c r="N37" s="37"/>
      <c r="O37" s="101"/>
      <c r="P37" s="101"/>
      <c r="Q37" s="101"/>
      <c r="R37" s="254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2:34" hidden="1" x14ac:dyDescent="0.25">
      <c r="B38" s="37"/>
      <c r="C38" s="194" t="s">
        <v>243</v>
      </c>
      <c r="D38" s="54"/>
      <c r="E38" s="101"/>
      <c r="F38" s="101"/>
      <c r="G38" s="101"/>
      <c r="H38" s="101"/>
      <c r="I38" s="101"/>
      <c r="J38" s="54"/>
      <c r="K38" s="54"/>
      <c r="L38" s="26"/>
      <c r="M38" s="252"/>
      <c r="N38" s="37"/>
      <c r="O38" s="101"/>
      <c r="P38" s="101"/>
      <c r="Q38" s="101"/>
      <c r="R38" s="254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2:34" hidden="1" x14ac:dyDescent="0.25">
      <c r="B39" s="37"/>
      <c r="C39" s="194" t="s">
        <v>244</v>
      </c>
      <c r="D39" s="54"/>
      <c r="E39" s="101"/>
      <c r="F39" s="101"/>
      <c r="G39" s="101"/>
      <c r="H39" s="101"/>
      <c r="I39" s="101"/>
      <c r="J39" s="54"/>
      <c r="K39" s="54"/>
      <c r="L39" s="26"/>
      <c r="M39" s="252"/>
      <c r="N39" s="37"/>
      <c r="O39" s="101"/>
      <c r="P39" s="101"/>
      <c r="Q39" s="101"/>
      <c r="R39" s="254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2:34" x14ac:dyDescent="0.25">
      <c r="B40" s="37"/>
      <c r="C40" s="399" t="s">
        <v>245</v>
      </c>
      <c r="D40" s="400"/>
      <c r="E40" s="400"/>
      <c r="F40" s="400"/>
      <c r="G40" s="400"/>
      <c r="H40" s="400"/>
      <c r="I40" s="400"/>
      <c r="J40" s="400"/>
      <c r="K40" s="400"/>
      <c r="L40" s="400"/>
      <c r="M40" s="401"/>
      <c r="N40" s="257"/>
      <c r="O40" s="253"/>
      <c r="P40" s="253"/>
      <c r="Q40" s="253"/>
      <c r="R40" s="258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2:34" hidden="1" x14ac:dyDescent="0.25">
      <c r="B41" s="37"/>
      <c r="C41" s="195" t="s">
        <v>244</v>
      </c>
      <c r="D41" s="54"/>
      <c r="E41" s="101"/>
      <c r="F41" s="101"/>
      <c r="G41" s="101"/>
      <c r="H41" s="101"/>
      <c r="I41" s="101"/>
      <c r="J41" s="3"/>
      <c r="K41" s="54"/>
      <c r="L41" s="26"/>
      <c r="M41" s="252"/>
      <c r="N41" s="37"/>
      <c r="O41" s="101"/>
      <c r="P41" s="101"/>
      <c r="Q41" s="101"/>
      <c r="R41" s="254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2:34" hidden="1" x14ac:dyDescent="0.25">
      <c r="B42" s="37"/>
      <c r="C42" s="195" t="s">
        <v>243</v>
      </c>
      <c r="D42" s="54"/>
      <c r="E42" s="101"/>
      <c r="F42" s="101"/>
      <c r="G42" s="101"/>
      <c r="H42" s="101"/>
      <c r="I42" s="101"/>
      <c r="J42" s="3"/>
      <c r="K42" s="54"/>
      <c r="L42" s="26"/>
      <c r="M42" s="252"/>
      <c r="N42" s="37"/>
      <c r="O42" s="101"/>
      <c r="P42" s="101"/>
      <c r="Q42" s="101"/>
      <c r="R42" s="254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2:34" hidden="1" x14ac:dyDescent="0.25">
      <c r="B43" s="37"/>
      <c r="C43" s="195" t="s">
        <v>242</v>
      </c>
      <c r="D43" s="54"/>
      <c r="E43" s="101"/>
      <c r="F43" s="101"/>
      <c r="G43" s="101"/>
      <c r="H43" s="101"/>
      <c r="I43" s="101"/>
      <c r="J43" s="3"/>
      <c r="K43" s="54"/>
      <c r="L43" s="26"/>
      <c r="M43" s="252"/>
      <c r="N43" s="37"/>
      <c r="O43" s="101"/>
      <c r="P43" s="101"/>
      <c r="Q43" s="101"/>
      <c r="R43" s="254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2:34" x14ac:dyDescent="0.25">
      <c r="B44" s="37"/>
      <c r="C44" s="195" t="s">
        <v>235</v>
      </c>
      <c r="D44" s="54"/>
      <c r="E44" s="101"/>
      <c r="F44" s="101"/>
      <c r="G44" s="101"/>
      <c r="H44" s="101"/>
      <c r="I44" s="101"/>
      <c r="J44" s="3"/>
      <c r="K44" s="54"/>
      <c r="L44" s="26"/>
      <c r="M44" s="252"/>
      <c r="N44" s="37"/>
      <c r="O44" s="101"/>
      <c r="P44" s="101"/>
      <c r="Q44" s="101"/>
      <c r="R44" s="254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2:34" x14ac:dyDescent="0.25">
      <c r="B45" s="37"/>
      <c r="C45" s="195" t="s">
        <v>234</v>
      </c>
      <c r="D45" s="54"/>
      <c r="E45" s="101"/>
      <c r="F45" s="101"/>
      <c r="G45" s="101"/>
      <c r="H45" s="101"/>
      <c r="I45" s="101"/>
      <c r="J45" s="3"/>
      <c r="K45" s="54"/>
      <c r="L45" s="26"/>
      <c r="M45" s="252"/>
      <c r="N45" s="37"/>
      <c r="O45" s="101"/>
      <c r="P45" s="101"/>
      <c r="Q45" s="101"/>
      <c r="R45" s="254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2:34" x14ac:dyDescent="0.25">
      <c r="B46" s="286"/>
      <c r="C46" s="195" t="s">
        <v>233</v>
      </c>
      <c r="D46" s="54"/>
      <c r="E46" s="101"/>
      <c r="F46" s="101"/>
      <c r="G46" s="101"/>
      <c r="H46" s="101"/>
      <c r="I46" s="101"/>
      <c r="J46" s="54"/>
      <c r="K46" s="54"/>
      <c r="L46" s="26"/>
      <c r="M46" s="252"/>
      <c r="N46" s="37"/>
      <c r="O46" s="101"/>
      <c r="P46" s="101"/>
      <c r="Q46" s="101"/>
      <c r="R46" s="254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2:34" x14ac:dyDescent="0.25">
      <c r="B47" s="286"/>
      <c r="C47" s="195" t="s">
        <v>241</v>
      </c>
      <c r="D47" s="54"/>
      <c r="E47" s="101"/>
      <c r="F47" s="101"/>
      <c r="G47" s="101"/>
      <c r="H47" s="101"/>
      <c r="I47" s="101"/>
      <c r="J47" s="54"/>
      <c r="K47" s="54"/>
      <c r="L47" s="26"/>
      <c r="M47" s="252"/>
      <c r="N47" s="37"/>
      <c r="O47" s="101"/>
      <c r="P47" s="101"/>
      <c r="Q47" s="101"/>
      <c r="R47" s="254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2:34" x14ac:dyDescent="0.25">
      <c r="B48" s="286"/>
      <c r="C48" s="195" t="s">
        <v>232</v>
      </c>
      <c r="D48" s="54"/>
      <c r="E48" s="101"/>
      <c r="F48" s="101"/>
      <c r="G48" s="101"/>
      <c r="H48" s="101"/>
      <c r="I48" s="101"/>
      <c r="J48" s="54"/>
      <c r="K48" s="54"/>
      <c r="L48" s="26"/>
      <c r="M48" s="252"/>
      <c r="N48" s="37"/>
      <c r="O48" s="101"/>
      <c r="P48" s="101"/>
      <c r="Q48" s="101"/>
      <c r="R48" s="254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2:34" x14ac:dyDescent="0.25">
      <c r="B49" s="286"/>
      <c r="C49" s="195" t="s">
        <v>231</v>
      </c>
      <c r="D49" s="54" t="s">
        <v>457</v>
      </c>
      <c r="E49" s="101">
        <v>6000</v>
      </c>
      <c r="F49" s="101">
        <v>350</v>
      </c>
      <c r="G49" s="101">
        <v>5</v>
      </c>
      <c r="H49" s="101">
        <v>200</v>
      </c>
      <c r="I49" s="101">
        <v>10</v>
      </c>
      <c r="J49" s="54" t="s">
        <v>397</v>
      </c>
      <c r="K49" s="54">
        <v>6</v>
      </c>
      <c r="L49" s="26">
        <v>16</v>
      </c>
      <c r="M49" s="252">
        <v>16</v>
      </c>
      <c r="N49" s="37" t="s">
        <v>373</v>
      </c>
      <c r="O49" s="101">
        <v>400</v>
      </c>
      <c r="P49" s="101">
        <v>6</v>
      </c>
      <c r="Q49" s="101">
        <v>200</v>
      </c>
      <c r="R49" s="254">
        <v>10</v>
      </c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2:34" ht="15.75" thickBot="1" x14ac:dyDescent="0.3">
      <c r="B50" s="287"/>
      <c r="C50" s="280" t="s">
        <v>229</v>
      </c>
      <c r="D50" s="75" t="s">
        <v>457</v>
      </c>
      <c r="E50" s="255">
        <v>6000</v>
      </c>
      <c r="F50" s="255">
        <v>350</v>
      </c>
      <c r="G50" s="255">
        <v>5</v>
      </c>
      <c r="H50" s="255">
        <v>200</v>
      </c>
      <c r="I50" s="255">
        <v>10</v>
      </c>
      <c r="J50" s="75" t="s">
        <v>397</v>
      </c>
      <c r="K50" s="75">
        <v>6</v>
      </c>
      <c r="L50" s="288">
        <v>16</v>
      </c>
      <c r="M50" s="289">
        <v>16</v>
      </c>
      <c r="N50" s="164" t="s">
        <v>373</v>
      </c>
      <c r="O50" s="255">
        <v>400</v>
      </c>
      <c r="P50" s="255">
        <v>6</v>
      </c>
      <c r="Q50" s="255">
        <v>200</v>
      </c>
      <c r="R50" s="256">
        <v>10</v>
      </c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2" spans="2:34" x14ac:dyDescent="0.25">
      <c r="B52" s="102" t="s">
        <v>313</v>
      </c>
    </row>
  </sheetData>
  <mergeCells count="52">
    <mergeCell ref="AD24:AH24"/>
    <mergeCell ref="AD25:AD26"/>
    <mergeCell ref="Y29:Z30"/>
    <mergeCell ref="X29:X30"/>
    <mergeCell ref="AF25:AF26"/>
    <mergeCell ref="AG25:AG26"/>
    <mergeCell ref="AH25:AH26"/>
    <mergeCell ref="Z24:AC24"/>
    <mergeCell ref="T24:Y24"/>
    <mergeCell ref="AE25:AE26"/>
    <mergeCell ref="T25:T26"/>
    <mergeCell ref="U25:U26"/>
    <mergeCell ref="AC25:AC26"/>
    <mergeCell ref="AB25:AB26"/>
    <mergeCell ref="AA25:AA26"/>
    <mergeCell ref="Z25:Z26"/>
    <mergeCell ref="Y25:Y26"/>
    <mergeCell ref="X25:X26"/>
    <mergeCell ref="W25:W26"/>
    <mergeCell ref="V25:V26"/>
    <mergeCell ref="H12:I12"/>
    <mergeCell ref="H13:I13"/>
    <mergeCell ref="N25:N28"/>
    <mergeCell ref="O25:R25"/>
    <mergeCell ref="P26:P27"/>
    <mergeCell ref="Q26:Q27"/>
    <mergeCell ref="C40:M40"/>
    <mergeCell ref="J24:M24"/>
    <mergeCell ref="J25:J28"/>
    <mergeCell ref="F26:F27"/>
    <mergeCell ref="G26:G27"/>
    <mergeCell ref="H26:H27"/>
    <mergeCell ref="I26:I27"/>
    <mergeCell ref="C25:C28"/>
    <mergeCell ref="L25:L28"/>
    <mergeCell ref="M25:M28"/>
    <mergeCell ref="T29:U30"/>
    <mergeCell ref="V29:W30"/>
    <mergeCell ref="B1:O2"/>
    <mergeCell ref="H23:I23"/>
    <mergeCell ref="B24:B28"/>
    <mergeCell ref="C24:I24"/>
    <mergeCell ref="N24:R24"/>
    <mergeCell ref="D25:D28"/>
    <mergeCell ref="E25:E28"/>
    <mergeCell ref="R26:R27"/>
    <mergeCell ref="P1:X5"/>
    <mergeCell ref="F25:I25"/>
    <mergeCell ref="K25:K28"/>
    <mergeCell ref="B3:M3"/>
    <mergeCell ref="O26:O27"/>
    <mergeCell ref="N3:O3"/>
  </mergeCells>
  <phoneticPr fontId="10" type="noConversion"/>
  <conditionalFormatting sqref="C30 C41">
    <cfRule type="containsText" dxfId="19" priority="95" operator="containsText" text="P">
      <formula>NOT(ISERROR(SEARCH("P",C30)))</formula>
    </cfRule>
    <cfRule type="containsText" dxfId="18" priority="96" operator="containsText" text="T">
      <formula>NOT(ISERROR(SEARCH("T",C30)))</formula>
    </cfRule>
  </conditionalFormatting>
  <conditionalFormatting sqref="J45">
    <cfRule type="containsText" dxfId="17" priority="9" operator="containsText" text="S">
      <formula>NOT(ISERROR(SEARCH("S",J45)))</formula>
    </cfRule>
    <cfRule type="containsText" dxfId="16" priority="10" operator="containsText" text="V">
      <formula>NOT(ISERROR(SEARCH("V",J45)))</formula>
    </cfRule>
  </conditionalFormatting>
  <conditionalFormatting sqref="J44">
    <cfRule type="containsText" dxfId="15" priority="7" operator="containsText" text="S">
      <formula>NOT(ISERROR(SEARCH("S",J44)))</formula>
    </cfRule>
    <cfRule type="containsText" dxfId="14" priority="8" operator="containsText" text="V">
      <formula>NOT(ISERROR(SEARCH("V",J44)))</formula>
    </cfRule>
  </conditionalFormatting>
  <conditionalFormatting sqref="J43">
    <cfRule type="containsText" dxfId="13" priority="5" operator="containsText" text="S">
      <formula>NOT(ISERROR(SEARCH("S",J43)))</formula>
    </cfRule>
    <cfRule type="containsText" dxfId="12" priority="6" operator="containsText" text="V">
      <formula>NOT(ISERROR(SEARCH("V",J43)))</formula>
    </cfRule>
  </conditionalFormatting>
  <conditionalFormatting sqref="J42">
    <cfRule type="containsText" dxfId="11" priority="3" operator="containsText" text="S">
      <formula>NOT(ISERROR(SEARCH("S",J42)))</formula>
    </cfRule>
    <cfRule type="containsText" dxfId="10" priority="4" operator="containsText" text="V">
      <formula>NOT(ISERROR(SEARCH("V",J42)))</formula>
    </cfRule>
  </conditionalFormatting>
  <conditionalFormatting sqref="J41">
    <cfRule type="containsText" dxfId="9" priority="1" operator="containsText" text="S">
      <formula>NOT(ISERROR(SEARCH("S",J41)))</formula>
    </cfRule>
    <cfRule type="containsText" dxfId="8" priority="2" operator="containsText" text="V">
      <formula>NOT(ISERROR(SEARCH("V",J41)))</formula>
    </cfRule>
  </conditionalFormatting>
  <dataValidations count="6">
    <dataValidation type="list" allowBlank="1" showInputMessage="1" showErrorMessage="1" sqref="E10" xr:uid="{7BAFACE8-919E-4155-96F5-7225DCE848C5}">
      <formula1>"Bên trái,Bên phải"</formula1>
    </dataValidation>
    <dataValidation type="list" allowBlank="1" showInputMessage="1" showErrorMessage="1" sqref="E6" xr:uid="{3825F168-4A7B-4D93-9DD5-116764A048B8}">
      <formula1>"Chiều cao đỉnh,Chiều cao thông thủy"</formula1>
    </dataValidation>
    <dataValidation type="list" allowBlank="1" showInputMessage="1" showErrorMessage="1" sqref="K10 K8" xr:uid="{247560C3-9638-4681-8EBB-9AFD6FC0210F}">
      <formula1>"Total,Web"</formula1>
    </dataValidation>
    <dataValidation type="list" allowBlank="1" showInputMessage="1" showErrorMessage="1" sqref="K9" xr:uid="{48F41178-1A02-4A35-B63A-34D62EFBBCD4}">
      <formula1>"Name,Total,Web"</formula1>
    </dataValidation>
    <dataValidation type="list" allowBlank="1" showInputMessage="1" showErrorMessage="1" sqref="K30:K39 K41:K50" xr:uid="{3B8494CC-2704-42CF-857B-F4E4D0F18674}">
      <formula1>"6,8"</formula1>
    </dataValidation>
    <dataValidation type="list" allowBlank="1" showInputMessage="1" showErrorMessage="1" sqref="J46:J49" xr:uid="{1DA21AE0-9050-46BD-B644-1FD338CD1487}">
      <formula1>"2,4"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96B5630-F974-4760-BAD9-C5CD81B1E8EA}">
          <x14:formula1>
            <xm:f>Data!$B$2:$B$9</xm:f>
          </x14:formula1>
          <xm:sqref>K12:K13 L30:L39 K23 L41:L50</xm:sqref>
        </x14:dataValidation>
        <x14:dataValidation type="list" allowBlank="1" showInputMessage="1" showErrorMessage="1" xr:uid="{CB39C10B-CCE1-46EC-868E-AA2AA950F338}">
          <x14:formula1>
            <xm:f>Data!$E$3:$E$6</xm:f>
          </x14:formula1>
          <xm:sqref>J41:J45</xm:sqref>
        </x14:dataValidation>
        <x14:dataValidation type="list" allowBlank="1" showInputMessage="1" showErrorMessage="1" xr:uid="{211D22CD-9455-4A4B-B22E-B89EB65DD4A7}">
          <x14:formula1>
            <xm:f>Data!$A$2:$A$12</xm:f>
          </x14:formula1>
          <xm:sqref>K4:K5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2A1D9-B340-4672-9369-E2F33715D3A6}">
  <sheetPr codeName="Sheet2">
    <tabColor rgb="FFFFC000"/>
  </sheetPr>
  <dimension ref="B1:X57"/>
  <sheetViews>
    <sheetView showGridLines="0" topLeftCell="A4" zoomScale="130" zoomScaleNormal="130" workbookViewId="0">
      <selection activeCell="Q14" sqref="Q14"/>
    </sheetView>
  </sheetViews>
  <sheetFormatPr defaultRowHeight="15" x14ac:dyDescent="0.25"/>
  <cols>
    <col min="1" max="1" width="3.140625" customWidth="1"/>
    <col min="2" max="7" width="9.140625" customWidth="1"/>
    <col min="8" max="8" width="8.5703125" customWidth="1"/>
    <col min="9" max="17" width="9.140625" customWidth="1"/>
    <col min="18" max="24" width="9.7109375" customWidth="1"/>
    <col min="25" max="28" width="7.7109375" customWidth="1"/>
  </cols>
  <sheetData>
    <row r="1" spans="2:24" ht="15" customHeight="1" x14ac:dyDescent="0.25">
      <c r="B1" s="357" t="s">
        <v>53</v>
      </c>
      <c r="C1" s="357"/>
      <c r="D1" s="357"/>
      <c r="E1" s="357"/>
      <c r="F1" s="357"/>
      <c r="G1" s="357"/>
      <c r="H1" s="357"/>
      <c r="I1" s="357"/>
      <c r="J1" s="358" t="s">
        <v>334</v>
      </c>
      <c r="K1" s="358"/>
      <c r="L1" s="358"/>
      <c r="M1" s="354" t="s">
        <v>268</v>
      </c>
      <c r="N1" s="354"/>
      <c r="O1" s="163"/>
      <c r="P1" s="163"/>
      <c r="Q1" s="163"/>
      <c r="R1" s="163"/>
      <c r="S1" s="163"/>
      <c r="T1" s="163"/>
      <c r="U1" s="156"/>
      <c r="V1" s="156"/>
      <c r="W1" s="156"/>
      <c r="X1" s="156"/>
    </row>
    <row r="2" spans="2:24" ht="15" customHeight="1" x14ac:dyDescent="0.25">
      <c r="B2" s="357"/>
      <c r="C2" s="357"/>
      <c r="D2" s="357"/>
      <c r="E2" s="357"/>
      <c r="F2" s="357"/>
      <c r="G2" s="357"/>
      <c r="H2" s="357"/>
      <c r="I2" s="357"/>
      <c r="J2" s="358"/>
      <c r="K2" s="358"/>
      <c r="L2" s="358"/>
      <c r="M2" s="354"/>
      <c r="N2" s="354"/>
      <c r="O2" s="156"/>
      <c r="P2" s="156"/>
      <c r="Q2" s="156"/>
      <c r="R2" s="156"/>
      <c r="S2" s="156"/>
      <c r="T2" s="156"/>
      <c r="U2" s="156"/>
      <c r="V2" s="156"/>
      <c r="W2" s="156"/>
      <c r="X2" s="156"/>
    </row>
    <row r="3" spans="2:24" ht="15" customHeight="1" x14ac:dyDescent="0.25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8"/>
      <c r="O3" s="398"/>
      <c r="P3" s="158"/>
      <c r="Q3" s="158"/>
      <c r="R3" s="158"/>
      <c r="S3" s="158"/>
      <c r="T3" s="156"/>
      <c r="U3" s="156"/>
      <c r="V3" s="156"/>
      <c r="W3" s="156"/>
      <c r="X3" s="156"/>
    </row>
    <row r="4" spans="2:24" ht="15" customHeight="1" x14ac:dyDescent="0.25">
      <c r="B4" s="21" t="s">
        <v>26</v>
      </c>
      <c r="C4" s="8"/>
      <c r="D4" s="8"/>
      <c r="E4" s="8"/>
      <c r="F4" s="18">
        <v>150</v>
      </c>
      <c r="G4" s="9"/>
      <c r="H4" s="21" t="s">
        <v>6</v>
      </c>
      <c r="I4" s="8"/>
      <c r="J4" s="18"/>
      <c r="K4" s="18" t="s">
        <v>9</v>
      </c>
      <c r="L4" s="18">
        <v>1200</v>
      </c>
      <c r="M4" s="189" t="s">
        <v>368</v>
      </c>
      <c r="N4" s="190">
        <v>50</v>
      </c>
      <c r="O4" s="359" t="s">
        <v>61</v>
      </c>
      <c r="P4" s="359" t="s">
        <v>62</v>
      </c>
      <c r="Q4" s="359" t="s">
        <v>271</v>
      </c>
      <c r="R4" s="359" t="s">
        <v>34</v>
      </c>
      <c r="S4" s="372" t="s">
        <v>523</v>
      </c>
      <c r="T4" s="372" t="s">
        <v>530</v>
      </c>
      <c r="U4" s="440"/>
      <c r="V4" s="440"/>
      <c r="W4" s="440"/>
      <c r="X4" s="156"/>
    </row>
    <row r="5" spans="2:24" ht="15" customHeight="1" x14ac:dyDescent="0.25">
      <c r="B5" s="22" t="s">
        <v>0</v>
      </c>
      <c r="C5" s="11"/>
      <c r="D5" s="11"/>
      <c r="E5" s="11"/>
      <c r="F5" s="12">
        <v>0</v>
      </c>
      <c r="G5" s="13" t="s">
        <v>4</v>
      </c>
      <c r="H5" s="22" t="s">
        <v>8</v>
      </c>
      <c r="I5" s="11"/>
      <c r="J5" s="12"/>
      <c r="K5" s="12" t="s">
        <v>9</v>
      </c>
      <c r="L5" s="12">
        <v>1200</v>
      </c>
      <c r="M5" s="11"/>
      <c r="N5" s="13"/>
      <c r="O5" s="359"/>
      <c r="P5" s="359"/>
      <c r="Q5" s="359"/>
      <c r="R5" s="359"/>
      <c r="S5" s="359"/>
      <c r="T5" s="359"/>
      <c r="U5" s="440"/>
      <c r="V5" s="440"/>
      <c r="W5" s="440"/>
      <c r="X5" s="156"/>
    </row>
    <row r="6" spans="2:24" ht="15" customHeight="1" x14ac:dyDescent="0.25">
      <c r="B6" s="22" t="s">
        <v>331</v>
      </c>
      <c r="C6" s="112"/>
      <c r="D6" s="112"/>
      <c r="E6" s="352" t="s">
        <v>332</v>
      </c>
      <c r="F6" s="352"/>
      <c r="G6" s="353"/>
      <c r="H6" s="22" t="s">
        <v>333</v>
      </c>
      <c r="I6" s="11"/>
      <c r="J6" s="11"/>
      <c r="K6" s="12">
        <v>200</v>
      </c>
      <c r="L6" s="12"/>
      <c r="M6" s="11"/>
      <c r="N6" s="13"/>
      <c r="O6" s="350" t="s">
        <v>60</v>
      </c>
      <c r="P6" s="346" t="s">
        <v>317</v>
      </c>
      <c r="Q6" s="351" t="s">
        <v>356</v>
      </c>
      <c r="R6" s="345">
        <v>20</v>
      </c>
      <c r="S6" s="346">
        <v>20</v>
      </c>
      <c r="T6" s="346">
        <v>12</v>
      </c>
    </row>
    <row r="7" spans="2:24" ht="15" customHeight="1" x14ac:dyDescent="0.25">
      <c r="B7" s="111" t="str">
        <f>"+ Chiều cao đỉnh mái biên trái"</f>
        <v>+ Chiều cao đỉnh mái biên trái</v>
      </c>
      <c r="C7" s="112"/>
      <c r="D7" s="112"/>
      <c r="E7" s="112"/>
      <c r="F7" s="56">
        <v>8000</v>
      </c>
      <c r="G7" s="113" t="s">
        <v>4</v>
      </c>
      <c r="H7" s="23" t="s">
        <v>318</v>
      </c>
      <c r="I7" s="19"/>
      <c r="J7" s="19"/>
      <c r="K7" s="12">
        <v>200</v>
      </c>
      <c r="L7" s="11" t="s">
        <v>4</v>
      </c>
      <c r="M7" s="11"/>
      <c r="N7" s="13"/>
      <c r="O7" s="350"/>
      <c r="P7" s="346"/>
      <c r="Q7" s="351"/>
      <c r="R7" s="345"/>
      <c r="S7" s="346"/>
      <c r="T7" s="346"/>
    </row>
    <row r="8" spans="2:24" ht="15" customHeight="1" x14ac:dyDescent="0.25">
      <c r="B8" s="111" t="str">
        <f>"+ Chiều cao đỉnh mái ở giữa"</f>
        <v>+ Chiều cao đỉnh mái ở giữa</v>
      </c>
      <c r="C8" s="112"/>
      <c r="D8" s="112"/>
      <c r="E8" s="112"/>
      <c r="F8" s="56">
        <v>12000</v>
      </c>
      <c r="G8" s="113" t="s">
        <v>4</v>
      </c>
      <c r="H8" s="22" t="s">
        <v>336</v>
      </c>
      <c r="I8" s="11"/>
      <c r="J8" s="11"/>
      <c r="K8" s="12">
        <v>2500</v>
      </c>
      <c r="L8" s="11" t="s">
        <v>4</v>
      </c>
      <c r="M8" s="11"/>
      <c r="N8" s="13"/>
      <c r="O8" s="408" t="s">
        <v>527</v>
      </c>
      <c r="P8" s="417"/>
      <c r="Q8" s="409"/>
      <c r="R8" s="26">
        <v>16</v>
      </c>
      <c r="S8" s="320">
        <v>12</v>
      </c>
      <c r="T8" s="320">
        <v>8</v>
      </c>
    </row>
    <row r="9" spans="2:24" ht="15" customHeight="1" x14ac:dyDescent="0.25">
      <c r="B9" s="111" t="str">
        <f>"+ Chiều cao đỉnh mái biên phải"</f>
        <v>+ Chiều cao đỉnh mái biên phải</v>
      </c>
      <c r="C9" s="112"/>
      <c r="D9" s="112"/>
      <c r="E9" s="112"/>
      <c r="F9" s="56">
        <v>8000</v>
      </c>
      <c r="G9" s="113" t="s">
        <v>4</v>
      </c>
      <c r="H9" s="22" t="s">
        <v>340</v>
      </c>
      <c r="I9" s="11"/>
      <c r="J9" s="11"/>
      <c r="K9" s="12">
        <v>200</v>
      </c>
      <c r="L9" s="11" t="s">
        <v>4</v>
      </c>
      <c r="M9" s="11"/>
      <c r="N9" s="13"/>
      <c r="O9" s="408" t="s">
        <v>531</v>
      </c>
      <c r="P9" s="417"/>
      <c r="Q9" s="409"/>
      <c r="R9" s="26">
        <v>16</v>
      </c>
      <c r="S9" s="320">
        <v>16</v>
      </c>
      <c r="T9" s="320">
        <v>8</v>
      </c>
    </row>
    <row r="10" spans="2:24" ht="15" customHeight="1" x14ac:dyDescent="0.25">
      <c r="B10" s="58" t="s">
        <v>73</v>
      </c>
      <c r="C10" s="157"/>
      <c r="D10" s="11"/>
      <c r="E10" s="11"/>
      <c r="F10" s="56">
        <v>20</v>
      </c>
      <c r="G10" s="13"/>
      <c r="H10" s="22" t="s">
        <v>367</v>
      </c>
      <c r="I10" s="11"/>
      <c r="J10" s="11"/>
      <c r="K10" s="12" t="s">
        <v>317</v>
      </c>
      <c r="L10" s="11"/>
      <c r="M10" s="11"/>
      <c r="N10" s="13"/>
      <c r="O10" s="340"/>
      <c r="P10" s="341"/>
      <c r="Q10" s="341"/>
      <c r="R10" s="341"/>
      <c r="S10" s="341"/>
      <c r="T10" s="341"/>
    </row>
    <row r="11" spans="2:24" ht="15" customHeight="1" x14ac:dyDescent="0.25">
      <c r="B11" s="58" t="s">
        <v>89</v>
      </c>
      <c r="C11" s="157"/>
      <c r="D11" s="11"/>
      <c r="E11" s="11"/>
      <c r="F11" s="56">
        <v>50</v>
      </c>
      <c r="G11" s="13"/>
      <c r="H11" s="22" t="s">
        <v>36</v>
      </c>
      <c r="I11" s="11"/>
      <c r="J11" s="11"/>
      <c r="K11" s="213" t="s">
        <v>383</v>
      </c>
      <c r="L11" s="11"/>
      <c r="M11" s="11"/>
      <c r="N11" s="13"/>
      <c r="X11" s="6"/>
    </row>
    <row r="12" spans="2:24" ht="15" customHeight="1" x14ac:dyDescent="0.25">
      <c r="B12" s="58" t="s">
        <v>72</v>
      </c>
      <c r="C12" s="157"/>
      <c r="D12" s="11"/>
      <c r="E12" s="11"/>
      <c r="F12" s="56">
        <v>300</v>
      </c>
      <c r="G12" s="13"/>
      <c r="H12" s="22" t="s">
        <v>35</v>
      </c>
      <c r="I12" s="11"/>
      <c r="J12" s="11"/>
      <c r="K12" s="213" t="s">
        <v>383</v>
      </c>
      <c r="L12" s="11"/>
      <c r="M12" s="11"/>
      <c r="N12" s="13"/>
      <c r="X12" s="6"/>
    </row>
    <row r="13" spans="2:24" ht="15" customHeight="1" x14ac:dyDescent="0.25">
      <c r="B13" s="22" t="s">
        <v>54</v>
      </c>
      <c r="C13" s="11"/>
      <c r="D13" s="11"/>
      <c r="E13" s="11"/>
      <c r="F13" s="14">
        <f>SUM(C30:C39)</f>
        <v>18000</v>
      </c>
      <c r="G13" s="153">
        <f>(F8-F7)/F13</f>
        <v>0.22222222222222221</v>
      </c>
      <c r="H13" s="25" t="s">
        <v>377</v>
      </c>
      <c r="I13" s="11"/>
      <c r="J13" s="11"/>
      <c r="K13" s="12" t="s">
        <v>37</v>
      </c>
      <c r="L13" s="24" t="str">
        <f>IF(K13="Total","Chiều cao tổng","Chiều cao bụng")</f>
        <v>Chiều cao tổng</v>
      </c>
      <c r="M13" s="11"/>
      <c r="N13" s="13"/>
    </row>
    <row r="14" spans="2:24" x14ac:dyDescent="0.25">
      <c r="B14" s="22" t="s">
        <v>55</v>
      </c>
      <c r="C14" s="11"/>
      <c r="D14" s="11"/>
      <c r="E14" s="11"/>
      <c r="F14" s="14">
        <f>SUM(C41:C50)</f>
        <v>18000</v>
      </c>
      <c r="G14" s="153">
        <f>(F8-F9)/F14</f>
        <v>0.22222222222222221</v>
      </c>
      <c r="H14" s="22" t="s">
        <v>392</v>
      </c>
      <c r="I14" s="11"/>
      <c r="J14" s="11"/>
      <c r="K14" s="12" t="s">
        <v>43</v>
      </c>
      <c r="L14" s="24" t="str">
        <f>"Hướng nhìn vào khung là chữ " &amp; K14</f>
        <v>Hướng nhìn vào khung là chữ H</v>
      </c>
      <c r="M14" s="11"/>
      <c r="N14" s="13"/>
    </row>
    <row r="15" spans="2:24" ht="15" customHeight="1" x14ac:dyDescent="0.25">
      <c r="B15" s="22" t="s">
        <v>47</v>
      </c>
      <c r="C15" s="11"/>
      <c r="D15" s="11"/>
      <c r="E15" s="11"/>
      <c r="F15" s="20">
        <f>F13+F14</f>
        <v>36000</v>
      </c>
      <c r="G15" s="13"/>
      <c r="H15" s="22" t="s">
        <v>393</v>
      </c>
      <c r="I15" s="11"/>
      <c r="J15" s="11"/>
      <c r="K15" s="12" t="s">
        <v>539</v>
      </c>
      <c r="L15" s="24" t="str">
        <f>"Hướng nhìn vào khung là chữ " &amp; K15</f>
        <v>Hướng nhìn vào khung là chữ I</v>
      </c>
      <c r="M15" s="11"/>
      <c r="N15" s="13"/>
    </row>
    <row r="16" spans="2:24" ht="15" customHeight="1" thickBot="1" x14ac:dyDescent="0.3">
      <c r="B16" s="10"/>
      <c r="C16" s="11"/>
      <c r="D16" s="11"/>
      <c r="E16" s="11"/>
      <c r="F16" s="11"/>
      <c r="G16" s="13"/>
      <c r="H16" s="22" t="s">
        <v>321</v>
      </c>
      <c r="I16" s="11"/>
      <c r="J16" s="11"/>
      <c r="K16" s="12" t="s">
        <v>338</v>
      </c>
      <c r="L16" s="11"/>
      <c r="M16" s="11"/>
      <c r="N16" s="13"/>
    </row>
    <row r="17" spans="2:24" ht="15" hidden="1" customHeight="1" x14ac:dyDescent="0.3">
      <c r="B17" s="10"/>
      <c r="C17" s="11"/>
      <c r="D17" s="11"/>
      <c r="E17" s="11"/>
      <c r="F17" s="11"/>
      <c r="G17" s="13"/>
      <c r="H17" s="11"/>
      <c r="I17" s="11"/>
      <c r="J17" s="11"/>
      <c r="K17" s="11"/>
      <c r="L17" s="11"/>
      <c r="M17" s="11"/>
      <c r="N17" s="11"/>
      <c r="O17" s="13"/>
      <c r="P17" s="10"/>
      <c r="Q17" s="11"/>
      <c r="R17" s="11"/>
      <c r="S17" s="11"/>
      <c r="T17" s="13"/>
    </row>
    <row r="18" spans="2:24" ht="15" hidden="1" customHeight="1" x14ac:dyDescent="0.3">
      <c r="B18" s="10"/>
      <c r="C18" s="11"/>
      <c r="D18" s="11"/>
      <c r="E18" s="11"/>
      <c r="F18" s="11"/>
      <c r="G18" s="13"/>
      <c r="H18" s="11"/>
      <c r="I18" s="11"/>
      <c r="J18" s="11"/>
      <c r="K18" s="11"/>
      <c r="L18" s="11"/>
      <c r="M18" s="11"/>
      <c r="N18" s="11"/>
      <c r="O18" s="13"/>
      <c r="P18" s="10"/>
      <c r="Q18" s="11"/>
      <c r="R18" s="11"/>
      <c r="S18" s="11"/>
      <c r="T18" s="13"/>
    </row>
    <row r="19" spans="2:24" ht="15" hidden="1" customHeight="1" x14ac:dyDescent="0.3">
      <c r="B19" s="10"/>
      <c r="C19" s="11"/>
      <c r="D19" s="11"/>
      <c r="E19" s="11"/>
      <c r="F19" s="11"/>
      <c r="G19" s="13"/>
      <c r="H19" s="11"/>
      <c r="I19" s="11"/>
      <c r="J19" s="11"/>
      <c r="K19" s="11"/>
      <c r="L19" s="11"/>
      <c r="M19" s="11"/>
      <c r="N19" s="11"/>
      <c r="O19" s="13"/>
      <c r="P19" s="10"/>
      <c r="Q19" s="11"/>
      <c r="R19" s="11"/>
      <c r="S19" s="11"/>
      <c r="T19" s="13"/>
    </row>
    <row r="20" spans="2:24" ht="15" hidden="1" customHeight="1" x14ac:dyDescent="0.3">
      <c r="B20" s="10"/>
      <c r="C20" s="11"/>
      <c r="D20" s="11"/>
      <c r="E20" s="11"/>
      <c r="F20" s="11"/>
      <c r="G20" s="13"/>
      <c r="H20" s="11"/>
      <c r="I20" s="11"/>
      <c r="J20" s="11"/>
      <c r="K20" s="11"/>
      <c r="L20" s="11"/>
      <c r="M20" s="11"/>
      <c r="N20" s="11"/>
      <c r="O20" s="13"/>
      <c r="P20" s="10"/>
      <c r="Q20" s="11"/>
      <c r="R20" s="11"/>
      <c r="S20" s="11"/>
      <c r="T20" s="13"/>
    </row>
    <row r="21" spans="2:24" ht="15" hidden="1" customHeight="1" x14ac:dyDescent="0.3">
      <c r="B21" s="10"/>
      <c r="C21" s="11"/>
      <c r="D21" s="11"/>
      <c r="E21" s="11"/>
      <c r="F21" s="11"/>
      <c r="G21" s="13"/>
      <c r="H21" s="11"/>
      <c r="I21" s="11"/>
      <c r="J21" s="11"/>
      <c r="K21" s="11"/>
      <c r="L21" s="11"/>
      <c r="M21" s="11"/>
      <c r="N21" s="11"/>
      <c r="O21" s="13"/>
      <c r="P21" s="10"/>
      <c r="Q21" s="11"/>
      <c r="R21" s="11"/>
      <c r="S21" s="11"/>
      <c r="T21" s="13"/>
    </row>
    <row r="22" spans="2:24" ht="15" hidden="1" customHeight="1" x14ac:dyDescent="0.3">
      <c r="B22" s="10"/>
      <c r="C22" s="11"/>
      <c r="D22" s="11"/>
      <c r="E22" s="11"/>
      <c r="F22" s="11"/>
      <c r="G22" s="13"/>
      <c r="H22" s="11"/>
      <c r="I22" s="11"/>
      <c r="J22" s="11"/>
      <c r="K22" s="11"/>
      <c r="L22" s="11"/>
      <c r="M22" s="11"/>
      <c r="N22" s="11"/>
      <c r="O22" s="13"/>
      <c r="P22" s="10"/>
      <c r="Q22" s="11"/>
      <c r="R22" s="11"/>
      <c r="S22" s="11"/>
      <c r="T22" s="13"/>
    </row>
    <row r="23" spans="2:24" ht="15" hidden="1" customHeight="1" thickBot="1" x14ac:dyDescent="0.3">
      <c r="B23" s="34"/>
      <c r="C23" s="27"/>
      <c r="D23" s="27"/>
      <c r="E23" s="27"/>
      <c r="F23" s="27"/>
      <c r="G23" s="28"/>
      <c r="H23" s="27"/>
      <c r="I23" s="27"/>
      <c r="J23" s="27"/>
      <c r="K23" s="27"/>
      <c r="L23" s="27"/>
      <c r="M23" s="27"/>
      <c r="N23" s="27"/>
      <c r="O23" s="28"/>
      <c r="P23" s="34"/>
      <c r="Q23" s="27"/>
      <c r="R23" s="27"/>
      <c r="S23" s="27"/>
      <c r="T23" s="28"/>
    </row>
    <row r="24" spans="2:24" ht="15" customHeight="1" x14ac:dyDescent="0.25">
      <c r="B24" s="423" t="s">
        <v>29</v>
      </c>
      <c r="C24" s="424"/>
      <c r="D24" s="383" t="s">
        <v>24</v>
      </c>
      <c r="E24" s="383"/>
      <c r="F24" s="383"/>
      <c r="G24" s="383"/>
      <c r="H24" s="425"/>
      <c r="I24" s="438" t="s">
        <v>32</v>
      </c>
      <c r="J24" s="383"/>
      <c r="K24" s="383"/>
      <c r="L24" s="383"/>
      <c r="M24" s="383"/>
      <c r="N24" s="383"/>
      <c r="O24" s="402"/>
      <c r="P24" s="384" t="s">
        <v>526</v>
      </c>
      <c r="Q24" s="383"/>
      <c r="R24" s="383"/>
      <c r="S24" s="383"/>
      <c r="T24" s="425"/>
      <c r="U24" s="426" t="s">
        <v>337</v>
      </c>
      <c r="V24" s="426"/>
      <c r="W24" s="426"/>
      <c r="X24" s="427"/>
    </row>
    <row r="25" spans="2:24" ht="15" customHeight="1" x14ac:dyDescent="0.25">
      <c r="B25" s="410"/>
      <c r="C25" s="361"/>
      <c r="D25" s="361" t="s">
        <v>21</v>
      </c>
      <c r="E25" s="347" t="s">
        <v>20</v>
      </c>
      <c r="F25" s="347"/>
      <c r="G25" s="347"/>
      <c r="H25" s="412"/>
      <c r="I25" s="367" t="s">
        <v>372</v>
      </c>
      <c r="J25" s="361" t="s">
        <v>42</v>
      </c>
      <c r="K25" s="361" t="s">
        <v>41</v>
      </c>
      <c r="L25" s="347" t="s">
        <v>20</v>
      </c>
      <c r="M25" s="347"/>
      <c r="N25" s="347"/>
      <c r="O25" s="437"/>
      <c r="P25" s="433" t="s">
        <v>387</v>
      </c>
      <c r="Q25" s="360" t="s">
        <v>34</v>
      </c>
      <c r="R25" s="362" t="s">
        <v>524</v>
      </c>
      <c r="S25" s="362" t="s">
        <v>525</v>
      </c>
      <c r="T25" s="435" t="s">
        <v>58</v>
      </c>
      <c r="U25" s="428"/>
      <c r="V25" s="428"/>
      <c r="W25" s="428"/>
      <c r="X25" s="429"/>
    </row>
    <row r="26" spans="2:24" ht="15" customHeight="1" x14ac:dyDescent="0.25">
      <c r="B26" s="410"/>
      <c r="C26" s="361"/>
      <c r="D26" s="361"/>
      <c r="E26" s="361" t="s">
        <v>38</v>
      </c>
      <c r="F26" s="361" t="s">
        <v>22</v>
      </c>
      <c r="G26" s="361" t="s">
        <v>39</v>
      </c>
      <c r="H26" s="389" t="s">
        <v>40</v>
      </c>
      <c r="I26" s="368"/>
      <c r="J26" s="361"/>
      <c r="K26" s="366"/>
      <c r="L26" s="361" t="s">
        <v>38</v>
      </c>
      <c r="M26" s="361" t="s">
        <v>22</v>
      </c>
      <c r="N26" s="361" t="s">
        <v>39</v>
      </c>
      <c r="O26" s="439" t="s">
        <v>40</v>
      </c>
      <c r="P26" s="433"/>
      <c r="Q26" s="360"/>
      <c r="R26" s="363"/>
      <c r="S26" s="363"/>
      <c r="T26" s="435"/>
      <c r="U26" s="428"/>
      <c r="V26" s="428"/>
      <c r="W26" s="428"/>
      <c r="X26" s="429"/>
    </row>
    <row r="27" spans="2:24" x14ac:dyDescent="0.25">
      <c r="B27" s="421" t="s">
        <v>87</v>
      </c>
      <c r="C27" s="367" t="s">
        <v>71</v>
      </c>
      <c r="D27" s="361"/>
      <c r="E27" s="361"/>
      <c r="F27" s="361"/>
      <c r="G27" s="361"/>
      <c r="H27" s="389"/>
      <c r="I27" s="196" t="s">
        <v>64</v>
      </c>
      <c r="J27" s="361"/>
      <c r="K27" s="366"/>
      <c r="L27" s="361"/>
      <c r="M27" s="361"/>
      <c r="N27" s="361"/>
      <c r="O27" s="439"/>
      <c r="P27" s="433"/>
      <c r="Q27" s="360"/>
      <c r="R27" s="363"/>
      <c r="S27" s="363"/>
      <c r="T27" s="435"/>
      <c r="U27" s="428"/>
      <c r="V27" s="428"/>
      <c r="W27" s="428"/>
      <c r="X27" s="429"/>
    </row>
    <row r="28" spans="2:24" ht="15.75" thickBot="1" x14ac:dyDescent="0.3">
      <c r="B28" s="382"/>
      <c r="C28" s="422"/>
      <c r="D28" s="387"/>
      <c r="E28" s="94" t="s">
        <v>43</v>
      </c>
      <c r="F28" s="94" t="s">
        <v>23</v>
      </c>
      <c r="G28" s="94" t="s">
        <v>44</v>
      </c>
      <c r="H28" s="95" t="s">
        <v>45</v>
      </c>
      <c r="I28" s="280" t="s">
        <v>249</v>
      </c>
      <c r="J28" s="387"/>
      <c r="K28" s="388"/>
      <c r="L28" s="94" t="s">
        <v>43</v>
      </c>
      <c r="M28" s="94" t="s">
        <v>23</v>
      </c>
      <c r="N28" s="94" t="s">
        <v>228</v>
      </c>
      <c r="O28" s="314" t="s">
        <v>228</v>
      </c>
      <c r="P28" s="434"/>
      <c r="Q28" s="396"/>
      <c r="R28" s="405"/>
      <c r="S28" s="405"/>
      <c r="T28" s="436"/>
      <c r="U28" s="428"/>
      <c r="V28" s="428"/>
      <c r="W28" s="428"/>
      <c r="X28" s="429"/>
    </row>
    <row r="29" spans="2:24" x14ac:dyDescent="0.25">
      <c r="B29" s="96">
        <v>1</v>
      </c>
      <c r="C29" s="97">
        <v>2</v>
      </c>
      <c r="D29" s="97">
        <v>3</v>
      </c>
      <c r="E29" s="97">
        <v>4</v>
      </c>
      <c r="F29" s="97">
        <v>5</v>
      </c>
      <c r="G29" s="97">
        <v>6</v>
      </c>
      <c r="H29" s="267">
        <v>7</v>
      </c>
      <c r="I29" s="170">
        <v>8</v>
      </c>
      <c r="J29" s="168">
        <v>9</v>
      </c>
      <c r="K29" s="168">
        <v>10</v>
      </c>
      <c r="L29" s="168">
        <v>11</v>
      </c>
      <c r="M29" s="168">
        <v>12</v>
      </c>
      <c r="N29" s="168">
        <v>13</v>
      </c>
      <c r="O29" s="214">
        <v>14</v>
      </c>
      <c r="P29" s="96">
        <v>15</v>
      </c>
      <c r="Q29" s="97">
        <v>16</v>
      </c>
      <c r="R29" s="97">
        <v>17</v>
      </c>
      <c r="S29" s="97">
        <v>18</v>
      </c>
      <c r="T29" s="317">
        <v>18</v>
      </c>
      <c r="U29" s="428"/>
      <c r="V29" s="428"/>
      <c r="W29" s="428"/>
      <c r="X29" s="429"/>
    </row>
    <row r="30" spans="2:24" x14ac:dyDescent="0.25">
      <c r="B30" s="37" t="s">
        <v>49</v>
      </c>
      <c r="C30" s="3">
        <v>6000</v>
      </c>
      <c r="D30" s="3" t="s">
        <v>314</v>
      </c>
      <c r="E30" s="41">
        <v>300</v>
      </c>
      <c r="F30" s="41">
        <v>5</v>
      </c>
      <c r="G30" s="41">
        <v>200</v>
      </c>
      <c r="H30" s="268">
        <v>6</v>
      </c>
      <c r="I30" s="270" t="s">
        <v>229</v>
      </c>
      <c r="J30" s="3" t="s">
        <v>373</v>
      </c>
      <c r="K30" s="41"/>
      <c r="L30" s="41">
        <v>300</v>
      </c>
      <c r="M30" s="41">
        <v>8</v>
      </c>
      <c r="N30" s="41">
        <v>200</v>
      </c>
      <c r="O30" s="268">
        <v>12</v>
      </c>
      <c r="P30" s="334">
        <v>8</v>
      </c>
      <c r="Q30" s="322">
        <v>20</v>
      </c>
      <c r="R30" s="82">
        <v>16</v>
      </c>
      <c r="S30" s="82">
        <v>8</v>
      </c>
      <c r="T30" s="335" t="s">
        <v>394</v>
      </c>
      <c r="U30" s="428"/>
      <c r="V30" s="428"/>
      <c r="W30" s="428"/>
      <c r="X30" s="429"/>
    </row>
    <row r="31" spans="2:24" x14ac:dyDescent="0.25">
      <c r="B31" s="37" t="s">
        <v>50</v>
      </c>
      <c r="C31" s="3">
        <v>6000</v>
      </c>
      <c r="D31" s="3" t="s">
        <v>314</v>
      </c>
      <c r="E31" s="41">
        <v>300</v>
      </c>
      <c r="F31" s="41">
        <v>5</v>
      </c>
      <c r="G31" s="41">
        <v>200</v>
      </c>
      <c r="H31" s="268">
        <v>6</v>
      </c>
      <c r="I31" s="270" t="s">
        <v>231</v>
      </c>
      <c r="J31" s="3" t="s">
        <v>373</v>
      </c>
      <c r="K31" s="41">
        <v>6000</v>
      </c>
      <c r="L31" s="41">
        <v>300</v>
      </c>
      <c r="M31" s="41">
        <v>8</v>
      </c>
      <c r="N31" s="41">
        <v>200</v>
      </c>
      <c r="O31" s="268">
        <v>12</v>
      </c>
      <c r="P31" s="334">
        <v>8</v>
      </c>
      <c r="Q31" s="322">
        <v>20</v>
      </c>
      <c r="R31" s="82">
        <v>16</v>
      </c>
      <c r="S31" s="82">
        <v>8</v>
      </c>
      <c r="T31" s="335" t="s">
        <v>394</v>
      </c>
      <c r="U31" s="428"/>
      <c r="V31" s="428"/>
      <c r="W31" s="428"/>
      <c r="X31" s="429"/>
    </row>
    <row r="32" spans="2:24" x14ac:dyDescent="0.25">
      <c r="B32" s="37" t="s">
        <v>51</v>
      </c>
      <c r="C32" s="3">
        <v>6000</v>
      </c>
      <c r="D32" s="3" t="s">
        <v>314</v>
      </c>
      <c r="E32" s="41">
        <v>300</v>
      </c>
      <c r="F32" s="41">
        <v>5</v>
      </c>
      <c r="G32" s="41">
        <v>200</v>
      </c>
      <c r="H32" s="268">
        <v>6</v>
      </c>
      <c r="I32" s="270" t="s">
        <v>232</v>
      </c>
      <c r="J32" s="3" t="s">
        <v>373</v>
      </c>
      <c r="K32" s="41">
        <v>6000</v>
      </c>
      <c r="L32" s="41">
        <v>300</v>
      </c>
      <c r="M32" s="41">
        <v>8</v>
      </c>
      <c r="N32" s="41">
        <v>200</v>
      </c>
      <c r="O32" s="268">
        <v>12</v>
      </c>
      <c r="P32" s="334">
        <v>8</v>
      </c>
      <c r="Q32" s="322">
        <v>20</v>
      </c>
      <c r="R32" s="82">
        <v>16</v>
      </c>
      <c r="S32" s="82">
        <v>8</v>
      </c>
      <c r="T32" s="335" t="s">
        <v>394</v>
      </c>
      <c r="U32" s="428"/>
      <c r="V32" s="428"/>
      <c r="W32" s="428"/>
      <c r="X32" s="429"/>
    </row>
    <row r="33" spans="2:24" x14ac:dyDescent="0.25">
      <c r="B33" s="37"/>
      <c r="C33" s="3"/>
      <c r="D33" s="3"/>
      <c r="E33" s="41"/>
      <c r="F33" s="41"/>
      <c r="G33" s="41"/>
      <c r="H33" s="268"/>
      <c r="I33" s="270" t="s">
        <v>241</v>
      </c>
      <c r="J33" s="3"/>
      <c r="K33" s="41"/>
      <c r="L33" s="41"/>
      <c r="M33" s="41"/>
      <c r="N33" s="41"/>
      <c r="O33" s="268"/>
      <c r="P33" s="334"/>
      <c r="Q33" s="322"/>
      <c r="R33" s="82"/>
      <c r="S33" s="82"/>
      <c r="T33" s="335"/>
      <c r="U33" s="428"/>
      <c r="V33" s="428"/>
      <c r="W33" s="428"/>
      <c r="X33" s="429"/>
    </row>
    <row r="34" spans="2:24" ht="15.75" thickBot="1" x14ac:dyDescent="0.3">
      <c r="B34" s="37"/>
      <c r="C34" s="3"/>
      <c r="D34" s="3"/>
      <c r="E34" s="41"/>
      <c r="F34" s="41"/>
      <c r="G34" s="41"/>
      <c r="H34" s="268"/>
      <c r="I34" s="271" t="s">
        <v>233</v>
      </c>
      <c r="J34" s="75"/>
      <c r="K34" s="265"/>
      <c r="L34" s="265"/>
      <c r="M34" s="265"/>
      <c r="N34" s="265"/>
      <c r="O34" s="274"/>
      <c r="P34" s="334"/>
      <c r="Q34" s="82"/>
      <c r="R34" s="82"/>
      <c r="S34" s="82"/>
      <c r="T34" s="335"/>
      <c r="U34" s="428"/>
      <c r="V34" s="428"/>
      <c r="W34" s="428"/>
      <c r="X34" s="429"/>
    </row>
    <row r="35" spans="2:24" ht="15" hidden="1" customHeight="1" x14ac:dyDescent="0.25">
      <c r="B35" s="37"/>
      <c r="C35" s="3"/>
      <c r="D35" s="3"/>
      <c r="E35" s="41"/>
      <c r="F35" s="41"/>
      <c r="G35" s="41"/>
      <c r="H35" s="259"/>
      <c r="I35" s="269" t="s">
        <v>234</v>
      </c>
      <c r="J35" s="104"/>
      <c r="K35" s="108"/>
      <c r="L35" s="108"/>
      <c r="M35" s="108"/>
      <c r="N35" s="108"/>
      <c r="O35" s="316"/>
      <c r="P35" s="326"/>
      <c r="Q35" s="327"/>
      <c r="R35" s="327"/>
      <c r="S35" s="62"/>
      <c r="T35" s="328"/>
      <c r="U35" s="430"/>
      <c r="V35" s="428"/>
      <c r="W35" s="428"/>
      <c r="X35" s="429"/>
    </row>
    <row r="36" spans="2:24" ht="15" hidden="1" customHeight="1" x14ac:dyDescent="0.25">
      <c r="B36" s="37"/>
      <c r="C36" s="3"/>
      <c r="D36" s="3"/>
      <c r="E36" s="41"/>
      <c r="F36" s="41"/>
      <c r="G36" s="41"/>
      <c r="H36" s="259"/>
      <c r="I36" s="198" t="s">
        <v>235</v>
      </c>
      <c r="J36" s="62"/>
      <c r="K36" s="41"/>
      <c r="L36" s="41"/>
      <c r="M36" s="41"/>
      <c r="N36" s="41"/>
      <c r="O36" s="268"/>
      <c r="P36" s="326"/>
      <c r="Q36" s="327"/>
      <c r="R36" s="327"/>
      <c r="S36" s="62"/>
      <c r="T36" s="328"/>
      <c r="U36" s="430"/>
      <c r="V36" s="428"/>
      <c r="W36" s="428"/>
      <c r="X36" s="429"/>
    </row>
    <row r="37" spans="2:24" ht="15" hidden="1" customHeight="1" x14ac:dyDescent="0.25">
      <c r="B37" s="37"/>
      <c r="C37" s="3"/>
      <c r="D37" s="3"/>
      <c r="E37" s="41"/>
      <c r="F37" s="41"/>
      <c r="G37" s="41"/>
      <c r="H37" s="259"/>
      <c r="I37" s="198" t="s">
        <v>242</v>
      </c>
      <c r="J37" s="62"/>
      <c r="K37" s="41"/>
      <c r="L37" s="41"/>
      <c r="M37" s="41"/>
      <c r="N37" s="41"/>
      <c r="O37" s="268"/>
      <c r="P37" s="326"/>
      <c r="Q37" s="327"/>
      <c r="R37" s="327"/>
      <c r="S37" s="62"/>
      <c r="T37" s="328"/>
      <c r="U37" s="430"/>
      <c r="V37" s="428"/>
      <c r="W37" s="428"/>
      <c r="X37" s="429"/>
    </row>
    <row r="38" spans="2:24" ht="15" hidden="1" customHeight="1" x14ac:dyDescent="0.25">
      <c r="B38" s="37"/>
      <c r="C38" s="3"/>
      <c r="D38" s="3"/>
      <c r="E38" s="41"/>
      <c r="F38" s="41"/>
      <c r="G38" s="41"/>
      <c r="H38" s="259"/>
      <c r="I38" s="198" t="s">
        <v>243</v>
      </c>
      <c r="J38" s="62"/>
      <c r="K38" s="41"/>
      <c r="L38" s="41"/>
      <c r="M38" s="41"/>
      <c r="N38" s="41"/>
      <c r="O38" s="268"/>
      <c r="P38" s="326"/>
      <c r="Q38" s="327"/>
      <c r="R38" s="327"/>
      <c r="S38" s="62"/>
      <c r="T38" s="328"/>
      <c r="U38" s="430"/>
      <c r="V38" s="428"/>
      <c r="W38" s="428"/>
      <c r="X38" s="429"/>
    </row>
    <row r="39" spans="2:24" ht="15.75" hidden="1" customHeight="1" thickBot="1" x14ac:dyDescent="0.3">
      <c r="B39" s="38"/>
      <c r="C39" s="33"/>
      <c r="D39" s="33"/>
      <c r="E39" s="260"/>
      <c r="F39" s="260"/>
      <c r="G39" s="260"/>
      <c r="H39" s="261"/>
      <c r="I39" s="199" t="s">
        <v>244</v>
      </c>
      <c r="J39" s="65"/>
      <c r="K39" s="260"/>
      <c r="L39" s="260"/>
      <c r="M39" s="260"/>
      <c r="N39" s="260"/>
      <c r="O39" s="315"/>
      <c r="P39" s="318"/>
      <c r="Q39" s="61"/>
      <c r="R39" s="103"/>
      <c r="S39" s="65"/>
      <c r="T39" s="329"/>
      <c r="U39" s="430"/>
      <c r="V39" s="428"/>
      <c r="W39" s="428"/>
      <c r="X39" s="429"/>
    </row>
    <row r="40" spans="2:24" ht="15.75" thickBot="1" x14ac:dyDescent="0.3">
      <c r="B40" s="419" t="s">
        <v>52</v>
      </c>
      <c r="C40" s="420"/>
      <c r="D40" s="124" t="s">
        <v>314</v>
      </c>
      <c r="E40" s="262">
        <v>300</v>
      </c>
      <c r="F40" s="262">
        <v>5</v>
      </c>
      <c r="G40" s="262">
        <v>200</v>
      </c>
      <c r="H40" s="272">
        <v>6</v>
      </c>
      <c r="I40" s="273" t="s">
        <v>236</v>
      </c>
      <c r="J40" s="202"/>
      <c r="K40" s="262"/>
      <c r="L40" s="262"/>
      <c r="M40" s="262"/>
      <c r="N40" s="262"/>
      <c r="O40" s="272"/>
      <c r="P40" s="123"/>
      <c r="Q40" s="125"/>
      <c r="R40" s="124"/>
      <c r="S40" s="124"/>
      <c r="T40" s="126"/>
      <c r="U40" s="431"/>
      <c r="V40" s="431"/>
      <c r="W40" s="431"/>
      <c r="X40" s="432"/>
    </row>
    <row r="41" spans="2:24" ht="15" hidden="1" customHeight="1" x14ac:dyDescent="0.25">
      <c r="B41" s="107"/>
      <c r="C41" s="90"/>
      <c r="D41" s="108"/>
      <c r="E41" s="108"/>
      <c r="F41" s="108"/>
      <c r="G41" s="108"/>
      <c r="H41" s="263"/>
      <c r="I41" s="200" t="s">
        <v>244</v>
      </c>
      <c r="J41" s="104"/>
      <c r="K41" s="108"/>
      <c r="L41" s="108"/>
      <c r="M41" s="108"/>
      <c r="N41" s="108"/>
      <c r="O41" s="316"/>
      <c r="P41" s="319"/>
      <c r="Q41" s="106"/>
      <c r="R41" s="105"/>
      <c r="S41" s="104"/>
      <c r="T41" s="330"/>
      <c r="U41" s="313"/>
      <c r="V41" s="266"/>
      <c r="W41" s="266"/>
    </row>
    <row r="42" spans="2:24" ht="15.75" hidden="1" thickBot="1" x14ac:dyDescent="0.3">
      <c r="B42" s="37"/>
      <c r="C42" s="3"/>
      <c r="D42" s="41"/>
      <c r="E42" s="41"/>
      <c r="F42" s="41"/>
      <c r="G42" s="41"/>
      <c r="H42" s="259"/>
      <c r="I42" s="201" t="s">
        <v>243</v>
      </c>
      <c r="J42" s="62"/>
      <c r="K42" s="41"/>
      <c r="L42" s="41"/>
      <c r="M42" s="41"/>
      <c r="N42" s="41"/>
      <c r="O42" s="268"/>
      <c r="P42" s="248"/>
      <c r="Q42" s="60"/>
      <c r="R42" s="53"/>
      <c r="S42" s="52"/>
      <c r="T42" s="331"/>
    </row>
    <row r="43" spans="2:24" ht="15.75" hidden="1" thickBot="1" x14ac:dyDescent="0.3">
      <c r="B43" s="37"/>
      <c r="C43" s="3"/>
      <c r="D43" s="41"/>
      <c r="E43" s="41"/>
      <c r="F43" s="41"/>
      <c r="G43" s="41"/>
      <c r="H43" s="259"/>
      <c r="I43" s="201" t="s">
        <v>242</v>
      </c>
      <c r="J43" s="62"/>
      <c r="K43" s="41"/>
      <c r="L43" s="41"/>
      <c r="M43" s="41"/>
      <c r="N43" s="41"/>
      <c r="O43" s="268"/>
      <c r="P43" s="248"/>
      <c r="Q43" s="60"/>
      <c r="R43" s="53"/>
      <c r="S43" s="52"/>
      <c r="T43" s="331"/>
    </row>
    <row r="44" spans="2:24" ht="15.75" hidden="1" thickBot="1" x14ac:dyDescent="0.3">
      <c r="B44" s="37"/>
      <c r="C44" s="3"/>
      <c r="D44" s="41"/>
      <c r="E44" s="41"/>
      <c r="F44" s="41"/>
      <c r="G44" s="41"/>
      <c r="H44" s="259"/>
      <c r="I44" s="201" t="s">
        <v>235</v>
      </c>
      <c r="J44" s="62"/>
      <c r="K44" s="41"/>
      <c r="L44" s="41"/>
      <c r="M44" s="41"/>
      <c r="N44" s="41"/>
      <c r="O44" s="268"/>
      <c r="P44" s="248"/>
      <c r="Q44" s="60"/>
      <c r="R44" s="53"/>
      <c r="S44" s="52"/>
      <c r="T44" s="331"/>
    </row>
    <row r="45" spans="2:24" ht="15.75" hidden="1" thickBot="1" x14ac:dyDescent="0.3">
      <c r="B45" s="37"/>
      <c r="C45" s="45"/>
      <c r="D45" s="42"/>
      <c r="E45" s="42"/>
      <c r="F45" s="42"/>
      <c r="G45" s="42"/>
      <c r="H45" s="264"/>
      <c r="I45" s="275" t="s">
        <v>234</v>
      </c>
      <c r="J45" s="65"/>
      <c r="K45" s="260"/>
      <c r="L45" s="260"/>
      <c r="M45" s="260"/>
      <c r="N45" s="260"/>
      <c r="O45" s="315"/>
      <c r="P45" s="248"/>
      <c r="Q45" s="60"/>
      <c r="R45" s="327"/>
      <c r="S45" s="52"/>
      <c r="T45" s="331"/>
    </row>
    <row r="46" spans="2:24" x14ac:dyDescent="0.25">
      <c r="B46" s="37"/>
      <c r="C46" s="3"/>
      <c r="D46" s="3"/>
      <c r="E46" s="41"/>
      <c r="F46" s="41"/>
      <c r="G46" s="41"/>
      <c r="H46" s="268"/>
      <c r="I46" s="276" t="s">
        <v>233</v>
      </c>
      <c r="J46" s="277"/>
      <c r="K46" s="332"/>
      <c r="L46" s="332"/>
      <c r="M46" s="332"/>
      <c r="N46" s="332"/>
      <c r="O46" s="333"/>
      <c r="P46" s="334"/>
      <c r="Q46" s="322"/>
      <c r="R46" s="82"/>
      <c r="S46" s="82"/>
      <c r="T46" s="335"/>
    </row>
    <row r="47" spans="2:24" x14ac:dyDescent="0.25">
      <c r="B47" s="37"/>
      <c r="C47" s="3"/>
      <c r="D47" s="3"/>
      <c r="E47" s="41"/>
      <c r="F47" s="41"/>
      <c r="G47" s="41"/>
      <c r="H47" s="268"/>
      <c r="I47" s="278" t="s">
        <v>241</v>
      </c>
      <c r="J47" s="3"/>
      <c r="K47" s="41"/>
      <c r="L47" s="41"/>
      <c r="M47" s="41"/>
      <c r="N47" s="41"/>
      <c r="O47" s="268"/>
      <c r="P47" s="334"/>
      <c r="Q47" s="322"/>
      <c r="R47" s="82"/>
      <c r="S47" s="82"/>
      <c r="T47" s="335"/>
    </row>
    <row r="48" spans="2:24" x14ac:dyDescent="0.25">
      <c r="B48" s="37" t="s">
        <v>51</v>
      </c>
      <c r="C48" s="3">
        <v>6000</v>
      </c>
      <c r="D48" s="3" t="s">
        <v>314</v>
      </c>
      <c r="E48" s="41">
        <v>300</v>
      </c>
      <c r="F48" s="41">
        <v>5</v>
      </c>
      <c r="G48" s="41">
        <v>200</v>
      </c>
      <c r="H48" s="268">
        <v>6</v>
      </c>
      <c r="I48" s="278" t="s">
        <v>232</v>
      </c>
      <c r="J48" s="3" t="s">
        <v>373</v>
      </c>
      <c r="K48" s="41">
        <v>6000</v>
      </c>
      <c r="L48" s="41">
        <v>300</v>
      </c>
      <c r="M48" s="41">
        <v>8</v>
      </c>
      <c r="N48" s="41">
        <v>200</v>
      </c>
      <c r="O48" s="268">
        <v>12</v>
      </c>
      <c r="P48" s="334">
        <v>8</v>
      </c>
      <c r="Q48" s="322">
        <v>20</v>
      </c>
      <c r="R48" s="82">
        <v>16</v>
      </c>
      <c r="S48" s="82">
        <v>8</v>
      </c>
      <c r="T48" s="335" t="s">
        <v>394</v>
      </c>
    </row>
    <row r="49" spans="2:20" x14ac:dyDescent="0.25">
      <c r="B49" s="37" t="s">
        <v>51</v>
      </c>
      <c r="C49" s="3">
        <v>6000</v>
      </c>
      <c r="D49" s="3" t="s">
        <v>314</v>
      </c>
      <c r="E49" s="41">
        <v>300</v>
      </c>
      <c r="F49" s="41">
        <v>5</v>
      </c>
      <c r="G49" s="41">
        <v>200</v>
      </c>
      <c r="H49" s="268">
        <v>6</v>
      </c>
      <c r="I49" s="278" t="s">
        <v>231</v>
      </c>
      <c r="J49" s="3" t="s">
        <v>373</v>
      </c>
      <c r="K49" s="41">
        <v>6000</v>
      </c>
      <c r="L49" s="41">
        <v>300</v>
      </c>
      <c r="M49" s="41">
        <v>8</v>
      </c>
      <c r="N49" s="41">
        <v>200</v>
      </c>
      <c r="O49" s="268">
        <v>12</v>
      </c>
      <c r="P49" s="334">
        <v>8</v>
      </c>
      <c r="Q49" s="322">
        <v>20</v>
      </c>
      <c r="R49" s="82">
        <v>16</v>
      </c>
      <c r="S49" s="82">
        <v>8</v>
      </c>
      <c r="T49" s="335" t="s">
        <v>394</v>
      </c>
    </row>
    <row r="50" spans="2:20" ht="15.75" thickBot="1" x14ac:dyDescent="0.3">
      <c r="B50" s="164" t="s">
        <v>51</v>
      </c>
      <c r="C50" s="29">
        <v>6000</v>
      </c>
      <c r="D50" s="29" t="s">
        <v>314</v>
      </c>
      <c r="E50" s="265">
        <v>300</v>
      </c>
      <c r="F50" s="265">
        <v>5</v>
      </c>
      <c r="G50" s="265">
        <v>200</v>
      </c>
      <c r="H50" s="274">
        <v>6</v>
      </c>
      <c r="I50" s="279" t="s">
        <v>229</v>
      </c>
      <c r="J50" s="29" t="s">
        <v>373</v>
      </c>
      <c r="K50" s="265"/>
      <c r="L50" s="265">
        <v>300</v>
      </c>
      <c r="M50" s="265">
        <v>8</v>
      </c>
      <c r="N50" s="265">
        <v>200</v>
      </c>
      <c r="O50" s="274">
        <v>12</v>
      </c>
      <c r="P50" s="336">
        <v>8</v>
      </c>
      <c r="Q50" s="337">
        <v>20</v>
      </c>
      <c r="R50" s="338">
        <v>16</v>
      </c>
      <c r="S50" s="338">
        <v>8</v>
      </c>
      <c r="T50" s="339" t="s">
        <v>394</v>
      </c>
    </row>
    <row r="51" spans="2:20" ht="15.75" thickBot="1" x14ac:dyDescent="0.3">
      <c r="B51" s="323"/>
      <c r="C51" s="323"/>
      <c r="D51" s="323"/>
      <c r="E51" s="324"/>
      <c r="F51" s="324"/>
      <c r="G51" s="324"/>
      <c r="H51" s="324"/>
      <c r="I51" s="323"/>
      <c r="J51" s="323"/>
      <c r="K51" s="324"/>
      <c r="L51" s="324"/>
      <c r="M51" s="324"/>
      <c r="N51" s="324"/>
      <c r="O51" s="324"/>
      <c r="P51" s="325"/>
      <c r="Q51" s="146"/>
      <c r="R51" s="325"/>
      <c r="S51" s="325"/>
      <c r="T51" s="325"/>
    </row>
    <row r="52" spans="2:20" ht="24" customHeight="1" x14ac:dyDescent="0.25">
      <c r="B52" s="418" t="s">
        <v>529</v>
      </c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  <c r="Q52" s="418"/>
      <c r="R52" s="418"/>
      <c r="S52" s="418"/>
      <c r="T52" s="418"/>
    </row>
    <row r="53" spans="2:20" ht="15" customHeight="1" x14ac:dyDescent="0.25">
      <c r="B53" s="321" t="s">
        <v>528</v>
      </c>
      <c r="C53" s="54">
        <v>6000</v>
      </c>
      <c r="D53" s="54" t="s">
        <v>314</v>
      </c>
      <c r="E53" s="54">
        <v>300</v>
      </c>
      <c r="F53" s="54">
        <v>5</v>
      </c>
      <c r="G53" s="54">
        <v>200</v>
      </c>
      <c r="H53" s="54">
        <v>6</v>
      </c>
      <c r="I53" s="312"/>
      <c r="J53" s="54" t="s">
        <v>373</v>
      </c>
      <c r="K53" s="54">
        <v>6000</v>
      </c>
      <c r="L53" s="54">
        <v>300</v>
      </c>
      <c r="M53" s="54">
        <v>8</v>
      </c>
      <c r="N53" s="54">
        <v>200</v>
      </c>
      <c r="O53" s="54">
        <v>12</v>
      </c>
      <c r="P53" s="82">
        <v>8</v>
      </c>
      <c r="Q53" s="322">
        <v>20</v>
      </c>
      <c r="R53" s="82">
        <v>16</v>
      </c>
      <c r="S53" s="82">
        <v>8</v>
      </c>
      <c r="T53" s="82" t="s">
        <v>394</v>
      </c>
    </row>
    <row r="54" spans="2:20" ht="15" customHeight="1" x14ac:dyDescent="0.25"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312"/>
      <c r="R54" s="312"/>
    </row>
    <row r="55" spans="2:20" ht="15" customHeight="1" x14ac:dyDescent="0.25"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</row>
    <row r="56" spans="2:20" ht="15" customHeight="1" x14ac:dyDescent="0.25">
      <c r="B56" s="312"/>
      <c r="C56" s="312"/>
      <c r="D56" s="312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312"/>
      <c r="R56" s="312"/>
    </row>
    <row r="57" spans="2:20" ht="15" customHeight="1" x14ac:dyDescent="0.25">
      <c r="B57" s="312"/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2"/>
      <c r="R57" s="312"/>
    </row>
  </sheetData>
  <mergeCells count="50">
    <mergeCell ref="O9:Q9"/>
    <mergeCell ref="B1:I2"/>
    <mergeCell ref="U4:W4"/>
    <mergeCell ref="U5:W5"/>
    <mergeCell ref="J1:L2"/>
    <mergeCell ref="M1:N2"/>
    <mergeCell ref="N3:O3"/>
    <mergeCell ref="B3:M3"/>
    <mergeCell ref="S4:S5"/>
    <mergeCell ref="T4:T5"/>
    <mergeCell ref="O4:O5"/>
    <mergeCell ref="P4:P5"/>
    <mergeCell ref="Q4:Q5"/>
    <mergeCell ref="R4:R5"/>
    <mergeCell ref="S6:S7"/>
    <mergeCell ref="T6:T7"/>
    <mergeCell ref="U24:X40"/>
    <mergeCell ref="S25:S28"/>
    <mergeCell ref="R25:R28"/>
    <mergeCell ref="Q25:Q28"/>
    <mergeCell ref="P25:P28"/>
    <mergeCell ref="T25:T28"/>
    <mergeCell ref="P24:T24"/>
    <mergeCell ref="L25:O25"/>
    <mergeCell ref="I24:O24"/>
    <mergeCell ref="I25:I26"/>
    <mergeCell ref="J25:J28"/>
    <mergeCell ref="O26:O27"/>
    <mergeCell ref="M26:M27"/>
    <mergeCell ref="N26:N27"/>
    <mergeCell ref="B52:T52"/>
    <mergeCell ref="L26:L27"/>
    <mergeCell ref="K25:K28"/>
    <mergeCell ref="B40:C40"/>
    <mergeCell ref="B27:B28"/>
    <mergeCell ref="C27:C28"/>
    <mergeCell ref="B24:C26"/>
    <mergeCell ref="D25:D28"/>
    <mergeCell ref="D24:H24"/>
    <mergeCell ref="E26:E27"/>
    <mergeCell ref="F26:F27"/>
    <mergeCell ref="G26:G27"/>
    <mergeCell ref="H26:H27"/>
    <mergeCell ref="E25:H25"/>
    <mergeCell ref="R6:R7"/>
    <mergeCell ref="O8:Q8"/>
    <mergeCell ref="E6:G6"/>
    <mergeCell ref="O6:O7"/>
    <mergeCell ref="P6:P7"/>
    <mergeCell ref="Q6:Q7"/>
  </mergeCells>
  <phoneticPr fontId="10" type="noConversion"/>
  <conditionalFormatting sqref="I40">
    <cfRule type="containsText" dxfId="7" priority="18" operator="containsText" text="P">
      <formula>NOT(ISERROR(SEARCH("P",I40)))</formula>
    </cfRule>
    <cfRule type="containsText" dxfId="6" priority="19" operator="containsText" text="T">
      <formula>NOT(ISERROR(SEARCH("T",I40)))</formula>
    </cfRule>
  </conditionalFormatting>
  <conditionalFormatting sqref="I30">
    <cfRule type="containsText" dxfId="5" priority="4" operator="containsText" text="P">
      <formula>NOT(ISERROR(SEARCH("P",I30)))</formula>
    </cfRule>
    <cfRule type="containsText" dxfId="4" priority="5" operator="containsText" text="T">
      <formula>NOT(ISERROR(SEARCH("T",I30)))</formula>
    </cfRule>
  </conditionalFormatting>
  <conditionalFormatting sqref="I41">
    <cfRule type="containsText" dxfId="3" priority="2" operator="containsText" text="P">
      <formula>NOT(ISERROR(SEARCH("P",I41)))</formula>
    </cfRule>
    <cfRule type="containsText" dxfId="2" priority="3" operator="containsText" text="T">
      <formula>NOT(ISERROR(SEARCH("T",I41)))</formula>
    </cfRule>
  </conditionalFormatting>
  <dataValidations count="7">
    <dataValidation type="list" allowBlank="1" showInputMessage="1" showErrorMessage="1" sqref="K14:K15" xr:uid="{D28C7893-C25A-4EE5-94B2-A7B7C5B60DDD}">
      <formula1>"I,H"</formula1>
    </dataValidation>
    <dataValidation type="list" allowBlank="1" showInputMessage="1" showErrorMessage="1" sqref="P6" xr:uid="{E381A0FC-8235-4A94-B9FE-31835A7D317B}">
      <formula1>"Ngang,Đứng"</formula1>
    </dataValidation>
    <dataValidation type="list" allowBlank="1" showInputMessage="1" showErrorMessage="1" sqref="K16" xr:uid="{0EAE99EF-A9DA-4AD9-9337-716F780F15CD}">
      <formula1>"Ngang,Dọc"</formula1>
    </dataValidation>
    <dataValidation type="list" allowBlank="1" showInputMessage="1" showErrorMessage="1" sqref="K13" xr:uid="{C253D879-E1F7-4D0B-9112-3170835FD6E9}">
      <formula1>"Total,Web"</formula1>
    </dataValidation>
    <dataValidation type="list" allowBlank="1" showInputMessage="1" showErrorMessage="1" sqref="E6" xr:uid="{899D8E18-FB35-4664-8195-024316D7FC7D}">
      <formula1>"Chưa tính lớp bao che,Đã tính lớp bao che"</formula1>
    </dataValidation>
    <dataValidation type="list" allowBlank="1" showInputMessage="1" showErrorMessage="1" sqref="K10" xr:uid="{E0225239-B9C9-462E-8A48-59990DCDE55B}">
      <formula1>"Nghiêng,Ngang"</formula1>
    </dataValidation>
    <dataValidation type="list" allowBlank="1" showInputMessage="1" showErrorMessage="1" sqref="K11:K12" xr:uid="{1EED675E-D3CC-42E2-AD26-E8D4CC4A0B2F}">
      <formula1>"Tên,Kích thước,Tên &amp; Kích thước"</formula1>
    </dataValidation>
  </dataValidations>
  <pageMargins left="0.7" right="0.7" top="0.75" bottom="0.75" header="0.3" footer="0.3"/>
  <pageSetup orientation="portrait" r:id="rId1"/>
  <ignoredErrors>
    <ignoredError sqref="F13" formulaRange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572C72-CE3C-458F-B8F2-D5DEB6E188CE}">
          <x14:formula1>
            <xm:f>Data!$A$2:$A$12</xm:f>
          </x14:formula1>
          <xm:sqref>J4:K5</xm:sqref>
        </x14:dataValidation>
        <x14:dataValidation type="list" allowBlank="1" showInputMessage="1" showErrorMessage="1" xr:uid="{1800A87B-C822-4B4E-A878-1E5F85AE792F}">
          <x14:formula1>
            <xm:f>Data!$B$2:$B$9</xm:f>
          </x14:formula1>
          <xm:sqref>Q30:Q33 Q47:Q51 Q39:Q40 R6 R8:R9 Q53</xm:sqref>
        </x14:dataValidation>
        <x14:dataValidation type="list" allowBlank="1" showInputMessage="1" showErrorMessage="1" xr:uid="{1C97964C-BD13-409D-8493-6746D5E31C9B}">
          <x14:formula1>
            <xm:f>Data!$G$3:$G$19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CC0A-4F73-4CC8-A36E-0DD43DBA2E6C}">
  <sheetPr codeName="Sheet3">
    <tabColor rgb="FFFFC000"/>
  </sheetPr>
  <dimension ref="B1:Z68"/>
  <sheetViews>
    <sheetView showGridLines="0" topLeftCell="A4" zoomScale="115" zoomScaleNormal="115" workbookViewId="0">
      <selection activeCell="R14" sqref="R14"/>
    </sheetView>
  </sheetViews>
  <sheetFormatPr defaultRowHeight="15" x14ac:dyDescent="0.25"/>
  <cols>
    <col min="1" max="1" width="3.140625" customWidth="1"/>
    <col min="2" max="5" width="9.140625" customWidth="1"/>
    <col min="6" max="6" width="13.28515625" bestFit="1" customWidth="1"/>
    <col min="7" max="10" width="9.140625" customWidth="1"/>
    <col min="11" max="11" width="10.85546875" customWidth="1"/>
    <col min="12" max="13" width="9.140625" customWidth="1"/>
    <col min="14" max="14" width="7.7109375" customWidth="1"/>
    <col min="15" max="15" width="9.140625" customWidth="1"/>
    <col min="16" max="16" width="10.5703125" customWidth="1"/>
    <col min="17" max="17" width="9.140625" customWidth="1"/>
    <col min="18" max="24" width="9.7109375" customWidth="1"/>
    <col min="25" max="34" width="7.7109375" customWidth="1"/>
  </cols>
  <sheetData>
    <row r="1" spans="2:26" ht="15" customHeight="1" x14ac:dyDescent="0.25">
      <c r="B1" s="357" t="s">
        <v>53</v>
      </c>
      <c r="C1" s="357"/>
      <c r="D1" s="357"/>
      <c r="E1" s="357"/>
      <c r="F1" s="357"/>
      <c r="G1" s="357"/>
      <c r="H1" s="358" t="s">
        <v>334</v>
      </c>
      <c r="I1" s="358"/>
      <c r="J1" s="358"/>
      <c r="K1" s="358"/>
      <c r="L1" s="354" t="s">
        <v>289</v>
      </c>
      <c r="M1" s="354"/>
      <c r="P1" s="159"/>
      <c r="Q1" s="159"/>
      <c r="R1" s="159"/>
      <c r="S1" s="159"/>
      <c r="T1" s="299"/>
      <c r="U1" s="299"/>
      <c r="V1" s="299"/>
      <c r="W1" s="299"/>
      <c r="X1" s="299"/>
      <c r="Y1" s="299"/>
      <c r="Z1" s="299"/>
    </row>
    <row r="2" spans="2:26" ht="15" customHeight="1" x14ac:dyDescent="0.25">
      <c r="B2" s="357"/>
      <c r="C2" s="357"/>
      <c r="D2" s="357"/>
      <c r="E2" s="357"/>
      <c r="F2" s="357"/>
      <c r="G2" s="357"/>
      <c r="H2" s="358"/>
      <c r="I2" s="358"/>
      <c r="J2" s="358"/>
      <c r="K2" s="358"/>
      <c r="L2" s="354"/>
      <c r="M2" s="354"/>
      <c r="P2" s="159"/>
      <c r="Q2" s="159"/>
      <c r="R2" s="159"/>
      <c r="S2" s="159"/>
      <c r="T2" s="299"/>
      <c r="U2" s="299"/>
      <c r="V2" s="299"/>
      <c r="W2" s="299"/>
      <c r="X2" s="299"/>
      <c r="Y2" s="299"/>
      <c r="Z2" s="299"/>
    </row>
    <row r="3" spans="2:26" ht="15" customHeight="1" x14ac:dyDescent="0.25">
      <c r="B3" s="355"/>
      <c r="C3" s="355"/>
      <c r="D3" s="355"/>
      <c r="E3" s="355"/>
      <c r="F3" s="355"/>
      <c r="G3" s="355"/>
      <c r="H3" s="356"/>
      <c r="I3" s="356"/>
      <c r="J3" s="356"/>
      <c r="K3" s="356"/>
      <c r="L3" s="356"/>
      <c r="M3" s="356"/>
      <c r="N3" s="355"/>
      <c r="O3" s="356"/>
      <c r="P3" s="348"/>
      <c r="Q3" s="348"/>
      <c r="R3" s="156"/>
      <c r="S3" s="156"/>
      <c r="T3" s="156"/>
      <c r="U3" s="156"/>
      <c r="V3" s="156"/>
      <c r="W3" s="156"/>
      <c r="X3" s="156"/>
      <c r="Y3" s="156"/>
      <c r="Z3" s="156"/>
    </row>
    <row r="4" spans="2:26" ht="15" customHeight="1" x14ac:dyDescent="0.25">
      <c r="B4" s="21" t="s">
        <v>26</v>
      </c>
      <c r="C4" s="8"/>
      <c r="D4" s="8"/>
      <c r="E4" s="8"/>
      <c r="F4" s="18">
        <v>200</v>
      </c>
      <c r="G4" s="9"/>
      <c r="H4" s="21" t="s">
        <v>6</v>
      </c>
      <c r="I4" s="8"/>
      <c r="J4" s="18" t="s">
        <v>14</v>
      </c>
      <c r="K4" s="18">
        <v>1200</v>
      </c>
      <c r="L4" s="189" t="s">
        <v>368</v>
      </c>
      <c r="M4" s="190">
        <v>50</v>
      </c>
      <c r="O4" s="359" t="s">
        <v>61</v>
      </c>
      <c r="P4" s="359" t="s">
        <v>62</v>
      </c>
      <c r="Q4" s="359" t="s">
        <v>271</v>
      </c>
      <c r="R4" s="359" t="s">
        <v>34</v>
      </c>
      <c r="S4" s="372" t="s">
        <v>523</v>
      </c>
      <c r="T4" s="372" t="s">
        <v>522</v>
      </c>
      <c r="U4" s="156"/>
      <c r="V4" s="156"/>
      <c r="W4" s="156"/>
      <c r="X4" s="156"/>
      <c r="Y4" s="156"/>
      <c r="Z4" s="156"/>
    </row>
    <row r="5" spans="2:26" ht="15.75" customHeight="1" x14ac:dyDescent="0.25">
      <c r="B5" s="22" t="s">
        <v>0</v>
      </c>
      <c r="C5" s="11"/>
      <c r="D5" s="11"/>
      <c r="E5" s="11"/>
      <c r="F5" s="12">
        <v>0</v>
      </c>
      <c r="G5" s="13" t="s">
        <v>4</v>
      </c>
      <c r="H5" s="22" t="s">
        <v>8</v>
      </c>
      <c r="I5" s="11"/>
      <c r="J5" s="12" t="s">
        <v>9</v>
      </c>
      <c r="K5" s="12">
        <v>1200</v>
      </c>
      <c r="L5" s="12"/>
      <c r="M5" s="13"/>
      <c r="O5" s="359"/>
      <c r="P5" s="359"/>
      <c r="Q5" s="359"/>
      <c r="R5" s="359"/>
      <c r="S5" s="359"/>
      <c r="T5" s="359"/>
      <c r="U5" s="156"/>
      <c r="V5" s="156"/>
      <c r="W5" s="156"/>
      <c r="X5" s="156"/>
      <c r="Y5" s="156"/>
      <c r="Z5" s="156"/>
    </row>
    <row r="6" spans="2:26" ht="15" customHeight="1" x14ac:dyDescent="0.25">
      <c r="B6" s="22" t="s">
        <v>331</v>
      </c>
      <c r="C6" s="112"/>
      <c r="D6" s="112"/>
      <c r="E6" s="112"/>
      <c r="F6" s="352" t="s">
        <v>332</v>
      </c>
      <c r="G6" s="353"/>
      <c r="H6" s="22" t="s">
        <v>333</v>
      </c>
      <c r="I6" s="11"/>
      <c r="J6" s="11"/>
      <c r="K6" s="12">
        <v>250</v>
      </c>
      <c r="L6" s="12"/>
      <c r="M6" s="13"/>
      <c r="O6" s="350" t="s">
        <v>60</v>
      </c>
      <c r="P6" s="346" t="s">
        <v>317</v>
      </c>
      <c r="Q6" s="351" t="s">
        <v>357</v>
      </c>
      <c r="R6" s="345">
        <v>20</v>
      </c>
      <c r="S6" s="346">
        <v>20</v>
      </c>
      <c r="T6" s="346">
        <v>6</v>
      </c>
    </row>
    <row r="7" spans="2:26" ht="15" customHeight="1" x14ac:dyDescent="0.25">
      <c r="B7" s="111" t="str">
        <f>"+ Chiều cao đỉnh mái biên trái"</f>
        <v>+ Chiều cao đỉnh mái biên trái</v>
      </c>
      <c r="C7" s="112"/>
      <c r="D7" s="112"/>
      <c r="E7" s="112"/>
      <c r="F7" s="191">
        <v>8000</v>
      </c>
      <c r="G7" s="113" t="s">
        <v>4</v>
      </c>
      <c r="H7" s="23" t="s">
        <v>318</v>
      </c>
      <c r="I7" s="19"/>
      <c r="J7" s="19"/>
      <c r="K7" s="12">
        <v>200</v>
      </c>
      <c r="L7" s="11" t="s">
        <v>4</v>
      </c>
      <c r="M7" s="13"/>
      <c r="O7" s="350"/>
      <c r="P7" s="346"/>
      <c r="Q7" s="351"/>
      <c r="R7" s="345"/>
      <c r="S7" s="346"/>
      <c r="T7" s="346"/>
    </row>
    <row r="8" spans="2:26" ht="15" customHeight="1" x14ac:dyDescent="0.25">
      <c r="B8" s="111" t="str">
        <f>"+ Chiều cao đỉnh mái ở giữa"</f>
        <v>+ Chiều cao đỉnh mái ở giữa</v>
      </c>
      <c r="C8" s="112"/>
      <c r="D8" s="112"/>
      <c r="E8" s="112"/>
      <c r="F8" s="191">
        <v>10400</v>
      </c>
      <c r="G8" s="113" t="s">
        <v>4</v>
      </c>
      <c r="H8" s="22" t="s">
        <v>336</v>
      </c>
      <c r="I8" s="11"/>
      <c r="J8" s="11"/>
      <c r="K8" s="12">
        <v>250</v>
      </c>
      <c r="L8" s="11" t="s">
        <v>4</v>
      </c>
      <c r="M8" s="13"/>
      <c r="O8" s="349" t="s">
        <v>390</v>
      </c>
      <c r="P8" s="349"/>
      <c r="Q8" s="346">
        <v>10</v>
      </c>
      <c r="R8" s="345">
        <v>20</v>
      </c>
      <c r="S8" s="346">
        <v>20</v>
      </c>
      <c r="T8" s="346">
        <v>8</v>
      </c>
    </row>
    <row r="9" spans="2:26" ht="15" customHeight="1" x14ac:dyDescent="0.25">
      <c r="B9" s="111" t="str">
        <f>"+ Chiều cao đỉnh mái biên phải"</f>
        <v>+ Chiều cao đỉnh mái biên phải</v>
      </c>
      <c r="C9" s="112"/>
      <c r="D9" s="112"/>
      <c r="E9" s="112"/>
      <c r="F9" s="191">
        <v>8000</v>
      </c>
      <c r="G9" s="113" t="s">
        <v>4</v>
      </c>
      <c r="H9" s="22" t="s">
        <v>340</v>
      </c>
      <c r="I9" s="11"/>
      <c r="J9" s="11"/>
      <c r="K9" s="12">
        <v>250</v>
      </c>
      <c r="L9" s="11" t="s">
        <v>4</v>
      </c>
      <c r="M9" s="13"/>
      <c r="O9" s="349"/>
      <c r="P9" s="349"/>
      <c r="Q9" s="346"/>
      <c r="R9" s="345"/>
      <c r="S9" s="346"/>
      <c r="T9" s="346"/>
    </row>
    <row r="10" spans="2:26" ht="15" customHeight="1" x14ac:dyDescent="0.25">
      <c r="B10" s="58" t="s">
        <v>73</v>
      </c>
      <c r="C10" s="157"/>
      <c r="D10" s="11"/>
      <c r="E10" s="11"/>
      <c r="F10" s="56">
        <v>20</v>
      </c>
      <c r="G10" s="13"/>
      <c r="H10" s="22" t="s">
        <v>367</v>
      </c>
      <c r="I10" s="11"/>
      <c r="J10" s="11"/>
      <c r="K10" s="12" t="s">
        <v>317</v>
      </c>
      <c r="L10" s="11"/>
      <c r="M10" s="13"/>
    </row>
    <row r="11" spans="2:26" ht="15" customHeight="1" x14ac:dyDescent="0.25">
      <c r="B11" s="58" t="s">
        <v>89</v>
      </c>
      <c r="C11" s="157"/>
      <c r="D11" s="11"/>
      <c r="E11" s="11"/>
      <c r="F11" s="56">
        <v>50</v>
      </c>
      <c r="G11" s="13"/>
      <c r="H11" s="22"/>
      <c r="I11" s="11"/>
      <c r="J11" s="11"/>
      <c r="K11" s="14"/>
      <c r="L11" s="11"/>
      <c r="M11" s="13"/>
      <c r="W11" s="6"/>
      <c r="X11" s="6"/>
    </row>
    <row r="12" spans="2:26" ht="15" customHeight="1" x14ac:dyDescent="0.25">
      <c r="B12" s="58" t="s">
        <v>72</v>
      </c>
      <c r="C12" s="157"/>
      <c r="D12" s="11"/>
      <c r="E12" s="11"/>
      <c r="F12" s="56">
        <v>0</v>
      </c>
      <c r="G12" s="13"/>
      <c r="H12" s="22"/>
      <c r="I12" s="11"/>
      <c r="J12" s="11"/>
      <c r="K12" s="14"/>
      <c r="L12" s="11"/>
      <c r="M12" s="13"/>
      <c r="X12" s="6"/>
    </row>
    <row r="13" spans="2:26" x14ac:dyDescent="0.25">
      <c r="B13" s="22" t="s">
        <v>54</v>
      </c>
      <c r="C13" s="11"/>
      <c r="D13" s="11"/>
      <c r="E13" s="11"/>
      <c r="F13" s="191">
        <v>35000</v>
      </c>
      <c r="G13" s="153">
        <f>(F8-F7)/F13</f>
        <v>6.8571428571428575E-2</v>
      </c>
      <c r="H13" s="22" t="s">
        <v>36</v>
      </c>
      <c r="I13" s="11"/>
      <c r="J13" s="11"/>
      <c r="K13" s="213" t="s">
        <v>383</v>
      </c>
      <c r="L13" s="11"/>
      <c r="M13" s="13"/>
      <c r="N13" s="311"/>
    </row>
    <row r="14" spans="2:26" ht="15" customHeight="1" x14ac:dyDescent="0.25">
      <c r="B14" s="22" t="s">
        <v>55</v>
      </c>
      <c r="C14" s="11"/>
      <c r="D14" s="11"/>
      <c r="E14" s="11"/>
      <c r="F14" s="191">
        <v>35000</v>
      </c>
      <c r="G14" s="153">
        <f>(F8-F9)/F14</f>
        <v>6.8571428571428575E-2</v>
      </c>
      <c r="H14" s="22" t="s">
        <v>35</v>
      </c>
      <c r="I14" s="11"/>
      <c r="J14" s="11"/>
      <c r="K14" s="213" t="s">
        <v>383</v>
      </c>
      <c r="L14" s="11"/>
      <c r="M14" s="13"/>
    </row>
    <row r="15" spans="2:26" x14ac:dyDescent="0.25">
      <c r="B15" s="22" t="s">
        <v>47</v>
      </c>
      <c r="C15" s="11"/>
      <c r="D15" s="11"/>
      <c r="E15" s="11"/>
      <c r="F15" s="20">
        <f>F13+F14</f>
        <v>70000</v>
      </c>
      <c r="G15" s="13"/>
      <c r="H15" s="25" t="s">
        <v>384</v>
      </c>
      <c r="I15" s="11"/>
      <c r="J15" s="11"/>
      <c r="K15" s="12" t="s">
        <v>37</v>
      </c>
      <c r="L15" s="24" t="str">
        <f>IF(K15="Total","Chiều cao tổng","Chiều cao bụng")</f>
        <v>Chiều cao tổng</v>
      </c>
      <c r="M15" s="13"/>
      <c r="N15" s="311"/>
    </row>
    <row r="16" spans="2:26" ht="15" hidden="1" customHeight="1" x14ac:dyDescent="0.25">
      <c r="B16" s="58"/>
      <c r="C16" s="157"/>
      <c r="D16" s="11"/>
      <c r="E16" s="11"/>
      <c r="F16" s="56"/>
      <c r="G16" s="13"/>
      <c r="H16" s="10"/>
      <c r="I16" s="11"/>
      <c r="J16" s="11"/>
      <c r="K16" s="11"/>
      <c r="L16" s="11"/>
      <c r="M16" s="13"/>
      <c r="N16" s="36"/>
      <c r="O16" s="36"/>
      <c r="P16" s="36"/>
      <c r="Q16" s="36"/>
      <c r="R16" s="36"/>
    </row>
    <row r="17" spans="2:20" ht="15" hidden="1" customHeight="1" x14ac:dyDescent="0.25">
      <c r="B17" s="10"/>
      <c r="C17" s="11"/>
      <c r="D17" s="11"/>
      <c r="E17" s="11"/>
      <c r="F17" s="11"/>
      <c r="G17" s="13"/>
      <c r="H17" s="10"/>
      <c r="I17" s="11"/>
      <c r="J17" s="11"/>
      <c r="K17" s="11"/>
      <c r="L17" s="11"/>
      <c r="M17" s="13"/>
      <c r="N17" s="11"/>
      <c r="O17" s="11"/>
      <c r="P17" s="11"/>
      <c r="Q17" s="11"/>
      <c r="R17" s="11"/>
    </row>
    <row r="18" spans="2:20" ht="15" hidden="1" customHeight="1" x14ac:dyDescent="0.25">
      <c r="B18" s="22"/>
      <c r="C18" s="11"/>
      <c r="D18" s="11"/>
      <c r="E18" s="55"/>
      <c r="F18" s="56"/>
      <c r="G18" s="13"/>
      <c r="H18" s="10"/>
      <c r="I18" s="11"/>
      <c r="J18" s="11"/>
      <c r="K18" s="11"/>
      <c r="L18" s="11"/>
      <c r="M18" s="13"/>
      <c r="N18" s="11"/>
      <c r="O18" s="11"/>
      <c r="P18" s="11"/>
      <c r="Q18" s="11"/>
      <c r="R18" s="11"/>
    </row>
    <row r="19" spans="2:20" ht="15" hidden="1" customHeight="1" x14ac:dyDescent="0.25">
      <c r="B19" s="22"/>
      <c r="C19" s="11"/>
      <c r="D19" s="11"/>
      <c r="E19" s="11"/>
      <c r="F19" s="14"/>
      <c r="G19" s="13"/>
      <c r="H19" s="10"/>
      <c r="I19" s="11"/>
      <c r="J19" s="11"/>
      <c r="K19" s="11"/>
      <c r="L19" s="11"/>
      <c r="M19" s="13"/>
      <c r="N19" s="11"/>
      <c r="O19" s="11"/>
      <c r="P19" s="11"/>
      <c r="Q19" s="11"/>
      <c r="R19" s="11"/>
    </row>
    <row r="20" spans="2:20" ht="15" hidden="1" customHeight="1" x14ac:dyDescent="0.25">
      <c r="B20" s="22"/>
      <c r="C20" s="11"/>
      <c r="D20" s="11"/>
      <c r="E20" s="11"/>
      <c r="F20" s="20"/>
      <c r="G20" s="13"/>
      <c r="H20" s="10"/>
      <c r="I20" s="11"/>
      <c r="J20" s="11"/>
      <c r="K20" s="11"/>
      <c r="L20" s="11"/>
      <c r="M20" s="13"/>
      <c r="N20" s="11"/>
      <c r="O20" s="11"/>
      <c r="P20" s="11"/>
      <c r="Q20" s="11"/>
      <c r="R20" s="11"/>
    </row>
    <row r="21" spans="2:20" ht="15" hidden="1" customHeight="1" x14ac:dyDescent="0.25">
      <c r="B21" s="22"/>
      <c r="C21" s="11"/>
      <c r="D21" s="11"/>
      <c r="E21" s="11"/>
      <c r="F21" s="20"/>
      <c r="G21" s="13"/>
      <c r="H21" s="10"/>
      <c r="I21" s="11"/>
      <c r="J21" s="11"/>
      <c r="K21" s="11"/>
      <c r="L21" s="11"/>
      <c r="M21" s="13"/>
      <c r="N21" s="11"/>
      <c r="O21" s="11"/>
      <c r="P21" s="11"/>
      <c r="Q21" s="11"/>
      <c r="R21" s="11"/>
    </row>
    <row r="22" spans="2:20" ht="15" hidden="1" customHeight="1" x14ac:dyDescent="0.25">
      <c r="B22" s="10"/>
      <c r="C22" s="11"/>
      <c r="D22" s="11"/>
      <c r="E22" s="11"/>
      <c r="F22" s="11"/>
      <c r="G22" s="13"/>
      <c r="H22" s="10"/>
      <c r="I22" s="11"/>
      <c r="J22" s="11"/>
      <c r="K22" s="11"/>
      <c r="L22" s="11"/>
      <c r="M22" s="13"/>
      <c r="N22" s="11"/>
      <c r="O22" s="11"/>
      <c r="P22" s="11"/>
      <c r="Q22" s="11"/>
      <c r="R22" s="11"/>
    </row>
    <row r="23" spans="2:20" ht="15" customHeight="1" x14ac:dyDescent="0.25">
      <c r="B23" s="15"/>
      <c r="C23" s="16"/>
      <c r="D23" s="16"/>
      <c r="E23" s="16"/>
      <c r="F23" s="16"/>
      <c r="G23" s="17"/>
      <c r="H23" s="15"/>
      <c r="I23" s="16"/>
      <c r="J23" s="16"/>
      <c r="K23" s="16"/>
      <c r="L23" s="16"/>
      <c r="M23" s="17"/>
      <c r="N23" s="16"/>
      <c r="O23" s="27"/>
      <c r="P23" s="27"/>
      <c r="Q23" s="27"/>
      <c r="R23" s="27"/>
    </row>
    <row r="24" spans="2:20" ht="15" customHeight="1" x14ac:dyDescent="0.25">
      <c r="B24" s="361" t="s">
        <v>29</v>
      </c>
      <c r="C24" s="347" t="s">
        <v>32</v>
      </c>
      <c r="D24" s="347"/>
      <c r="E24" s="347"/>
      <c r="F24" s="347"/>
      <c r="G24" s="347"/>
      <c r="H24" s="347"/>
      <c r="I24" s="347"/>
      <c r="J24" s="347" t="s">
        <v>31</v>
      </c>
      <c r="K24" s="347"/>
      <c r="L24" s="347"/>
      <c r="M24" s="347"/>
      <c r="N24" s="347"/>
      <c r="O24" s="347" t="s">
        <v>24</v>
      </c>
      <c r="P24" s="347"/>
      <c r="Q24" s="347"/>
      <c r="R24" s="347"/>
      <c r="S24" s="347"/>
      <c r="T24" s="347"/>
    </row>
    <row r="25" spans="2:20" ht="15" customHeight="1" x14ac:dyDescent="0.25">
      <c r="B25" s="361"/>
      <c r="C25" s="367" t="s">
        <v>372</v>
      </c>
      <c r="D25" s="361" t="s">
        <v>42</v>
      </c>
      <c r="E25" s="361" t="s">
        <v>41</v>
      </c>
      <c r="F25" s="347" t="s">
        <v>20</v>
      </c>
      <c r="G25" s="347"/>
      <c r="H25" s="347"/>
      <c r="I25" s="347"/>
      <c r="J25" s="360" t="s">
        <v>58</v>
      </c>
      <c r="K25" s="360" t="s">
        <v>387</v>
      </c>
      <c r="L25" s="360" t="s">
        <v>34</v>
      </c>
      <c r="M25" s="362" t="s">
        <v>524</v>
      </c>
      <c r="N25" s="362" t="s">
        <v>525</v>
      </c>
      <c r="O25" s="361" t="s">
        <v>21</v>
      </c>
      <c r="P25" s="347" t="s">
        <v>20</v>
      </c>
      <c r="Q25" s="347"/>
      <c r="R25" s="347"/>
      <c r="S25" s="347"/>
      <c r="T25" s="361" t="s">
        <v>328</v>
      </c>
    </row>
    <row r="26" spans="2:20" ht="15" customHeight="1" x14ac:dyDescent="0.25">
      <c r="B26" s="361"/>
      <c r="C26" s="368"/>
      <c r="D26" s="361"/>
      <c r="E26" s="366"/>
      <c r="F26" s="361" t="s">
        <v>65</v>
      </c>
      <c r="G26" s="361" t="s">
        <v>22</v>
      </c>
      <c r="H26" s="361" t="s">
        <v>66</v>
      </c>
      <c r="I26" s="361" t="s">
        <v>67</v>
      </c>
      <c r="J26" s="360"/>
      <c r="K26" s="360"/>
      <c r="L26" s="360"/>
      <c r="M26" s="363"/>
      <c r="N26" s="363"/>
      <c r="O26" s="361"/>
      <c r="P26" s="361" t="s">
        <v>68</v>
      </c>
      <c r="Q26" s="361" t="s">
        <v>22</v>
      </c>
      <c r="R26" s="361" t="s">
        <v>39</v>
      </c>
      <c r="S26" s="361" t="s">
        <v>40</v>
      </c>
      <c r="T26" s="361"/>
    </row>
    <row r="27" spans="2:20" x14ac:dyDescent="0.25">
      <c r="B27" s="361"/>
      <c r="C27" s="196" t="s">
        <v>64</v>
      </c>
      <c r="D27" s="361"/>
      <c r="E27" s="366"/>
      <c r="F27" s="361"/>
      <c r="G27" s="361"/>
      <c r="H27" s="361"/>
      <c r="I27" s="361"/>
      <c r="J27" s="360"/>
      <c r="K27" s="360"/>
      <c r="L27" s="360"/>
      <c r="M27" s="363"/>
      <c r="N27" s="363"/>
      <c r="O27" s="361"/>
      <c r="P27" s="361"/>
      <c r="Q27" s="361"/>
      <c r="R27" s="361"/>
      <c r="S27" s="361"/>
      <c r="T27" s="361"/>
    </row>
    <row r="28" spans="2:20" x14ac:dyDescent="0.25">
      <c r="B28" s="361"/>
      <c r="C28" s="195" t="s">
        <v>249</v>
      </c>
      <c r="D28" s="361"/>
      <c r="E28" s="366"/>
      <c r="F28" s="57" t="s">
        <v>43</v>
      </c>
      <c r="G28" s="57" t="s">
        <v>23</v>
      </c>
      <c r="H28" s="57" t="s">
        <v>44</v>
      </c>
      <c r="I28" s="57" t="s">
        <v>45</v>
      </c>
      <c r="J28" s="360"/>
      <c r="K28" s="360"/>
      <c r="L28" s="360"/>
      <c r="M28" s="364"/>
      <c r="N28" s="364"/>
      <c r="O28" s="361"/>
      <c r="P28" s="57" t="s">
        <v>43</v>
      </c>
      <c r="Q28" s="57" t="s">
        <v>23</v>
      </c>
      <c r="R28" s="57" t="s">
        <v>44</v>
      </c>
      <c r="S28" s="57" t="s">
        <v>45</v>
      </c>
      <c r="T28" s="361"/>
    </row>
    <row r="29" spans="2:20" x14ac:dyDescent="0.25">
      <c r="B29" s="5">
        <v>1</v>
      </c>
      <c r="C29" s="5">
        <v>2</v>
      </c>
      <c r="D29" s="5">
        <v>3</v>
      </c>
      <c r="E29" s="5">
        <v>4</v>
      </c>
      <c r="F29" s="5">
        <v>5</v>
      </c>
      <c r="G29" s="5">
        <v>6</v>
      </c>
      <c r="H29" s="5">
        <v>7</v>
      </c>
      <c r="I29" s="5">
        <v>8</v>
      </c>
      <c r="J29" s="97">
        <v>9</v>
      </c>
      <c r="K29" s="97">
        <v>10</v>
      </c>
      <c r="L29" s="97">
        <v>11</v>
      </c>
      <c r="M29" s="97">
        <v>12</v>
      </c>
      <c r="N29" s="97">
        <v>13</v>
      </c>
      <c r="O29" s="5">
        <v>14</v>
      </c>
      <c r="P29" s="5">
        <v>15</v>
      </c>
      <c r="Q29" s="5">
        <v>16</v>
      </c>
      <c r="R29" s="5">
        <v>17</v>
      </c>
      <c r="S29" s="5">
        <v>18</v>
      </c>
      <c r="T29" s="5">
        <v>19</v>
      </c>
    </row>
    <row r="30" spans="2:20" x14ac:dyDescent="0.25">
      <c r="B30" s="3" t="s">
        <v>1</v>
      </c>
      <c r="C30" s="194" t="s">
        <v>229</v>
      </c>
      <c r="D30" s="53" t="s">
        <v>373</v>
      </c>
      <c r="E30" s="41"/>
      <c r="F30" s="41" t="s">
        <v>540</v>
      </c>
      <c r="G30" s="41">
        <v>8</v>
      </c>
      <c r="H30" s="41">
        <v>250</v>
      </c>
      <c r="I30" s="41">
        <v>12</v>
      </c>
      <c r="J30" s="53"/>
      <c r="K30" s="53">
        <v>12</v>
      </c>
      <c r="L30" s="60">
        <v>20</v>
      </c>
      <c r="M30" s="53">
        <v>20</v>
      </c>
      <c r="N30" s="53"/>
      <c r="O30" s="3" t="s">
        <v>314</v>
      </c>
      <c r="P30" s="41" t="s">
        <v>542</v>
      </c>
      <c r="Q30" s="41">
        <v>8</v>
      </c>
      <c r="R30" s="41">
        <v>250</v>
      </c>
      <c r="S30" s="41">
        <v>12</v>
      </c>
      <c r="T30" s="4" t="s">
        <v>64</v>
      </c>
    </row>
    <row r="31" spans="2:20" x14ac:dyDescent="0.25">
      <c r="B31" s="3" t="s">
        <v>2</v>
      </c>
      <c r="C31" s="194" t="s">
        <v>231</v>
      </c>
      <c r="D31" s="53" t="s">
        <v>374</v>
      </c>
      <c r="E31" s="41">
        <v>12000</v>
      </c>
      <c r="F31" s="41">
        <v>700</v>
      </c>
      <c r="G31" s="41">
        <v>8</v>
      </c>
      <c r="H31" s="41">
        <v>250</v>
      </c>
      <c r="I31" s="41">
        <v>12</v>
      </c>
      <c r="J31" s="53"/>
      <c r="K31" s="53">
        <v>12</v>
      </c>
      <c r="L31" s="60">
        <v>20</v>
      </c>
      <c r="M31" s="53">
        <v>20</v>
      </c>
      <c r="N31" s="53"/>
      <c r="O31" s="3"/>
      <c r="P31" s="41"/>
      <c r="Q31" s="41"/>
      <c r="R31" s="41"/>
      <c r="S31" s="41"/>
      <c r="T31" s="4" t="s">
        <v>236</v>
      </c>
    </row>
    <row r="32" spans="2:20" x14ac:dyDescent="0.25">
      <c r="B32" s="3" t="s">
        <v>3</v>
      </c>
      <c r="C32" s="194" t="s">
        <v>232</v>
      </c>
      <c r="D32" s="53" t="s">
        <v>375</v>
      </c>
      <c r="E32" s="41">
        <v>12000</v>
      </c>
      <c r="F32" s="41">
        <v>700</v>
      </c>
      <c r="G32" s="41">
        <v>8</v>
      </c>
      <c r="H32" s="41">
        <v>250</v>
      </c>
      <c r="I32" s="41">
        <v>12</v>
      </c>
      <c r="J32" s="53"/>
      <c r="K32" s="53">
        <v>12</v>
      </c>
      <c r="L32" s="60">
        <v>20</v>
      </c>
      <c r="M32" s="53">
        <v>20</v>
      </c>
      <c r="N32" s="53"/>
      <c r="O32" s="3" t="s">
        <v>314</v>
      </c>
      <c r="P32" s="41" t="s">
        <v>542</v>
      </c>
      <c r="Q32" s="41">
        <v>8</v>
      </c>
      <c r="R32" s="41">
        <v>250</v>
      </c>
      <c r="S32" s="41">
        <v>12</v>
      </c>
      <c r="T32" s="4" t="s">
        <v>249</v>
      </c>
    </row>
    <row r="33" spans="2:23" x14ac:dyDescent="0.25">
      <c r="B33" s="346"/>
      <c r="C33" s="194" t="s">
        <v>241</v>
      </c>
      <c r="D33" s="53"/>
      <c r="E33" s="41"/>
      <c r="F33" s="41"/>
      <c r="G33" s="41"/>
      <c r="H33" s="41"/>
      <c r="I33" s="41"/>
      <c r="J33" s="91"/>
      <c r="K33" s="53"/>
      <c r="L33" s="60"/>
      <c r="M33" s="53"/>
      <c r="N33" s="53"/>
      <c r="O33" s="344" t="s">
        <v>385</v>
      </c>
      <c r="P33" s="344"/>
      <c r="Q33" s="344"/>
      <c r="R33" s="344"/>
      <c r="S33" s="344"/>
      <c r="T33" s="344"/>
    </row>
    <row r="34" spans="2:23" ht="15" hidden="1" customHeight="1" x14ac:dyDescent="0.25">
      <c r="B34" s="346"/>
      <c r="C34" s="194" t="s">
        <v>233</v>
      </c>
      <c r="D34" s="62"/>
      <c r="E34" s="42"/>
      <c r="F34" s="42"/>
      <c r="G34" s="42"/>
      <c r="H34" s="42"/>
      <c r="I34" s="42"/>
      <c r="J34" s="91"/>
      <c r="K34" s="53"/>
      <c r="L34" s="60"/>
      <c r="M34" s="53"/>
      <c r="N34" s="53"/>
      <c r="O34" s="344"/>
      <c r="P34" s="344"/>
      <c r="Q34" s="344"/>
      <c r="R34" s="344"/>
      <c r="S34" s="344"/>
      <c r="T34" s="344"/>
    </row>
    <row r="35" spans="2:23" ht="15" hidden="1" customHeight="1" x14ac:dyDescent="0.25">
      <c r="B35" s="346"/>
      <c r="C35" s="194" t="s">
        <v>234</v>
      </c>
      <c r="D35" s="62"/>
      <c r="E35" s="42"/>
      <c r="F35" s="42"/>
      <c r="G35" s="42"/>
      <c r="H35" s="42"/>
      <c r="I35" s="42"/>
      <c r="J35" s="91"/>
      <c r="K35" s="53"/>
      <c r="L35" s="60"/>
      <c r="M35" s="53"/>
      <c r="N35" s="53"/>
      <c r="O35" s="344"/>
      <c r="P35" s="344"/>
      <c r="Q35" s="344"/>
      <c r="R35" s="344"/>
      <c r="S35" s="344"/>
      <c r="T35" s="344"/>
    </row>
    <row r="36" spans="2:23" ht="15" hidden="1" customHeight="1" x14ac:dyDescent="0.25">
      <c r="B36" s="346"/>
      <c r="C36" s="194" t="s">
        <v>235</v>
      </c>
      <c r="D36" s="62"/>
      <c r="E36" s="42"/>
      <c r="F36" s="42"/>
      <c r="G36" s="42"/>
      <c r="H36" s="42"/>
      <c r="I36" s="42"/>
      <c r="J36" s="91"/>
      <c r="K36" s="53"/>
      <c r="L36" s="60"/>
      <c r="M36" s="53"/>
      <c r="N36" s="53"/>
      <c r="O36" s="344"/>
      <c r="P36" s="344"/>
      <c r="Q36" s="344"/>
      <c r="R36" s="344"/>
      <c r="S36" s="344"/>
      <c r="T36" s="344"/>
    </row>
    <row r="37" spans="2:23" ht="15" hidden="1" customHeight="1" x14ac:dyDescent="0.25">
      <c r="B37" s="346"/>
      <c r="C37" s="194" t="s">
        <v>242</v>
      </c>
      <c r="D37" s="62"/>
      <c r="E37" s="42"/>
      <c r="F37" s="42"/>
      <c r="G37" s="42"/>
      <c r="H37" s="42"/>
      <c r="I37" s="42"/>
      <c r="J37" s="91"/>
      <c r="K37" s="53"/>
      <c r="L37" s="60"/>
      <c r="M37" s="53"/>
      <c r="N37" s="53"/>
      <c r="O37" s="344"/>
      <c r="P37" s="344"/>
      <c r="Q37" s="344"/>
      <c r="R37" s="344"/>
      <c r="S37" s="344"/>
      <c r="T37" s="344"/>
    </row>
    <row r="38" spans="2:23" ht="15" hidden="1" customHeight="1" x14ac:dyDescent="0.25">
      <c r="B38" s="346"/>
      <c r="C38" s="194" t="s">
        <v>243</v>
      </c>
      <c r="D38" s="62"/>
      <c r="E38" s="42"/>
      <c r="F38" s="42"/>
      <c r="G38" s="42"/>
      <c r="H38" s="42"/>
      <c r="I38" s="42"/>
      <c r="J38" s="91"/>
      <c r="K38" s="53"/>
      <c r="L38" s="60"/>
      <c r="M38" s="53"/>
      <c r="N38" s="53"/>
      <c r="O38" s="344"/>
      <c r="P38" s="344"/>
      <c r="Q38" s="344"/>
      <c r="R38" s="344"/>
      <c r="S38" s="344"/>
      <c r="T38" s="344"/>
    </row>
    <row r="39" spans="2:23" ht="15" hidden="1" customHeight="1" x14ac:dyDescent="0.25">
      <c r="B39" s="346"/>
      <c r="C39" s="194" t="s">
        <v>244</v>
      </c>
      <c r="D39" s="62"/>
      <c r="E39" s="41"/>
      <c r="F39" s="41"/>
      <c r="G39" s="41"/>
      <c r="H39" s="41"/>
      <c r="I39" s="41"/>
      <c r="J39" s="91"/>
      <c r="K39" s="53"/>
      <c r="L39" s="60"/>
      <c r="M39" s="53"/>
      <c r="N39" s="53"/>
      <c r="O39" s="344"/>
      <c r="P39" s="344"/>
      <c r="Q39" s="344"/>
      <c r="R39" s="344"/>
      <c r="S39" s="344"/>
      <c r="T39" s="344"/>
    </row>
    <row r="40" spans="2:23" x14ac:dyDescent="0.25">
      <c r="B40" s="346"/>
      <c r="C40" s="197" t="s">
        <v>236</v>
      </c>
      <c r="D40" s="212" t="s">
        <v>376</v>
      </c>
      <c r="E40" s="192">
        <v>3000</v>
      </c>
      <c r="F40" s="192" t="s">
        <v>541</v>
      </c>
      <c r="G40" s="192">
        <v>8</v>
      </c>
      <c r="H40" s="192">
        <v>250</v>
      </c>
      <c r="I40" s="192">
        <v>12</v>
      </c>
      <c r="J40" s="369"/>
      <c r="K40" s="370"/>
      <c r="L40" s="370"/>
      <c r="M40" s="370"/>
      <c r="N40" s="371"/>
      <c r="O40" s="344"/>
      <c r="P40" s="344"/>
      <c r="Q40" s="344"/>
      <c r="R40" s="344"/>
      <c r="S40" s="344"/>
      <c r="T40" s="344"/>
    </row>
    <row r="41" spans="2:23" ht="15" hidden="1" customHeight="1" x14ac:dyDescent="0.25">
      <c r="B41" s="346"/>
      <c r="C41" s="195" t="s">
        <v>244</v>
      </c>
      <c r="D41" s="62"/>
      <c r="E41" s="41"/>
      <c r="F41" s="41"/>
      <c r="G41" s="41"/>
      <c r="H41" s="41"/>
      <c r="I41" s="41"/>
      <c r="J41" s="91"/>
      <c r="K41" s="53"/>
      <c r="L41" s="60"/>
      <c r="M41" s="53"/>
      <c r="N41" s="53"/>
      <c r="O41" s="344"/>
      <c r="P41" s="344"/>
      <c r="Q41" s="344"/>
      <c r="R41" s="344"/>
      <c r="S41" s="344"/>
      <c r="T41" s="344"/>
    </row>
    <row r="42" spans="2:23" ht="15" hidden="1" customHeight="1" x14ac:dyDescent="0.25">
      <c r="B42" s="346"/>
      <c r="C42" s="195" t="s">
        <v>243</v>
      </c>
      <c r="D42" s="62"/>
      <c r="E42" s="41"/>
      <c r="F42" s="41"/>
      <c r="G42" s="41"/>
      <c r="H42" s="41"/>
      <c r="I42" s="41"/>
      <c r="J42" s="91"/>
      <c r="K42" s="53"/>
      <c r="L42" s="60"/>
      <c r="M42" s="53"/>
      <c r="N42" s="53"/>
      <c r="O42" s="344"/>
      <c r="P42" s="344"/>
      <c r="Q42" s="344"/>
      <c r="R42" s="344"/>
      <c r="S42" s="344"/>
      <c r="T42" s="344"/>
    </row>
    <row r="43" spans="2:23" ht="15" hidden="1" customHeight="1" x14ac:dyDescent="0.25">
      <c r="B43" s="346"/>
      <c r="C43" s="195" t="s">
        <v>242</v>
      </c>
      <c r="D43" s="62"/>
      <c r="E43" s="41"/>
      <c r="F43" s="41"/>
      <c r="G43" s="41"/>
      <c r="H43" s="41"/>
      <c r="I43" s="41"/>
      <c r="J43" s="91"/>
      <c r="K43" s="53"/>
      <c r="L43" s="60"/>
      <c r="M43" s="53"/>
      <c r="N43" s="53"/>
      <c r="O43" s="344"/>
      <c r="P43" s="344"/>
      <c r="Q43" s="344"/>
      <c r="R43" s="344"/>
      <c r="S43" s="344"/>
      <c r="T43" s="344"/>
    </row>
    <row r="44" spans="2:23" ht="15" hidden="1" customHeight="1" x14ac:dyDescent="0.25">
      <c r="B44" s="346"/>
      <c r="C44" s="195" t="s">
        <v>235</v>
      </c>
      <c r="D44" s="62"/>
      <c r="E44" s="41"/>
      <c r="F44" s="41"/>
      <c r="G44" s="41"/>
      <c r="H44" s="41"/>
      <c r="I44" s="41"/>
      <c r="J44" s="91"/>
      <c r="K44" s="53"/>
      <c r="L44" s="60"/>
      <c r="M44" s="53"/>
      <c r="N44" s="53"/>
      <c r="O44" s="344"/>
      <c r="P44" s="344"/>
      <c r="Q44" s="344"/>
      <c r="R44" s="344"/>
      <c r="S44" s="344"/>
      <c r="T44" s="344"/>
    </row>
    <row r="45" spans="2:23" ht="15" hidden="1" customHeight="1" x14ac:dyDescent="0.25">
      <c r="B45" s="346"/>
      <c r="C45" s="195" t="s">
        <v>234</v>
      </c>
      <c r="D45" s="62"/>
      <c r="E45" s="42"/>
      <c r="F45" s="42"/>
      <c r="G45" s="42"/>
      <c r="H45" s="41"/>
      <c r="I45" s="41"/>
      <c r="J45" s="91"/>
      <c r="K45" s="53"/>
      <c r="L45" s="60"/>
      <c r="M45" s="91"/>
      <c r="N45" s="91"/>
      <c r="O45" s="344"/>
      <c r="P45" s="344"/>
      <c r="Q45" s="344"/>
      <c r="R45" s="344"/>
      <c r="S45" s="344"/>
      <c r="T45" s="344"/>
    </row>
    <row r="46" spans="2:23" ht="15" hidden="1" customHeight="1" x14ac:dyDescent="0.25">
      <c r="B46" s="346"/>
      <c r="C46" s="195" t="s">
        <v>233</v>
      </c>
      <c r="D46" s="53"/>
      <c r="E46" s="42"/>
      <c r="F46" s="42"/>
      <c r="G46" s="42"/>
      <c r="H46" s="41"/>
      <c r="I46" s="41"/>
      <c r="J46" s="53"/>
      <c r="K46" s="53"/>
      <c r="L46" s="60"/>
      <c r="M46" s="91"/>
      <c r="N46" s="91"/>
      <c r="O46" s="344"/>
      <c r="P46" s="344"/>
      <c r="Q46" s="344"/>
      <c r="R46" s="344"/>
      <c r="S46" s="344"/>
      <c r="T46" s="344"/>
    </row>
    <row r="47" spans="2:23" x14ac:dyDescent="0.25">
      <c r="B47" s="346"/>
      <c r="C47" s="195" t="s">
        <v>241</v>
      </c>
      <c r="D47" s="53"/>
      <c r="E47" s="41"/>
      <c r="F47" s="41"/>
      <c r="G47" s="41"/>
      <c r="H47" s="41"/>
      <c r="I47" s="41"/>
      <c r="J47" s="53"/>
      <c r="K47" s="53"/>
      <c r="L47" s="60"/>
      <c r="M47" s="53"/>
      <c r="N47" s="53"/>
      <c r="O47" s="344"/>
      <c r="P47" s="344"/>
      <c r="Q47" s="344"/>
      <c r="R47" s="344"/>
      <c r="S47" s="344"/>
      <c r="T47" s="344"/>
      <c r="W47" s="300"/>
    </row>
    <row r="48" spans="2:23" x14ac:dyDescent="0.25">
      <c r="B48" s="346"/>
      <c r="C48" s="195" t="s">
        <v>232</v>
      </c>
      <c r="D48" s="53" t="s">
        <v>375</v>
      </c>
      <c r="E48" s="41">
        <v>12000</v>
      </c>
      <c r="F48" s="41">
        <v>700</v>
      </c>
      <c r="G48" s="41">
        <v>8</v>
      </c>
      <c r="H48" s="41">
        <v>250</v>
      </c>
      <c r="I48" s="41">
        <v>12</v>
      </c>
      <c r="J48" s="53"/>
      <c r="K48" s="53">
        <v>12</v>
      </c>
      <c r="L48" s="60">
        <v>20</v>
      </c>
      <c r="M48" s="53">
        <v>20</v>
      </c>
      <c r="N48" s="53"/>
      <c r="O48" s="344"/>
      <c r="P48" s="344"/>
      <c r="Q48" s="344"/>
      <c r="R48" s="344"/>
      <c r="S48" s="344"/>
      <c r="T48" s="344"/>
    </row>
    <row r="49" spans="2:20" x14ac:dyDescent="0.25">
      <c r="B49" s="346"/>
      <c r="C49" s="195" t="s">
        <v>231</v>
      </c>
      <c r="D49" s="53" t="s">
        <v>374</v>
      </c>
      <c r="E49" s="41">
        <v>12000</v>
      </c>
      <c r="F49" s="41">
        <v>700</v>
      </c>
      <c r="G49" s="41">
        <v>8</v>
      </c>
      <c r="H49" s="41">
        <v>250</v>
      </c>
      <c r="I49" s="41">
        <v>12</v>
      </c>
      <c r="J49" s="53"/>
      <c r="K49" s="53">
        <v>12</v>
      </c>
      <c r="L49" s="60">
        <v>20</v>
      </c>
      <c r="M49" s="53">
        <v>20</v>
      </c>
      <c r="N49" s="53"/>
      <c r="O49" s="344"/>
      <c r="P49" s="344"/>
      <c r="Q49" s="344"/>
      <c r="R49" s="344"/>
      <c r="S49" s="344"/>
      <c r="T49" s="344"/>
    </row>
    <row r="50" spans="2:20" x14ac:dyDescent="0.25">
      <c r="B50" s="346"/>
      <c r="C50" s="195" t="s">
        <v>229</v>
      </c>
      <c r="D50" s="53" t="s">
        <v>373</v>
      </c>
      <c r="E50" s="41"/>
      <c r="F50" s="41" t="s">
        <v>543</v>
      </c>
      <c r="G50" s="41">
        <v>8</v>
      </c>
      <c r="H50" s="41">
        <v>250</v>
      </c>
      <c r="I50" s="41">
        <v>12</v>
      </c>
      <c r="J50" s="53"/>
      <c r="K50" s="53">
        <v>12</v>
      </c>
      <c r="L50" s="60">
        <v>20</v>
      </c>
      <c r="M50" s="53">
        <v>20</v>
      </c>
      <c r="N50" s="53"/>
      <c r="O50" s="344"/>
      <c r="P50" s="344"/>
      <c r="Q50" s="344"/>
      <c r="R50" s="344"/>
      <c r="S50" s="344"/>
      <c r="T50" s="344"/>
    </row>
    <row r="51" spans="2:20" x14ac:dyDescent="0.25">
      <c r="B51" s="160" t="s">
        <v>335</v>
      </c>
    </row>
    <row r="52" spans="2:20" x14ac:dyDescent="0.25">
      <c r="B52" s="160" t="s">
        <v>371</v>
      </c>
    </row>
    <row r="53" spans="2:20" x14ac:dyDescent="0.25">
      <c r="B53" s="193" t="s">
        <v>370</v>
      </c>
    </row>
    <row r="64" spans="2:20" x14ac:dyDescent="0.25">
      <c r="B64" s="365" t="s">
        <v>386</v>
      </c>
      <c r="C64" s="365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</row>
    <row r="65" spans="2:18" x14ac:dyDescent="0.25">
      <c r="B65" s="365"/>
      <c r="C65" s="365"/>
      <c r="D65" s="365"/>
      <c r="E65" s="365"/>
      <c r="F65" s="365"/>
      <c r="G65" s="365"/>
      <c r="H65" s="365"/>
      <c r="I65" s="365"/>
      <c r="J65" s="365"/>
      <c r="K65" s="365"/>
      <c r="L65" s="365"/>
      <c r="M65" s="365"/>
      <c r="N65" s="365"/>
      <c r="O65" s="365"/>
      <c r="P65" s="365"/>
      <c r="Q65" s="365"/>
      <c r="R65" s="365"/>
    </row>
    <row r="66" spans="2:18" x14ac:dyDescent="0.25">
      <c r="B66" s="365"/>
      <c r="C66" s="365"/>
      <c r="D66" s="365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</row>
    <row r="67" spans="2:18" x14ac:dyDescent="0.25">
      <c r="B67" s="365"/>
      <c r="C67" s="365"/>
      <c r="D67" s="365"/>
      <c r="E67" s="365"/>
      <c r="F67" s="365"/>
      <c r="G67" s="365"/>
      <c r="H67" s="365"/>
      <c r="I67" s="365"/>
      <c r="J67" s="365"/>
      <c r="K67" s="365"/>
      <c r="L67" s="365"/>
      <c r="M67" s="365"/>
      <c r="N67" s="365"/>
      <c r="O67" s="365"/>
      <c r="P67" s="365"/>
      <c r="Q67" s="365"/>
      <c r="R67" s="365"/>
    </row>
    <row r="68" spans="2:18" x14ac:dyDescent="0.25">
      <c r="B68" s="365"/>
      <c r="C68" s="365"/>
      <c r="D68" s="365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</row>
  </sheetData>
  <mergeCells count="52">
    <mergeCell ref="T4:T5"/>
    <mergeCell ref="S4:S5"/>
    <mergeCell ref="R4:R5"/>
    <mergeCell ref="Q4:Q5"/>
    <mergeCell ref="P4:P5"/>
    <mergeCell ref="B64:R68"/>
    <mergeCell ref="B33:B50"/>
    <mergeCell ref="B24:B28"/>
    <mergeCell ref="C24:I24"/>
    <mergeCell ref="D25:D28"/>
    <mergeCell ref="E25:E28"/>
    <mergeCell ref="C25:C26"/>
    <mergeCell ref="P25:S25"/>
    <mergeCell ref="F26:F27"/>
    <mergeCell ref="G26:G27"/>
    <mergeCell ref="H26:H27"/>
    <mergeCell ref="I26:I27"/>
    <mergeCell ref="F25:I25"/>
    <mergeCell ref="J25:J28"/>
    <mergeCell ref="K25:K28"/>
    <mergeCell ref="J40:N40"/>
    <mergeCell ref="T6:T7"/>
    <mergeCell ref="S6:S7"/>
    <mergeCell ref="R6:R7"/>
    <mergeCell ref="L25:L28"/>
    <mergeCell ref="S26:S27"/>
    <mergeCell ref="M25:M28"/>
    <mergeCell ref="P26:P27"/>
    <mergeCell ref="T25:T28"/>
    <mergeCell ref="O25:O28"/>
    <mergeCell ref="Q26:Q27"/>
    <mergeCell ref="R26:R27"/>
    <mergeCell ref="N25:N28"/>
    <mergeCell ref="J24:N24"/>
    <mergeCell ref="F6:G6"/>
    <mergeCell ref="L1:M2"/>
    <mergeCell ref="B3:G3"/>
    <mergeCell ref="H3:O3"/>
    <mergeCell ref="B1:G2"/>
    <mergeCell ref="H1:K2"/>
    <mergeCell ref="O4:O5"/>
    <mergeCell ref="P3:Q3"/>
    <mergeCell ref="O8:P9"/>
    <mergeCell ref="O6:O7"/>
    <mergeCell ref="Q6:Q7"/>
    <mergeCell ref="P6:P7"/>
    <mergeCell ref="O33:T50"/>
    <mergeCell ref="R8:R9"/>
    <mergeCell ref="S8:S9"/>
    <mergeCell ref="T8:T9"/>
    <mergeCell ref="Q8:Q9"/>
    <mergeCell ref="O24:T24"/>
  </mergeCells>
  <phoneticPr fontId="10" type="noConversion"/>
  <conditionalFormatting sqref="C30">
    <cfRule type="containsText" dxfId="23" priority="3" operator="containsText" text="P">
      <formula>NOT(ISERROR(SEARCH("P",C30)))</formula>
    </cfRule>
    <cfRule type="containsText" dxfId="22" priority="4" operator="containsText" text="T">
      <formula>NOT(ISERROR(SEARCH("T",C30)))</formula>
    </cfRule>
  </conditionalFormatting>
  <conditionalFormatting sqref="C41">
    <cfRule type="containsText" dxfId="21" priority="1" operator="containsText" text="P">
      <formula>NOT(ISERROR(SEARCH("P",C41)))</formula>
    </cfRule>
    <cfRule type="containsText" dxfId="20" priority="2" operator="containsText" text="T">
      <formula>NOT(ISERROR(SEARCH("T",C41)))</formula>
    </cfRule>
  </conditionalFormatting>
  <dataValidations disablePrompts="1" count="7">
    <dataValidation type="list" allowBlank="1" showInputMessage="1" showErrorMessage="1" sqref="P6" xr:uid="{5AB262FF-24A8-45C1-B1AE-E66BC03FED8D}">
      <formula1>"Ngang,Đứng"</formula1>
    </dataValidation>
    <dataValidation type="list" allowBlank="1" showInputMessage="1" showErrorMessage="1" sqref="E18" xr:uid="{CE75A7C7-9B13-4C15-BDEC-B820BF9CCC9A}">
      <formula1>"Bên trái,Bên phải"</formula1>
    </dataValidation>
    <dataValidation type="list" allowBlank="1" showInputMessage="1" showErrorMessage="1" sqref="K15" xr:uid="{3D44F72C-6ACF-4C04-B473-EB46FD3BD9D3}">
      <formula1>"Total,Web"</formula1>
    </dataValidation>
    <dataValidation type="list" allowBlank="1" showInputMessage="1" showErrorMessage="1" sqref="F6:G6" xr:uid="{02C35123-5A70-4CED-827B-B99FE0B7A834}">
      <formula1>"Chưa tính lớp bao che,Đã tính lớp bao che"</formula1>
    </dataValidation>
    <dataValidation type="list" allowBlank="1" showInputMessage="1" showErrorMessage="1" sqref="K10" xr:uid="{9043F4A0-62B3-451D-B69D-DEB26BE0688B}">
      <formula1>"Nghiêng,Ngang"</formula1>
    </dataValidation>
    <dataValidation type="list" allowBlank="1" showInputMessage="1" showErrorMessage="1" sqref="K11:K12" xr:uid="{62C2323C-610F-4D1C-AD49-AD11FBBF0C8A}">
      <formula1>"Name,Total,Web"</formula1>
    </dataValidation>
    <dataValidation type="list" allowBlank="1" showInputMessage="1" showErrorMessage="1" sqref="K13:K14" xr:uid="{47435EE8-4487-48C8-974B-15530B84AEA7}">
      <formula1>"Tên,Kích thước,Tên &amp; Kích thước"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7D8D2D1-A131-43C0-A720-51FD44D8D102}">
          <x14:formula1>
            <xm:f>Data!$A$2:$A$12</xm:f>
          </x14:formula1>
          <xm:sqref>J4:J5</xm:sqref>
        </x14:dataValidation>
        <x14:dataValidation type="list" allowBlank="1" showInputMessage="1" showErrorMessage="1" xr:uid="{A57E4050-0F3C-4090-B6D4-B3FED58E5BFE}">
          <x14:formula1>
            <xm:f>Data!$G$3:$G$19</xm:f>
          </x14:formula1>
          <xm:sqref>Q6</xm:sqref>
        </x14:dataValidation>
        <x14:dataValidation type="list" allowBlank="1" showInputMessage="1" showErrorMessage="1" xr:uid="{248A1394-1B17-4090-878D-D1AFDAA33288}">
          <x14:formula1>
            <xm:f>Data!$B$2:$B$9</xm:f>
          </x14:formula1>
          <xm:sqref>R6 R8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1891B-FC43-47D5-A1A4-055993E02D67}">
  <sheetPr codeName="Sheet10">
    <tabColor rgb="FFFFC000"/>
  </sheetPr>
  <dimension ref="B1:X114"/>
  <sheetViews>
    <sheetView showGridLines="0" tabSelected="1" zoomScale="115" zoomScaleNormal="115" workbookViewId="0">
      <selection activeCell="T14" sqref="T14"/>
    </sheetView>
  </sheetViews>
  <sheetFormatPr defaultRowHeight="15" x14ac:dyDescent="0.25"/>
  <cols>
    <col min="1" max="1" width="2" customWidth="1"/>
    <col min="2" max="3" width="9.140625" customWidth="1"/>
    <col min="4" max="4" width="9.5703125" customWidth="1"/>
    <col min="5" max="12" width="9.140625" customWidth="1"/>
    <col min="13" max="13" width="13.28515625" bestFit="1" customWidth="1"/>
    <col min="14" max="17" width="9.140625" customWidth="1"/>
    <col min="18" max="21" width="9.7109375" customWidth="1"/>
    <col min="22" max="22" width="26.5703125" bestFit="1" customWidth="1"/>
    <col min="23" max="28" width="7.7109375" customWidth="1"/>
  </cols>
  <sheetData>
    <row r="1" spans="2:20" ht="15" customHeight="1" x14ac:dyDescent="0.25">
      <c r="B1" s="357" t="s">
        <v>53</v>
      </c>
      <c r="C1" s="357"/>
      <c r="D1" s="357"/>
      <c r="E1" s="357"/>
      <c r="F1" s="357"/>
      <c r="G1" s="357"/>
      <c r="H1" s="358" t="s">
        <v>334</v>
      </c>
      <c r="I1" s="358"/>
      <c r="J1" s="358"/>
      <c r="K1" s="358"/>
      <c r="L1" s="354" t="s">
        <v>290</v>
      </c>
      <c r="M1" s="354"/>
      <c r="R1" s="44"/>
    </row>
    <row r="2" spans="2:20" ht="15" customHeight="1" x14ac:dyDescent="0.25">
      <c r="B2" s="357"/>
      <c r="C2" s="357"/>
      <c r="D2" s="357"/>
      <c r="E2" s="357"/>
      <c r="F2" s="357"/>
      <c r="G2" s="357"/>
      <c r="H2" s="358"/>
      <c r="I2" s="358"/>
      <c r="J2" s="358"/>
      <c r="K2" s="358"/>
      <c r="L2" s="354"/>
      <c r="M2" s="354"/>
      <c r="R2" s="43"/>
    </row>
    <row r="3" spans="2:20" ht="15" customHeight="1" x14ac:dyDescent="0.25">
      <c r="B3" s="21"/>
      <c r="C3" s="8"/>
      <c r="D3" s="8"/>
      <c r="E3" s="8"/>
      <c r="F3" s="18"/>
      <c r="G3" s="9"/>
      <c r="H3" s="162"/>
      <c r="I3" s="162"/>
      <c r="J3" s="162"/>
      <c r="K3" s="162"/>
      <c r="L3" s="162"/>
      <c r="M3" s="162"/>
      <c r="N3" s="465"/>
      <c r="O3" s="465"/>
    </row>
    <row r="4" spans="2:20" ht="15" customHeight="1" x14ac:dyDescent="0.25">
      <c r="B4" s="21" t="s">
        <v>26</v>
      </c>
      <c r="C4" s="8"/>
      <c r="D4" s="8"/>
      <c r="E4" s="8"/>
      <c r="F4" s="18">
        <v>150</v>
      </c>
      <c r="G4" s="9"/>
      <c r="H4" s="21" t="s">
        <v>6</v>
      </c>
      <c r="I4" s="8"/>
      <c r="J4" s="18" t="s">
        <v>9</v>
      </c>
      <c r="K4" s="18">
        <v>1200</v>
      </c>
      <c r="L4" s="189" t="s">
        <v>368</v>
      </c>
      <c r="M4" s="190">
        <v>50</v>
      </c>
      <c r="N4" s="359" t="s">
        <v>61</v>
      </c>
      <c r="O4" s="359" t="s">
        <v>62</v>
      </c>
      <c r="P4" s="359" t="s">
        <v>271</v>
      </c>
      <c r="Q4" s="359" t="s">
        <v>34</v>
      </c>
      <c r="R4" s="372" t="s">
        <v>523</v>
      </c>
      <c r="S4" s="372" t="s">
        <v>522</v>
      </c>
      <c r="T4" s="372" t="s">
        <v>285</v>
      </c>
    </row>
    <row r="5" spans="2:20" ht="15" customHeight="1" x14ac:dyDescent="0.25">
      <c r="B5" s="22" t="s">
        <v>0</v>
      </c>
      <c r="C5" s="11"/>
      <c r="D5" s="11"/>
      <c r="E5" s="11"/>
      <c r="F5" s="12">
        <v>0</v>
      </c>
      <c r="G5" s="13" t="s">
        <v>4</v>
      </c>
      <c r="H5" s="22" t="s">
        <v>8</v>
      </c>
      <c r="I5" s="11"/>
      <c r="J5" s="12" t="s">
        <v>9</v>
      </c>
      <c r="K5" s="12">
        <v>1200</v>
      </c>
      <c r="L5" s="12"/>
      <c r="M5" s="13"/>
      <c r="N5" s="359"/>
      <c r="O5" s="359"/>
      <c r="P5" s="359"/>
      <c r="Q5" s="359"/>
      <c r="R5" s="359"/>
      <c r="S5" s="359"/>
      <c r="T5" s="359"/>
    </row>
    <row r="6" spans="2:20" ht="15" customHeight="1" x14ac:dyDescent="0.25">
      <c r="B6" s="22" t="s">
        <v>331</v>
      </c>
      <c r="C6" s="112"/>
      <c r="D6" s="112"/>
      <c r="E6" s="112"/>
      <c r="F6" s="352" t="s">
        <v>332</v>
      </c>
      <c r="G6" s="353"/>
      <c r="H6" s="22" t="s">
        <v>333</v>
      </c>
      <c r="I6" s="11"/>
      <c r="J6" s="11"/>
      <c r="K6" s="12">
        <v>250</v>
      </c>
      <c r="L6" s="12"/>
      <c r="M6" s="13"/>
      <c r="N6" s="350" t="s">
        <v>60</v>
      </c>
      <c r="O6" s="346" t="s">
        <v>317</v>
      </c>
      <c r="P6" s="351" t="s">
        <v>352</v>
      </c>
      <c r="Q6" s="345">
        <v>20</v>
      </c>
      <c r="R6" s="346">
        <v>20</v>
      </c>
      <c r="S6" s="346">
        <v>12</v>
      </c>
      <c r="T6" s="345" t="s">
        <v>397</v>
      </c>
    </row>
    <row r="7" spans="2:20" ht="15" customHeight="1" x14ac:dyDescent="0.25">
      <c r="B7" s="111" t="str">
        <f>"+ Chiều cao đỉnh mái biên trái"</f>
        <v>+ Chiều cao đỉnh mái biên trái</v>
      </c>
      <c r="C7" s="112"/>
      <c r="D7" s="112"/>
      <c r="E7" s="112"/>
      <c r="F7" s="56">
        <v>10000</v>
      </c>
      <c r="G7" s="113" t="s">
        <v>4</v>
      </c>
      <c r="H7" s="23" t="s">
        <v>318</v>
      </c>
      <c r="I7" s="19"/>
      <c r="J7" s="19"/>
      <c r="K7" s="12">
        <v>200</v>
      </c>
      <c r="L7" s="11" t="s">
        <v>4</v>
      </c>
      <c r="M7" s="13"/>
      <c r="N7" s="350"/>
      <c r="O7" s="346"/>
      <c r="P7" s="351"/>
      <c r="Q7" s="345"/>
      <c r="R7" s="346"/>
      <c r="S7" s="346"/>
      <c r="T7" s="345"/>
    </row>
    <row r="8" spans="2:20" ht="15" customHeight="1" x14ac:dyDescent="0.25">
      <c r="B8" s="111" t="str">
        <f>"+ Chiều cao đỉnh mái ở giữa"</f>
        <v>+ Chiều cao đỉnh mái ở giữa</v>
      </c>
      <c r="C8" s="112"/>
      <c r="D8" s="112"/>
      <c r="E8" s="112"/>
      <c r="F8" s="56">
        <v>15000</v>
      </c>
      <c r="G8" s="113" t="s">
        <v>4</v>
      </c>
      <c r="H8" s="22" t="s">
        <v>336</v>
      </c>
      <c r="I8" s="11"/>
      <c r="J8" s="11"/>
      <c r="K8" s="12">
        <v>2500</v>
      </c>
      <c r="L8" s="11" t="s">
        <v>4</v>
      </c>
      <c r="M8" s="13"/>
      <c r="N8" s="469" t="str">
        <f>"Đỉnh cột giữa tại trục " &amp;B31&amp;"&amp;"&amp;B32&amp;"&amp;"&amp;B33</f>
        <v>Đỉnh cột giữa tại trục B&amp;C&amp;D</v>
      </c>
      <c r="O8" s="469"/>
      <c r="P8" s="443">
        <v>10</v>
      </c>
      <c r="Q8" s="345">
        <v>20</v>
      </c>
      <c r="R8" s="346">
        <v>20</v>
      </c>
      <c r="S8" s="346">
        <v>12</v>
      </c>
      <c r="T8" s="345" t="s">
        <v>397</v>
      </c>
    </row>
    <row r="9" spans="2:20" ht="15" customHeight="1" x14ac:dyDescent="0.25">
      <c r="B9" s="111" t="str">
        <f>"+ Chiều cao đỉnh mái biên phải"</f>
        <v>+ Chiều cao đỉnh mái biên phải</v>
      </c>
      <c r="C9" s="112"/>
      <c r="D9" s="112"/>
      <c r="E9" s="112"/>
      <c r="F9" s="56">
        <v>10000</v>
      </c>
      <c r="G9" s="113" t="s">
        <v>4</v>
      </c>
      <c r="H9" s="22" t="s">
        <v>340</v>
      </c>
      <c r="I9" s="11"/>
      <c r="J9" s="11"/>
      <c r="K9" s="12">
        <v>250</v>
      </c>
      <c r="L9" s="11" t="s">
        <v>4</v>
      </c>
      <c r="M9" s="13"/>
      <c r="N9" s="469"/>
      <c r="O9" s="469"/>
      <c r="P9" s="444"/>
      <c r="Q9" s="345"/>
      <c r="R9" s="346"/>
      <c r="S9" s="346"/>
      <c r="T9" s="345"/>
    </row>
    <row r="10" spans="2:20" ht="15" customHeight="1" x14ac:dyDescent="0.25">
      <c r="B10" s="58" t="s">
        <v>73</v>
      </c>
      <c r="C10" s="157"/>
      <c r="D10" s="11"/>
      <c r="E10" s="11"/>
      <c r="F10" s="56">
        <v>20</v>
      </c>
      <c r="G10" s="13"/>
      <c r="H10" s="22" t="s">
        <v>367</v>
      </c>
      <c r="I10" s="11"/>
      <c r="J10" s="11"/>
      <c r="K10" s="12" t="s">
        <v>317</v>
      </c>
      <c r="L10" s="11"/>
      <c r="M10" s="13"/>
      <c r="N10" s="342"/>
      <c r="O10" s="343"/>
      <c r="P10" s="343"/>
      <c r="Q10" s="343"/>
      <c r="R10" s="343"/>
      <c r="S10" s="343"/>
      <c r="T10" s="343"/>
    </row>
    <row r="11" spans="2:20" ht="15" customHeight="1" x14ac:dyDescent="0.25">
      <c r="B11" s="58" t="s">
        <v>89</v>
      </c>
      <c r="C11" s="157"/>
      <c r="D11" s="11"/>
      <c r="E11" s="11"/>
      <c r="F11" s="56">
        <v>50</v>
      </c>
      <c r="G11" s="13"/>
      <c r="H11" s="22"/>
      <c r="I11" s="11"/>
      <c r="J11" s="11"/>
      <c r="K11" s="14"/>
      <c r="L11" s="11"/>
      <c r="M11" s="13"/>
      <c r="N11" s="340"/>
      <c r="O11" s="341"/>
      <c r="P11" s="341"/>
      <c r="Q11" s="341"/>
      <c r="R11" s="341"/>
      <c r="S11" s="341"/>
      <c r="T11" s="341"/>
    </row>
    <row r="12" spans="2:20" ht="15" customHeight="1" x14ac:dyDescent="0.25">
      <c r="B12" s="58" t="s">
        <v>72</v>
      </c>
      <c r="C12" s="157"/>
      <c r="D12" s="11"/>
      <c r="E12" s="11"/>
      <c r="F12" s="56">
        <v>300</v>
      </c>
      <c r="G12" s="13"/>
      <c r="H12" s="22"/>
      <c r="I12" s="11"/>
      <c r="J12" s="11"/>
      <c r="K12" s="14"/>
      <c r="L12" s="11"/>
      <c r="M12" s="13"/>
      <c r="S12" s="87"/>
    </row>
    <row r="13" spans="2:20" x14ac:dyDescent="0.25">
      <c r="B13" s="22" t="s">
        <v>54</v>
      </c>
      <c r="C13" s="11"/>
      <c r="D13" s="11"/>
      <c r="E13" s="11"/>
      <c r="F13" s="14">
        <f>C30+C31</f>
        <v>40000</v>
      </c>
      <c r="G13" s="153">
        <f>(F8-F7)/F13</f>
        <v>0.125</v>
      </c>
      <c r="H13" s="22" t="s">
        <v>36</v>
      </c>
      <c r="I13" s="11"/>
      <c r="J13" s="11"/>
      <c r="K13" s="213" t="s">
        <v>383</v>
      </c>
      <c r="L13" s="11"/>
      <c r="M13" s="13"/>
      <c r="S13" s="87"/>
    </row>
    <row r="14" spans="2:20" ht="15" customHeight="1" x14ac:dyDescent="0.25">
      <c r="B14" s="22" t="s">
        <v>55</v>
      </c>
      <c r="C14" s="11"/>
      <c r="D14" s="11"/>
      <c r="E14" s="11"/>
      <c r="F14" s="14">
        <f>C32+C33</f>
        <v>40000</v>
      </c>
      <c r="G14" s="153">
        <f>(F8-F9)/F14</f>
        <v>0.125</v>
      </c>
      <c r="H14" s="22" t="s">
        <v>35</v>
      </c>
      <c r="I14" s="11"/>
      <c r="J14" s="11"/>
      <c r="K14" s="213" t="s">
        <v>383</v>
      </c>
      <c r="L14" s="11"/>
      <c r="M14" s="13"/>
      <c r="S14" s="87"/>
    </row>
    <row r="15" spans="2:20" x14ac:dyDescent="0.25">
      <c r="B15" s="22" t="s">
        <v>47</v>
      </c>
      <c r="C15" s="11"/>
      <c r="D15" s="11"/>
      <c r="E15" s="11"/>
      <c r="F15" s="20">
        <f>F13+F14</f>
        <v>80000</v>
      </c>
      <c r="G15" s="13"/>
      <c r="H15" s="25" t="s">
        <v>46</v>
      </c>
      <c r="I15" s="11"/>
      <c r="J15" s="11"/>
      <c r="K15" s="12" t="s">
        <v>37</v>
      </c>
      <c r="L15" s="24" t="str">
        <f>IF(K15="Total","Chiều cao tổng","Chiều cao bụng")</f>
        <v>Chiều cao tổng</v>
      </c>
      <c r="M15" s="13"/>
      <c r="S15" s="87"/>
    </row>
    <row r="16" spans="2:20" ht="15" hidden="1" customHeight="1" x14ac:dyDescent="0.25">
      <c r="B16" s="22"/>
      <c r="C16" s="11"/>
      <c r="D16" s="11"/>
      <c r="E16" s="11"/>
      <c r="F16" s="20"/>
      <c r="G16" s="13"/>
      <c r="H16" s="10"/>
      <c r="I16" s="11"/>
      <c r="J16" s="11"/>
      <c r="K16" s="11"/>
      <c r="L16" s="11"/>
      <c r="M16" s="13"/>
      <c r="N16" s="10"/>
      <c r="O16" s="11"/>
      <c r="P16" s="11"/>
      <c r="Q16" s="11"/>
      <c r="R16" s="11"/>
      <c r="S16" s="87"/>
    </row>
    <row r="17" spans="2:22" ht="15" hidden="1" customHeight="1" x14ac:dyDescent="0.25">
      <c r="B17" s="22"/>
      <c r="C17" s="11"/>
      <c r="D17" s="11"/>
      <c r="E17" s="11"/>
      <c r="F17" s="20"/>
      <c r="G17" s="13"/>
      <c r="H17" s="10"/>
      <c r="I17" s="11"/>
      <c r="J17" s="11"/>
      <c r="K17" s="11"/>
      <c r="L17" s="11"/>
      <c r="M17" s="13"/>
      <c r="N17" s="10"/>
      <c r="O17" s="11"/>
      <c r="P17" s="11"/>
      <c r="Q17" s="11"/>
      <c r="R17" s="11"/>
      <c r="S17" s="87"/>
    </row>
    <row r="18" spans="2:22" ht="15.75" thickBot="1" x14ac:dyDescent="0.3">
      <c r="B18" s="10"/>
      <c r="C18" s="11"/>
      <c r="D18" s="11"/>
      <c r="E18" s="11"/>
      <c r="F18" s="11"/>
      <c r="G18" s="13"/>
      <c r="H18" s="15"/>
      <c r="I18" s="16"/>
      <c r="J18" s="16"/>
      <c r="K18" s="16"/>
      <c r="L18" s="16"/>
      <c r="M18" s="17"/>
    </row>
    <row r="19" spans="2:22" ht="15" hidden="1" customHeight="1" x14ac:dyDescent="0.25">
      <c r="B19" s="10"/>
      <c r="C19" s="11"/>
      <c r="D19" s="11"/>
      <c r="E19" s="11"/>
      <c r="F19" s="11"/>
      <c r="G19" s="13"/>
      <c r="H19" s="35"/>
      <c r="I19" s="36"/>
      <c r="J19" s="36"/>
      <c r="K19" s="36"/>
      <c r="L19" s="36"/>
      <c r="M19" s="36"/>
      <c r="N19" s="10"/>
      <c r="O19" s="11"/>
      <c r="P19" s="11"/>
      <c r="Q19" s="11"/>
      <c r="R19" s="13"/>
    </row>
    <row r="20" spans="2:22" ht="15" hidden="1" customHeight="1" x14ac:dyDescent="0.25">
      <c r="B20" s="10"/>
      <c r="C20" s="11"/>
      <c r="D20" s="11"/>
      <c r="E20" s="11"/>
      <c r="F20" s="11"/>
      <c r="G20" s="13"/>
      <c r="H20" s="10"/>
      <c r="I20" s="11"/>
      <c r="J20" s="11"/>
      <c r="K20" s="11"/>
      <c r="L20" s="11"/>
      <c r="M20" s="11"/>
      <c r="N20" s="10"/>
      <c r="O20" s="11"/>
      <c r="P20" s="11"/>
      <c r="Q20" s="11"/>
      <c r="R20" s="13"/>
    </row>
    <row r="21" spans="2:22" ht="15" hidden="1" customHeight="1" x14ac:dyDescent="0.25">
      <c r="B21" s="10"/>
      <c r="C21" s="11"/>
      <c r="D21" s="11"/>
      <c r="E21" s="11"/>
      <c r="F21" s="11"/>
      <c r="G21" s="13"/>
      <c r="H21" s="10"/>
      <c r="I21" s="11"/>
      <c r="J21" s="11"/>
      <c r="K21" s="11"/>
      <c r="L21" s="11"/>
      <c r="M21" s="11"/>
      <c r="N21" s="10"/>
      <c r="O21" s="11"/>
      <c r="P21" s="11"/>
      <c r="Q21" s="11"/>
      <c r="R21" s="13"/>
    </row>
    <row r="22" spans="2:22" ht="15" hidden="1" customHeight="1" x14ac:dyDescent="0.25">
      <c r="B22" s="10"/>
      <c r="C22" s="11"/>
      <c r="D22" s="11"/>
      <c r="E22" s="11"/>
      <c r="F22" s="11"/>
      <c r="G22" s="13"/>
      <c r="H22" s="10"/>
      <c r="I22" s="11"/>
      <c r="J22" s="11"/>
      <c r="K22" s="11"/>
      <c r="L22" s="11"/>
      <c r="M22" s="11"/>
      <c r="N22" s="10"/>
      <c r="O22" s="11"/>
      <c r="P22" s="11"/>
      <c r="Q22" s="11"/>
      <c r="R22" s="13"/>
    </row>
    <row r="23" spans="2:22" ht="15" hidden="1" customHeight="1" thickBot="1" x14ac:dyDescent="0.3">
      <c r="B23" s="34"/>
      <c r="C23" s="27"/>
      <c r="D23" s="27"/>
      <c r="E23" s="27"/>
      <c r="F23" s="27"/>
      <c r="G23" s="28"/>
      <c r="H23" s="15"/>
      <c r="I23" s="16"/>
      <c r="J23" s="16"/>
      <c r="K23" s="16"/>
      <c r="L23" s="16"/>
      <c r="M23" s="16"/>
      <c r="N23" s="10"/>
      <c r="O23" s="11"/>
      <c r="P23" s="11"/>
      <c r="Q23" s="27"/>
      <c r="R23" s="28"/>
    </row>
    <row r="24" spans="2:22" ht="15" customHeight="1" x14ac:dyDescent="0.25">
      <c r="B24" s="423" t="s">
        <v>29</v>
      </c>
      <c r="C24" s="464"/>
      <c r="D24" s="380" t="s">
        <v>328</v>
      </c>
      <c r="E24" s="383" t="s">
        <v>24</v>
      </c>
      <c r="F24" s="383"/>
      <c r="G24" s="383"/>
      <c r="H24" s="383"/>
      <c r="I24" s="425"/>
      <c r="J24" s="384" t="s">
        <v>32</v>
      </c>
      <c r="K24" s="383"/>
      <c r="L24" s="383"/>
      <c r="M24" s="383"/>
      <c r="N24" s="383"/>
      <c r="O24" s="383"/>
      <c r="P24" s="402"/>
      <c r="Q24" s="384" t="s">
        <v>31</v>
      </c>
      <c r="R24" s="383"/>
      <c r="S24" s="383"/>
      <c r="T24" s="383"/>
      <c r="U24" s="425"/>
    </row>
    <row r="25" spans="2:22" ht="15" customHeight="1" x14ac:dyDescent="0.25">
      <c r="B25" s="410"/>
      <c r="C25" s="439"/>
      <c r="D25" s="381"/>
      <c r="E25" s="361" t="s">
        <v>21</v>
      </c>
      <c r="F25" s="347" t="s">
        <v>20</v>
      </c>
      <c r="G25" s="347"/>
      <c r="H25" s="347"/>
      <c r="I25" s="412"/>
      <c r="J25" s="367" t="s">
        <v>372</v>
      </c>
      <c r="K25" s="361" t="s">
        <v>230</v>
      </c>
      <c r="L25" s="361" t="s">
        <v>41</v>
      </c>
      <c r="M25" s="347" t="s">
        <v>20</v>
      </c>
      <c r="N25" s="347"/>
      <c r="O25" s="347"/>
      <c r="P25" s="437"/>
      <c r="Q25" s="433" t="s">
        <v>387</v>
      </c>
      <c r="R25" s="360" t="s">
        <v>34</v>
      </c>
      <c r="S25" s="360" t="s">
        <v>538</v>
      </c>
      <c r="T25" s="360" t="s">
        <v>537</v>
      </c>
      <c r="U25" s="435" t="s">
        <v>285</v>
      </c>
      <c r="V25" s="459" t="s">
        <v>388</v>
      </c>
    </row>
    <row r="26" spans="2:22" ht="15" customHeight="1" x14ac:dyDescent="0.25">
      <c r="B26" s="410"/>
      <c r="C26" s="439"/>
      <c r="D26" s="381"/>
      <c r="E26" s="361"/>
      <c r="F26" s="361" t="s">
        <v>38</v>
      </c>
      <c r="G26" s="361" t="s">
        <v>22</v>
      </c>
      <c r="H26" s="361" t="s">
        <v>39</v>
      </c>
      <c r="I26" s="389" t="s">
        <v>40</v>
      </c>
      <c r="J26" s="368"/>
      <c r="K26" s="361"/>
      <c r="L26" s="366"/>
      <c r="M26" s="361" t="s">
        <v>38</v>
      </c>
      <c r="N26" s="361" t="s">
        <v>22</v>
      </c>
      <c r="O26" s="361" t="s">
        <v>39</v>
      </c>
      <c r="P26" s="439" t="s">
        <v>40</v>
      </c>
      <c r="Q26" s="433"/>
      <c r="R26" s="360"/>
      <c r="S26" s="360"/>
      <c r="T26" s="360"/>
      <c r="U26" s="435"/>
      <c r="V26" s="459"/>
    </row>
    <row r="27" spans="2:22" x14ac:dyDescent="0.25">
      <c r="B27" s="421" t="s">
        <v>87</v>
      </c>
      <c r="C27" s="462" t="s">
        <v>71</v>
      </c>
      <c r="D27" s="381"/>
      <c r="E27" s="361"/>
      <c r="F27" s="361"/>
      <c r="G27" s="361"/>
      <c r="H27" s="361"/>
      <c r="I27" s="389"/>
      <c r="J27" s="196" t="s">
        <v>64</v>
      </c>
      <c r="K27" s="361"/>
      <c r="L27" s="366"/>
      <c r="M27" s="361"/>
      <c r="N27" s="361"/>
      <c r="O27" s="361"/>
      <c r="P27" s="439"/>
      <c r="Q27" s="433"/>
      <c r="R27" s="360"/>
      <c r="S27" s="360"/>
      <c r="T27" s="360"/>
      <c r="U27" s="435"/>
      <c r="V27" s="459"/>
    </row>
    <row r="28" spans="2:22" ht="15.75" thickBot="1" x14ac:dyDescent="0.3">
      <c r="B28" s="381"/>
      <c r="C28" s="463"/>
      <c r="D28" s="381"/>
      <c r="E28" s="367"/>
      <c r="F28" s="166" t="s">
        <v>43</v>
      </c>
      <c r="G28" s="166" t="s">
        <v>23</v>
      </c>
      <c r="H28" s="166" t="s">
        <v>44</v>
      </c>
      <c r="I28" s="167" t="s">
        <v>45</v>
      </c>
      <c r="J28" s="217" t="s">
        <v>249</v>
      </c>
      <c r="K28" s="367"/>
      <c r="L28" s="461"/>
      <c r="M28" s="166" t="s">
        <v>43</v>
      </c>
      <c r="N28" s="166" t="s">
        <v>23</v>
      </c>
      <c r="O28" s="166" t="s">
        <v>228</v>
      </c>
      <c r="P28" s="165" t="s">
        <v>228</v>
      </c>
      <c r="Q28" s="434"/>
      <c r="R28" s="396"/>
      <c r="S28" s="396"/>
      <c r="T28" s="396"/>
      <c r="U28" s="436"/>
      <c r="V28" s="460"/>
    </row>
    <row r="29" spans="2:22" x14ac:dyDescent="0.25">
      <c r="B29" s="170">
        <v>1</v>
      </c>
      <c r="C29" s="169">
        <v>2</v>
      </c>
      <c r="D29" s="170">
        <v>3</v>
      </c>
      <c r="E29" s="168">
        <v>4</v>
      </c>
      <c r="F29" s="168">
        <v>5</v>
      </c>
      <c r="G29" s="168">
        <v>6</v>
      </c>
      <c r="H29" s="168">
        <v>7</v>
      </c>
      <c r="I29" s="169">
        <v>8</v>
      </c>
      <c r="J29" s="170">
        <v>9</v>
      </c>
      <c r="K29" s="168">
        <v>10</v>
      </c>
      <c r="L29" s="168">
        <v>11</v>
      </c>
      <c r="M29" s="168">
        <v>12</v>
      </c>
      <c r="N29" s="168">
        <v>13</v>
      </c>
      <c r="O29" s="168">
        <v>14</v>
      </c>
      <c r="P29" s="214">
        <v>15</v>
      </c>
      <c r="Q29" s="96">
        <v>16</v>
      </c>
      <c r="R29" s="97">
        <v>17</v>
      </c>
      <c r="S29" s="97">
        <v>18</v>
      </c>
      <c r="T29" s="97">
        <v>18</v>
      </c>
      <c r="U29" s="97">
        <v>18</v>
      </c>
      <c r="V29" s="169">
        <v>18</v>
      </c>
    </row>
    <row r="30" spans="2:22" ht="15" customHeight="1" x14ac:dyDescent="0.25">
      <c r="B30" s="64" t="s">
        <v>1</v>
      </c>
      <c r="C30" s="54">
        <v>20000</v>
      </c>
      <c r="D30" s="63" t="s">
        <v>329</v>
      </c>
      <c r="E30" s="3" t="s">
        <v>381</v>
      </c>
      <c r="F30" s="54" t="s">
        <v>534</v>
      </c>
      <c r="G30" s="54">
        <v>6</v>
      </c>
      <c r="H30" s="54">
        <v>200</v>
      </c>
      <c r="I30" s="74">
        <v>8</v>
      </c>
      <c r="J30" s="203" t="s">
        <v>229</v>
      </c>
      <c r="K30" s="205" t="s">
        <v>373</v>
      </c>
      <c r="L30" s="175">
        <v>9000</v>
      </c>
      <c r="M30" s="175" t="s">
        <v>344</v>
      </c>
      <c r="N30" s="175">
        <v>6</v>
      </c>
      <c r="O30" s="175">
        <v>200</v>
      </c>
      <c r="P30" s="171">
        <v>8</v>
      </c>
      <c r="Q30" s="243">
        <v>8</v>
      </c>
      <c r="R30" s="176">
        <v>20</v>
      </c>
      <c r="S30" s="235">
        <v>16</v>
      </c>
      <c r="T30" s="235">
        <v>6</v>
      </c>
      <c r="U30" s="235" t="s">
        <v>395</v>
      </c>
      <c r="V30" s="236" t="str">
        <f>IF(K30="","","Kết thúc đoạn 1")</f>
        <v>Kết thúc đoạn 1</v>
      </c>
    </row>
    <row r="31" spans="2:22" x14ac:dyDescent="0.25">
      <c r="B31" s="64" t="s">
        <v>2</v>
      </c>
      <c r="C31" s="54">
        <v>20000</v>
      </c>
      <c r="D31" s="63" t="s">
        <v>341</v>
      </c>
      <c r="E31" s="3" t="s">
        <v>382</v>
      </c>
      <c r="F31" s="54" t="s">
        <v>339</v>
      </c>
      <c r="G31" s="54">
        <v>5</v>
      </c>
      <c r="H31" s="54">
        <v>210</v>
      </c>
      <c r="I31" s="74">
        <v>8</v>
      </c>
      <c r="J31" s="204" t="s">
        <v>231</v>
      </c>
      <c r="K31" s="206" t="s">
        <v>374</v>
      </c>
      <c r="L31" s="127"/>
      <c r="M31" s="127">
        <v>500</v>
      </c>
      <c r="N31" s="127">
        <v>6</v>
      </c>
      <c r="O31" s="127">
        <v>200</v>
      </c>
      <c r="P31" s="171">
        <v>8</v>
      </c>
      <c r="Q31" s="243">
        <v>8</v>
      </c>
      <c r="R31" s="178">
        <v>20</v>
      </c>
      <c r="S31" s="237">
        <v>16</v>
      </c>
      <c r="T31" s="237">
        <v>6</v>
      </c>
      <c r="U31" s="237" t="s">
        <v>396</v>
      </c>
      <c r="V31" s="238" t="str">
        <f>IF(K31="","","Kết thúc đoạn 2")</f>
        <v>Kết thúc đoạn 2</v>
      </c>
    </row>
    <row r="32" spans="2:22" x14ac:dyDescent="0.25">
      <c r="B32" s="64" t="s">
        <v>3</v>
      </c>
      <c r="C32" s="54">
        <f>C31</f>
        <v>20000</v>
      </c>
      <c r="D32" s="63" t="s">
        <v>236</v>
      </c>
      <c r="E32" s="3" t="s">
        <v>536</v>
      </c>
      <c r="F32" s="54" t="s">
        <v>339</v>
      </c>
      <c r="G32" s="54">
        <v>5</v>
      </c>
      <c r="H32" s="54">
        <v>210</v>
      </c>
      <c r="I32" s="74">
        <v>8</v>
      </c>
      <c r="J32" s="204" t="s">
        <v>232</v>
      </c>
      <c r="K32" s="206"/>
      <c r="L32" s="127"/>
      <c r="M32" s="127"/>
      <c r="N32" s="127"/>
      <c r="O32" s="127"/>
      <c r="P32" s="171"/>
      <c r="Q32" s="243"/>
      <c r="R32" s="178"/>
      <c r="S32" s="237"/>
      <c r="T32" s="237"/>
      <c r="U32" s="237"/>
      <c r="V32" s="238"/>
    </row>
    <row r="33" spans="2:22" x14ac:dyDescent="0.25">
      <c r="B33" s="64" t="s">
        <v>88</v>
      </c>
      <c r="C33" s="54">
        <f>C30</f>
        <v>20000</v>
      </c>
      <c r="D33" s="63" t="s">
        <v>342</v>
      </c>
      <c r="E33" s="3" t="s">
        <v>382</v>
      </c>
      <c r="F33" s="54" t="s">
        <v>339</v>
      </c>
      <c r="G33" s="54">
        <v>5</v>
      </c>
      <c r="H33" s="54">
        <v>210</v>
      </c>
      <c r="I33" s="74">
        <v>8</v>
      </c>
      <c r="J33" s="204" t="s">
        <v>241</v>
      </c>
      <c r="K33" s="206"/>
      <c r="L33" s="127"/>
      <c r="M33" s="127"/>
      <c r="N33" s="127"/>
      <c r="O33" s="127"/>
      <c r="P33" s="171"/>
      <c r="Q33" s="244"/>
      <c r="R33" s="178"/>
      <c r="S33" s="237"/>
      <c r="T33" s="237"/>
      <c r="U33" s="237"/>
      <c r="V33" s="238" t="str">
        <f>IF(K33="","","Cuối đoạn 4")</f>
        <v/>
      </c>
    </row>
    <row r="34" spans="2:22" ht="15.75" thickBot="1" x14ac:dyDescent="0.3">
      <c r="B34" s="64" t="s">
        <v>343</v>
      </c>
      <c r="C34" s="54"/>
      <c r="D34" s="174" t="s">
        <v>330</v>
      </c>
      <c r="E34" s="29" t="s">
        <v>381</v>
      </c>
      <c r="F34" s="54" t="s">
        <v>534</v>
      </c>
      <c r="G34" s="75">
        <v>6</v>
      </c>
      <c r="H34" s="75">
        <v>200</v>
      </c>
      <c r="I34" s="76">
        <v>8</v>
      </c>
      <c r="J34" s="177" t="s">
        <v>227</v>
      </c>
      <c r="K34" s="210" t="s">
        <v>376</v>
      </c>
      <c r="L34" s="179">
        <v>12000</v>
      </c>
      <c r="M34" s="179" t="s">
        <v>532</v>
      </c>
      <c r="N34" s="179">
        <v>6</v>
      </c>
      <c r="O34" s="179">
        <v>250</v>
      </c>
      <c r="P34" s="180">
        <v>8</v>
      </c>
      <c r="Q34" s="245">
        <v>8</v>
      </c>
      <c r="R34" s="211">
        <v>20</v>
      </c>
      <c r="S34" s="239">
        <v>16</v>
      </c>
      <c r="T34" s="239">
        <v>6</v>
      </c>
      <c r="U34" s="239" t="s">
        <v>399</v>
      </c>
      <c r="V34" s="238" t="str">
        <f>IF(K34="","","Kết thúc kèo đỉnh cột")</f>
        <v>Kết thúc kèo đỉnh cột</v>
      </c>
    </row>
    <row r="35" spans="2:22" x14ac:dyDescent="0.25">
      <c r="B35" s="119"/>
      <c r="C35" s="120"/>
      <c r="D35" s="172"/>
      <c r="E35" s="172"/>
      <c r="F35" s="172"/>
      <c r="G35" s="172"/>
      <c r="H35" s="172"/>
      <c r="I35" s="172"/>
      <c r="J35" s="204" t="s">
        <v>234</v>
      </c>
      <c r="K35" s="206" t="s">
        <v>379</v>
      </c>
      <c r="L35" s="127">
        <v>3000</v>
      </c>
      <c r="M35" s="127">
        <v>500</v>
      </c>
      <c r="N35" s="127">
        <v>6</v>
      </c>
      <c r="O35" s="127">
        <v>200</v>
      </c>
      <c r="P35" s="171">
        <v>8</v>
      </c>
      <c r="Q35" s="244">
        <v>8</v>
      </c>
      <c r="R35" s="178">
        <v>20</v>
      </c>
      <c r="S35" s="237">
        <v>16</v>
      </c>
      <c r="T35" s="237">
        <v>6</v>
      </c>
      <c r="U35" s="237" t="s">
        <v>400</v>
      </c>
      <c r="V35" s="238" t="str">
        <f>IF(K35="","","Kết thúc đoạn 5")</f>
        <v>Kết thúc đoạn 5</v>
      </c>
    </row>
    <row r="36" spans="2:22" x14ac:dyDescent="0.25">
      <c r="B36" s="466" t="s">
        <v>345</v>
      </c>
      <c r="C36" s="467"/>
      <c r="D36" s="467"/>
      <c r="E36" s="467"/>
      <c r="F36" s="467"/>
      <c r="G36" s="467"/>
      <c r="H36" s="467"/>
      <c r="I36" s="468"/>
      <c r="J36" s="204" t="s">
        <v>235</v>
      </c>
      <c r="K36" s="206" t="s">
        <v>378</v>
      </c>
      <c r="L36" s="127"/>
      <c r="M36" s="127">
        <v>500</v>
      </c>
      <c r="N36" s="127">
        <v>6</v>
      </c>
      <c r="O36" s="127">
        <v>200</v>
      </c>
      <c r="P36" s="171">
        <v>8</v>
      </c>
      <c r="Q36" s="244">
        <v>8</v>
      </c>
      <c r="R36" s="178">
        <v>20</v>
      </c>
      <c r="S36" s="237">
        <v>16</v>
      </c>
      <c r="T36" s="237">
        <v>6</v>
      </c>
      <c r="U36" s="237" t="s">
        <v>401</v>
      </c>
      <c r="V36" s="238" t="str">
        <f>IF(K36="","","Kết thúc đoạn 6")</f>
        <v>Kết thúc đoạn 6</v>
      </c>
    </row>
    <row r="37" spans="2:22" x14ac:dyDescent="0.25">
      <c r="B37" s="466"/>
      <c r="C37" s="467"/>
      <c r="D37" s="467"/>
      <c r="E37" s="467"/>
      <c r="F37" s="467"/>
      <c r="G37" s="467"/>
      <c r="H37" s="467"/>
      <c r="I37" s="468"/>
      <c r="J37" s="204" t="s">
        <v>242</v>
      </c>
      <c r="K37" s="206" t="s">
        <v>380</v>
      </c>
      <c r="L37" s="127">
        <v>6000</v>
      </c>
      <c r="M37" s="127">
        <v>500</v>
      </c>
      <c r="N37" s="127">
        <v>6</v>
      </c>
      <c r="O37" s="127">
        <v>200</v>
      </c>
      <c r="P37" s="171">
        <v>8</v>
      </c>
      <c r="Q37" s="244">
        <v>8</v>
      </c>
      <c r="R37" s="178">
        <v>20</v>
      </c>
      <c r="S37" s="237">
        <v>16</v>
      </c>
      <c r="T37" s="237">
        <v>6</v>
      </c>
      <c r="U37" s="237" t="s">
        <v>402</v>
      </c>
      <c r="V37" s="238" t="str">
        <f>IF(K37="","","Kết thúc đoạn 7")</f>
        <v>Kết thúc đoạn 7</v>
      </c>
    </row>
    <row r="38" spans="2:22" ht="15.75" thickBot="1" x14ac:dyDescent="0.3">
      <c r="B38" s="119"/>
      <c r="C38" s="120"/>
      <c r="D38" s="120"/>
      <c r="E38" s="120"/>
      <c r="F38" s="120"/>
      <c r="G38" s="120"/>
      <c r="H38" s="120"/>
      <c r="I38" s="31"/>
      <c r="J38" s="219" t="s">
        <v>243</v>
      </c>
      <c r="K38" s="209"/>
      <c r="L38" s="181"/>
      <c r="M38" s="181"/>
      <c r="N38" s="181"/>
      <c r="O38" s="181"/>
      <c r="P38" s="220"/>
      <c r="Q38" s="246"/>
      <c r="R38" s="182"/>
      <c r="S38" s="240"/>
      <c r="T38" s="240"/>
      <c r="U38" s="240"/>
      <c r="V38" s="241"/>
    </row>
    <row r="39" spans="2:22" ht="15.75" thickBot="1" x14ac:dyDescent="0.3">
      <c r="B39" s="119"/>
      <c r="C39" s="120"/>
      <c r="D39" s="120"/>
      <c r="E39" s="120"/>
      <c r="F39" s="120"/>
      <c r="G39" s="120"/>
      <c r="H39" s="120"/>
      <c r="I39" s="31"/>
      <c r="J39" s="224" t="s">
        <v>236</v>
      </c>
      <c r="K39" s="225" t="s">
        <v>391</v>
      </c>
      <c r="L39" s="226">
        <v>1500</v>
      </c>
      <c r="M39" s="226" t="s">
        <v>535</v>
      </c>
      <c r="N39" s="226">
        <v>6</v>
      </c>
      <c r="O39" s="226">
        <v>200</v>
      </c>
      <c r="P39" s="242">
        <v>8</v>
      </c>
      <c r="Q39" s="441"/>
      <c r="R39" s="442"/>
      <c r="S39" s="442"/>
      <c r="T39" s="442"/>
      <c r="U39" s="442"/>
      <c r="V39" s="442"/>
    </row>
    <row r="40" spans="2:22" x14ac:dyDescent="0.25">
      <c r="B40" s="119"/>
      <c r="C40" s="120"/>
      <c r="D40" s="120"/>
      <c r="E40" s="120"/>
      <c r="F40" s="120"/>
      <c r="G40" s="120"/>
      <c r="H40" s="120"/>
      <c r="I40" s="31"/>
      <c r="J40" s="227" t="s">
        <v>243</v>
      </c>
      <c r="K40" s="228"/>
      <c r="L40" s="229"/>
      <c r="M40" s="229"/>
      <c r="N40" s="229"/>
      <c r="O40" s="229"/>
      <c r="P40" s="230"/>
      <c r="Q40" s="247"/>
      <c r="R40" s="232"/>
      <c r="S40" s="231"/>
      <c r="T40" s="231"/>
      <c r="U40" s="231"/>
      <c r="V40" s="233">
        <f>V38</f>
        <v>0</v>
      </c>
    </row>
    <row r="41" spans="2:22" x14ac:dyDescent="0.25">
      <c r="B41" s="119"/>
      <c r="C41" s="120"/>
      <c r="D41" s="120"/>
      <c r="E41" s="120"/>
      <c r="F41" s="120"/>
      <c r="G41" s="120"/>
      <c r="H41" s="120"/>
      <c r="I41" s="31"/>
      <c r="J41" s="207" t="s">
        <v>242</v>
      </c>
      <c r="K41" s="206" t="s">
        <v>380</v>
      </c>
      <c r="L41" s="127">
        <v>6000</v>
      </c>
      <c r="M41" s="127">
        <v>500</v>
      </c>
      <c r="N41" s="127">
        <v>6</v>
      </c>
      <c r="O41" s="127">
        <v>200</v>
      </c>
      <c r="P41" s="183">
        <v>8</v>
      </c>
      <c r="Q41" s="248">
        <v>8</v>
      </c>
      <c r="R41" s="60">
        <v>20</v>
      </c>
      <c r="S41" s="53">
        <v>16</v>
      </c>
      <c r="T41" s="53">
        <v>6</v>
      </c>
      <c r="U41" s="53" t="s">
        <v>402</v>
      </c>
      <c r="V41" s="218" t="str">
        <f>V37</f>
        <v>Kết thúc đoạn 7</v>
      </c>
    </row>
    <row r="42" spans="2:22" x14ac:dyDescent="0.25">
      <c r="B42" s="119"/>
      <c r="C42" s="120"/>
      <c r="D42" s="120"/>
      <c r="E42" s="120"/>
      <c r="F42" s="120"/>
      <c r="G42" s="120"/>
      <c r="H42" s="120"/>
      <c r="I42" s="31"/>
      <c r="J42" s="207" t="s">
        <v>235</v>
      </c>
      <c r="K42" s="206" t="s">
        <v>378</v>
      </c>
      <c r="L42" s="127"/>
      <c r="M42" s="127">
        <v>500</v>
      </c>
      <c r="N42" s="127">
        <v>6</v>
      </c>
      <c r="O42" s="127">
        <v>200</v>
      </c>
      <c r="P42" s="183">
        <v>8</v>
      </c>
      <c r="Q42" s="248">
        <v>8</v>
      </c>
      <c r="R42" s="60">
        <v>20</v>
      </c>
      <c r="S42" s="53">
        <v>16</v>
      </c>
      <c r="T42" s="53">
        <v>6</v>
      </c>
      <c r="U42" s="53" t="s">
        <v>401</v>
      </c>
      <c r="V42" s="218" t="str">
        <f>V36</f>
        <v>Kết thúc đoạn 6</v>
      </c>
    </row>
    <row r="43" spans="2:22" x14ac:dyDescent="0.25">
      <c r="B43" s="119"/>
      <c r="C43" s="120"/>
      <c r="D43" s="120"/>
      <c r="E43" s="120"/>
      <c r="F43" s="120"/>
      <c r="G43" s="120"/>
      <c r="H43" s="120"/>
      <c r="I43" s="31"/>
      <c r="J43" s="207" t="s">
        <v>234</v>
      </c>
      <c r="K43" s="206" t="s">
        <v>379</v>
      </c>
      <c r="L43" s="127">
        <v>3000</v>
      </c>
      <c r="M43" s="127">
        <v>500</v>
      </c>
      <c r="N43" s="127">
        <v>6</v>
      </c>
      <c r="O43" s="127">
        <v>200</v>
      </c>
      <c r="P43" s="183">
        <v>8</v>
      </c>
      <c r="Q43" s="248">
        <v>8</v>
      </c>
      <c r="R43" s="60">
        <v>20</v>
      </c>
      <c r="S43" s="53">
        <v>16</v>
      </c>
      <c r="T43" s="53">
        <v>6</v>
      </c>
      <c r="U43" s="53" t="s">
        <v>400</v>
      </c>
      <c r="V43" s="218" t="str">
        <f>V35</f>
        <v>Kết thúc đoạn 5</v>
      </c>
    </row>
    <row r="44" spans="2:22" x14ac:dyDescent="0.25">
      <c r="B44" s="119"/>
      <c r="C44" s="120"/>
      <c r="D44" s="120"/>
      <c r="E44" s="120"/>
      <c r="F44" s="120"/>
      <c r="G44" s="120"/>
      <c r="H44" s="120"/>
      <c r="I44" s="31"/>
      <c r="J44" s="208" t="s">
        <v>227</v>
      </c>
      <c r="K44" s="210" t="s">
        <v>376</v>
      </c>
      <c r="L44" s="179">
        <v>12000</v>
      </c>
      <c r="M44" s="179" t="s">
        <v>533</v>
      </c>
      <c r="N44" s="179">
        <v>6</v>
      </c>
      <c r="O44" s="179">
        <v>250</v>
      </c>
      <c r="P44" s="184">
        <v>8</v>
      </c>
      <c r="Q44" s="249">
        <v>8</v>
      </c>
      <c r="R44" s="216">
        <v>20</v>
      </c>
      <c r="S44" s="215">
        <v>16</v>
      </c>
      <c r="T44" s="215">
        <v>6</v>
      </c>
      <c r="U44" s="215" t="s">
        <v>399</v>
      </c>
      <c r="V44" s="218" t="str">
        <f>V34</f>
        <v>Kết thúc kèo đỉnh cột</v>
      </c>
    </row>
    <row r="45" spans="2:22" x14ac:dyDescent="0.25">
      <c r="B45" s="119"/>
      <c r="C45" s="120"/>
      <c r="D45" s="120"/>
      <c r="E45" s="120"/>
      <c r="F45" s="120"/>
      <c r="G45" s="120"/>
      <c r="H45" s="120"/>
      <c r="I45" s="31"/>
      <c r="J45" s="207" t="s">
        <v>241</v>
      </c>
      <c r="K45" s="206"/>
      <c r="L45" s="127"/>
      <c r="M45" s="127"/>
      <c r="N45" s="127"/>
      <c r="O45" s="127"/>
      <c r="P45" s="183"/>
      <c r="Q45" s="248"/>
      <c r="R45" s="60"/>
      <c r="S45" s="53"/>
      <c r="T45" s="53"/>
      <c r="U45" s="53"/>
      <c r="V45" s="218" t="str">
        <f>V33</f>
        <v/>
      </c>
    </row>
    <row r="46" spans="2:22" x14ac:dyDescent="0.25">
      <c r="B46" s="119"/>
      <c r="C46" s="120"/>
      <c r="D46" s="120"/>
      <c r="E46" s="120"/>
      <c r="F46" s="120"/>
      <c r="G46" s="120"/>
      <c r="H46" s="120"/>
      <c r="I46" s="31"/>
      <c r="J46" s="207" t="s">
        <v>232</v>
      </c>
      <c r="K46" s="206"/>
      <c r="L46" s="127"/>
      <c r="M46" s="127"/>
      <c r="N46" s="127"/>
      <c r="O46" s="127"/>
      <c r="P46" s="183"/>
      <c r="Q46" s="248"/>
      <c r="R46" s="60"/>
      <c r="S46" s="53"/>
      <c r="T46" s="53"/>
      <c r="U46" s="53"/>
      <c r="V46" s="218">
        <f>V32</f>
        <v>0</v>
      </c>
    </row>
    <row r="47" spans="2:22" ht="15" customHeight="1" x14ac:dyDescent="0.25">
      <c r="B47" s="119"/>
      <c r="C47" s="120"/>
      <c r="D47" s="120"/>
      <c r="E47" s="120"/>
      <c r="F47" s="120"/>
      <c r="G47" s="120"/>
      <c r="H47" s="120"/>
      <c r="I47" s="31"/>
      <c r="J47" s="207" t="s">
        <v>231</v>
      </c>
      <c r="K47" s="206" t="s">
        <v>374</v>
      </c>
      <c r="L47" s="127"/>
      <c r="M47" s="127">
        <v>500</v>
      </c>
      <c r="N47" s="127">
        <v>6</v>
      </c>
      <c r="O47" s="127">
        <v>200</v>
      </c>
      <c r="P47" s="183">
        <v>8</v>
      </c>
      <c r="Q47" s="248">
        <v>8</v>
      </c>
      <c r="R47" s="60">
        <v>20</v>
      </c>
      <c r="S47" s="53">
        <v>16</v>
      </c>
      <c r="T47" s="53">
        <v>6</v>
      </c>
      <c r="U47" s="53" t="s">
        <v>396</v>
      </c>
      <c r="V47" s="218" t="str">
        <f>V31</f>
        <v>Kết thúc đoạn 2</v>
      </c>
    </row>
    <row r="48" spans="2:22" ht="15.75" thickBot="1" x14ac:dyDescent="0.3">
      <c r="B48" s="121"/>
      <c r="C48" s="122"/>
      <c r="D48" s="122"/>
      <c r="E48" s="122"/>
      <c r="F48" s="122"/>
      <c r="G48" s="122"/>
      <c r="H48" s="122"/>
      <c r="I48" s="173"/>
      <c r="J48" s="234" t="s">
        <v>229</v>
      </c>
      <c r="K48" s="209" t="s">
        <v>373</v>
      </c>
      <c r="L48" s="181">
        <v>9000</v>
      </c>
      <c r="M48" s="181" t="s">
        <v>346</v>
      </c>
      <c r="N48" s="181">
        <v>6</v>
      </c>
      <c r="O48" s="181">
        <v>200</v>
      </c>
      <c r="P48" s="185">
        <v>8</v>
      </c>
      <c r="Q48" s="250">
        <v>8</v>
      </c>
      <c r="R48" s="222">
        <v>20</v>
      </c>
      <c r="S48" s="221">
        <v>16</v>
      </c>
      <c r="T48" s="221">
        <v>6</v>
      </c>
      <c r="U48" s="221" t="s">
        <v>395</v>
      </c>
      <c r="V48" s="223" t="str">
        <f>V30</f>
        <v>Kết thúc đoạn 1</v>
      </c>
    </row>
    <row r="50" spans="2:18" x14ac:dyDescent="0.25">
      <c r="B50" s="365"/>
      <c r="C50" s="365"/>
      <c r="D50" s="365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</row>
    <row r="51" spans="2:18" x14ac:dyDescent="0.25"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</row>
    <row r="52" spans="2:18" x14ac:dyDescent="0.25">
      <c r="B52" s="365"/>
      <c r="C52" s="365"/>
      <c r="D52" s="365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</row>
    <row r="53" spans="2:18" hidden="1" x14ac:dyDescent="0.25"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</row>
    <row r="54" spans="2:18" hidden="1" x14ac:dyDescent="0.25"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</row>
    <row r="55" spans="2:18" hidden="1" x14ac:dyDescent="0.25"/>
    <row r="56" spans="2:18" hidden="1" x14ac:dyDescent="0.25"/>
    <row r="57" spans="2:18" hidden="1" x14ac:dyDescent="0.25"/>
    <row r="58" spans="2:18" hidden="1" x14ac:dyDescent="0.25"/>
    <row r="59" spans="2:18" hidden="1" x14ac:dyDescent="0.25"/>
    <row r="60" spans="2:18" hidden="1" x14ac:dyDescent="0.25"/>
    <row r="61" spans="2:18" hidden="1" x14ac:dyDescent="0.25"/>
    <row r="62" spans="2:18" hidden="1" x14ac:dyDescent="0.25"/>
    <row r="63" spans="2:18" hidden="1" x14ac:dyDescent="0.25"/>
    <row r="64" spans="2:18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2:24" hidden="1" x14ac:dyDescent="0.25"/>
    <row r="98" spans="2:24" hidden="1" x14ac:dyDescent="0.25"/>
    <row r="99" spans="2:24" s="32" customFormat="1" x14ac:dyDescent="0.25"/>
    <row r="100" spans="2:24" ht="15" customHeight="1" x14ac:dyDescent="0.25">
      <c r="B100" s="446" t="s">
        <v>470</v>
      </c>
      <c r="C100" s="446"/>
      <c r="D100" s="367" t="s">
        <v>476</v>
      </c>
      <c r="E100" s="347" t="s">
        <v>24</v>
      </c>
      <c r="F100" s="347"/>
      <c r="G100" s="347"/>
      <c r="H100" s="347"/>
      <c r="I100" s="347"/>
      <c r="K100" s="347" t="s">
        <v>32</v>
      </c>
      <c r="L100" s="347"/>
      <c r="M100" s="347"/>
      <c r="N100" s="347"/>
      <c r="O100" s="347"/>
      <c r="P100" s="347"/>
      <c r="Q100" s="347" t="s">
        <v>31</v>
      </c>
      <c r="R100" s="347"/>
      <c r="S100" s="347"/>
      <c r="T100" s="347"/>
      <c r="V100" t="s">
        <v>37</v>
      </c>
      <c r="W100" t="s">
        <v>22</v>
      </c>
      <c r="X100" t="s">
        <v>23</v>
      </c>
    </row>
    <row r="101" spans="2:24" ht="15" customHeight="1" x14ac:dyDescent="0.25">
      <c r="B101" s="446"/>
      <c r="C101" s="446"/>
      <c r="D101" s="451"/>
      <c r="E101" s="361" t="s">
        <v>21</v>
      </c>
      <c r="F101" s="347" t="s">
        <v>20</v>
      </c>
      <c r="G101" s="347"/>
      <c r="H101" s="347"/>
      <c r="I101" s="347"/>
      <c r="K101" s="361" t="s">
        <v>42</v>
      </c>
      <c r="L101" s="361" t="s">
        <v>41</v>
      </c>
      <c r="M101" s="347" t="s">
        <v>20</v>
      </c>
      <c r="N101" s="347"/>
      <c r="O101" s="347"/>
      <c r="P101" s="347"/>
      <c r="Q101" s="455" t="s">
        <v>62</v>
      </c>
      <c r="R101" s="456"/>
      <c r="S101" s="360" t="s">
        <v>34</v>
      </c>
      <c r="T101" s="360" t="s">
        <v>30</v>
      </c>
      <c r="V101" t="s">
        <v>477</v>
      </c>
      <c r="W101" t="s">
        <v>39</v>
      </c>
      <c r="X101" t="s">
        <v>44</v>
      </c>
    </row>
    <row r="102" spans="2:24" x14ac:dyDescent="0.25">
      <c r="B102" s="446"/>
      <c r="C102" s="446"/>
      <c r="D102" s="368"/>
      <c r="E102" s="361"/>
      <c r="F102" s="361" t="s">
        <v>38</v>
      </c>
      <c r="G102" s="361" t="str">
        <f>IF($D$103=$V$100,W101,W100)</f>
        <v>Bề rộng cánh</v>
      </c>
      <c r="H102" s="361" t="str">
        <f>IF($D$103=$V$100,W100,W101)</f>
        <v>Chiều dày bụng</v>
      </c>
      <c r="I102" s="361" t="s">
        <v>40</v>
      </c>
      <c r="K102" s="361"/>
      <c r="L102" s="366"/>
      <c r="M102" s="361" t="s">
        <v>38</v>
      </c>
      <c r="N102" s="361" t="str">
        <f>G102</f>
        <v>Bề rộng cánh</v>
      </c>
      <c r="O102" s="361" t="str">
        <f>H102</f>
        <v>Chiều dày bụng</v>
      </c>
      <c r="P102" s="361" t="s">
        <v>40</v>
      </c>
      <c r="Q102" s="457"/>
      <c r="R102" s="458"/>
      <c r="S102" s="360"/>
      <c r="T102" s="360"/>
    </row>
    <row r="103" spans="2:24" x14ac:dyDescent="0.25">
      <c r="B103" s="446"/>
      <c r="C103" s="446"/>
      <c r="D103" s="452" t="s">
        <v>37</v>
      </c>
      <c r="E103" s="361"/>
      <c r="F103" s="361"/>
      <c r="G103" s="361"/>
      <c r="H103" s="361"/>
      <c r="I103" s="361"/>
      <c r="K103" s="361"/>
      <c r="L103" s="366"/>
      <c r="M103" s="361"/>
      <c r="N103" s="361"/>
      <c r="O103" s="361"/>
      <c r="P103" s="361"/>
      <c r="Q103" s="457"/>
      <c r="R103" s="458"/>
      <c r="S103" s="360"/>
      <c r="T103" s="360"/>
    </row>
    <row r="104" spans="2:24" x14ac:dyDescent="0.25">
      <c r="B104" s="446"/>
      <c r="C104" s="446"/>
      <c r="D104" s="453"/>
      <c r="E104" s="361"/>
      <c r="F104" s="57" t="s">
        <v>43</v>
      </c>
      <c r="G104" s="57" t="str">
        <f>VLOOKUP(G102,$W$100:$X$101,2,FALSE)</f>
        <v>Bf</v>
      </c>
      <c r="H104" s="57" t="str">
        <f>VLOOKUP(H102,$W$100:$X$101,2,FALSE)</f>
        <v>tw</v>
      </c>
      <c r="I104" s="57" t="s">
        <v>45</v>
      </c>
      <c r="K104" s="361"/>
      <c r="L104" s="366"/>
      <c r="M104" s="57" t="s">
        <v>43</v>
      </c>
      <c r="N104" s="57" t="str">
        <f>G104</f>
        <v>Bf</v>
      </c>
      <c r="O104" s="57" t="str">
        <f>H104</f>
        <v>tw</v>
      </c>
      <c r="P104" s="57" t="s">
        <v>228</v>
      </c>
      <c r="Q104" s="457"/>
      <c r="R104" s="458"/>
      <c r="S104" s="362"/>
      <c r="T104" s="362"/>
    </row>
    <row r="105" spans="2:24" x14ac:dyDescent="0.25">
      <c r="B105" s="446"/>
      <c r="C105" s="446"/>
      <c r="D105" s="454"/>
      <c r="E105" s="3" t="s">
        <v>314</v>
      </c>
      <c r="F105" s="3" t="s">
        <v>468</v>
      </c>
      <c r="G105" s="3">
        <v>200</v>
      </c>
      <c r="H105" s="3">
        <v>5</v>
      </c>
      <c r="I105" s="3">
        <v>8</v>
      </c>
      <c r="K105" s="4" t="s">
        <v>373</v>
      </c>
      <c r="L105" s="52" t="s">
        <v>458</v>
      </c>
      <c r="M105" s="3" t="s">
        <v>469</v>
      </c>
      <c r="N105" s="3">
        <v>250</v>
      </c>
      <c r="O105" s="3">
        <v>6</v>
      </c>
      <c r="P105" s="3">
        <v>8</v>
      </c>
      <c r="Q105" s="447" t="s">
        <v>472</v>
      </c>
      <c r="R105" s="447"/>
      <c r="S105" s="60">
        <v>20</v>
      </c>
      <c r="T105" s="53">
        <v>20</v>
      </c>
    </row>
    <row r="106" spans="2:24" x14ac:dyDescent="0.25">
      <c r="Q106" s="447" t="s">
        <v>473</v>
      </c>
      <c r="R106" s="447"/>
      <c r="S106" s="60">
        <v>20</v>
      </c>
      <c r="T106" s="53">
        <v>20</v>
      </c>
    </row>
    <row r="107" spans="2:24" ht="15" customHeight="1" x14ac:dyDescent="0.25">
      <c r="E107" s="358" t="s">
        <v>334</v>
      </c>
      <c r="F107" s="358"/>
      <c r="G107" s="358"/>
      <c r="H107" s="354" t="s">
        <v>471</v>
      </c>
      <c r="I107" s="354"/>
      <c r="Q107" s="447" t="s">
        <v>474</v>
      </c>
      <c r="R107" s="447"/>
      <c r="S107" s="60">
        <v>20</v>
      </c>
      <c r="T107" s="53">
        <v>20</v>
      </c>
    </row>
    <row r="108" spans="2:24" ht="15" customHeight="1" x14ac:dyDescent="0.25">
      <c r="E108" s="358"/>
      <c r="F108" s="358"/>
      <c r="G108" s="358"/>
      <c r="H108" s="354"/>
      <c r="I108" s="354"/>
      <c r="Q108" s="448" t="s">
        <v>475</v>
      </c>
      <c r="R108" s="449"/>
      <c r="S108" s="450"/>
      <c r="T108" s="53">
        <v>20</v>
      </c>
    </row>
    <row r="110" spans="2:24" x14ac:dyDescent="0.25">
      <c r="B110" s="445" t="s">
        <v>478</v>
      </c>
      <c r="C110" s="445"/>
      <c r="D110" s="445"/>
      <c r="E110" s="445"/>
      <c r="F110" s="445"/>
      <c r="G110" s="445"/>
    </row>
    <row r="111" spans="2:24" x14ac:dyDescent="0.25">
      <c r="B111" s="445"/>
      <c r="C111" s="445"/>
      <c r="D111" s="445"/>
      <c r="E111" s="445"/>
      <c r="F111" s="445"/>
      <c r="G111" s="445"/>
    </row>
    <row r="112" spans="2:24" x14ac:dyDescent="0.25">
      <c r="B112" s="445"/>
      <c r="C112" s="445"/>
      <c r="D112" s="445"/>
      <c r="E112" s="445"/>
      <c r="F112" s="445"/>
      <c r="G112" s="445"/>
    </row>
    <row r="113" spans="2:7" x14ac:dyDescent="0.25">
      <c r="B113" s="445"/>
      <c r="C113" s="445"/>
      <c r="D113" s="445"/>
      <c r="E113" s="445"/>
      <c r="F113" s="445"/>
      <c r="G113" s="445"/>
    </row>
    <row r="114" spans="2:7" x14ac:dyDescent="0.25">
      <c r="B114" s="445"/>
      <c r="C114" s="445"/>
      <c r="D114" s="445"/>
      <c r="E114" s="445"/>
      <c r="F114" s="445"/>
      <c r="G114" s="445"/>
    </row>
  </sheetData>
  <mergeCells count="84">
    <mergeCell ref="N3:O3"/>
    <mergeCell ref="B36:I37"/>
    <mergeCell ref="Q25:Q28"/>
    <mergeCell ref="R25:R28"/>
    <mergeCell ref="S25:S28"/>
    <mergeCell ref="F6:G6"/>
    <mergeCell ref="N8:O9"/>
    <mergeCell ref="F25:I25"/>
    <mergeCell ref="J25:J26"/>
    <mergeCell ref="K25:K28"/>
    <mergeCell ref="E25:E28"/>
    <mergeCell ref="I26:I27"/>
    <mergeCell ref="M25:P25"/>
    <mergeCell ref="O26:O27"/>
    <mergeCell ref="Q4:Q5"/>
    <mergeCell ref="R4:R5"/>
    <mergeCell ref="B1:G2"/>
    <mergeCell ref="H1:K2"/>
    <mergeCell ref="L1:M2"/>
    <mergeCell ref="B27:B28"/>
    <mergeCell ref="C27:C28"/>
    <mergeCell ref="B24:C26"/>
    <mergeCell ref="E24:I24"/>
    <mergeCell ref="J24:P24"/>
    <mergeCell ref="M26:M27"/>
    <mergeCell ref="N26:N27"/>
    <mergeCell ref="D24:D28"/>
    <mergeCell ref="P26:P27"/>
    <mergeCell ref="N4:N5"/>
    <mergeCell ref="O4:O5"/>
    <mergeCell ref="P4:P5"/>
    <mergeCell ref="P6:P7"/>
    <mergeCell ref="Q101:R104"/>
    <mergeCell ref="V25:V28"/>
    <mergeCell ref="L25:L28"/>
    <mergeCell ref="B50:R54"/>
    <mergeCell ref="T25:T28"/>
    <mergeCell ref="F26:F27"/>
    <mergeCell ref="G26:G27"/>
    <mergeCell ref="H26:H27"/>
    <mergeCell ref="K100:P100"/>
    <mergeCell ref="Q107:R107"/>
    <mergeCell ref="Q106:R106"/>
    <mergeCell ref="Q105:R105"/>
    <mergeCell ref="Q108:S108"/>
    <mergeCell ref="D100:D102"/>
    <mergeCell ref="D103:D105"/>
    <mergeCell ref="Q100:T100"/>
    <mergeCell ref="S101:S104"/>
    <mergeCell ref="T101:T104"/>
    <mergeCell ref="K101:K104"/>
    <mergeCell ref="L101:L104"/>
    <mergeCell ref="M101:P101"/>
    <mergeCell ref="M102:M103"/>
    <mergeCell ref="N102:N103"/>
    <mergeCell ref="O102:O103"/>
    <mergeCell ref="P102:P103"/>
    <mergeCell ref="B110:G114"/>
    <mergeCell ref="H107:I108"/>
    <mergeCell ref="E107:G108"/>
    <mergeCell ref="G102:G103"/>
    <mergeCell ref="H102:H103"/>
    <mergeCell ref="I102:I103"/>
    <mergeCell ref="B100:C105"/>
    <mergeCell ref="E100:I100"/>
    <mergeCell ref="E101:E104"/>
    <mergeCell ref="F101:I101"/>
    <mergeCell ref="F102:F103"/>
    <mergeCell ref="S4:S5"/>
    <mergeCell ref="T4:T5"/>
    <mergeCell ref="T6:T7"/>
    <mergeCell ref="S6:S7"/>
    <mergeCell ref="R6:R7"/>
    <mergeCell ref="O6:O7"/>
    <mergeCell ref="N6:N7"/>
    <mergeCell ref="S8:S9"/>
    <mergeCell ref="R8:R9"/>
    <mergeCell ref="Q8:Q9"/>
    <mergeCell ref="P8:P9"/>
    <mergeCell ref="T8:T9"/>
    <mergeCell ref="U25:U28"/>
    <mergeCell ref="Q39:V39"/>
    <mergeCell ref="Q24:U24"/>
    <mergeCell ref="Q6:Q7"/>
  </mergeCells>
  <conditionalFormatting sqref="J35:J38 J30:J33 J45:J48 J40:J43">
    <cfRule type="containsText" dxfId="1" priority="7" operator="containsText" text="P">
      <formula>NOT(ISERROR(SEARCH("P",J30)))</formula>
    </cfRule>
    <cfRule type="containsText" dxfId="0" priority="8" operator="containsText" text="T">
      <formula>NOT(ISERROR(SEARCH("T",J30)))</formula>
    </cfRule>
  </conditionalFormatting>
  <dataValidations count="7">
    <dataValidation type="list" allowBlank="1" showInputMessage="1" showErrorMessage="1" sqref="O6" xr:uid="{4BF3D311-7DEF-417D-AE64-54E27E656543}">
      <formula1>"Ngang,Đứng"</formula1>
    </dataValidation>
    <dataValidation type="list" allowBlank="1" showInputMessage="1" showErrorMessage="1" sqref="J30:J33 J45:J48 J35:J38 J40:J43" xr:uid="{4CA21ADC-FBC4-4A0C-AAA4-6A61A17086F9}">
      <formula1>"T,P"</formula1>
    </dataValidation>
    <dataValidation type="list" allowBlank="1" showInputMessage="1" showErrorMessage="1" sqref="K11:K12" xr:uid="{525166E4-8F07-40B1-A4D8-CB6DDC8DAABD}">
      <formula1>"Name,Total,Web"</formula1>
    </dataValidation>
    <dataValidation type="list" allowBlank="1" showInputMessage="1" showErrorMessage="1" sqref="K15 D103" xr:uid="{DD35DFBD-8C79-4D20-8B91-2F2749BE3692}">
      <formula1>"Total,Web"</formula1>
    </dataValidation>
    <dataValidation type="list" allowBlank="1" showInputMessage="1" showErrorMessage="1" sqref="F6:G6" xr:uid="{DC55D581-2FC0-4C8D-A018-679B55E6C385}">
      <formula1>"Chưa tính lớp bao che,Đã tính lớp bao che"</formula1>
    </dataValidation>
    <dataValidation type="list" allowBlank="1" showInputMessage="1" showErrorMessage="1" sqref="K10" xr:uid="{7B36DA76-9C95-476B-B14F-FB0906FC909C}">
      <formula1>"Nghiêng,Ngang"</formula1>
    </dataValidation>
    <dataValidation type="list" allowBlank="1" showInputMessage="1" showErrorMessage="1" sqref="K13:K14" xr:uid="{AD4ADCF7-7F56-496F-B875-06794C6638C2}">
      <formula1>"Tên,Kích thước,Tên &amp; Kích thước"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460CC9A-EA82-48BF-9155-EBFC67FE4862}">
          <x14:formula1>
            <xm:f>Data!$B$2:$B$9</xm:f>
          </x14:formula1>
          <xm:sqref>R30:R38 R40:R48 S105:S107 Q6 Q8</xm:sqref>
        </x14:dataValidation>
        <x14:dataValidation type="list" allowBlank="1" showInputMessage="1" showErrorMessage="1" xr:uid="{75EB0BD1-411E-4E4B-B2DA-A1AB214E6B17}">
          <x14:formula1>
            <xm:f>Data!$A$2:$A$12</xm:f>
          </x14:formula1>
          <xm:sqref>J4:J5</xm:sqref>
        </x14:dataValidation>
        <x14:dataValidation type="list" allowBlank="1" showInputMessage="1" showErrorMessage="1" xr:uid="{5EE956CB-EDF8-4176-B52E-E917E26670BA}">
          <x14:formula1>
            <xm:f>Data!$G$3:$G$19</xm:f>
          </x14:formula1>
          <xm:sqref>P6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E0795-769D-4340-932D-D5F096D1113F}">
  <sheetPr codeName="Sheet15">
    <tabColor rgb="FFFF00FF"/>
  </sheetPr>
  <dimension ref="A1:T378"/>
  <sheetViews>
    <sheetView showGridLines="0" zoomScale="130" zoomScaleNormal="130" workbookViewId="0">
      <selection activeCell="T19" sqref="T19"/>
    </sheetView>
  </sheetViews>
  <sheetFormatPr defaultRowHeight="15" x14ac:dyDescent="0.25"/>
  <cols>
    <col min="10" max="10" width="10.42578125" customWidth="1"/>
    <col min="11" max="11" width="3.42578125" style="32" customWidth="1"/>
    <col min="12" max="12" width="10.7109375" customWidth="1"/>
    <col min="18" max="18" width="4.28515625" customWidth="1"/>
  </cols>
  <sheetData>
    <row r="1" spans="1:18" x14ac:dyDescent="0.25">
      <c r="A1" s="488" t="s">
        <v>266</v>
      </c>
      <c r="B1" s="489"/>
      <c r="C1" s="489"/>
      <c r="D1" s="489"/>
      <c r="E1" s="490" t="s">
        <v>256</v>
      </c>
      <c r="F1" s="490"/>
      <c r="G1" s="490"/>
      <c r="H1" s="490"/>
      <c r="I1" s="144" t="s">
        <v>260</v>
      </c>
      <c r="J1" s="147" t="str">
        <f>"("&amp;IF(LEFT(I2,1)="V","Cột đầu hồi","Cột giữa")&amp;")"</f>
        <v>(Cột giữa)</v>
      </c>
      <c r="L1" s="32"/>
      <c r="M1" s="32"/>
      <c r="N1" s="32"/>
      <c r="O1" s="32"/>
      <c r="P1" s="32"/>
      <c r="Q1" s="32"/>
      <c r="R1" s="32"/>
    </row>
    <row r="2" spans="1:18" ht="15.75" customHeight="1" x14ac:dyDescent="0.25">
      <c r="A2" s="137"/>
      <c r="B2" s="98"/>
      <c r="C2" s="98"/>
      <c r="D2" s="98"/>
      <c r="E2" s="98"/>
      <c r="F2" s="98" t="s">
        <v>48</v>
      </c>
      <c r="G2" s="98"/>
      <c r="H2" s="98"/>
      <c r="I2" s="145" t="s">
        <v>251</v>
      </c>
      <c r="J2" s="138"/>
      <c r="L2" s="518" t="s">
        <v>256</v>
      </c>
      <c r="M2" s="518"/>
      <c r="N2" s="518"/>
      <c r="O2" s="518"/>
      <c r="P2" s="89" t="s">
        <v>319</v>
      </c>
      <c r="Q2" s="78"/>
      <c r="R2" s="32"/>
    </row>
    <row r="3" spans="1:18" ht="15" customHeight="1" x14ac:dyDescent="0.25">
      <c r="A3" s="137"/>
      <c r="B3" s="98"/>
      <c r="C3" s="98"/>
      <c r="D3" s="98"/>
      <c r="E3" s="98"/>
      <c r="F3" s="98" t="s">
        <v>86</v>
      </c>
      <c r="G3" s="98"/>
      <c r="H3" s="98"/>
      <c r="I3" s="146">
        <v>16</v>
      </c>
      <c r="J3" s="139"/>
      <c r="L3" s="519" t="s">
        <v>284</v>
      </c>
      <c r="M3" s="519"/>
      <c r="N3" s="519"/>
      <c r="O3" s="519"/>
      <c r="P3" s="83" t="s">
        <v>43</v>
      </c>
      <c r="Q3" s="79"/>
      <c r="R3" s="32"/>
    </row>
    <row r="4" spans="1:18" x14ac:dyDescent="0.25">
      <c r="A4" s="137"/>
      <c r="B4" s="98"/>
      <c r="C4" s="98"/>
      <c r="D4" s="98"/>
      <c r="E4" s="98"/>
      <c r="F4" s="98" t="s">
        <v>255</v>
      </c>
      <c r="G4" s="98"/>
      <c r="H4" s="98"/>
      <c r="I4" s="145">
        <v>12</v>
      </c>
      <c r="J4" s="139" t="s">
        <v>4</v>
      </c>
      <c r="L4" s="520" t="s">
        <v>276</v>
      </c>
      <c r="M4" s="502" t="s">
        <v>272</v>
      </c>
      <c r="N4" s="503"/>
      <c r="O4" s="504"/>
      <c r="P4" s="83">
        <v>750</v>
      </c>
      <c r="Q4" s="79"/>
      <c r="R4" s="32"/>
    </row>
    <row r="5" spans="1:18" x14ac:dyDescent="0.25">
      <c r="A5" s="137"/>
      <c r="B5" s="98"/>
      <c r="C5" s="98"/>
      <c r="D5" s="98"/>
      <c r="E5" s="98"/>
      <c r="F5" s="98" t="str">
        <f>IF(LEFT(I2,1)="V","Chiều dày bản cánh cột","Chiều dày bản bụng cột")</f>
        <v>Chiều dày bản bụng cột</v>
      </c>
      <c r="G5" s="98"/>
      <c r="H5" s="98"/>
      <c r="I5" s="145">
        <v>8</v>
      </c>
      <c r="J5" s="139" t="s">
        <v>4</v>
      </c>
      <c r="L5" s="521"/>
      <c r="M5" s="515" t="s">
        <v>273</v>
      </c>
      <c r="N5" s="516"/>
      <c r="O5" s="517"/>
      <c r="P5" s="84">
        <v>200</v>
      </c>
      <c r="Q5" s="79"/>
      <c r="R5" s="32"/>
    </row>
    <row r="6" spans="1:18" x14ac:dyDescent="0.25">
      <c r="A6" s="137"/>
      <c r="B6" s="98"/>
      <c r="C6" s="98"/>
      <c r="D6" s="98"/>
      <c r="E6" s="98"/>
      <c r="F6" s="98" t="s">
        <v>85</v>
      </c>
      <c r="G6" s="98"/>
      <c r="H6" s="98"/>
      <c r="I6" s="145">
        <v>15</v>
      </c>
      <c r="J6" s="139" t="s">
        <v>269</v>
      </c>
      <c r="L6" s="521"/>
      <c r="M6" s="515" t="s">
        <v>274</v>
      </c>
      <c r="N6" s="516"/>
      <c r="O6" s="517"/>
      <c r="P6" s="84">
        <v>8</v>
      </c>
      <c r="Q6" s="79"/>
      <c r="R6" s="32"/>
    </row>
    <row r="7" spans="1:18" x14ac:dyDescent="0.25">
      <c r="A7" s="137"/>
      <c r="B7" s="98"/>
      <c r="C7" s="98"/>
      <c r="D7" s="98"/>
      <c r="E7" s="98"/>
      <c r="F7" s="98" t="s">
        <v>315</v>
      </c>
      <c r="G7" s="98"/>
      <c r="H7" s="98"/>
      <c r="I7" s="98"/>
      <c r="J7" s="139"/>
      <c r="L7" s="522"/>
      <c r="M7" s="509" t="s">
        <v>275</v>
      </c>
      <c r="N7" s="510"/>
      <c r="O7" s="511"/>
      <c r="P7" s="85">
        <v>12</v>
      </c>
      <c r="Q7" s="79"/>
      <c r="R7" s="32"/>
    </row>
    <row r="8" spans="1:18" x14ac:dyDescent="0.25">
      <c r="A8" s="137"/>
      <c r="B8" s="98"/>
      <c r="C8" s="98"/>
      <c r="D8" s="98"/>
      <c r="E8" s="98"/>
      <c r="F8" s="140" t="s">
        <v>39</v>
      </c>
      <c r="G8" s="98"/>
      <c r="H8" s="98"/>
      <c r="I8" s="145">
        <v>200</v>
      </c>
      <c r="J8" s="139"/>
      <c r="L8" s="512" t="s">
        <v>25</v>
      </c>
      <c r="M8" s="502" t="s">
        <v>280</v>
      </c>
      <c r="N8" s="503"/>
      <c r="O8" s="504"/>
      <c r="P8" s="83">
        <v>20</v>
      </c>
      <c r="Q8" s="81"/>
      <c r="R8" s="32"/>
    </row>
    <row r="9" spans="1:18" x14ac:dyDescent="0.25">
      <c r="A9" s="137"/>
      <c r="B9" s="98"/>
      <c r="C9" s="98"/>
      <c r="D9" s="98"/>
      <c r="E9" s="98"/>
      <c r="F9" s="140" t="s">
        <v>22</v>
      </c>
      <c r="G9" s="98"/>
      <c r="H9" s="98"/>
      <c r="I9" s="145">
        <v>5</v>
      </c>
      <c r="J9" s="139"/>
      <c r="L9" s="513"/>
      <c r="M9" s="515" t="s">
        <v>282</v>
      </c>
      <c r="N9" s="516"/>
      <c r="O9" s="517"/>
      <c r="P9" s="84">
        <v>4</v>
      </c>
      <c r="Q9" s="109" t="str">
        <f>IF(RIGHT(P9,1)="L","Bên trái",IF(RIGHT(P9,1)="R","Bên phải",IF(RIGHT(P9,1)="T","Bên trên",IF(RIGHT(P9,1)="B","Bên dưới",""))))</f>
        <v/>
      </c>
      <c r="R9" s="32"/>
    </row>
    <row r="10" spans="1:18" x14ac:dyDescent="0.25">
      <c r="A10" s="137"/>
      <c r="B10" s="98"/>
      <c r="C10" s="98"/>
      <c r="D10" s="98"/>
      <c r="E10" s="98"/>
      <c r="F10" s="140" t="s">
        <v>40</v>
      </c>
      <c r="G10" s="98"/>
      <c r="H10" s="98"/>
      <c r="I10" s="145">
        <v>10</v>
      </c>
      <c r="J10" s="139"/>
      <c r="L10" s="514"/>
      <c r="M10" s="509" t="s">
        <v>283</v>
      </c>
      <c r="N10" s="510"/>
      <c r="O10" s="511"/>
      <c r="P10" s="85">
        <v>10</v>
      </c>
      <c r="Q10" s="79"/>
      <c r="R10" s="32"/>
    </row>
    <row r="11" spans="1:18" x14ac:dyDescent="0.25">
      <c r="A11" s="137"/>
      <c r="B11" s="98"/>
      <c r="C11" s="98"/>
      <c r="D11" s="98"/>
      <c r="E11" s="98"/>
      <c r="F11" s="140" t="s">
        <v>239</v>
      </c>
      <c r="G11" s="98"/>
      <c r="H11" s="98"/>
      <c r="I11" s="145">
        <v>6</v>
      </c>
      <c r="J11" s="139"/>
      <c r="L11" s="154" t="s">
        <v>277</v>
      </c>
      <c r="M11" s="505" t="s">
        <v>278</v>
      </c>
      <c r="N11" s="505"/>
      <c r="O11" s="505"/>
      <c r="P11" s="155">
        <v>20</v>
      </c>
      <c r="Q11" s="78"/>
      <c r="R11" s="32"/>
    </row>
    <row r="12" spans="1:18" x14ac:dyDescent="0.25">
      <c r="A12" s="137"/>
      <c r="B12" s="98"/>
      <c r="C12" s="98"/>
      <c r="D12" s="98"/>
      <c r="E12" s="98"/>
      <c r="F12" s="140" t="s">
        <v>58</v>
      </c>
      <c r="G12" s="98"/>
      <c r="H12" s="98"/>
      <c r="I12" s="145" t="s">
        <v>316</v>
      </c>
      <c r="J12" s="139"/>
      <c r="L12" s="506" t="s">
        <v>279</v>
      </c>
      <c r="M12" s="502" t="s">
        <v>281</v>
      </c>
      <c r="N12" s="503"/>
      <c r="O12" s="504"/>
      <c r="P12" s="86">
        <f>MAX(P6,IF(P8&lt;24,8,10))</f>
        <v>8</v>
      </c>
      <c r="Q12" s="78"/>
      <c r="R12" s="32"/>
    </row>
    <row r="13" spans="1:18" x14ac:dyDescent="0.25">
      <c r="A13" s="141"/>
      <c r="B13" s="142"/>
      <c r="C13" s="142"/>
      <c r="D13" s="142"/>
      <c r="E13" s="142"/>
      <c r="F13" s="98" t="s">
        <v>461</v>
      </c>
      <c r="G13" s="98"/>
      <c r="H13" s="98"/>
      <c r="I13" s="145">
        <v>10</v>
      </c>
      <c r="J13" s="143"/>
      <c r="L13" s="507"/>
      <c r="M13" s="500" t="s">
        <v>322</v>
      </c>
      <c r="N13" s="116" t="s">
        <v>238</v>
      </c>
      <c r="O13" s="117"/>
      <c r="P13" s="88">
        <f>P11/2</f>
        <v>10</v>
      </c>
      <c r="Q13" s="78"/>
      <c r="R13" s="32"/>
    </row>
    <row r="14" spans="1:18" ht="15" customHeight="1" x14ac:dyDescent="0.25">
      <c r="A14" s="488" t="s">
        <v>258</v>
      </c>
      <c r="B14" s="489"/>
      <c r="C14" s="489"/>
      <c r="D14" s="489"/>
      <c r="E14" s="490" t="s">
        <v>256</v>
      </c>
      <c r="F14" s="490"/>
      <c r="G14" s="490"/>
      <c r="H14" s="490"/>
      <c r="I14" s="144" t="s">
        <v>261</v>
      </c>
      <c r="J14" s="147"/>
      <c r="L14" s="508"/>
      <c r="M14" s="501"/>
      <c r="N14" s="114" t="s">
        <v>323</v>
      </c>
      <c r="O14" s="115"/>
      <c r="P14" s="85">
        <v>0</v>
      </c>
      <c r="Q14" s="78"/>
      <c r="R14" s="32"/>
    </row>
    <row r="15" spans="1:18" ht="15" customHeight="1" x14ac:dyDescent="0.25">
      <c r="A15" s="148" t="s">
        <v>257</v>
      </c>
      <c r="B15" s="77"/>
      <c r="C15" s="77"/>
      <c r="D15" s="77"/>
      <c r="E15" s="77"/>
      <c r="F15" s="77" t="s">
        <v>86</v>
      </c>
      <c r="G15" s="77"/>
      <c r="H15" s="77"/>
      <c r="I15" s="60">
        <v>20</v>
      </c>
      <c r="J15" s="149"/>
      <c r="L15" s="118" t="s">
        <v>285</v>
      </c>
      <c r="M15" s="496" t="s">
        <v>304</v>
      </c>
      <c r="N15" s="497"/>
      <c r="O15" s="497"/>
      <c r="P15" s="498"/>
      <c r="Q15" s="78"/>
      <c r="R15" s="32"/>
    </row>
    <row r="16" spans="1:18" x14ac:dyDescent="0.25">
      <c r="A16" s="148"/>
      <c r="B16" s="77"/>
      <c r="C16" s="77"/>
      <c r="D16" s="77"/>
      <c r="E16" s="77"/>
      <c r="F16" s="77" t="s">
        <v>387</v>
      </c>
      <c r="G16" s="77"/>
      <c r="H16" s="77"/>
      <c r="I16" s="82">
        <v>10</v>
      </c>
      <c r="J16" s="149"/>
      <c r="L16" s="118" t="s">
        <v>465</v>
      </c>
      <c r="M16" s="496">
        <v>15</v>
      </c>
      <c r="N16" s="497"/>
      <c r="O16" s="497"/>
      <c r="P16" s="498"/>
      <c r="Q16" s="78"/>
      <c r="R16" s="32"/>
    </row>
    <row r="17" spans="1:18" x14ac:dyDescent="0.25">
      <c r="A17" s="148"/>
      <c r="B17" s="77"/>
      <c r="C17" s="77"/>
      <c r="D17" s="77"/>
      <c r="E17" s="77"/>
      <c r="F17" s="77" t="s">
        <v>255</v>
      </c>
      <c r="G17" s="77"/>
      <c r="H17" s="77"/>
      <c r="I17" s="82">
        <v>20</v>
      </c>
      <c r="J17" s="149" t="s">
        <v>269</v>
      </c>
      <c r="L17" s="78"/>
      <c r="M17" s="78"/>
      <c r="N17" s="78"/>
      <c r="O17" s="78"/>
      <c r="P17" s="78"/>
      <c r="Q17" s="78"/>
      <c r="R17" s="32"/>
    </row>
    <row r="18" spans="1:18" ht="15" customHeight="1" x14ac:dyDescent="0.25">
      <c r="A18" s="148"/>
      <c r="B18" s="77"/>
      <c r="C18" s="77"/>
      <c r="D18" s="77"/>
      <c r="E18" s="77"/>
      <c r="F18" s="77" t="s">
        <v>85</v>
      </c>
      <c r="G18" s="77"/>
      <c r="H18" s="77"/>
      <c r="I18" s="82">
        <v>15</v>
      </c>
      <c r="J18" s="149"/>
      <c r="L18" s="78"/>
      <c r="M18" s="78"/>
      <c r="N18" s="78"/>
      <c r="O18" s="78"/>
      <c r="P18" s="78"/>
      <c r="Q18" s="78"/>
      <c r="R18" s="32"/>
    </row>
    <row r="19" spans="1:18" x14ac:dyDescent="0.25">
      <c r="A19" s="148"/>
      <c r="B19" s="77"/>
      <c r="C19" s="77"/>
      <c r="D19" s="77"/>
      <c r="E19" s="77"/>
      <c r="F19" s="493" t="s">
        <v>326</v>
      </c>
      <c r="G19" s="134" t="s">
        <v>325</v>
      </c>
      <c r="H19" s="135"/>
      <c r="I19" s="82">
        <v>0</v>
      </c>
      <c r="J19" s="149"/>
      <c r="L19" s="78"/>
      <c r="M19" s="78"/>
      <c r="N19" s="78"/>
      <c r="O19" s="78"/>
      <c r="P19" s="78"/>
      <c r="Q19" s="78"/>
      <c r="R19" s="32"/>
    </row>
    <row r="20" spans="1:18" x14ac:dyDescent="0.25">
      <c r="A20" s="148"/>
      <c r="B20" s="77"/>
      <c r="C20" s="77"/>
      <c r="D20" s="77"/>
      <c r="E20" s="77"/>
      <c r="F20" s="494"/>
      <c r="G20" s="132" t="s">
        <v>238</v>
      </c>
      <c r="H20" s="133"/>
      <c r="I20" s="82">
        <v>6</v>
      </c>
      <c r="J20" s="149"/>
      <c r="L20" s="78"/>
      <c r="M20" s="78"/>
      <c r="N20" s="78"/>
      <c r="O20" s="78"/>
      <c r="P20" s="78"/>
      <c r="Q20" s="78"/>
      <c r="R20" s="32"/>
    </row>
    <row r="21" spans="1:18" x14ac:dyDescent="0.25">
      <c r="A21" s="148"/>
      <c r="B21" s="77"/>
      <c r="C21" s="77"/>
      <c r="D21" s="77"/>
      <c r="E21" s="77"/>
      <c r="F21" s="495"/>
      <c r="G21" s="132" t="s">
        <v>237</v>
      </c>
      <c r="H21" s="133"/>
      <c r="I21" s="82">
        <v>150</v>
      </c>
      <c r="J21" s="149"/>
      <c r="L21" s="78"/>
      <c r="M21" s="78"/>
      <c r="N21" s="78"/>
      <c r="O21" s="78"/>
      <c r="P21" s="78"/>
      <c r="Q21" s="78"/>
      <c r="R21" s="32"/>
    </row>
    <row r="22" spans="1:18" x14ac:dyDescent="0.25">
      <c r="A22" s="148"/>
      <c r="B22" s="77"/>
      <c r="C22" s="77"/>
      <c r="D22" s="77"/>
      <c r="E22" s="77"/>
      <c r="F22" s="77" t="s">
        <v>327</v>
      </c>
      <c r="G22" s="77"/>
      <c r="H22" s="77"/>
      <c r="I22" s="82" t="s">
        <v>69</v>
      </c>
      <c r="J22" s="149"/>
      <c r="L22" s="78"/>
      <c r="M22" s="78"/>
      <c r="N22" s="78"/>
      <c r="O22" s="78"/>
      <c r="P22" s="78"/>
      <c r="Q22" s="78"/>
      <c r="R22" s="32"/>
    </row>
    <row r="23" spans="1:18" x14ac:dyDescent="0.25">
      <c r="A23" s="148"/>
      <c r="B23" s="77"/>
      <c r="C23" s="77"/>
      <c r="D23" s="77"/>
      <c r="E23" s="77"/>
      <c r="F23" s="136" t="s">
        <v>39</v>
      </c>
      <c r="G23" s="77"/>
      <c r="H23" s="77"/>
      <c r="I23" s="82">
        <v>200</v>
      </c>
      <c r="J23" s="149"/>
      <c r="L23" s="78"/>
      <c r="M23" s="78"/>
      <c r="N23" s="78"/>
      <c r="O23" s="78"/>
      <c r="P23" s="78"/>
      <c r="Q23" s="78"/>
      <c r="R23" s="32"/>
    </row>
    <row r="24" spans="1:18" x14ac:dyDescent="0.25">
      <c r="A24" s="148"/>
      <c r="B24" s="77"/>
      <c r="C24" s="77"/>
      <c r="D24" s="77"/>
      <c r="E24" s="77"/>
      <c r="F24" s="136" t="s">
        <v>22</v>
      </c>
      <c r="G24" s="77"/>
      <c r="H24" s="77"/>
      <c r="I24" s="82">
        <v>5</v>
      </c>
      <c r="J24" s="149"/>
      <c r="L24" s="78"/>
      <c r="M24" s="78"/>
      <c r="N24" s="78"/>
      <c r="O24" s="78"/>
      <c r="P24" s="78"/>
      <c r="Q24" s="78"/>
      <c r="R24" s="32"/>
    </row>
    <row r="25" spans="1:18" x14ac:dyDescent="0.25">
      <c r="A25" s="148"/>
      <c r="B25" s="136"/>
      <c r="C25" s="77"/>
      <c r="D25" s="77"/>
      <c r="E25" s="77"/>
      <c r="F25" s="136" t="s">
        <v>40</v>
      </c>
      <c r="G25" s="77"/>
      <c r="H25" s="77"/>
      <c r="I25" s="82">
        <v>10</v>
      </c>
      <c r="J25" s="149"/>
      <c r="L25" s="78"/>
      <c r="M25" s="78"/>
      <c r="N25" s="78"/>
      <c r="O25" s="78"/>
      <c r="P25" s="78"/>
      <c r="Q25" s="78"/>
      <c r="R25" s="32"/>
    </row>
    <row r="26" spans="1:18" ht="15" customHeight="1" x14ac:dyDescent="0.25">
      <c r="A26" s="148"/>
      <c r="B26" s="77"/>
      <c r="C26" s="77"/>
      <c r="D26" s="77"/>
      <c r="E26" s="77"/>
      <c r="F26" s="499" t="s">
        <v>324</v>
      </c>
      <c r="G26" s="499"/>
      <c r="H26" s="499"/>
      <c r="I26" s="82">
        <v>10</v>
      </c>
      <c r="J26" s="149"/>
      <c r="L26" s="78"/>
      <c r="M26" s="78"/>
      <c r="N26" s="78"/>
      <c r="O26" s="78"/>
      <c r="P26" s="78"/>
      <c r="Q26" s="78"/>
      <c r="R26" s="32"/>
    </row>
    <row r="27" spans="1:18" x14ac:dyDescent="0.25">
      <c r="A27" s="148"/>
      <c r="B27" s="77"/>
      <c r="C27" s="77"/>
      <c r="D27" s="77"/>
      <c r="E27" s="77"/>
      <c r="F27" s="136" t="s">
        <v>58</v>
      </c>
      <c r="G27" s="77"/>
      <c r="H27" s="77"/>
      <c r="I27" s="82" t="s">
        <v>316</v>
      </c>
      <c r="J27" s="149"/>
      <c r="L27" s="78"/>
      <c r="M27" s="78"/>
      <c r="N27" s="78"/>
      <c r="O27" s="78"/>
      <c r="P27" s="78"/>
      <c r="Q27" s="78"/>
      <c r="R27" s="32"/>
    </row>
    <row r="28" spans="1:18" x14ac:dyDescent="0.25">
      <c r="A28" s="150"/>
      <c r="B28" s="151"/>
      <c r="C28" s="151"/>
      <c r="D28" s="151"/>
      <c r="E28" s="151"/>
      <c r="F28" s="98" t="s">
        <v>461</v>
      </c>
      <c r="G28" s="98"/>
      <c r="H28" s="98"/>
      <c r="I28" s="82">
        <v>15</v>
      </c>
      <c r="J28" s="152"/>
      <c r="L28" s="78"/>
      <c r="M28" s="78"/>
      <c r="N28" s="78"/>
      <c r="O28" s="78"/>
      <c r="P28" s="78"/>
      <c r="Q28" s="78"/>
      <c r="R28" s="32"/>
    </row>
    <row r="29" spans="1:18" hidden="1" x14ac:dyDescent="0.25">
      <c r="A29" s="128"/>
      <c r="B29" s="77"/>
      <c r="C29" s="77"/>
      <c r="D29" s="77"/>
      <c r="E29" s="77"/>
      <c r="F29" s="77"/>
      <c r="G29" s="77"/>
      <c r="H29" s="77"/>
      <c r="I29" s="77"/>
      <c r="J29" s="77"/>
      <c r="L29" s="78"/>
      <c r="M29" s="78"/>
      <c r="N29" s="78"/>
      <c r="O29" s="78"/>
      <c r="P29" s="78"/>
      <c r="Q29" s="78"/>
      <c r="R29" s="32"/>
    </row>
    <row r="30" spans="1:18" ht="15.75" hidden="1" thickBot="1" x14ac:dyDescent="0.3">
      <c r="A30" s="129"/>
      <c r="B30" s="130"/>
      <c r="C30" s="130"/>
      <c r="D30" s="130"/>
      <c r="E30" s="130"/>
      <c r="F30" s="130"/>
      <c r="G30" s="130"/>
      <c r="H30" s="130"/>
      <c r="I30" s="130"/>
      <c r="J30" s="131"/>
      <c r="L30" s="78"/>
      <c r="M30" s="78"/>
      <c r="N30" s="78"/>
      <c r="O30" s="78"/>
      <c r="P30" s="78"/>
      <c r="Q30" s="78"/>
      <c r="R30" s="32"/>
    </row>
    <row r="31" spans="1:18" x14ac:dyDescent="0.25">
      <c r="A31" s="488" t="s">
        <v>259</v>
      </c>
      <c r="B31" s="489"/>
      <c r="C31" s="489"/>
      <c r="D31" s="489"/>
      <c r="E31" s="490" t="s">
        <v>256</v>
      </c>
      <c r="F31" s="490"/>
      <c r="G31" s="490"/>
      <c r="H31" s="490"/>
      <c r="I31" s="144" t="s">
        <v>265</v>
      </c>
      <c r="J31" s="147"/>
      <c r="L31" s="78"/>
      <c r="M31" s="78"/>
      <c r="N31" s="78"/>
      <c r="O31" s="78"/>
      <c r="P31" s="78"/>
      <c r="Q31" s="78"/>
      <c r="R31" s="32"/>
    </row>
    <row r="32" spans="1:18" x14ac:dyDescent="0.25">
      <c r="A32" s="77"/>
      <c r="B32" s="77"/>
      <c r="C32" s="77"/>
      <c r="D32" s="77"/>
      <c r="E32" s="77"/>
      <c r="F32" s="98" t="s">
        <v>461</v>
      </c>
      <c r="G32" s="98"/>
      <c r="H32" s="98"/>
      <c r="I32" s="82">
        <v>15</v>
      </c>
      <c r="J32" s="77"/>
      <c r="L32" s="78"/>
      <c r="M32" s="78"/>
      <c r="N32" s="78"/>
      <c r="O32" s="78"/>
      <c r="P32" s="78"/>
      <c r="Q32" s="78"/>
      <c r="R32" s="32"/>
    </row>
    <row r="33" spans="1:20" x14ac:dyDescent="0.25">
      <c r="A33" s="77"/>
      <c r="B33" s="77"/>
      <c r="C33" s="77"/>
      <c r="D33" s="77"/>
      <c r="E33" s="77"/>
      <c r="F33" s="77" t="s">
        <v>86</v>
      </c>
      <c r="G33" s="77"/>
      <c r="H33" s="77"/>
      <c r="I33" s="60">
        <v>24</v>
      </c>
      <c r="J33" s="77"/>
      <c r="L33" s="78"/>
      <c r="M33" s="78"/>
      <c r="N33" s="78"/>
      <c r="O33" s="78"/>
      <c r="P33" s="78"/>
      <c r="Q33" s="78"/>
      <c r="R33" s="32"/>
    </row>
    <row r="34" spans="1:20" x14ac:dyDescent="0.25">
      <c r="A34" s="77"/>
      <c r="B34" s="77"/>
      <c r="C34" s="77"/>
      <c r="D34" s="77"/>
      <c r="E34" s="77"/>
      <c r="F34" s="77" t="s">
        <v>510</v>
      </c>
      <c r="G34" s="77"/>
      <c r="H34" s="77"/>
      <c r="I34" s="53">
        <v>6</v>
      </c>
      <c r="J34" s="77"/>
      <c r="L34" s="78"/>
      <c r="M34" s="78"/>
      <c r="N34" s="78"/>
      <c r="O34" s="78"/>
      <c r="P34" s="78"/>
      <c r="Q34" s="78"/>
      <c r="R34" s="32"/>
    </row>
    <row r="35" spans="1:20" x14ac:dyDescent="0.25">
      <c r="A35" s="77"/>
      <c r="B35" s="77"/>
      <c r="C35" s="77"/>
      <c r="D35" s="77"/>
      <c r="E35" s="77"/>
      <c r="F35" s="77" t="s">
        <v>511</v>
      </c>
      <c r="G35" s="77"/>
      <c r="H35" s="77"/>
      <c r="I35" s="53">
        <v>0</v>
      </c>
      <c r="J35" s="77"/>
      <c r="L35" s="78"/>
      <c r="M35" s="78"/>
      <c r="N35" s="78"/>
      <c r="O35" s="78"/>
      <c r="P35" s="78"/>
      <c r="Q35" s="78"/>
      <c r="R35" s="32"/>
    </row>
    <row r="36" spans="1:20" x14ac:dyDescent="0.25">
      <c r="A36" s="77"/>
      <c r="B36" s="77"/>
      <c r="C36" s="77"/>
      <c r="D36" s="77"/>
      <c r="E36" s="77"/>
      <c r="F36" s="77" t="s">
        <v>512</v>
      </c>
      <c r="G36" s="77"/>
      <c r="H36" s="77"/>
      <c r="I36" s="53">
        <v>4</v>
      </c>
      <c r="J36" s="77"/>
      <c r="L36" s="78"/>
      <c r="M36" s="78"/>
      <c r="N36" s="78"/>
      <c r="O36" s="78"/>
      <c r="P36" s="78"/>
      <c r="Q36" s="78"/>
      <c r="R36" s="32"/>
    </row>
    <row r="37" spans="1:20" x14ac:dyDescent="0.25">
      <c r="A37" s="77"/>
      <c r="B37" s="77"/>
      <c r="C37" s="77"/>
      <c r="D37" s="77"/>
      <c r="E37" s="77"/>
      <c r="F37" s="77" t="s">
        <v>48</v>
      </c>
      <c r="G37" s="77"/>
      <c r="H37" s="77"/>
      <c r="I37" s="310" t="str">
        <f>"K-"&amp;I34&amp;"-"&amp;I35&amp;"-"&amp;I36</f>
        <v>K-6-0-4</v>
      </c>
      <c r="J37" s="77"/>
      <c r="L37" s="78"/>
      <c r="M37" s="78"/>
      <c r="N37" s="78"/>
      <c r="O37" s="78"/>
      <c r="P37" s="78"/>
      <c r="Q37" s="78"/>
      <c r="R37" s="32"/>
    </row>
    <row r="38" spans="1:20" x14ac:dyDescent="0.25">
      <c r="A38" s="77"/>
      <c r="B38" s="77"/>
      <c r="C38" s="77"/>
      <c r="D38" s="77"/>
      <c r="E38" s="77"/>
      <c r="F38" s="77" t="s">
        <v>255</v>
      </c>
      <c r="G38" s="77"/>
      <c r="H38" s="77"/>
      <c r="I38" s="82">
        <v>20</v>
      </c>
      <c r="J38" s="77"/>
      <c r="L38" s="78"/>
      <c r="M38" s="78"/>
      <c r="N38" s="78"/>
      <c r="O38" s="78"/>
      <c r="P38" s="78"/>
      <c r="Q38" s="78"/>
      <c r="R38" s="32"/>
    </row>
    <row r="39" spans="1:20" x14ac:dyDescent="0.25">
      <c r="A39" s="77"/>
      <c r="B39" s="77"/>
      <c r="C39" s="77"/>
      <c r="D39" s="77"/>
      <c r="E39" s="77"/>
      <c r="F39" s="77" t="s">
        <v>513</v>
      </c>
      <c r="G39" s="77"/>
      <c r="H39" s="77"/>
      <c r="I39" s="82">
        <v>12</v>
      </c>
      <c r="J39" s="77" t="s">
        <v>514</v>
      </c>
      <c r="L39" s="78"/>
      <c r="M39" s="78"/>
      <c r="N39" s="78"/>
      <c r="O39" s="78"/>
      <c r="P39" s="78"/>
      <c r="Q39" s="78"/>
      <c r="R39" s="32"/>
    </row>
    <row r="40" spans="1:20" x14ac:dyDescent="0.25">
      <c r="A40" s="77"/>
      <c r="B40" s="77"/>
      <c r="C40" s="77"/>
      <c r="D40" s="77"/>
      <c r="E40" s="77"/>
      <c r="F40" s="77" t="s">
        <v>515</v>
      </c>
      <c r="G40" s="77"/>
      <c r="H40" s="77"/>
      <c r="I40" s="82">
        <v>6</v>
      </c>
      <c r="J40" s="77" t="s">
        <v>516</v>
      </c>
      <c r="L40" s="78"/>
      <c r="M40" s="78"/>
      <c r="N40" s="78"/>
      <c r="O40" s="78"/>
      <c r="P40" s="78"/>
      <c r="Q40" s="78"/>
      <c r="R40" s="32"/>
    </row>
    <row r="41" spans="1:20" x14ac:dyDescent="0.25">
      <c r="A41" s="77"/>
      <c r="B41" s="77"/>
      <c r="C41" s="77"/>
      <c r="D41" s="77"/>
      <c r="E41" s="77"/>
      <c r="F41" s="77" t="s">
        <v>517</v>
      </c>
      <c r="G41" s="77"/>
      <c r="H41" s="77"/>
      <c r="I41" s="82">
        <v>6</v>
      </c>
      <c r="J41" s="77" t="s">
        <v>518</v>
      </c>
      <c r="L41" s="80"/>
      <c r="M41" s="80"/>
      <c r="N41" s="80"/>
      <c r="O41" s="80"/>
      <c r="P41" s="80"/>
      <c r="Q41" s="80"/>
      <c r="R41" s="80"/>
    </row>
    <row r="42" spans="1:20" x14ac:dyDescent="0.25">
      <c r="A42" s="77"/>
      <c r="B42" s="77"/>
      <c r="C42" s="77"/>
      <c r="D42" s="77"/>
      <c r="E42" s="77"/>
      <c r="F42" s="77" t="s">
        <v>327</v>
      </c>
      <c r="G42" s="77"/>
      <c r="H42" s="77"/>
      <c r="I42" s="82" t="s">
        <v>69</v>
      </c>
      <c r="J42" s="77"/>
    </row>
    <row r="43" spans="1:20" x14ac:dyDescent="0.25">
      <c r="A43" s="77"/>
      <c r="B43" s="77"/>
      <c r="C43" s="77"/>
      <c r="D43" s="77"/>
      <c r="E43" s="77"/>
      <c r="F43" s="136" t="s">
        <v>39</v>
      </c>
      <c r="G43" s="77"/>
      <c r="H43" s="77"/>
      <c r="I43" s="82">
        <v>220</v>
      </c>
      <c r="J43" s="77"/>
    </row>
    <row r="44" spans="1:20" x14ac:dyDescent="0.25">
      <c r="A44" s="77"/>
      <c r="B44" s="77"/>
      <c r="C44" s="77"/>
      <c r="D44" s="77"/>
      <c r="E44" s="77"/>
      <c r="F44" s="136" t="s">
        <v>22</v>
      </c>
      <c r="G44" s="77"/>
      <c r="H44" s="77"/>
      <c r="I44" s="82">
        <v>5</v>
      </c>
      <c r="J44" s="77"/>
    </row>
    <row r="45" spans="1:20" x14ac:dyDescent="0.25">
      <c r="A45" s="77"/>
      <c r="B45" s="77"/>
      <c r="C45" s="77"/>
      <c r="D45" s="77"/>
      <c r="E45" s="77"/>
      <c r="F45" s="136" t="s">
        <v>40</v>
      </c>
      <c r="G45" s="77"/>
      <c r="H45" s="77"/>
      <c r="I45" s="82">
        <v>10</v>
      </c>
      <c r="J45" s="77"/>
    </row>
    <row r="46" spans="1:20" x14ac:dyDescent="0.25">
      <c r="A46" s="77"/>
      <c r="B46" s="77"/>
      <c r="C46" s="77"/>
      <c r="D46" s="77"/>
      <c r="E46" s="77"/>
      <c r="F46" s="136" t="s">
        <v>520</v>
      </c>
      <c r="G46" s="77"/>
      <c r="H46" s="77"/>
      <c r="I46" s="82">
        <v>220</v>
      </c>
      <c r="J46" s="77"/>
    </row>
    <row r="47" spans="1:20" x14ac:dyDescent="0.25">
      <c r="A47" s="77"/>
      <c r="B47" s="77"/>
      <c r="C47" s="77"/>
      <c r="D47" s="77"/>
      <c r="E47" s="77"/>
      <c r="F47" s="136" t="s">
        <v>58</v>
      </c>
      <c r="G47" s="77"/>
      <c r="H47" s="77"/>
      <c r="I47" s="82" t="s">
        <v>316</v>
      </c>
      <c r="J47" s="77"/>
    </row>
    <row r="48" spans="1:20" hidden="1" x14ac:dyDescent="0.25">
      <c r="A48" s="77"/>
      <c r="B48" s="77"/>
      <c r="C48" s="77"/>
      <c r="D48" s="77"/>
      <c r="E48" s="77"/>
      <c r="F48" s="77"/>
      <c r="G48" s="77"/>
      <c r="H48" s="77"/>
      <c r="I48" s="77"/>
      <c r="J48" s="77"/>
      <c r="T48" s="1" t="s">
        <v>365</v>
      </c>
    </row>
    <row r="49" spans="1:20" hidden="1" x14ac:dyDescent="0.25">
      <c r="A49" s="77"/>
      <c r="B49" s="77"/>
      <c r="C49" s="77"/>
      <c r="D49" s="77"/>
      <c r="E49" s="77"/>
      <c r="F49" s="77"/>
      <c r="G49" s="77"/>
      <c r="H49" s="77"/>
      <c r="I49" s="77"/>
      <c r="J49" s="77"/>
      <c r="T49" s="1" t="s">
        <v>366</v>
      </c>
    </row>
    <row r="50" spans="1:20" hidden="1" x14ac:dyDescent="0.25">
      <c r="A50" s="77"/>
      <c r="B50" s="77"/>
      <c r="C50" s="77"/>
      <c r="D50" s="77"/>
      <c r="E50" s="77"/>
      <c r="F50" s="77"/>
      <c r="G50" s="77"/>
      <c r="H50" s="77"/>
      <c r="I50" s="77"/>
      <c r="J50" s="77"/>
    </row>
    <row r="51" spans="1:20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</row>
    <row r="52" spans="1:20" x14ac:dyDescent="0.25">
      <c r="A52" s="77"/>
      <c r="B52" s="77"/>
      <c r="C52" s="77"/>
      <c r="D52" s="77"/>
      <c r="E52" s="77"/>
      <c r="F52" s="477" t="s">
        <v>291</v>
      </c>
      <c r="G52" s="477"/>
      <c r="H52" s="477"/>
      <c r="I52" s="477"/>
      <c r="J52" s="77"/>
    </row>
    <row r="53" spans="1:20" x14ac:dyDescent="0.25">
      <c r="A53" s="77"/>
      <c r="B53" s="77"/>
      <c r="C53" s="77"/>
      <c r="D53" s="77"/>
      <c r="E53" s="77"/>
      <c r="F53" s="77" t="s">
        <v>256</v>
      </c>
      <c r="G53" s="77"/>
      <c r="H53" s="77"/>
      <c r="I53" s="89" t="s">
        <v>262</v>
      </c>
      <c r="J53" s="77"/>
    </row>
    <row r="54" spans="1:20" x14ac:dyDescent="0.25">
      <c r="A54" s="77"/>
      <c r="B54" s="77"/>
      <c r="C54" s="77"/>
      <c r="D54" s="77"/>
      <c r="E54" s="77"/>
      <c r="F54" s="77" t="s">
        <v>461</v>
      </c>
      <c r="G54" s="77"/>
      <c r="H54" s="77"/>
      <c r="I54" s="82">
        <v>10</v>
      </c>
      <c r="J54" s="77"/>
    </row>
    <row r="55" spans="1:20" x14ac:dyDescent="0.25">
      <c r="A55" s="77"/>
      <c r="B55" s="77"/>
      <c r="C55" s="77"/>
      <c r="D55" s="77"/>
      <c r="E55" s="77"/>
      <c r="F55" s="77" t="s">
        <v>86</v>
      </c>
      <c r="G55" s="77"/>
      <c r="H55" s="77"/>
      <c r="I55" s="60">
        <v>16</v>
      </c>
      <c r="J55" s="77"/>
    </row>
    <row r="56" spans="1:20" x14ac:dyDescent="0.25">
      <c r="A56" s="77"/>
      <c r="B56" s="77"/>
      <c r="C56" s="77"/>
      <c r="D56" s="77"/>
      <c r="E56" s="77"/>
      <c r="F56" s="77" t="s">
        <v>424</v>
      </c>
      <c r="G56" s="77"/>
      <c r="H56" s="77"/>
      <c r="I56" s="82">
        <v>6</v>
      </c>
      <c r="J56" s="77"/>
    </row>
    <row r="57" spans="1:20" x14ac:dyDescent="0.25">
      <c r="A57" s="77"/>
      <c r="B57" s="77"/>
      <c r="C57" s="77"/>
      <c r="D57" s="77"/>
      <c r="E57" s="77"/>
      <c r="F57" s="77"/>
      <c r="G57" s="77"/>
      <c r="H57" s="77"/>
      <c r="I57" s="77"/>
      <c r="J57" s="77"/>
    </row>
    <row r="58" spans="1:20" x14ac:dyDescent="0.25">
      <c r="A58" s="77"/>
      <c r="B58" s="77"/>
      <c r="C58" s="77"/>
      <c r="D58" s="77"/>
      <c r="E58" s="77"/>
      <c r="F58" s="77" t="s">
        <v>270</v>
      </c>
      <c r="G58" s="77"/>
      <c r="H58" s="77"/>
      <c r="I58" s="82">
        <v>2</v>
      </c>
      <c r="J58" s="77"/>
    </row>
    <row r="59" spans="1:20" x14ac:dyDescent="0.25">
      <c r="A59" s="77"/>
      <c r="B59" s="77"/>
      <c r="C59" s="77"/>
      <c r="D59" s="77"/>
      <c r="E59" s="77"/>
      <c r="F59" s="77" t="s">
        <v>519</v>
      </c>
      <c r="G59" s="77"/>
      <c r="H59" s="77"/>
      <c r="I59" s="82">
        <v>16</v>
      </c>
      <c r="J59" s="77"/>
    </row>
    <row r="60" spans="1:20" x14ac:dyDescent="0.25">
      <c r="A60" s="77"/>
      <c r="B60" s="77"/>
      <c r="C60" s="77"/>
      <c r="D60" s="77"/>
      <c r="E60" s="77"/>
      <c r="F60" s="77" t="str">
        <f>IF(I58=1,"Chiều dày bản cánh kèo","Chiều dày bản bích thứ 2")</f>
        <v>Chiều dày bản bích thứ 2</v>
      </c>
      <c r="G60" s="77"/>
      <c r="H60" s="77"/>
      <c r="I60" s="82">
        <v>12</v>
      </c>
      <c r="J60" s="77"/>
    </row>
    <row r="61" spans="1:20" x14ac:dyDescent="0.25">
      <c r="A61" s="77"/>
      <c r="B61" s="77"/>
      <c r="C61" s="77"/>
      <c r="D61" s="77"/>
      <c r="E61" s="77"/>
      <c r="F61" s="77" t="s">
        <v>520</v>
      </c>
      <c r="G61" s="77"/>
      <c r="H61" s="77"/>
      <c r="I61" s="82">
        <v>400</v>
      </c>
      <c r="J61" s="77"/>
    </row>
    <row r="62" spans="1:20" x14ac:dyDescent="0.25">
      <c r="A62" s="77"/>
      <c r="B62" s="77"/>
      <c r="C62" s="77"/>
      <c r="D62" s="77"/>
      <c r="E62" s="77"/>
      <c r="F62" s="77" t="s">
        <v>239</v>
      </c>
      <c r="G62" s="77"/>
      <c r="H62" s="77"/>
      <c r="I62" s="82">
        <v>6</v>
      </c>
      <c r="J62" s="77"/>
    </row>
    <row r="63" spans="1:20" x14ac:dyDescent="0.25">
      <c r="A63" s="77"/>
      <c r="B63" s="77"/>
      <c r="C63" s="77"/>
      <c r="D63" s="77"/>
      <c r="E63" s="77"/>
      <c r="F63" s="77" t="s">
        <v>521</v>
      </c>
      <c r="G63" s="77"/>
      <c r="H63" s="77"/>
      <c r="I63" s="82">
        <v>300</v>
      </c>
      <c r="J63" s="77"/>
    </row>
    <row r="64" spans="1:20" x14ac:dyDescent="0.25">
      <c r="A64" s="488" t="s">
        <v>292</v>
      </c>
      <c r="B64" s="489"/>
      <c r="C64" s="489"/>
      <c r="D64" s="489"/>
      <c r="E64" s="490" t="s">
        <v>256</v>
      </c>
      <c r="F64" s="490"/>
      <c r="G64" s="490"/>
      <c r="H64" s="490"/>
      <c r="I64" s="491" t="s">
        <v>263</v>
      </c>
      <c r="J64" s="492"/>
    </row>
    <row r="65" spans="1:10" x14ac:dyDescent="0.25">
      <c r="A65" s="77"/>
      <c r="B65" s="77"/>
      <c r="C65" s="77"/>
      <c r="D65" s="77"/>
      <c r="E65" s="77"/>
      <c r="F65" s="77" t="s">
        <v>86</v>
      </c>
      <c r="G65" s="77"/>
      <c r="H65" s="77"/>
      <c r="I65" s="60">
        <v>24</v>
      </c>
      <c r="J65" s="77"/>
    </row>
    <row r="66" spans="1:10" x14ac:dyDescent="0.25">
      <c r="A66" s="77"/>
      <c r="B66" s="77"/>
      <c r="C66" s="77"/>
      <c r="D66" s="77"/>
      <c r="E66" s="77"/>
      <c r="F66" s="77" t="s">
        <v>389</v>
      </c>
      <c r="G66" s="77"/>
      <c r="H66" s="77"/>
      <c r="I66" s="82">
        <v>10</v>
      </c>
      <c r="J66" s="77"/>
    </row>
    <row r="67" spans="1:10" x14ac:dyDescent="0.25">
      <c r="A67" s="77"/>
      <c r="B67" s="77"/>
      <c r="C67" s="77"/>
      <c r="D67" s="77"/>
      <c r="E67" s="77"/>
      <c r="F67" s="77" t="s">
        <v>270</v>
      </c>
      <c r="G67" s="77"/>
      <c r="H67" s="77"/>
      <c r="I67" s="82">
        <v>1</v>
      </c>
      <c r="J67" s="77"/>
    </row>
    <row r="68" spans="1:10" x14ac:dyDescent="0.25">
      <c r="A68" s="77"/>
      <c r="B68" s="77"/>
      <c r="C68" s="77"/>
      <c r="D68" s="77"/>
      <c r="E68" s="77"/>
      <c r="F68" s="77" t="s">
        <v>348</v>
      </c>
      <c r="G68" s="77"/>
      <c r="H68" s="77"/>
      <c r="I68" s="82">
        <v>16</v>
      </c>
      <c r="J68" s="77"/>
    </row>
    <row r="69" spans="1:10" x14ac:dyDescent="0.25">
      <c r="A69" s="77"/>
      <c r="B69" s="77"/>
      <c r="C69" s="77"/>
      <c r="D69" s="77"/>
      <c r="E69" s="77"/>
      <c r="F69" s="77" t="s">
        <v>349</v>
      </c>
      <c r="G69" s="77"/>
      <c r="H69" s="77"/>
      <c r="I69" s="82">
        <v>20</v>
      </c>
      <c r="J69" s="77"/>
    </row>
    <row r="70" spans="1:10" x14ac:dyDescent="0.25">
      <c r="A70" s="77"/>
      <c r="B70" s="77"/>
      <c r="C70" s="77"/>
      <c r="D70" s="77"/>
      <c r="E70" s="77"/>
      <c r="F70" s="77" t="s">
        <v>347</v>
      </c>
      <c r="G70" s="77"/>
      <c r="H70" s="77"/>
      <c r="I70" s="186">
        <v>8</v>
      </c>
      <c r="J70" s="77"/>
    </row>
    <row r="71" spans="1:10" x14ac:dyDescent="0.25">
      <c r="A71" s="77"/>
      <c r="B71" s="77"/>
      <c r="C71" s="77"/>
      <c r="D71" s="77"/>
      <c r="E71" s="77"/>
      <c r="F71" s="493" t="s">
        <v>326</v>
      </c>
      <c r="G71" s="134" t="s">
        <v>325</v>
      </c>
      <c r="H71" s="135"/>
      <c r="I71" s="187">
        <v>300</v>
      </c>
      <c r="J71" s="77"/>
    </row>
    <row r="72" spans="1:10" x14ac:dyDescent="0.25">
      <c r="A72" s="77"/>
      <c r="B72" s="77"/>
      <c r="C72" s="77"/>
      <c r="D72" s="77"/>
      <c r="E72" s="77"/>
      <c r="F72" s="494"/>
      <c r="G72" s="132" t="s">
        <v>238</v>
      </c>
      <c r="H72" s="133"/>
      <c r="I72" s="85">
        <v>8</v>
      </c>
      <c r="J72" s="77"/>
    </row>
    <row r="73" spans="1:10" x14ac:dyDescent="0.25">
      <c r="A73" s="77"/>
      <c r="B73" s="77"/>
      <c r="C73" s="77"/>
      <c r="D73" s="77"/>
      <c r="E73" s="77"/>
      <c r="F73" s="495"/>
      <c r="G73" s="132" t="s">
        <v>237</v>
      </c>
      <c r="H73" s="133"/>
      <c r="I73" s="82">
        <v>300</v>
      </c>
      <c r="J73" s="77"/>
    </row>
    <row r="74" spans="1:10" x14ac:dyDescent="0.25">
      <c r="A74" s="77"/>
      <c r="B74" s="77"/>
      <c r="C74" s="77"/>
      <c r="D74" s="77"/>
      <c r="E74" s="77"/>
      <c r="F74" s="77" t="s">
        <v>327</v>
      </c>
      <c r="G74" s="77"/>
      <c r="H74" s="77"/>
      <c r="I74" s="82" t="s">
        <v>69</v>
      </c>
      <c r="J74" s="77"/>
    </row>
    <row r="75" spans="1:10" x14ac:dyDescent="0.25">
      <c r="A75" s="77"/>
      <c r="B75" s="77"/>
      <c r="C75" s="77"/>
      <c r="D75" s="77"/>
      <c r="E75" s="77"/>
      <c r="F75" s="136" t="s">
        <v>39</v>
      </c>
      <c r="G75" s="77"/>
      <c r="H75" s="77"/>
      <c r="I75" s="82">
        <v>200</v>
      </c>
      <c r="J75" s="77"/>
    </row>
    <row r="76" spans="1:10" x14ac:dyDescent="0.25">
      <c r="A76" s="77"/>
      <c r="B76" s="77"/>
      <c r="C76" s="77"/>
      <c r="D76" s="77"/>
      <c r="E76" s="77"/>
      <c r="F76" s="136" t="s">
        <v>22</v>
      </c>
      <c r="G76" s="77"/>
      <c r="H76" s="77"/>
      <c r="I76" s="82">
        <v>5</v>
      </c>
      <c r="J76" s="77"/>
    </row>
    <row r="77" spans="1:10" x14ac:dyDescent="0.25">
      <c r="A77" s="77"/>
      <c r="B77" s="77"/>
      <c r="C77" s="77"/>
      <c r="D77" s="77"/>
      <c r="E77" s="77"/>
      <c r="F77" s="136" t="s">
        <v>40</v>
      </c>
      <c r="G77" s="77"/>
      <c r="H77" s="77"/>
      <c r="I77" s="82">
        <v>10</v>
      </c>
      <c r="J77" s="77"/>
    </row>
    <row r="78" spans="1:10" x14ac:dyDescent="0.25">
      <c r="A78" s="77"/>
      <c r="B78" s="77"/>
      <c r="C78" s="77"/>
      <c r="D78" s="77"/>
      <c r="E78" s="77"/>
      <c r="F78" s="136" t="s">
        <v>58</v>
      </c>
      <c r="G78" s="77"/>
      <c r="H78" s="77"/>
      <c r="I78" s="82" t="s">
        <v>316</v>
      </c>
      <c r="J78" s="77"/>
    </row>
    <row r="79" spans="1:10" x14ac:dyDescent="0.25">
      <c r="A79" s="77"/>
      <c r="B79" s="77"/>
      <c r="C79" s="77"/>
      <c r="D79" s="77"/>
      <c r="E79" s="77"/>
      <c r="F79" s="98" t="s">
        <v>461</v>
      </c>
      <c r="G79" s="98"/>
      <c r="H79" s="98"/>
      <c r="I79" s="82">
        <v>15</v>
      </c>
      <c r="J79" s="77"/>
    </row>
    <row r="80" spans="1:1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1:10" hidden="1" x14ac:dyDescent="0.25"/>
    <row r="98" spans="1:10" hidden="1" x14ac:dyDescent="0.25"/>
    <row r="99" spans="1:10" x14ac:dyDescent="0.25">
      <c r="A99" s="470"/>
      <c r="B99" s="470"/>
      <c r="C99" s="470"/>
      <c r="D99" s="470"/>
      <c r="E99" s="470"/>
      <c r="F99" s="470"/>
      <c r="G99" s="470"/>
      <c r="H99" s="470"/>
      <c r="I99" s="470"/>
      <c r="J99" s="470"/>
    </row>
    <row r="100" spans="1:10" x14ac:dyDescent="0.25">
      <c r="A100" s="477" t="s">
        <v>293</v>
      </c>
      <c r="B100" s="477"/>
      <c r="C100" s="477"/>
      <c r="D100" s="477"/>
      <c r="E100" s="477"/>
      <c r="F100" s="477"/>
      <c r="G100" s="477"/>
      <c r="H100" s="477"/>
      <c r="I100" s="477"/>
      <c r="J100" s="477"/>
    </row>
    <row r="101" spans="1:10" x14ac:dyDescent="0.25">
      <c r="A101" s="98"/>
      <c r="B101" s="98"/>
      <c r="C101" s="98"/>
      <c r="D101" s="98"/>
      <c r="E101" s="98"/>
      <c r="F101" s="98" t="s">
        <v>264</v>
      </c>
      <c r="G101" s="98"/>
      <c r="H101" s="478" t="s">
        <v>294</v>
      </c>
      <c r="I101" s="478"/>
      <c r="J101" s="98"/>
    </row>
    <row r="102" spans="1:10" x14ac:dyDescent="0.25">
      <c r="A102" s="98"/>
      <c r="B102" s="98"/>
      <c r="C102" s="98"/>
      <c r="D102" s="98"/>
      <c r="E102" s="98"/>
      <c r="F102" s="98" t="s">
        <v>285</v>
      </c>
      <c r="G102" s="98"/>
      <c r="H102" s="478" t="s">
        <v>304</v>
      </c>
      <c r="I102" s="478"/>
      <c r="J102" s="98"/>
    </row>
    <row r="103" spans="1:10" x14ac:dyDescent="0.25">
      <c r="A103" s="98"/>
      <c r="B103" s="98"/>
      <c r="C103" s="98"/>
      <c r="D103" s="98"/>
      <c r="E103" s="98"/>
      <c r="F103" s="98" t="s">
        <v>461</v>
      </c>
      <c r="G103" s="98"/>
      <c r="H103" s="100" t="s">
        <v>462</v>
      </c>
      <c r="I103" s="82">
        <v>10</v>
      </c>
      <c r="J103" s="98"/>
    </row>
    <row r="104" spans="1:10" x14ac:dyDescent="0.25">
      <c r="A104" s="98"/>
      <c r="B104" s="98"/>
      <c r="C104" s="98"/>
      <c r="D104" s="98"/>
      <c r="E104" s="98"/>
      <c r="F104" s="98" t="s">
        <v>295</v>
      </c>
      <c r="G104" s="98"/>
      <c r="H104" s="98"/>
      <c r="I104" s="98"/>
      <c r="J104" s="98"/>
    </row>
    <row r="105" spans="1:10" x14ac:dyDescent="0.25">
      <c r="A105" s="98"/>
      <c r="B105" s="98"/>
      <c r="C105" s="98"/>
      <c r="D105" s="98"/>
      <c r="E105" s="98"/>
      <c r="F105" s="99" t="s">
        <v>38</v>
      </c>
      <c r="G105" s="98"/>
      <c r="H105" s="100" t="s">
        <v>43</v>
      </c>
      <c r="I105" s="82">
        <v>600</v>
      </c>
      <c r="J105" s="98"/>
    </row>
    <row r="106" spans="1:10" x14ac:dyDescent="0.25">
      <c r="A106" s="98"/>
      <c r="B106" s="98"/>
      <c r="C106" s="98"/>
      <c r="D106" s="98"/>
      <c r="E106" s="98"/>
      <c r="F106" s="99" t="s">
        <v>296</v>
      </c>
      <c r="G106" s="98"/>
      <c r="H106" s="100" t="s">
        <v>2</v>
      </c>
      <c r="I106" s="82">
        <v>250</v>
      </c>
      <c r="J106" s="98"/>
    </row>
    <row r="107" spans="1:10" x14ac:dyDescent="0.25">
      <c r="A107" s="98"/>
      <c r="B107" s="98"/>
      <c r="C107" s="98"/>
      <c r="D107" s="98"/>
      <c r="E107" s="98"/>
      <c r="F107" s="99" t="s">
        <v>286</v>
      </c>
      <c r="G107" s="98"/>
      <c r="H107" s="100" t="s">
        <v>23</v>
      </c>
      <c r="I107" s="82">
        <v>8</v>
      </c>
      <c r="J107" s="98"/>
    </row>
    <row r="108" spans="1:10" x14ac:dyDescent="0.25">
      <c r="A108" s="98"/>
      <c r="B108" s="98"/>
      <c r="C108" s="98"/>
      <c r="D108" s="98"/>
      <c r="E108" s="98"/>
      <c r="F108" s="99" t="s">
        <v>287</v>
      </c>
      <c r="G108" s="98"/>
      <c r="H108" s="100" t="s">
        <v>297</v>
      </c>
      <c r="I108" s="82">
        <v>12</v>
      </c>
      <c r="J108" s="98"/>
    </row>
    <row r="109" spans="1:10" x14ac:dyDescent="0.25">
      <c r="A109" s="98"/>
      <c r="B109" s="98"/>
      <c r="C109" s="98"/>
      <c r="D109" s="98"/>
      <c r="E109" s="98"/>
      <c r="F109" s="98"/>
      <c r="G109" s="98"/>
      <c r="H109" s="98"/>
      <c r="I109" s="98"/>
      <c r="J109" s="98"/>
    </row>
    <row r="110" spans="1:10" x14ac:dyDescent="0.25">
      <c r="A110" s="98"/>
      <c r="B110" s="98"/>
      <c r="C110" s="98"/>
      <c r="D110" s="98"/>
      <c r="E110" s="98"/>
      <c r="F110" s="98" t="s">
        <v>298</v>
      </c>
      <c r="G110" s="98"/>
      <c r="H110" s="98"/>
      <c r="I110" s="82" t="s">
        <v>303</v>
      </c>
      <c r="J110" s="98"/>
    </row>
    <row r="111" spans="1:10" x14ac:dyDescent="0.25">
      <c r="A111" s="98"/>
      <c r="B111" s="98"/>
      <c r="C111" s="98"/>
      <c r="D111" s="98"/>
      <c r="E111" s="98"/>
      <c r="F111" s="99" t="s">
        <v>38</v>
      </c>
      <c r="G111" s="98"/>
      <c r="H111" s="100" t="s">
        <v>43</v>
      </c>
      <c r="I111" s="82">
        <v>350</v>
      </c>
      <c r="J111" s="98"/>
    </row>
    <row r="112" spans="1:10" x14ac:dyDescent="0.25">
      <c r="A112" s="98"/>
      <c r="B112" s="98"/>
      <c r="C112" s="98"/>
      <c r="D112" s="98"/>
      <c r="E112" s="98"/>
      <c r="F112" s="99" t="s">
        <v>296</v>
      </c>
      <c r="G112" s="98"/>
      <c r="H112" s="100" t="s">
        <v>297</v>
      </c>
      <c r="I112" s="82">
        <v>10</v>
      </c>
      <c r="J112" s="98"/>
    </row>
    <row r="113" spans="1:10" x14ac:dyDescent="0.25">
      <c r="A113" s="98"/>
      <c r="B113" s="98"/>
      <c r="C113" s="98"/>
      <c r="D113" s="98"/>
      <c r="E113" s="98"/>
      <c r="F113" s="98"/>
      <c r="G113" s="98"/>
      <c r="H113" s="98"/>
      <c r="I113" s="98"/>
      <c r="J113" s="98"/>
    </row>
    <row r="114" spans="1:10" x14ac:dyDescent="0.25">
      <c r="A114" s="98"/>
      <c r="B114" s="98"/>
      <c r="C114" s="98"/>
      <c r="D114" s="98"/>
      <c r="E114" s="98"/>
      <c r="F114" s="98" t="s">
        <v>312</v>
      </c>
      <c r="G114" s="98"/>
      <c r="H114" s="98"/>
      <c r="I114" s="82">
        <v>3</v>
      </c>
      <c r="J114" s="98"/>
    </row>
    <row r="115" spans="1:10" x14ac:dyDescent="0.25">
      <c r="A115" s="98"/>
      <c r="B115" s="98"/>
      <c r="C115" s="98"/>
      <c r="D115" s="98"/>
      <c r="E115" s="98"/>
      <c r="F115" s="98" t="s">
        <v>460</v>
      </c>
      <c r="G115" s="98"/>
      <c r="H115" s="98"/>
      <c r="I115" s="82">
        <v>1</v>
      </c>
      <c r="J115" s="98"/>
    </row>
    <row r="116" spans="1:10" x14ac:dyDescent="0.25">
      <c r="A116" s="98"/>
      <c r="B116" s="98"/>
      <c r="C116" s="98"/>
      <c r="D116" s="98"/>
      <c r="E116" s="98"/>
      <c r="F116" s="98" t="s">
        <v>302</v>
      </c>
      <c r="G116" s="98"/>
      <c r="H116" s="98"/>
      <c r="I116" s="60">
        <v>20</v>
      </c>
      <c r="J116" s="98"/>
    </row>
    <row r="117" spans="1:10" x14ac:dyDescent="0.25">
      <c r="A117" s="98"/>
      <c r="B117" s="98"/>
      <c r="C117" s="98"/>
      <c r="D117" s="98"/>
      <c r="E117" s="98"/>
      <c r="F117" s="98" t="s">
        <v>459</v>
      </c>
      <c r="G117" s="98"/>
      <c r="H117" s="98"/>
      <c r="I117" s="82">
        <v>100</v>
      </c>
      <c r="J117" s="98"/>
    </row>
    <row r="118" spans="1:10" x14ac:dyDescent="0.25">
      <c r="A118" s="98"/>
      <c r="B118" s="98"/>
      <c r="C118" s="98"/>
      <c r="D118" s="98"/>
      <c r="E118" s="98"/>
      <c r="F118" s="98" t="str">
        <f>IF(I115&gt;1,"Khoảng cách 2 cột bu lông","")</f>
        <v/>
      </c>
      <c r="G118" s="98"/>
      <c r="H118" s="98"/>
      <c r="I118" s="82">
        <v>80</v>
      </c>
      <c r="J118" s="98"/>
    </row>
    <row r="119" spans="1:10" x14ac:dyDescent="0.25">
      <c r="A119" s="98"/>
      <c r="B119" s="98"/>
      <c r="C119" s="98"/>
      <c r="D119" s="98"/>
      <c r="E119" s="98"/>
      <c r="F119" s="98" t="s">
        <v>300</v>
      </c>
      <c r="G119" s="98"/>
      <c r="H119" s="98"/>
      <c r="I119" s="82">
        <v>50</v>
      </c>
      <c r="J119" s="98"/>
    </row>
    <row r="120" spans="1:10" x14ac:dyDescent="0.25">
      <c r="A120" s="98"/>
      <c r="B120" s="98"/>
      <c r="C120" s="98"/>
      <c r="D120" s="98"/>
      <c r="E120" s="98"/>
      <c r="F120" s="98" t="s">
        <v>255</v>
      </c>
      <c r="G120" s="98"/>
      <c r="H120" s="98"/>
      <c r="I120" s="82">
        <v>12</v>
      </c>
      <c r="J120" s="98"/>
    </row>
    <row r="121" spans="1:10" x14ac:dyDescent="0.25">
      <c r="A121" s="98"/>
      <c r="B121" s="98"/>
      <c r="C121" s="98"/>
      <c r="D121" s="98"/>
      <c r="E121" s="98"/>
      <c r="F121" s="98" t="s">
        <v>301</v>
      </c>
      <c r="G121" s="98"/>
      <c r="H121" s="98"/>
      <c r="I121" s="82">
        <v>8</v>
      </c>
      <c r="J121" s="98"/>
    </row>
    <row r="122" spans="1:10" hidden="1" x14ac:dyDescent="0.25"/>
    <row r="123" spans="1:10" hidden="1" x14ac:dyDescent="0.25"/>
    <row r="124" spans="1:10" hidden="1" x14ac:dyDescent="0.25"/>
    <row r="125" spans="1:10" hidden="1" x14ac:dyDescent="0.25"/>
    <row r="126" spans="1:10" hidden="1" x14ac:dyDescent="0.25"/>
    <row r="127" spans="1:10" hidden="1" x14ac:dyDescent="0.25"/>
    <row r="128" spans="1:10" hidden="1" x14ac:dyDescent="0.25"/>
    <row r="129" spans="1:10" hidden="1" x14ac:dyDescent="0.25"/>
    <row r="130" spans="1:10" hidden="1" x14ac:dyDescent="0.25"/>
    <row r="131" spans="1:10" x14ac:dyDescent="0.25">
      <c r="A131" s="470"/>
      <c r="B131" s="470"/>
      <c r="C131" s="470"/>
      <c r="D131" s="470"/>
      <c r="E131" s="470"/>
      <c r="F131" s="470"/>
      <c r="G131" s="470"/>
      <c r="H131" s="470"/>
      <c r="I131" s="470"/>
      <c r="J131" s="470"/>
    </row>
    <row r="132" spans="1:10" x14ac:dyDescent="0.25">
      <c r="A132" s="477" t="s">
        <v>306</v>
      </c>
      <c r="B132" s="477"/>
      <c r="C132" s="477"/>
      <c r="D132" s="477"/>
      <c r="E132" s="477"/>
      <c r="F132" s="477"/>
      <c r="G132" s="477"/>
      <c r="H132" s="477"/>
      <c r="I132" s="477"/>
      <c r="J132" s="477"/>
    </row>
    <row r="133" spans="1:10" x14ac:dyDescent="0.25">
      <c r="A133" s="98"/>
      <c r="B133" s="98"/>
      <c r="C133" s="98"/>
      <c r="D133" s="98"/>
      <c r="E133" s="98"/>
      <c r="F133" s="98" t="s">
        <v>264</v>
      </c>
      <c r="G133" s="98"/>
      <c r="H133" s="478" t="s">
        <v>305</v>
      </c>
      <c r="I133" s="478"/>
      <c r="J133" s="98"/>
    </row>
    <row r="134" spans="1:10" x14ac:dyDescent="0.25">
      <c r="A134" s="98"/>
      <c r="B134" s="98"/>
      <c r="C134" s="98"/>
      <c r="D134" s="98"/>
      <c r="E134" s="98"/>
      <c r="F134" s="98" t="s">
        <v>285</v>
      </c>
      <c r="G134" s="98"/>
      <c r="H134" s="478" t="s">
        <v>304</v>
      </c>
      <c r="I134" s="478"/>
      <c r="J134" s="98"/>
    </row>
    <row r="135" spans="1:10" x14ac:dyDescent="0.25">
      <c r="A135" s="98"/>
      <c r="B135" s="98"/>
      <c r="C135" s="98"/>
      <c r="D135" s="98"/>
      <c r="E135" s="98"/>
      <c r="F135" s="98" t="s">
        <v>461</v>
      </c>
      <c r="G135" s="98"/>
      <c r="H135" s="100" t="s">
        <v>462</v>
      </c>
      <c r="I135" s="82">
        <v>15</v>
      </c>
      <c r="J135" s="98"/>
    </row>
    <row r="136" spans="1:10" x14ac:dyDescent="0.25">
      <c r="A136" s="98"/>
      <c r="B136" s="98"/>
      <c r="C136" s="98"/>
      <c r="D136" s="98"/>
      <c r="E136" s="98"/>
      <c r="F136" s="99" t="s">
        <v>463</v>
      </c>
      <c r="G136" s="98"/>
      <c r="H136" s="100" t="s">
        <v>2</v>
      </c>
      <c r="I136" s="82">
        <v>200</v>
      </c>
      <c r="J136" s="98"/>
    </row>
    <row r="137" spans="1:10" x14ac:dyDescent="0.25">
      <c r="A137" s="98"/>
      <c r="B137" s="98"/>
      <c r="C137" s="98"/>
      <c r="D137" s="98"/>
      <c r="E137" s="98"/>
      <c r="F137" s="99" t="s">
        <v>464</v>
      </c>
      <c r="G137" s="98"/>
      <c r="H137" s="100" t="s">
        <v>23</v>
      </c>
      <c r="I137" s="82">
        <v>5</v>
      </c>
      <c r="J137" s="98"/>
    </row>
    <row r="138" spans="1:10" x14ac:dyDescent="0.25">
      <c r="A138" s="98"/>
      <c r="B138" s="98"/>
      <c r="C138" s="98"/>
      <c r="D138" s="98"/>
      <c r="E138" s="98"/>
      <c r="F138" s="98"/>
      <c r="G138" s="98"/>
      <c r="H138" s="98"/>
      <c r="I138" s="98"/>
      <c r="J138" s="98"/>
    </row>
    <row r="139" spans="1:10" x14ac:dyDescent="0.25">
      <c r="A139" s="98"/>
      <c r="B139" s="98"/>
      <c r="C139" s="98"/>
      <c r="D139" s="98"/>
      <c r="E139" s="98"/>
      <c r="F139" s="98" t="s">
        <v>298</v>
      </c>
      <c r="G139" s="98"/>
      <c r="H139" s="98"/>
      <c r="I139" s="82" t="s">
        <v>303</v>
      </c>
      <c r="J139" s="98"/>
    </row>
    <row r="140" spans="1:10" x14ac:dyDescent="0.25">
      <c r="A140" s="98"/>
      <c r="B140" s="98"/>
      <c r="C140" s="98"/>
      <c r="D140" s="98"/>
      <c r="E140" s="98"/>
      <c r="F140" s="99" t="s">
        <v>38</v>
      </c>
      <c r="G140" s="98"/>
      <c r="H140" s="100" t="s">
        <v>43</v>
      </c>
      <c r="I140" s="82">
        <v>350</v>
      </c>
      <c r="J140" s="98"/>
    </row>
    <row r="141" spans="1:10" x14ac:dyDescent="0.25">
      <c r="A141" s="98"/>
      <c r="B141" s="98"/>
      <c r="C141" s="98"/>
      <c r="D141" s="98"/>
      <c r="E141" s="98"/>
      <c r="F141" s="99" t="s">
        <v>296</v>
      </c>
      <c r="G141" s="98"/>
      <c r="H141" s="100" t="s">
        <v>297</v>
      </c>
      <c r="I141" s="82">
        <v>10</v>
      </c>
      <c r="J141" s="98"/>
    </row>
    <row r="142" spans="1:10" x14ac:dyDescent="0.25">
      <c r="A142" s="98"/>
      <c r="B142" s="98"/>
      <c r="C142" s="98"/>
      <c r="D142" s="98"/>
      <c r="E142" s="98"/>
      <c r="F142" s="98"/>
      <c r="G142" s="98"/>
      <c r="H142" s="98"/>
      <c r="I142" s="98"/>
      <c r="J142" s="98"/>
    </row>
    <row r="143" spans="1:10" x14ac:dyDescent="0.25">
      <c r="A143" s="98"/>
      <c r="B143" s="98"/>
      <c r="C143" s="98"/>
      <c r="D143" s="98"/>
      <c r="E143" s="98"/>
      <c r="F143" s="98" t="s">
        <v>312</v>
      </c>
      <c r="G143" s="98"/>
      <c r="H143" s="98"/>
      <c r="I143" s="82">
        <v>3</v>
      </c>
      <c r="J143" s="98"/>
    </row>
    <row r="144" spans="1:10" x14ac:dyDescent="0.25">
      <c r="A144" s="98"/>
      <c r="B144" s="98"/>
      <c r="C144" s="98"/>
      <c r="D144" s="98"/>
      <c r="E144" s="98"/>
      <c r="F144" s="98" t="s">
        <v>302</v>
      </c>
      <c r="G144" s="98"/>
      <c r="H144" s="98"/>
      <c r="I144" s="60">
        <v>20</v>
      </c>
      <c r="J144" s="98"/>
    </row>
    <row r="145" spans="1:10" x14ac:dyDescent="0.25">
      <c r="A145" s="98"/>
      <c r="B145" s="98"/>
      <c r="C145" s="98"/>
      <c r="D145" s="98"/>
      <c r="E145" s="98"/>
      <c r="F145" s="98" t="s">
        <v>299</v>
      </c>
      <c r="G145" s="98"/>
      <c r="H145" s="98"/>
      <c r="I145" s="82">
        <v>100</v>
      </c>
      <c r="J145" s="98"/>
    </row>
    <row r="146" spans="1:10" x14ac:dyDescent="0.25">
      <c r="A146" s="98"/>
      <c r="B146" s="98"/>
      <c r="C146" s="98"/>
      <c r="D146" s="98"/>
      <c r="E146" s="98"/>
      <c r="F146" s="98" t="s">
        <v>300</v>
      </c>
      <c r="G146" s="98"/>
      <c r="H146" s="98"/>
      <c r="I146" s="82">
        <v>50</v>
      </c>
      <c r="J146" s="98"/>
    </row>
    <row r="147" spans="1:10" x14ac:dyDescent="0.25">
      <c r="A147" s="98"/>
      <c r="B147" s="98"/>
      <c r="C147" s="98"/>
      <c r="D147" s="98"/>
      <c r="E147" s="98"/>
      <c r="F147" s="98" t="s">
        <v>255</v>
      </c>
      <c r="G147" s="98"/>
      <c r="H147" s="98"/>
      <c r="I147" s="82">
        <v>12</v>
      </c>
      <c r="J147" s="98"/>
    </row>
    <row r="148" spans="1:10" x14ac:dyDescent="0.25">
      <c r="A148" s="98"/>
      <c r="B148" s="98"/>
      <c r="C148" s="98"/>
      <c r="D148" s="98"/>
      <c r="E148" s="98"/>
      <c r="F148" s="98" t="s">
        <v>301</v>
      </c>
      <c r="G148" s="98"/>
      <c r="H148" s="98"/>
      <c r="I148" s="82">
        <v>8</v>
      </c>
      <c r="J148" s="98"/>
    </row>
    <row r="149" spans="1:10" hidden="1" x14ac:dyDescent="0.25"/>
    <row r="150" spans="1:10" x14ac:dyDescent="0.25">
      <c r="A150" s="470"/>
      <c r="B150" s="470"/>
      <c r="C150" s="470"/>
      <c r="D150" s="470"/>
      <c r="E150" s="470"/>
      <c r="F150" s="470"/>
      <c r="G150" s="470"/>
      <c r="H150" s="470"/>
      <c r="I150" s="470"/>
      <c r="J150" s="470"/>
    </row>
    <row r="151" spans="1:10" x14ac:dyDescent="0.25">
      <c r="A151" s="477" t="s">
        <v>308</v>
      </c>
      <c r="B151" s="477"/>
      <c r="C151" s="477"/>
      <c r="D151" s="477"/>
      <c r="E151" s="477"/>
      <c r="F151" s="477"/>
      <c r="G151" s="477"/>
      <c r="H151" s="477"/>
      <c r="I151" s="477"/>
      <c r="J151" s="477"/>
    </row>
    <row r="152" spans="1:10" x14ac:dyDescent="0.25">
      <c r="A152" s="98"/>
      <c r="B152" s="98"/>
      <c r="C152" s="98"/>
      <c r="D152" s="98"/>
      <c r="E152" s="98"/>
      <c r="F152" s="98" t="s">
        <v>264</v>
      </c>
      <c r="G152" s="98"/>
      <c r="H152" s="478" t="s">
        <v>309</v>
      </c>
      <c r="I152" s="478"/>
      <c r="J152" s="98"/>
    </row>
    <row r="153" spans="1:10" x14ac:dyDescent="0.25">
      <c r="A153" s="98"/>
      <c r="B153" s="98"/>
      <c r="C153" s="98"/>
      <c r="D153" s="98"/>
      <c r="E153" s="98"/>
      <c r="F153" s="98" t="s">
        <v>285</v>
      </c>
      <c r="G153" s="98"/>
      <c r="H153" s="478" t="s">
        <v>304</v>
      </c>
      <c r="I153" s="478"/>
      <c r="J153" s="98"/>
    </row>
    <row r="154" spans="1:10" x14ac:dyDescent="0.25">
      <c r="A154" s="98"/>
      <c r="B154" s="98"/>
      <c r="C154" s="98"/>
      <c r="D154" s="98"/>
      <c r="E154" s="98"/>
      <c r="F154" s="98" t="s">
        <v>461</v>
      </c>
      <c r="G154" s="98"/>
      <c r="H154" s="100" t="s">
        <v>462</v>
      </c>
      <c r="I154" s="82">
        <v>10</v>
      </c>
      <c r="J154" s="98"/>
    </row>
    <row r="155" spans="1:10" x14ac:dyDescent="0.25">
      <c r="A155" s="98"/>
      <c r="B155" s="98"/>
      <c r="C155" s="98"/>
      <c r="D155" s="98"/>
      <c r="E155" s="98"/>
      <c r="F155" s="98" t="s">
        <v>307</v>
      </c>
      <c r="G155" s="98"/>
      <c r="H155" s="98"/>
      <c r="I155" s="98"/>
      <c r="J155" s="98"/>
    </row>
    <row r="156" spans="1:10" x14ac:dyDescent="0.25">
      <c r="A156" s="98"/>
      <c r="B156" s="98"/>
      <c r="C156" s="98"/>
      <c r="D156" s="98"/>
      <c r="E156" s="98"/>
      <c r="F156" s="99" t="s">
        <v>38</v>
      </c>
      <c r="G156" s="98"/>
      <c r="H156" s="100" t="s">
        <v>43</v>
      </c>
      <c r="I156" s="82">
        <v>300</v>
      </c>
      <c r="J156" s="98"/>
    </row>
    <row r="157" spans="1:10" x14ac:dyDescent="0.25">
      <c r="A157" s="98"/>
      <c r="B157" s="98"/>
      <c r="C157" s="98"/>
      <c r="D157" s="98"/>
      <c r="E157" s="98"/>
      <c r="F157" s="99" t="s">
        <v>296</v>
      </c>
      <c r="G157" s="98"/>
      <c r="H157" s="100" t="s">
        <v>2</v>
      </c>
      <c r="I157" s="82">
        <v>250</v>
      </c>
      <c r="J157" s="98"/>
    </row>
    <row r="158" spans="1:10" x14ac:dyDescent="0.25">
      <c r="A158" s="98"/>
      <c r="B158" s="98"/>
      <c r="C158" s="98"/>
      <c r="D158" s="98"/>
      <c r="E158" s="98"/>
      <c r="F158" s="99" t="s">
        <v>286</v>
      </c>
      <c r="G158" s="98"/>
      <c r="H158" s="100" t="s">
        <v>23</v>
      </c>
      <c r="I158" s="82">
        <v>6</v>
      </c>
      <c r="J158" s="98"/>
    </row>
    <row r="159" spans="1:10" x14ac:dyDescent="0.25">
      <c r="A159" s="98"/>
      <c r="B159" s="98"/>
      <c r="C159" s="98"/>
      <c r="D159" s="98"/>
      <c r="E159" s="98"/>
      <c r="F159" s="99" t="s">
        <v>287</v>
      </c>
      <c r="G159" s="98"/>
      <c r="H159" s="100" t="s">
        <v>297</v>
      </c>
      <c r="I159" s="82">
        <v>10</v>
      </c>
      <c r="J159" s="98"/>
    </row>
    <row r="160" spans="1:10" x14ac:dyDescent="0.25">
      <c r="A160" s="98"/>
      <c r="B160" s="98"/>
      <c r="C160" s="98"/>
      <c r="D160" s="98"/>
      <c r="E160" s="98"/>
      <c r="F160" s="98"/>
      <c r="G160" s="98"/>
      <c r="H160" s="98"/>
      <c r="I160" s="98"/>
      <c r="J160" s="98"/>
    </row>
    <row r="161" spans="1:10" x14ac:dyDescent="0.25">
      <c r="A161" s="98"/>
      <c r="B161" s="98"/>
      <c r="C161" s="98"/>
      <c r="D161" s="98"/>
      <c r="E161" s="98"/>
      <c r="F161" s="98" t="s">
        <v>298</v>
      </c>
      <c r="G161" s="98"/>
      <c r="H161" s="98"/>
      <c r="I161" s="82" t="s">
        <v>303</v>
      </c>
      <c r="J161" s="98"/>
    </row>
    <row r="162" spans="1:10" x14ac:dyDescent="0.25">
      <c r="A162" s="98"/>
      <c r="B162" s="98"/>
      <c r="C162" s="98"/>
      <c r="D162" s="98"/>
      <c r="E162" s="98"/>
      <c r="F162" s="99" t="s">
        <v>38</v>
      </c>
      <c r="G162" s="98"/>
      <c r="H162" s="100" t="s">
        <v>43</v>
      </c>
      <c r="I162" s="82">
        <v>600</v>
      </c>
      <c r="J162" s="98"/>
    </row>
    <row r="163" spans="1:10" x14ac:dyDescent="0.25">
      <c r="A163" s="98"/>
      <c r="B163" s="98"/>
      <c r="C163" s="98"/>
      <c r="D163" s="98"/>
      <c r="E163" s="98"/>
      <c r="F163" s="99" t="s">
        <v>296</v>
      </c>
      <c r="G163" s="98"/>
      <c r="H163" s="100" t="s">
        <v>2</v>
      </c>
      <c r="I163" s="82">
        <v>200</v>
      </c>
      <c r="J163" s="98"/>
    </row>
    <row r="164" spans="1:10" x14ac:dyDescent="0.25">
      <c r="A164" s="98"/>
      <c r="B164" s="98"/>
      <c r="C164" s="98"/>
      <c r="D164" s="98"/>
      <c r="E164" s="98"/>
      <c r="F164" s="99" t="s">
        <v>286</v>
      </c>
      <c r="G164" s="98"/>
      <c r="H164" s="100" t="s">
        <v>23</v>
      </c>
      <c r="I164" s="82">
        <v>6</v>
      </c>
      <c r="J164" s="98"/>
    </row>
    <row r="165" spans="1:10" x14ac:dyDescent="0.25">
      <c r="A165" s="98"/>
      <c r="B165" s="98"/>
      <c r="C165" s="98"/>
      <c r="D165" s="98"/>
      <c r="E165" s="98"/>
      <c r="F165" s="99" t="s">
        <v>287</v>
      </c>
      <c r="G165" s="98"/>
      <c r="H165" s="100" t="s">
        <v>297</v>
      </c>
      <c r="I165" s="82">
        <v>12</v>
      </c>
      <c r="J165" s="98"/>
    </row>
    <row r="166" spans="1:10" x14ac:dyDescent="0.25">
      <c r="A166" s="98"/>
      <c r="B166" s="98"/>
      <c r="C166" s="98"/>
      <c r="D166" s="98"/>
      <c r="E166" s="98"/>
      <c r="F166" s="98"/>
      <c r="G166" s="98"/>
      <c r="H166" s="98"/>
      <c r="I166" s="98"/>
      <c r="J166" s="98"/>
    </row>
    <row r="167" spans="1:10" x14ac:dyDescent="0.25">
      <c r="A167" s="98"/>
      <c r="B167" s="98"/>
      <c r="C167" s="98"/>
      <c r="D167" s="98"/>
      <c r="E167" s="98"/>
      <c r="F167" s="98" t="s">
        <v>312</v>
      </c>
      <c r="G167" s="98"/>
      <c r="H167" s="98"/>
      <c r="I167" s="82">
        <v>5</v>
      </c>
      <c r="J167" s="98"/>
    </row>
    <row r="168" spans="1:10" x14ac:dyDescent="0.25">
      <c r="A168" s="98"/>
      <c r="B168" s="98"/>
      <c r="C168" s="98"/>
      <c r="D168" s="98"/>
      <c r="E168" s="98"/>
      <c r="F168" s="98" t="s">
        <v>302</v>
      </c>
      <c r="G168" s="98"/>
      <c r="H168" s="98"/>
      <c r="I168" s="60">
        <v>20</v>
      </c>
      <c r="J168" s="98"/>
    </row>
    <row r="169" spans="1:10" x14ac:dyDescent="0.25">
      <c r="A169" s="98"/>
      <c r="B169" s="98"/>
      <c r="C169" s="98"/>
      <c r="D169" s="98"/>
      <c r="E169" s="98"/>
      <c r="F169" s="98" t="s">
        <v>299</v>
      </c>
      <c r="G169" s="98"/>
      <c r="H169" s="98"/>
      <c r="I169" s="82">
        <v>100</v>
      </c>
      <c r="J169" s="98"/>
    </row>
    <row r="170" spans="1:10" x14ac:dyDescent="0.25">
      <c r="A170" s="98"/>
      <c r="B170" s="98"/>
      <c r="C170" s="98"/>
      <c r="D170" s="98"/>
      <c r="E170" s="98"/>
      <c r="F170" s="98" t="s">
        <v>300</v>
      </c>
      <c r="G170" s="98"/>
      <c r="H170" s="98"/>
      <c r="I170" s="82">
        <v>50</v>
      </c>
      <c r="J170" s="98"/>
    </row>
    <row r="171" spans="1:10" x14ac:dyDescent="0.25">
      <c r="A171" s="98"/>
      <c r="B171" s="98"/>
      <c r="C171" s="98"/>
      <c r="D171" s="98"/>
      <c r="E171" s="98"/>
      <c r="F171" s="98" t="s">
        <v>255</v>
      </c>
      <c r="G171" s="98"/>
      <c r="H171" s="98"/>
      <c r="I171" s="82">
        <v>12</v>
      </c>
      <c r="J171" s="98"/>
    </row>
    <row r="172" spans="1:10" x14ac:dyDescent="0.25">
      <c r="A172" s="98"/>
      <c r="B172" s="98"/>
      <c r="C172" s="98"/>
      <c r="D172" s="98"/>
      <c r="E172" s="98"/>
      <c r="F172" s="98" t="s">
        <v>301</v>
      </c>
      <c r="G172" s="98"/>
      <c r="H172" s="98"/>
      <c r="I172" s="82">
        <v>8</v>
      </c>
      <c r="J172" s="98"/>
    </row>
    <row r="173" spans="1:10" x14ac:dyDescent="0.25">
      <c r="A173" s="98"/>
      <c r="B173" s="98"/>
      <c r="C173" s="98"/>
      <c r="D173" s="98"/>
      <c r="E173" s="98"/>
      <c r="F173" s="98"/>
      <c r="G173" s="98"/>
      <c r="H173" s="98"/>
      <c r="I173" s="98"/>
      <c r="J173" s="98"/>
    </row>
    <row r="174" spans="1:10" x14ac:dyDescent="0.25">
      <c r="A174" s="98"/>
      <c r="B174" s="98"/>
      <c r="C174" s="98"/>
      <c r="D174" s="98"/>
      <c r="E174" s="98"/>
      <c r="F174" s="98"/>
      <c r="G174" s="98"/>
      <c r="H174" s="98"/>
      <c r="I174" s="98"/>
      <c r="J174" s="98"/>
    </row>
    <row r="175" spans="1:10" hidden="1" x14ac:dyDescent="0.25"/>
    <row r="176" spans="1:10" hidden="1" x14ac:dyDescent="0.25"/>
    <row r="177" spans="1:10" hidden="1" x14ac:dyDescent="0.25"/>
    <row r="178" spans="1:10" hidden="1" x14ac:dyDescent="0.25"/>
    <row r="179" spans="1:10" hidden="1" x14ac:dyDescent="0.25"/>
    <row r="180" spans="1:10" x14ac:dyDescent="0.25">
      <c r="A180" s="470"/>
      <c r="B180" s="470"/>
      <c r="C180" s="470"/>
      <c r="D180" s="470"/>
      <c r="E180" s="470"/>
      <c r="F180" s="470"/>
      <c r="G180" s="470"/>
      <c r="H180" s="470"/>
      <c r="I180" s="470"/>
      <c r="J180" s="470"/>
    </row>
    <row r="181" spans="1:10" x14ac:dyDescent="0.25">
      <c r="A181" s="477" t="s">
        <v>310</v>
      </c>
      <c r="B181" s="477"/>
      <c r="C181" s="477"/>
      <c r="D181" s="477"/>
      <c r="E181" s="477"/>
      <c r="F181" s="477"/>
      <c r="G181" s="477"/>
      <c r="H181" s="477"/>
      <c r="I181" s="477"/>
      <c r="J181" s="477"/>
    </row>
    <row r="182" spans="1:10" x14ac:dyDescent="0.25">
      <c r="A182" s="98"/>
      <c r="B182" s="98"/>
      <c r="C182" s="98"/>
      <c r="D182" s="98"/>
      <c r="E182" s="98"/>
      <c r="F182" s="98" t="s">
        <v>264</v>
      </c>
      <c r="G182" s="98"/>
      <c r="H182" s="478" t="s">
        <v>311</v>
      </c>
      <c r="I182" s="478"/>
      <c r="J182" s="98"/>
    </row>
    <row r="183" spans="1:10" x14ac:dyDescent="0.25">
      <c r="A183" s="98"/>
      <c r="B183" s="98"/>
      <c r="C183" s="98"/>
      <c r="D183" s="98"/>
      <c r="E183" s="98"/>
      <c r="F183" s="98" t="s">
        <v>285</v>
      </c>
      <c r="G183" s="98"/>
      <c r="H183" s="478" t="s">
        <v>304</v>
      </c>
      <c r="I183" s="478"/>
      <c r="J183" s="98"/>
    </row>
    <row r="184" spans="1:10" x14ac:dyDescent="0.25">
      <c r="A184" s="98"/>
      <c r="B184" s="98"/>
      <c r="C184" s="98"/>
      <c r="D184" s="98"/>
      <c r="E184" s="98"/>
      <c r="F184" s="98" t="s">
        <v>461</v>
      </c>
      <c r="G184" s="98"/>
      <c r="H184" s="100" t="s">
        <v>462</v>
      </c>
      <c r="I184" s="82">
        <v>10</v>
      </c>
      <c r="J184" s="98"/>
    </row>
    <row r="185" spans="1:10" x14ac:dyDescent="0.25">
      <c r="A185" s="98"/>
      <c r="B185" s="98"/>
      <c r="C185" s="98"/>
      <c r="D185" s="98"/>
      <c r="E185" s="98"/>
      <c r="F185" s="98" t="s">
        <v>307</v>
      </c>
      <c r="G185" s="98"/>
      <c r="H185" s="98"/>
      <c r="I185" s="98"/>
      <c r="J185" s="98"/>
    </row>
    <row r="186" spans="1:10" x14ac:dyDescent="0.25">
      <c r="A186" s="98"/>
      <c r="B186" s="98"/>
      <c r="C186" s="98"/>
      <c r="D186" s="98"/>
      <c r="E186" s="98"/>
      <c r="F186" s="99" t="s">
        <v>38</v>
      </c>
      <c r="G186" s="98"/>
      <c r="H186" s="100" t="s">
        <v>43</v>
      </c>
      <c r="I186" s="82">
        <v>300</v>
      </c>
      <c r="J186" s="98"/>
    </row>
    <row r="187" spans="1:10" x14ac:dyDescent="0.25">
      <c r="A187" s="98"/>
      <c r="B187" s="98"/>
      <c r="C187" s="98"/>
      <c r="D187" s="98"/>
      <c r="E187" s="98"/>
      <c r="F187" s="99" t="s">
        <v>296</v>
      </c>
      <c r="G187" s="98"/>
      <c r="H187" s="100" t="s">
        <v>2</v>
      </c>
      <c r="I187" s="82">
        <v>250</v>
      </c>
      <c r="J187" s="98"/>
    </row>
    <row r="188" spans="1:10" x14ac:dyDescent="0.25">
      <c r="A188" s="98"/>
      <c r="B188" s="98"/>
      <c r="C188" s="98"/>
      <c r="D188" s="98"/>
      <c r="E188" s="98"/>
      <c r="F188" s="99" t="s">
        <v>286</v>
      </c>
      <c r="G188" s="98"/>
      <c r="H188" s="100" t="s">
        <v>23</v>
      </c>
      <c r="I188" s="82">
        <v>6</v>
      </c>
      <c r="J188" s="98"/>
    </row>
    <row r="189" spans="1:10" x14ac:dyDescent="0.25">
      <c r="A189" s="98"/>
      <c r="B189" s="98"/>
      <c r="C189" s="98"/>
      <c r="D189" s="98"/>
      <c r="E189" s="98"/>
      <c r="F189" s="99" t="s">
        <v>287</v>
      </c>
      <c r="G189" s="98"/>
      <c r="H189" s="100" t="s">
        <v>297</v>
      </c>
      <c r="I189" s="82">
        <v>12</v>
      </c>
      <c r="J189" s="98"/>
    </row>
    <row r="190" spans="1:10" x14ac:dyDescent="0.25">
      <c r="A190" s="98"/>
      <c r="B190" s="98"/>
      <c r="C190" s="98"/>
      <c r="D190" s="98"/>
      <c r="E190" s="98"/>
      <c r="F190" s="98"/>
      <c r="G190" s="98"/>
      <c r="H190" s="98"/>
      <c r="I190" s="98"/>
      <c r="J190" s="98"/>
    </row>
    <row r="191" spans="1:10" x14ac:dyDescent="0.25">
      <c r="A191" s="98"/>
      <c r="B191" s="98"/>
      <c r="C191" s="98"/>
      <c r="D191" s="98"/>
      <c r="E191" s="98"/>
      <c r="F191" s="98" t="s">
        <v>298</v>
      </c>
      <c r="G191" s="98"/>
      <c r="H191" s="98"/>
      <c r="I191" s="82" t="s">
        <v>303</v>
      </c>
      <c r="J191" s="98"/>
    </row>
    <row r="192" spans="1:10" x14ac:dyDescent="0.25">
      <c r="A192" s="98"/>
      <c r="B192" s="98"/>
      <c r="C192" s="98"/>
      <c r="D192" s="98"/>
      <c r="E192" s="98"/>
      <c r="F192" s="99" t="s">
        <v>38</v>
      </c>
      <c r="G192" s="98"/>
      <c r="H192" s="100" t="s">
        <v>43</v>
      </c>
      <c r="I192" s="82">
        <v>1000</v>
      </c>
      <c r="J192" s="98"/>
    </row>
    <row r="193" spans="1:10" x14ac:dyDescent="0.25">
      <c r="A193" s="98"/>
      <c r="B193" s="98"/>
      <c r="C193" s="98"/>
      <c r="D193" s="98"/>
      <c r="E193" s="98"/>
      <c r="F193" s="99" t="s">
        <v>296</v>
      </c>
      <c r="G193" s="98"/>
      <c r="H193" s="100" t="s">
        <v>2</v>
      </c>
      <c r="I193" s="82">
        <v>200</v>
      </c>
      <c r="J193" s="98"/>
    </row>
    <row r="194" spans="1:10" x14ac:dyDescent="0.25">
      <c r="A194" s="98"/>
      <c r="B194" s="98"/>
      <c r="C194" s="98"/>
      <c r="D194" s="98"/>
      <c r="E194" s="98"/>
      <c r="F194" s="99" t="s">
        <v>286</v>
      </c>
      <c r="G194" s="98"/>
      <c r="H194" s="100" t="s">
        <v>23</v>
      </c>
      <c r="I194" s="82">
        <v>6</v>
      </c>
      <c r="J194" s="98"/>
    </row>
    <row r="195" spans="1:10" x14ac:dyDescent="0.25">
      <c r="A195" s="98"/>
      <c r="B195" s="98"/>
      <c r="C195" s="98"/>
      <c r="D195" s="98"/>
      <c r="E195" s="98"/>
      <c r="F195" s="99" t="s">
        <v>287</v>
      </c>
      <c r="G195" s="98"/>
      <c r="H195" s="100" t="s">
        <v>297</v>
      </c>
      <c r="I195" s="82">
        <v>12</v>
      </c>
      <c r="J195" s="98"/>
    </row>
    <row r="196" spans="1:10" x14ac:dyDescent="0.25">
      <c r="A196" s="98"/>
      <c r="B196" s="98"/>
      <c r="C196" s="98"/>
      <c r="D196" s="98"/>
      <c r="E196" s="98"/>
      <c r="F196" s="98"/>
      <c r="G196" s="98"/>
      <c r="H196" s="98"/>
      <c r="I196" s="98"/>
      <c r="J196" s="98"/>
    </row>
    <row r="197" spans="1:10" x14ac:dyDescent="0.25">
      <c r="A197" s="98"/>
      <c r="B197" s="98"/>
      <c r="C197" s="98"/>
      <c r="D197" s="98"/>
      <c r="E197" s="98"/>
      <c r="F197" s="98" t="s">
        <v>387</v>
      </c>
      <c r="G197" s="98"/>
      <c r="H197" s="98"/>
      <c r="I197" s="284">
        <v>18</v>
      </c>
      <c r="J197" s="98"/>
    </row>
    <row r="198" spans="1:10" x14ac:dyDescent="0.25">
      <c r="A198" s="98"/>
      <c r="B198" s="98"/>
      <c r="C198" s="98"/>
      <c r="D198" s="98"/>
      <c r="E198" s="98"/>
      <c r="F198" s="98" t="s">
        <v>302</v>
      </c>
      <c r="G198" s="98"/>
      <c r="H198" s="98"/>
      <c r="I198" s="60">
        <v>20</v>
      </c>
      <c r="J198" s="98"/>
    </row>
    <row r="199" spans="1:10" x14ac:dyDescent="0.25">
      <c r="A199" s="98"/>
      <c r="B199" s="98"/>
      <c r="C199" s="98"/>
      <c r="D199" s="98"/>
      <c r="E199" s="98"/>
      <c r="F199" s="98" t="s">
        <v>432</v>
      </c>
      <c r="G199" s="98"/>
      <c r="H199" s="98"/>
      <c r="I199" s="82">
        <v>20</v>
      </c>
      <c r="J199" s="98"/>
    </row>
    <row r="200" spans="1:10" x14ac:dyDescent="0.25">
      <c r="A200" s="98"/>
      <c r="B200" s="98"/>
      <c r="C200" s="98"/>
      <c r="D200" s="98"/>
      <c r="E200" s="98"/>
      <c r="F200" s="98" t="s">
        <v>433</v>
      </c>
      <c r="G200" s="98"/>
      <c r="H200" s="98"/>
      <c r="I200" s="82">
        <v>12</v>
      </c>
      <c r="J200" s="98"/>
    </row>
    <row r="201" spans="1:10" x14ac:dyDescent="0.25">
      <c r="A201" s="98"/>
      <c r="B201" s="98"/>
      <c r="C201" s="98"/>
      <c r="D201" s="98"/>
      <c r="E201" s="98"/>
      <c r="F201" s="98" t="s">
        <v>301</v>
      </c>
      <c r="G201" s="98"/>
      <c r="H201" s="98"/>
      <c r="I201" s="82">
        <v>8</v>
      </c>
      <c r="J201" s="98"/>
    </row>
    <row r="202" spans="1:10" hidden="1" x14ac:dyDescent="0.25"/>
    <row r="203" spans="1:10" hidden="1" x14ac:dyDescent="0.25"/>
    <row r="204" spans="1:10" hidden="1" x14ac:dyDescent="0.25"/>
    <row r="205" spans="1:10" hidden="1" x14ac:dyDescent="0.25"/>
    <row r="206" spans="1:10" hidden="1" x14ac:dyDescent="0.25"/>
    <row r="207" spans="1:10" hidden="1" x14ac:dyDescent="0.25"/>
    <row r="208" spans="1:10" hidden="1" x14ac:dyDescent="0.25"/>
    <row r="209" spans="1:10" x14ac:dyDescent="0.25">
      <c r="A209" s="470"/>
      <c r="B209" s="470"/>
      <c r="C209" s="470"/>
      <c r="D209" s="470"/>
      <c r="E209" s="470"/>
      <c r="F209" s="470"/>
      <c r="G209" s="470"/>
      <c r="H209" s="470"/>
      <c r="I209" s="470"/>
      <c r="J209" s="470"/>
    </row>
    <row r="210" spans="1:10" x14ac:dyDescent="0.25">
      <c r="A210" s="477" t="s">
        <v>403</v>
      </c>
      <c r="B210" s="477"/>
      <c r="C210" s="477"/>
      <c r="D210" s="477"/>
      <c r="E210" s="477"/>
      <c r="F210" s="477"/>
      <c r="G210" s="477"/>
      <c r="H210" s="477"/>
      <c r="I210" s="477"/>
      <c r="J210" s="477"/>
    </row>
    <row r="211" spans="1:10" x14ac:dyDescent="0.25">
      <c r="A211" s="98"/>
      <c r="B211" s="98"/>
      <c r="C211" s="98"/>
      <c r="D211" s="98"/>
      <c r="E211" s="98"/>
      <c r="F211" s="98" t="s">
        <v>264</v>
      </c>
      <c r="G211" s="98"/>
      <c r="H211" s="478" t="s">
        <v>404</v>
      </c>
      <c r="I211" s="478"/>
      <c r="J211" s="98"/>
    </row>
    <row r="212" spans="1:10" x14ac:dyDescent="0.25">
      <c r="A212" s="98"/>
      <c r="B212" s="98"/>
      <c r="C212" s="98"/>
      <c r="D212" s="98"/>
      <c r="E212" s="98"/>
      <c r="F212" s="98" t="s">
        <v>285</v>
      </c>
      <c r="G212" s="98"/>
      <c r="H212" s="478" t="s">
        <v>304</v>
      </c>
      <c r="I212" s="478"/>
      <c r="J212" s="98"/>
    </row>
    <row r="213" spans="1:10" x14ac:dyDescent="0.25">
      <c r="A213" s="98"/>
      <c r="B213" s="98"/>
      <c r="C213" s="98"/>
      <c r="D213" s="98"/>
      <c r="E213" s="98"/>
      <c r="F213" s="98" t="s">
        <v>461</v>
      </c>
      <c r="G213" s="98"/>
      <c r="H213" s="100" t="s">
        <v>462</v>
      </c>
      <c r="I213" s="82">
        <v>10</v>
      </c>
      <c r="J213" s="98"/>
    </row>
    <row r="214" spans="1:10" x14ac:dyDescent="0.25">
      <c r="A214" s="98"/>
      <c r="B214" s="98"/>
      <c r="C214" s="98"/>
      <c r="D214" s="98"/>
      <c r="E214" s="98"/>
      <c r="F214" s="99" t="s">
        <v>38</v>
      </c>
      <c r="G214" s="98"/>
      <c r="H214" s="100" t="s">
        <v>43</v>
      </c>
      <c r="I214" s="82">
        <v>500</v>
      </c>
      <c r="J214" s="98"/>
    </row>
    <row r="215" spans="1:10" x14ac:dyDescent="0.25">
      <c r="A215" s="98"/>
      <c r="B215" s="98"/>
      <c r="C215" s="98"/>
      <c r="D215" s="98"/>
      <c r="E215" s="98"/>
      <c r="F215" s="99" t="s">
        <v>296</v>
      </c>
      <c r="G215" s="98"/>
      <c r="H215" s="100" t="s">
        <v>2</v>
      </c>
      <c r="I215" s="82">
        <v>300</v>
      </c>
      <c r="J215" s="98"/>
    </row>
    <row r="216" spans="1:10" x14ac:dyDescent="0.25">
      <c r="A216" s="98"/>
      <c r="B216" s="98"/>
      <c r="C216" s="98"/>
      <c r="D216" s="98"/>
      <c r="E216" s="98"/>
      <c r="F216" s="99" t="s">
        <v>286</v>
      </c>
      <c r="G216" s="98"/>
      <c r="H216" s="100" t="s">
        <v>23</v>
      </c>
      <c r="I216" s="82">
        <v>10</v>
      </c>
      <c r="J216" s="98"/>
    </row>
    <row r="217" spans="1:10" x14ac:dyDescent="0.25">
      <c r="A217" s="98"/>
      <c r="B217" s="98"/>
      <c r="C217" s="98"/>
      <c r="D217" s="98"/>
      <c r="E217" s="98"/>
      <c r="F217" s="99" t="s">
        <v>287</v>
      </c>
      <c r="G217" s="98"/>
      <c r="H217" s="100" t="s">
        <v>297</v>
      </c>
      <c r="I217" s="82">
        <v>12</v>
      </c>
      <c r="J217" s="98"/>
    </row>
    <row r="218" spans="1:10" x14ac:dyDescent="0.25">
      <c r="A218" s="98"/>
      <c r="B218" s="98"/>
      <c r="C218" s="98"/>
      <c r="D218" s="98"/>
      <c r="E218" s="98"/>
      <c r="F218" s="99" t="s">
        <v>405</v>
      </c>
      <c r="G218" s="98"/>
      <c r="H218" s="281" t="s">
        <v>88</v>
      </c>
      <c r="I218" s="82">
        <v>10</v>
      </c>
      <c r="J218" s="98"/>
    </row>
    <row r="219" spans="1:10" x14ac:dyDescent="0.25">
      <c r="A219" s="98"/>
      <c r="B219" s="98"/>
      <c r="C219" s="98"/>
      <c r="D219" s="98"/>
      <c r="E219" s="98"/>
      <c r="F219" s="98"/>
      <c r="G219" s="98"/>
      <c r="H219" s="98"/>
      <c r="I219" s="98"/>
      <c r="J219" s="98"/>
    </row>
    <row r="220" spans="1:10" x14ac:dyDescent="0.25">
      <c r="A220" s="98"/>
      <c r="B220" s="98"/>
      <c r="C220" s="98"/>
      <c r="D220" s="98"/>
      <c r="E220" s="98"/>
      <c r="F220" s="99" t="s">
        <v>86</v>
      </c>
      <c r="G220" s="98"/>
      <c r="H220" s="281"/>
      <c r="I220" s="60">
        <v>20</v>
      </c>
      <c r="J220" s="98"/>
    </row>
    <row r="221" spans="1:10" x14ac:dyDescent="0.25">
      <c r="A221" s="98"/>
      <c r="B221" s="98"/>
      <c r="C221" s="98"/>
      <c r="D221" s="98"/>
      <c r="E221" s="98"/>
      <c r="F221" s="99" t="s">
        <v>406</v>
      </c>
      <c r="G221" s="98"/>
      <c r="H221" s="281"/>
      <c r="I221" s="82">
        <v>50</v>
      </c>
      <c r="J221" s="98"/>
    </row>
    <row r="222" spans="1:10" x14ac:dyDescent="0.25">
      <c r="A222" s="98"/>
      <c r="B222" s="98"/>
      <c r="C222" s="98"/>
      <c r="D222" s="98"/>
      <c r="E222" s="98"/>
      <c r="F222" s="99" t="s">
        <v>407</v>
      </c>
      <c r="G222" s="98"/>
      <c r="H222" s="281"/>
      <c r="I222" s="82">
        <v>80</v>
      </c>
      <c r="J222" s="98"/>
    </row>
    <row r="223" spans="1:10" x14ac:dyDescent="0.25">
      <c r="A223" s="98"/>
      <c r="B223" s="98"/>
      <c r="C223" s="98"/>
      <c r="D223" s="98"/>
      <c r="E223" s="98"/>
      <c r="F223" s="98"/>
      <c r="G223" s="98"/>
      <c r="H223" s="98"/>
      <c r="I223" s="98"/>
      <c r="J223" s="98"/>
    </row>
    <row r="224" spans="1:10" ht="15" customHeight="1" x14ac:dyDescent="0.25">
      <c r="A224" s="98"/>
      <c r="B224" s="98"/>
      <c r="C224" s="98"/>
      <c r="D224" s="98"/>
      <c r="E224" s="98"/>
      <c r="F224" s="487" t="s">
        <v>410</v>
      </c>
      <c r="G224" s="98" t="s">
        <v>238</v>
      </c>
      <c r="H224" s="98"/>
      <c r="I224" s="82">
        <v>8</v>
      </c>
      <c r="J224" s="98"/>
    </row>
    <row r="225" spans="1:10" x14ac:dyDescent="0.25">
      <c r="A225" s="98"/>
      <c r="B225" s="98"/>
      <c r="C225" s="98"/>
      <c r="D225" s="98"/>
      <c r="E225" s="98"/>
      <c r="F225" s="487"/>
      <c r="G225" s="98" t="s">
        <v>408</v>
      </c>
      <c r="H225" s="98"/>
      <c r="I225" s="82">
        <v>1</v>
      </c>
      <c r="J225" s="98"/>
    </row>
    <row r="226" spans="1:10" x14ac:dyDescent="0.25">
      <c r="A226" s="98"/>
      <c r="B226" s="98"/>
      <c r="C226" s="98"/>
      <c r="D226" s="98"/>
      <c r="E226" s="98"/>
      <c r="F226" s="487"/>
      <c r="G226" s="98" t="s">
        <v>409</v>
      </c>
      <c r="H226" s="98"/>
      <c r="I226" s="82">
        <v>6</v>
      </c>
      <c r="J226" s="98"/>
    </row>
    <row r="227" spans="1:10" x14ac:dyDescent="0.25">
      <c r="A227" s="98"/>
      <c r="B227" s="98"/>
      <c r="C227" s="98"/>
      <c r="D227" s="98"/>
      <c r="E227" s="98"/>
      <c r="F227" s="487"/>
      <c r="G227" s="98" t="s">
        <v>413</v>
      </c>
      <c r="H227" s="98"/>
      <c r="I227" s="82" t="s">
        <v>414</v>
      </c>
      <c r="J227" s="98"/>
    </row>
    <row r="228" spans="1:10" ht="15" customHeight="1" x14ac:dyDescent="0.25">
      <c r="A228" s="98"/>
      <c r="B228" s="98"/>
      <c r="C228" s="98"/>
      <c r="D228" s="98"/>
      <c r="E228" s="98"/>
      <c r="F228" s="98"/>
      <c r="G228" s="98"/>
      <c r="H228" s="98"/>
      <c r="I228" s="98"/>
      <c r="J228" s="98"/>
    </row>
    <row r="229" spans="1:10" x14ac:dyDescent="0.25">
      <c r="A229" s="98"/>
      <c r="B229" s="98"/>
      <c r="C229" s="98"/>
      <c r="D229" s="98"/>
      <c r="E229" s="98"/>
      <c r="F229" s="487" t="s">
        <v>411</v>
      </c>
      <c r="G229" s="98" t="s">
        <v>238</v>
      </c>
      <c r="H229" s="98"/>
      <c r="I229" s="82">
        <v>8</v>
      </c>
      <c r="J229" s="98"/>
    </row>
    <row r="230" spans="1:10" x14ac:dyDescent="0.25">
      <c r="A230" s="98"/>
      <c r="B230" s="98"/>
      <c r="C230" s="98"/>
      <c r="D230" s="98"/>
      <c r="E230" s="98"/>
      <c r="F230" s="487"/>
      <c r="G230" s="98" t="s">
        <v>408</v>
      </c>
      <c r="H230" s="98"/>
      <c r="I230" s="82">
        <v>4</v>
      </c>
      <c r="J230" s="98"/>
    </row>
    <row r="231" spans="1:10" x14ac:dyDescent="0.25">
      <c r="A231" s="98" t="str">
        <f>I225&amp;"x"&amp;I226</f>
        <v>1x6</v>
      </c>
      <c r="B231" s="98" t="str">
        <f>I230&amp;"x"&amp;I231</f>
        <v>4x2</v>
      </c>
      <c r="C231" s="98"/>
      <c r="D231" s="98"/>
      <c r="E231" s="98"/>
      <c r="F231" s="487"/>
      <c r="G231" s="98" t="s">
        <v>409</v>
      </c>
      <c r="H231" s="98"/>
      <c r="I231" s="82">
        <v>2</v>
      </c>
      <c r="J231" s="98"/>
    </row>
    <row r="232" spans="1:10" hidden="1" x14ac:dyDescent="0.25"/>
    <row r="233" spans="1:10" hidden="1" x14ac:dyDescent="0.25"/>
    <row r="234" spans="1:10" hidden="1" x14ac:dyDescent="0.25"/>
    <row r="235" spans="1:10" hidden="1" x14ac:dyDescent="0.25"/>
    <row r="236" spans="1:10" hidden="1" x14ac:dyDescent="0.25"/>
    <row r="237" spans="1:10" hidden="1" x14ac:dyDescent="0.25"/>
    <row r="238" spans="1:10" hidden="1" x14ac:dyDescent="0.25"/>
    <row r="239" spans="1:10" hidden="1" x14ac:dyDescent="0.25"/>
    <row r="240" spans="1:10" hidden="1" x14ac:dyDescent="0.25"/>
    <row r="241" spans="1:10" hidden="1" x14ac:dyDescent="0.25"/>
    <row r="242" spans="1:10" hidden="1" x14ac:dyDescent="0.25"/>
    <row r="243" spans="1:10" hidden="1" x14ac:dyDescent="0.25"/>
    <row r="244" spans="1:10" hidden="1" x14ac:dyDescent="0.25"/>
    <row r="245" spans="1:10" hidden="1" x14ac:dyDescent="0.25"/>
    <row r="246" spans="1:10" hidden="1" x14ac:dyDescent="0.25"/>
    <row r="247" spans="1:10" hidden="1" x14ac:dyDescent="0.25"/>
    <row r="248" spans="1:10" hidden="1" x14ac:dyDescent="0.25"/>
    <row r="249" spans="1:10" x14ac:dyDescent="0.25">
      <c r="A249" s="470"/>
      <c r="B249" s="470"/>
      <c r="C249" s="470"/>
      <c r="D249" s="470"/>
      <c r="E249" s="470"/>
      <c r="F249" s="470"/>
      <c r="G249" s="470"/>
      <c r="H249" s="470"/>
      <c r="I249" s="470"/>
      <c r="J249" s="470"/>
    </row>
    <row r="250" spans="1:10" x14ac:dyDescent="0.25">
      <c r="A250" s="477" t="s">
        <v>466</v>
      </c>
      <c r="B250" s="477"/>
      <c r="C250" s="477"/>
      <c r="D250" s="477"/>
      <c r="E250" s="477"/>
      <c r="F250" s="477"/>
      <c r="G250" s="477"/>
      <c r="H250" s="477"/>
      <c r="I250" s="477"/>
      <c r="J250" s="477"/>
    </row>
    <row r="251" spans="1:10" x14ac:dyDescent="0.25">
      <c r="A251" s="98"/>
      <c r="B251" s="98"/>
      <c r="C251" s="98"/>
      <c r="D251" s="98"/>
      <c r="E251" s="98"/>
      <c r="F251" s="98" t="s">
        <v>264</v>
      </c>
      <c r="G251" s="98"/>
      <c r="H251" s="478" t="s">
        <v>467</v>
      </c>
      <c r="I251" s="478"/>
      <c r="J251" s="98"/>
    </row>
    <row r="252" spans="1:10" x14ac:dyDescent="0.25">
      <c r="A252" s="98"/>
      <c r="B252" s="98"/>
      <c r="C252" s="98"/>
      <c r="D252" s="98"/>
      <c r="E252" s="98"/>
      <c r="F252" s="98" t="s">
        <v>285</v>
      </c>
      <c r="G252" s="98"/>
      <c r="H252" s="478" t="s">
        <v>304</v>
      </c>
      <c r="I252" s="478"/>
      <c r="J252" s="98"/>
    </row>
    <row r="253" spans="1:10" x14ac:dyDescent="0.25">
      <c r="A253" s="98"/>
      <c r="B253" s="98"/>
      <c r="C253" s="98"/>
      <c r="D253" s="98"/>
      <c r="E253" s="98"/>
      <c r="F253" s="98" t="s">
        <v>461</v>
      </c>
      <c r="G253" s="98"/>
      <c r="H253" s="100" t="s">
        <v>462</v>
      </c>
      <c r="I253" s="82">
        <v>10</v>
      </c>
      <c r="J253" s="98"/>
    </row>
    <row r="254" spans="1:10" x14ac:dyDescent="0.25">
      <c r="A254" s="98"/>
      <c r="B254" s="98"/>
      <c r="C254" s="98"/>
      <c r="D254" s="98"/>
      <c r="E254" s="98"/>
      <c r="F254" s="99" t="s">
        <v>38</v>
      </c>
      <c r="G254" s="98"/>
      <c r="H254" s="100" t="s">
        <v>43</v>
      </c>
      <c r="I254" s="82">
        <v>500</v>
      </c>
      <c r="J254" s="98"/>
    </row>
    <row r="255" spans="1:10" x14ac:dyDescent="0.25">
      <c r="A255" s="98"/>
      <c r="B255" s="98"/>
      <c r="C255" s="98"/>
      <c r="D255" s="98"/>
      <c r="E255" s="98"/>
      <c r="F255" s="99" t="s">
        <v>296</v>
      </c>
      <c r="G255" s="98"/>
      <c r="H255" s="100" t="s">
        <v>2</v>
      </c>
      <c r="I255" s="82">
        <v>300</v>
      </c>
      <c r="J255" s="98"/>
    </row>
    <row r="256" spans="1:10" x14ac:dyDescent="0.25">
      <c r="A256" s="98"/>
      <c r="B256" s="98"/>
      <c r="C256" s="98"/>
      <c r="D256" s="98"/>
      <c r="E256" s="98"/>
      <c r="F256" s="99" t="s">
        <v>286</v>
      </c>
      <c r="G256" s="98"/>
      <c r="H256" s="100" t="s">
        <v>23</v>
      </c>
      <c r="I256" s="82">
        <v>10</v>
      </c>
      <c r="J256" s="98"/>
    </row>
    <row r="257" spans="1:10" x14ac:dyDescent="0.25">
      <c r="A257" s="98"/>
      <c r="B257" s="98"/>
      <c r="C257" s="98"/>
      <c r="D257" s="98"/>
      <c r="E257" s="98"/>
      <c r="F257" s="99" t="s">
        <v>287</v>
      </c>
      <c r="G257" s="98"/>
      <c r="H257" s="100" t="s">
        <v>297</v>
      </c>
      <c r="I257" s="82">
        <v>12</v>
      </c>
      <c r="J257" s="98"/>
    </row>
    <row r="258" spans="1:10" x14ac:dyDescent="0.25">
      <c r="A258" s="98"/>
      <c r="B258" s="98"/>
      <c r="C258" s="98"/>
      <c r="D258" s="98"/>
      <c r="E258" s="98"/>
      <c r="F258" s="99" t="s">
        <v>405</v>
      </c>
      <c r="G258" s="98"/>
      <c r="H258" s="281" t="s">
        <v>88</v>
      </c>
      <c r="I258" s="82">
        <v>10</v>
      </c>
      <c r="J258" s="98"/>
    </row>
    <row r="259" spans="1:10" x14ac:dyDescent="0.25">
      <c r="A259" s="98"/>
      <c r="B259" s="98"/>
      <c r="C259" s="98"/>
      <c r="D259" s="98"/>
      <c r="E259" s="98"/>
      <c r="F259" s="98"/>
      <c r="G259" s="98"/>
      <c r="H259" s="98"/>
      <c r="I259" s="98"/>
      <c r="J259" s="98"/>
    </row>
    <row r="260" spans="1:10" x14ac:dyDescent="0.25">
      <c r="A260" s="98"/>
      <c r="B260" s="98"/>
      <c r="C260" s="98"/>
      <c r="D260" s="98"/>
      <c r="E260" s="98"/>
      <c r="F260" s="99" t="s">
        <v>86</v>
      </c>
      <c r="G260" s="98"/>
      <c r="H260" s="281"/>
      <c r="I260" s="60">
        <v>20</v>
      </c>
      <c r="J260" s="98"/>
    </row>
    <row r="261" spans="1:10" x14ac:dyDescent="0.25">
      <c r="A261" s="98"/>
      <c r="B261" s="98"/>
      <c r="C261" s="98"/>
      <c r="D261" s="98"/>
      <c r="E261" s="98"/>
      <c r="F261" s="99" t="s">
        <v>406</v>
      </c>
      <c r="G261" s="98"/>
      <c r="H261" s="281"/>
      <c r="I261" s="82">
        <v>50</v>
      </c>
      <c r="J261" s="98"/>
    </row>
    <row r="262" spans="1:10" x14ac:dyDescent="0.25">
      <c r="A262" s="98"/>
      <c r="B262" s="98"/>
      <c r="C262" s="98"/>
      <c r="D262" s="98"/>
      <c r="E262" s="98"/>
      <c r="F262" s="99" t="s">
        <v>407</v>
      </c>
      <c r="G262" s="98"/>
      <c r="H262" s="281"/>
      <c r="I262" s="82">
        <v>80</v>
      </c>
      <c r="J262" s="98"/>
    </row>
    <row r="263" spans="1:10" x14ac:dyDescent="0.25">
      <c r="A263" s="98"/>
      <c r="B263" s="98"/>
      <c r="C263" s="98"/>
      <c r="D263" s="98"/>
      <c r="E263" s="98"/>
      <c r="F263" s="98"/>
      <c r="G263" s="98"/>
      <c r="H263" s="98"/>
      <c r="I263" s="98"/>
      <c r="J263" s="98"/>
    </row>
    <row r="264" spans="1:10" x14ac:dyDescent="0.25">
      <c r="A264" s="98"/>
      <c r="B264" s="98"/>
      <c r="C264" s="98"/>
      <c r="D264" s="98"/>
      <c r="E264" s="98"/>
      <c r="F264" s="487" t="s">
        <v>410</v>
      </c>
      <c r="G264" s="98" t="s">
        <v>238</v>
      </c>
      <c r="H264" s="98"/>
      <c r="I264" s="82">
        <v>10</v>
      </c>
      <c r="J264" s="98"/>
    </row>
    <row r="265" spans="1:10" x14ac:dyDescent="0.25">
      <c r="A265" s="98"/>
      <c r="B265" s="98"/>
      <c r="C265" s="98"/>
      <c r="D265" s="98"/>
      <c r="E265" s="98"/>
      <c r="F265" s="487"/>
      <c r="G265" s="98" t="s">
        <v>409</v>
      </c>
      <c r="H265" s="98"/>
      <c r="I265" s="82">
        <v>1</v>
      </c>
      <c r="J265" s="98"/>
    </row>
    <row r="266" spans="1:10" x14ac:dyDescent="0.25">
      <c r="A266" s="98"/>
      <c r="B266" s="98"/>
      <c r="C266" s="98"/>
      <c r="D266" s="98"/>
      <c r="E266" s="98"/>
      <c r="F266" s="487"/>
      <c r="G266" s="98" t="s">
        <v>408</v>
      </c>
      <c r="H266" s="98"/>
      <c r="I266" s="82">
        <v>6</v>
      </c>
      <c r="J266" s="98"/>
    </row>
    <row r="267" spans="1:10" x14ac:dyDescent="0.25">
      <c r="A267" s="98"/>
      <c r="B267" s="98"/>
      <c r="C267" s="98"/>
      <c r="D267" s="98"/>
      <c r="E267" s="98"/>
      <c r="F267" s="487"/>
      <c r="G267" s="98" t="s">
        <v>413</v>
      </c>
      <c r="H267" s="98"/>
      <c r="I267" s="82" t="s">
        <v>69</v>
      </c>
      <c r="J267" s="98"/>
    </row>
    <row r="268" spans="1:10" x14ac:dyDescent="0.25">
      <c r="A268" s="98"/>
      <c r="B268" s="98"/>
      <c r="C268" s="98"/>
      <c r="D268" s="98"/>
      <c r="E268" s="98"/>
      <c r="F268" s="98"/>
      <c r="G268" s="98"/>
      <c r="H268" s="98"/>
      <c r="I268" s="98"/>
      <c r="J268" s="98"/>
    </row>
    <row r="269" spans="1:10" x14ac:dyDescent="0.25">
      <c r="A269" s="98"/>
      <c r="B269" s="98"/>
      <c r="C269" s="98"/>
      <c r="D269" s="98"/>
      <c r="E269" s="98"/>
      <c r="F269" s="487" t="s">
        <v>411</v>
      </c>
      <c r="G269" s="98" t="s">
        <v>238</v>
      </c>
      <c r="H269" s="98"/>
      <c r="I269" s="82">
        <v>8</v>
      </c>
      <c r="J269" s="98"/>
    </row>
    <row r="270" spans="1:10" x14ac:dyDescent="0.25">
      <c r="A270" s="98"/>
      <c r="B270" s="98"/>
      <c r="C270" s="98"/>
      <c r="D270" s="98"/>
      <c r="E270" s="98"/>
      <c r="F270" s="487"/>
      <c r="G270" s="98" t="s">
        <v>409</v>
      </c>
      <c r="H270" s="98"/>
      <c r="I270" s="82">
        <v>4</v>
      </c>
      <c r="J270" s="98"/>
    </row>
    <row r="271" spans="1:10" x14ac:dyDescent="0.25">
      <c r="A271" s="98" t="str">
        <f>I265&amp;"x"&amp;I266</f>
        <v>1x6</v>
      </c>
      <c r="B271" s="98" t="str">
        <f>I270&amp;"x"&amp;I271</f>
        <v>4x2</v>
      </c>
      <c r="C271" s="98"/>
      <c r="D271" s="98"/>
      <c r="E271" s="98"/>
      <c r="F271" s="487"/>
      <c r="G271" s="98" t="s">
        <v>408</v>
      </c>
      <c r="H271" s="98"/>
      <c r="I271" s="82">
        <v>2</v>
      </c>
      <c r="J271" s="98"/>
    </row>
    <row r="272" spans="1:10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spans="1:10" hidden="1" x14ac:dyDescent="0.25"/>
    <row r="290" spans="1:10" hidden="1" x14ac:dyDescent="0.25"/>
    <row r="291" spans="1:10" hidden="1" x14ac:dyDescent="0.25"/>
    <row r="292" spans="1:10" hidden="1" x14ac:dyDescent="0.25"/>
    <row r="293" spans="1:10" hidden="1" x14ac:dyDescent="0.25"/>
    <row r="294" spans="1:10" hidden="1" x14ac:dyDescent="0.25"/>
    <row r="295" spans="1:10" hidden="1" x14ac:dyDescent="0.25"/>
    <row r="296" spans="1:10" hidden="1" x14ac:dyDescent="0.25"/>
    <row r="297" spans="1:10" hidden="1" x14ac:dyDescent="0.25"/>
    <row r="298" spans="1:10" hidden="1" x14ac:dyDescent="0.25"/>
    <row r="299" spans="1:10" x14ac:dyDescent="0.25">
      <c r="A299" s="470"/>
      <c r="B299" s="470"/>
      <c r="C299" s="470"/>
      <c r="D299" s="470"/>
      <c r="E299" s="470"/>
      <c r="F299" s="470"/>
      <c r="G299" s="470"/>
      <c r="H299" s="470"/>
      <c r="I299" s="470"/>
      <c r="J299" s="470"/>
    </row>
    <row r="300" spans="1:10" x14ac:dyDescent="0.25">
      <c r="A300" s="477" t="s">
        <v>506</v>
      </c>
      <c r="B300" s="477"/>
      <c r="C300" s="477"/>
      <c r="D300" s="477"/>
      <c r="E300" s="477"/>
      <c r="F300" s="477"/>
      <c r="G300" s="477"/>
      <c r="H300" s="477"/>
      <c r="I300" s="477"/>
      <c r="J300" s="477"/>
    </row>
    <row r="301" spans="1:10" x14ac:dyDescent="0.25">
      <c r="A301" s="77"/>
      <c r="B301" s="77"/>
      <c r="C301" s="77"/>
      <c r="D301" s="77"/>
      <c r="E301" s="77"/>
      <c r="F301" s="77" t="s">
        <v>264</v>
      </c>
      <c r="G301" s="77"/>
      <c r="H301" s="478" t="s">
        <v>499</v>
      </c>
      <c r="I301" s="478"/>
      <c r="J301" s="77"/>
    </row>
    <row r="302" spans="1:10" x14ac:dyDescent="0.25">
      <c r="A302" s="77"/>
      <c r="B302" s="77"/>
      <c r="C302" s="77"/>
      <c r="D302" s="77"/>
      <c r="E302" s="77"/>
      <c r="F302" s="77" t="s">
        <v>285</v>
      </c>
      <c r="G302" s="77"/>
      <c r="H302" s="478" t="s">
        <v>304</v>
      </c>
      <c r="I302" s="478"/>
      <c r="J302" s="77"/>
    </row>
    <row r="303" spans="1:10" x14ac:dyDescent="0.25">
      <c r="A303" s="77"/>
      <c r="B303" s="77"/>
      <c r="C303" s="77"/>
      <c r="D303" s="77"/>
      <c r="E303" s="77"/>
      <c r="F303" s="77" t="s">
        <v>461</v>
      </c>
      <c r="G303" s="77"/>
      <c r="H303" s="301" t="s">
        <v>462</v>
      </c>
      <c r="I303" s="82">
        <v>10</v>
      </c>
      <c r="J303" s="77"/>
    </row>
    <row r="304" spans="1:10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</row>
    <row r="305" spans="1:10" x14ac:dyDescent="0.25">
      <c r="A305" s="77"/>
      <c r="B305" s="77"/>
      <c r="C305" s="77"/>
      <c r="D305" s="77"/>
      <c r="E305" s="77"/>
      <c r="F305" s="302" t="s">
        <v>38</v>
      </c>
      <c r="G305" s="77"/>
      <c r="H305" s="301" t="s">
        <v>43</v>
      </c>
      <c r="I305" s="82">
        <v>500</v>
      </c>
      <c r="J305" s="77"/>
    </row>
    <row r="306" spans="1:10" x14ac:dyDescent="0.25">
      <c r="A306" s="77"/>
      <c r="B306" s="77"/>
      <c r="C306" s="77"/>
      <c r="D306" s="77"/>
      <c r="E306" s="77"/>
      <c r="F306" s="302" t="s">
        <v>296</v>
      </c>
      <c r="G306" s="77"/>
      <c r="H306" s="301" t="s">
        <v>2</v>
      </c>
      <c r="I306" s="82">
        <v>300</v>
      </c>
      <c r="J306" s="77"/>
    </row>
    <row r="307" spans="1:10" x14ac:dyDescent="0.25">
      <c r="A307" s="77"/>
      <c r="B307" s="77"/>
      <c r="C307" s="77"/>
      <c r="D307" s="77"/>
      <c r="E307" s="77"/>
      <c r="F307" s="302" t="s">
        <v>286</v>
      </c>
      <c r="G307" s="77"/>
      <c r="H307" s="301" t="s">
        <v>23</v>
      </c>
      <c r="I307" s="82">
        <v>10</v>
      </c>
      <c r="J307" s="77"/>
    </row>
    <row r="308" spans="1:10" x14ac:dyDescent="0.25">
      <c r="A308" s="77"/>
      <c r="B308" s="77"/>
      <c r="C308" s="77"/>
      <c r="D308" s="77"/>
      <c r="E308" s="77"/>
      <c r="F308" s="302" t="s">
        <v>287</v>
      </c>
      <c r="G308" s="77"/>
      <c r="H308" s="301" t="s">
        <v>297</v>
      </c>
      <c r="I308" s="82">
        <v>12</v>
      </c>
      <c r="J308" s="77"/>
    </row>
    <row r="309" spans="1:10" x14ac:dyDescent="0.25">
      <c r="A309" s="77"/>
      <c r="B309" s="77"/>
      <c r="C309" s="77"/>
      <c r="D309" s="77"/>
      <c r="E309" s="77"/>
      <c r="F309" s="77" t="s">
        <v>487</v>
      </c>
      <c r="G309" s="77"/>
      <c r="H309" s="77"/>
      <c r="I309" s="82">
        <v>300</v>
      </c>
      <c r="J309" s="77"/>
    </row>
    <row r="310" spans="1:10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  <c r="J310" s="77"/>
    </row>
    <row r="311" spans="1:10" x14ac:dyDescent="0.25">
      <c r="A311" s="77"/>
      <c r="B311" s="77"/>
      <c r="C311" s="77"/>
      <c r="D311" s="77"/>
      <c r="E311" s="77"/>
      <c r="F311" s="305" t="s">
        <v>494</v>
      </c>
      <c r="G311" s="77"/>
      <c r="H311" s="304"/>
      <c r="I311" s="308">
        <v>14</v>
      </c>
      <c r="J311" s="77"/>
    </row>
    <row r="312" spans="1:10" x14ac:dyDescent="0.25">
      <c r="A312" s="77"/>
      <c r="B312" s="77"/>
      <c r="C312" s="77"/>
      <c r="D312" s="77"/>
      <c r="E312" s="77"/>
      <c r="F312" s="306" t="s">
        <v>495</v>
      </c>
      <c r="G312" s="77"/>
      <c r="H312" s="304"/>
      <c r="I312" s="309">
        <v>16</v>
      </c>
      <c r="J312" s="77"/>
    </row>
    <row r="313" spans="1:10" x14ac:dyDescent="0.25">
      <c r="A313" s="77"/>
      <c r="B313" s="77"/>
      <c r="C313" s="77"/>
      <c r="D313" s="77"/>
      <c r="E313" s="77"/>
      <c r="F313" s="307" t="s">
        <v>496</v>
      </c>
      <c r="G313" s="77"/>
      <c r="H313" s="304"/>
      <c r="I313" s="82">
        <v>22</v>
      </c>
      <c r="J313" s="77"/>
    </row>
    <row r="314" spans="1:10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</row>
    <row r="315" spans="1:10" x14ac:dyDescent="0.25">
      <c r="A315" s="77"/>
      <c r="B315" s="486" t="s">
        <v>490</v>
      </c>
      <c r="C315" s="486"/>
      <c r="D315" s="479" t="s">
        <v>86</v>
      </c>
      <c r="E315" s="480"/>
      <c r="F315" s="481"/>
      <c r="G315" s="482">
        <v>24</v>
      </c>
      <c r="H315" s="482"/>
      <c r="I315" s="482"/>
      <c r="J315" s="77"/>
    </row>
    <row r="316" spans="1:10" x14ac:dyDescent="0.25">
      <c r="A316" s="77"/>
      <c r="B316" s="486"/>
      <c r="C316" s="486"/>
      <c r="D316" s="303" t="s">
        <v>488</v>
      </c>
      <c r="E316" s="303"/>
      <c r="F316" s="303"/>
      <c r="G316" s="351" t="s">
        <v>492</v>
      </c>
      <c r="H316" s="351"/>
      <c r="I316" s="351"/>
      <c r="J316" s="77"/>
    </row>
    <row r="317" spans="1:10" x14ac:dyDescent="0.25">
      <c r="A317" s="77"/>
      <c r="B317" s="486"/>
      <c r="C317" s="486"/>
      <c r="D317" s="303" t="s">
        <v>489</v>
      </c>
      <c r="E317" s="303"/>
      <c r="F317" s="303"/>
      <c r="G317" s="351" t="s">
        <v>497</v>
      </c>
      <c r="H317" s="351"/>
      <c r="I317" s="351"/>
      <c r="J317" s="77"/>
    </row>
    <row r="318" spans="1:10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</row>
    <row r="319" spans="1:10" ht="15" customHeight="1" x14ac:dyDescent="0.25">
      <c r="A319" s="77"/>
      <c r="B319" s="486" t="s">
        <v>491</v>
      </c>
      <c r="C319" s="486"/>
      <c r="D319" s="479" t="s">
        <v>86</v>
      </c>
      <c r="E319" s="480"/>
      <c r="F319" s="481"/>
      <c r="G319" s="482">
        <v>20</v>
      </c>
      <c r="H319" s="482"/>
      <c r="I319" s="482"/>
      <c r="J319" s="77"/>
    </row>
    <row r="320" spans="1:10" x14ac:dyDescent="0.25">
      <c r="A320" s="77"/>
      <c r="B320" s="486"/>
      <c r="C320" s="486"/>
      <c r="D320" s="303" t="s">
        <v>488</v>
      </c>
      <c r="E320" s="303"/>
      <c r="F320" s="303"/>
      <c r="G320" s="351" t="s">
        <v>493</v>
      </c>
      <c r="H320" s="351"/>
      <c r="I320" s="351"/>
      <c r="J320" s="77"/>
    </row>
    <row r="321" spans="1:10" x14ac:dyDescent="0.25">
      <c r="A321" s="77"/>
      <c r="B321" s="486"/>
      <c r="C321" s="486"/>
      <c r="D321" s="303" t="s">
        <v>489</v>
      </c>
      <c r="E321" s="303"/>
      <c r="F321" s="303"/>
      <c r="G321" s="351" t="s">
        <v>498</v>
      </c>
      <c r="H321" s="351"/>
      <c r="I321" s="351"/>
      <c r="J321" s="77"/>
    </row>
    <row r="322" spans="1:10" x14ac:dyDescent="0.25">
      <c r="A322" s="77"/>
      <c r="B322" s="486"/>
      <c r="C322" s="486"/>
      <c r="D322" s="479" t="s">
        <v>500</v>
      </c>
      <c r="E322" s="480"/>
      <c r="F322" s="481"/>
      <c r="G322" s="483" t="s">
        <v>502</v>
      </c>
      <c r="H322" s="484"/>
      <c r="I322" s="82" t="s">
        <v>501</v>
      </c>
      <c r="J322" s="77"/>
    </row>
    <row r="323" spans="1:10" hidden="1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</row>
    <row r="324" spans="1:10" hidden="1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</row>
    <row r="325" spans="1:10" hidden="1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</row>
    <row r="326" spans="1:10" hidden="1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</row>
    <row r="327" spans="1:10" hidden="1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</row>
    <row r="328" spans="1:10" hidden="1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</row>
    <row r="329" spans="1:10" hidden="1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</row>
    <row r="330" spans="1:10" hidden="1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</row>
    <row r="331" spans="1:10" hidden="1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</row>
    <row r="332" spans="1:10" hidden="1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</row>
    <row r="333" spans="1:10" hidden="1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</row>
    <row r="334" spans="1:10" hidden="1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</row>
    <row r="335" spans="1:10" hidden="1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</row>
    <row r="336" spans="1:10" hidden="1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</row>
    <row r="337" spans="1:10" hidden="1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</row>
    <row r="338" spans="1:10" hidden="1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</row>
    <row r="339" spans="1:10" hidden="1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</row>
    <row r="340" spans="1:10" hidden="1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</row>
    <row r="341" spans="1:10" hidden="1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</row>
    <row r="342" spans="1:10" hidden="1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</row>
    <row r="343" spans="1:10" hidden="1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</row>
    <row r="344" spans="1:10" hidden="1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</row>
    <row r="345" spans="1:10" hidden="1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</row>
    <row r="346" spans="1:10" hidden="1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</row>
    <row r="347" spans="1:10" hidden="1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</row>
    <row r="348" spans="1:10" hidden="1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</row>
    <row r="349" spans="1:10" x14ac:dyDescent="0.25">
      <c r="A349" s="470"/>
      <c r="B349" s="470"/>
      <c r="C349" s="470"/>
      <c r="D349" s="470"/>
      <c r="E349" s="470"/>
      <c r="F349" s="470"/>
      <c r="G349" s="470"/>
      <c r="H349" s="470"/>
      <c r="I349" s="470"/>
      <c r="J349" s="470"/>
    </row>
    <row r="350" spans="1:10" x14ac:dyDescent="0.25">
      <c r="A350" s="477" t="s">
        <v>507</v>
      </c>
      <c r="B350" s="477"/>
      <c r="C350" s="477"/>
      <c r="D350" s="477"/>
      <c r="E350" s="477"/>
      <c r="F350" s="477"/>
      <c r="G350" s="477"/>
      <c r="H350" s="477"/>
      <c r="I350" s="477"/>
      <c r="J350" s="477"/>
    </row>
    <row r="351" spans="1:10" x14ac:dyDescent="0.25">
      <c r="A351" s="77"/>
      <c r="B351" s="77"/>
      <c r="C351" s="77"/>
      <c r="D351" s="77"/>
      <c r="E351" s="77"/>
      <c r="F351" s="77" t="s">
        <v>264</v>
      </c>
      <c r="G351" s="77"/>
      <c r="H351" s="478" t="s">
        <v>509</v>
      </c>
      <c r="I351" s="478"/>
      <c r="J351" s="77"/>
    </row>
    <row r="352" spans="1:10" x14ac:dyDescent="0.25">
      <c r="A352" s="77"/>
      <c r="B352" s="77"/>
      <c r="C352" s="77"/>
      <c r="D352" s="77"/>
      <c r="E352" s="77"/>
      <c r="F352" s="77" t="s">
        <v>285</v>
      </c>
      <c r="G352" s="77"/>
      <c r="H352" s="478" t="s">
        <v>304</v>
      </c>
      <c r="I352" s="478"/>
      <c r="J352" s="77"/>
    </row>
    <row r="353" spans="1:10" x14ac:dyDescent="0.25">
      <c r="A353" s="77"/>
      <c r="B353" s="77"/>
      <c r="C353" s="77"/>
      <c r="D353" s="77"/>
      <c r="E353" s="77"/>
      <c r="F353" s="77" t="s">
        <v>461</v>
      </c>
      <c r="G353" s="77"/>
      <c r="H353" s="301" t="s">
        <v>462</v>
      </c>
      <c r="I353" s="82">
        <v>10</v>
      </c>
      <c r="J353" s="77"/>
    </row>
    <row r="354" spans="1:10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</row>
    <row r="355" spans="1:10" x14ac:dyDescent="0.25">
      <c r="A355" s="77"/>
      <c r="B355" s="77"/>
      <c r="C355" s="77"/>
      <c r="D355" s="77"/>
      <c r="E355" s="77"/>
      <c r="F355" s="302" t="s">
        <v>38</v>
      </c>
      <c r="G355" s="77"/>
      <c r="H355" s="301" t="s">
        <v>43</v>
      </c>
      <c r="I355" s="82">
        <v>250</v>
      </c>
      <c r="J355" s="77"/>
    </row>
    <row r="356" spans="1:10" x14ac:dyDescent="0.25">
      <c r="A356" s="77"/>
      <c r="B356" s="77"/>
      <c r="C356" s="77"/>
      <c r="D356" s="77"/>
      <c r="E356" s="77"/>
      <c r="F356" s="302" t="s">
        <v>296</v>
      </c>
      <c r="G356" s="77"/>
      <c r="H356" s="301" t="s">
        <v>2</v>
      </c>
      <c r="I356" s="82">
        <v>200</v>
      </c>
      <c r="J356" s="77"/>
    </row>
    <row r="357" spans="1:10" x14ac:dyDescent="0.25">
      <c r="A357" s="77"/>
      <c r="B357" s="77"/>
      <c r="C357" s="77"/>
      <c r="D357" s="77"/>
      <c r="E357" s="77"/>
      <c r="F357" s="302" t="s">
        <v>286</v>
      </c>
      <c r="G357" s="77"/>
      <c r="H357" s="301" t="s">
        <v>23</v>
      </c>
      <c r="I357" s="82">
        <v>5</v>
      </c>
      <c r="J357" s="77"/>
    </row>
    <row r="358" spans="1:10" x14ac:dyDescent="0.25">
      <c r="A358" s="77"/>
      <c r="B358" s="77"/>
      <c r="C358" s="77"/>
      <c r="D358" s="77"/>
      <c r="E358" s="77"/>
      <c r="F358" s="302" t="s">
        <v>287</v>
      </c>
      <c r="G358" s="77"/>
      <c r="H358" s="301" t="s">
        <v>297</v>
      </c>
      <c r="I358" s="82">
        <v>8</v>
      </c>
      <c r="J358" s="77"/>
    </row>
    <row r="359" spans="1:10" x14ac:dyDescent="0.25">
      <c r="A359" s="77"/>
      <c r="B359" s="77"/>
      <c r="C359" s="77"/>
      <c r="D359" s="77"/>
      <c r="E359" s="77"/>
      <c r="F359" s="77" t="s">
        <v>487</v>
      </c>
      <c r="G359" s="77"/>
      <c r="H359" s="77"/>
      <c r="I359" s="82">
        <v>300</v>
      </c>
      <c r="J359" s="77"/>
    </row>
    <row r="360" spans="1:10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</row>
    <row r="361" spans="1:10" x14ac:dyDescent="0.25">
      <c r="A361" s="77"/>
      <c r="B361" s="77"/>
      <c r="C361" s="77"/>
      <c r="D361" s="77"/>
      <c r="E361" s="77"/>
      <c r="F361" s="307" t="s">
        <v>255</v>
      </c>
      <c r="G361" s="77"/>
      <c r="H361" s="304"/>
      <c r="I361" s="82">
        <v>16</v>
      </c>
      <c r="J361" s="77"/>
    </row>
    <row r="362" spans="1:10" x14ac:dyDescent="0.25">
      <c r="A362" s="77"/>
      <c r="B362" s="77"/>
      <c r="C362" s="77"/>
      <c r="D362" s="77"/>
      <c r="E362" s="77"/>
      <c r="F362" s="305" t="s">
        <v>504</v>
      </c>
      <c r="G362" s="77"/>
      <c r="H362" s="304"/>
      <c r="I362" s="308">
        <v>10</v>
      </c>
      <c r="J362" s="77"/>
    </row>
    <row r="363" spans="1:10" ht="14.45" customHeight="1" x14ac:dyDescent="0.25">
      <c r="A363" s="77"/>
      <c r="B363" s="471" t="s">
        <v>491</v>
      </c>
      <c r="C363" s="472"/>
      <c r="D363" s="479" t="s">
        <v>86</v>
      </c>
      <c r="E363" s="480"/>
      <c r="F363" s="481"/>
      <c r="G363" s="482">
        <v>20</v>
      </c>
      <c r="H363" s="482"/>
      <c r="I363" s="482"/>
      <c r="J363" s="77"/>
    </row>
    <row r="364" spans="1:10" x14ac:dyDescent="0.25">
      <c r="A364" s="77"/>
      <c r="B364" s="473"/>
      <c r="C364" s="474"/>
      <c r="D364" s="303" t="s">
        <v>488</v>
      </c>
      <c r="E364" s="303"/>
      <c r="F364" s="303"/>
      <c r="G364" s="351" t="s">
        <v>493</v>
      </c>
      <c r="H364" s="351"/>
      <c r="I364" s="351"/>
      <c r="J364" s="77"/>
    </row>
    <row r="365" spans="1:10" x14ac:dyDescent="0.25">
      <c r="A365" s="77"/>
      <c r="B365" s="473"/>
      <c r="C365" s="474"/>
      <c r="D365" s="303" t="s">
        <v>489</v>
      </c>
      <c r="E365" s="303"/>
      <c r="F365" s="303"/>
      <c r="G365" s="351" t="s">
        <v>508</v>
      </c>
      <c r="H365" s="351"/>
      <c r="I365" s="351"/>
      <c r="J365" s="77"/>
    </row>
    <row r="366" spans="1:10" x14ac:dyDescent="0.25">
      <c r="A366" s="77"/>
      <c r="B366" s="473"/>
      <c r="C366" s="474"/>
      <c r="D366" s="479" t="s">
        <v>500</v>
      </c>
      <c r="E366" s="480"/>
      <c r="F366" s="481"/>
      <c r="G366" s="483" t="s">
        <v>505</v>
      </c>
      <c r="H366" s="484"/>
      <c r="I366" s="82" t="s">
        <v>501</v>
      </c>
      <c r="J366" s="77"/>
    </row>
    <row r="367" spans="1:10" x14ac:dyDescent="0.25">
      <c r="A367" s="77"/>
      <c r="B367" s="475"/>
      <c r="C367" s="476"/>
      <c r="D367" s="303" t="s">
        <v>503</v>
      </c>
      <c r="E367" s="303"/>
      <c r="F367" s="303"/>
      <c r="G367" s="351">
        <v>100</v>
      </c>
      <c r="H367" s="351"/>
      <c r="I367" s="351"/>
      <c r="J367" s="77"/>
    </row>
    <row r="368" spans="1:10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</row>
    <row r="369" spans="1:10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</row>
    <row r="370" spans="1:10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</row>
    <row r="371" spans="1:10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</row>
    <row r="372" spans="1:10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</row>
    <row r="373" spans="1:10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</row>
    <row r="374" spans="1:10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</row>
    <row r="375" spans="1:10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</row>
    <row r="376" spans="1:10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</row>
    <row r="377" spans="1:10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</row>
    <row r="378" spans="1:10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</row>
  </sheetData>
  <mergeCells count="87">
    <mergeCell ref="A14:D14"/>
    <mergeCell ref="E14:H14"/>
    <mergeCell ref="A31:D31"/>
    <mergeCell ref="A1:D1"/>
    <mergeCell ref="E1:H1"/>
    <mergeCell ref="L2:O2"/>
    <mergeCell ref="M4:O4"/>
    <mergeCell ref="M7:O7"/>
    <mergeCell ref="M6:O6"/>
    <mergeCell ref="M5:O5"/>
    <mergeCell ref="L3:O3"/>
    <mergeCell ref="L4:L7"/>
    <mergeCell ref="M13:M14"/>
    <mergeCell ref="M8:O8"/>
    <mergeCell ref="M11:O11"/>
    <mergeCell ref="F19:F21"/>
    <mergeCell ref="M12:O12"/>
    <mergeCell ref="L12:L14"/>
    <mergeCell ref="M16:P16"/>
    <mergeCell ref="M10:O10"/>
    <mergeCell ref="L8:L10"/>
    <mergeCell ref="M9:O9"/>
    <mergeCell ref="A131:J131"/>
    <mergeCell ref="H102:I102"/>
    <mergeCell ref="A99:J99"/>
    <mergeCell ref="A100:J100"/>
    <mergeCell ref="H101:I101"/>
    <mergeCell ref="A64:D64"/>
    <mergeCell ref="E64:H64"/>
    <mergeCell ref="I64:J64"/>
    <mergeCell ref="F71:F73"/>
    <mergeCell ref="M15:P15"/>
    <mergeCell ref="F52:I52"/>
    <mergeCell ref="F26:H26"/>
    <mergeCell ref="E31:H31"/>
    <mergeCell ref="H133:I133"/>
    <mergeCell ref="A132:J132"/>
    <mergeCell ref="H182:I182"/>
    <mergeCell ref="H183:I183"/>
    <mergeCell ref="H134:I134"/>
    <mergeCell ref="A150:J150"/>
    <mergeCell ref="A151:J151"/>
    <mergeCell ref="H152:I152"/>
    <mergeCell ref="H153:I153"/>
    <mergeCell ref="A180:J180"/>
    <mergeCell ref="A181:J181"/>
    <mergeCell ref="F229:F231"/>
    <mergeCell ref="A210:J210"/>
    <mergeCell ref="A209:J209"/>
    <mergeCell ref="H211:I211"/>
    <mergeCell ref="H212:I212"/>
    <mergeCell ref="F224:F227"/>
    <mergeCell ref="A250:J250"/>
    <mergeCell ref="H251:I251"/>
    <mergeCell ref="H252:I252"/>
    <mergeCell ref="F264:F267"/>
    <mergeCell ref="F269:F271"/>
    <mergeCell ref="D319:F319"/>
    <mergeCell ref="D322:F322"/>
    <mergeCell ref="G322:H322"/>
    <mergeCell ref="B319:C322"/>
    <mergeCell ref="G319:I319"/>
    <mergeCell ref="G320:I320"/>
    <mergeCell ref="H301:I301"/>
    <mergeCell ref="H302:I302"/>
    <mergeCell ref="G316:I316"/>
    <mergeCell ref="G317:I317"/>
    <mergeCell ref="A310:I310"/>
    <mergeCell ref="G315:I315"/>
    <mergeCell ref="B315:C317"/>
    <mergeCell ref="D315:F315"/>
    <mergeCell ref="A249:J249"/>
    <mergeCell ref="A299:J299"/>
    <mergeCell ref="A349:J349"/>
    <mergeCell ref="G367:I367"/>
    <mergeCell ref="B363:C367"/>
    <mergeCell ref="G321:I321"/>
    <mergeCell ref="A350:J350"/>
    <mergeCell ref="H351:I351"/>
    <mergeCell ref="H352:I352"/>
    <mergeCell ref="D363:F363"/>
    <mergeCell ref="G363:I363"/>
    <mergeCell ref="G364:I364"/>
    <mergeCell ref="G365:I365"/>
    <mergeCell ref="D366:F366"/>
    <mergeCell ref="G366:H366"/>
    <mergeCell ref="A300:J300"/>
  </mergeCells>
  <dataValidations count="17">
    <dataValidation type="list" allowBlank="1" showInputMessage="1" showErrorMessage="1" sqref="I16" xr:uid="{D76C6A0B-B6E1-439F-972C-F23673FECEA8}">
      <formula1>"2,4,6,8,10,12,14,16,18"</formula1>
    </dataValidation>
    <dataValidation type="list" allowBlank="1" showInputMessage="1" showErrorMessage="1" sqref="I67 I58" xr:uid="{0BCB53A1-C5B0-43BB-A117-620E558BBA0D}">
      <formula1>"1,2"</formula1>
    </dataValidation>
    <dataValidation type="list" allowBlank="1" showInputMessage="1" showErrorMessage="1" sqref="P3" xr:uid="{7D903BD2-3692-4922-AD6D-E857B12E0311}">
      <formula1>"H,I"</formula1>
    </dataValidation>
    <dataValidation type="list" allowBlank="1" showInputMessage="1" showErrorMessage="1" sqref="P9" xr:uid="{36395B6F-8F60-496A-A30B-D72BDC1CFB3D}">
      <formula1>"0,4,6"</formula1>
    </dataValidation>
    <dataValidation type="list" allowBlank="1" showInputMessage="1" showErrorMessage="1" sqref="P10" xr:uid="{75E97C8C-3368-4174-84F5-9ECF7F0EAC6E}">
      <formula1>"2,4,6,8,10"</formula1>
    </dataValidation>
    <dataValidation type="list" allowBlank="1" showInputMessage="1" showErrorMessage="1" sqref="I22 I42 I74 I227 I267" xr:uid="{A137DC4E-9425-4756-8F9C-4D206F714654}">
      <formula1>"Y,N"</formula1>
    </dataValidation>
    <dataValidation type="list" allowBlank="1" showInputMessage="1" showErrorMessage="1" sqref="I66" xr:uid="{07546ABD-B66D-4EC6-A84E-FD7958691E4C}">
      <formula1>"4,6,8,10,12,14,16,18,20"</formula1>
    </dataValidation>
    <dataValidation type="list" allowBlank="1" showInputMessage="1" showErrorMessage="1" sqref="I225 I265" xr:uid="{FC6A5491-5EEE-4DEF-8E9F-1DA317246A4C}">
      <formula1>"1"</formula1>
    </dataValidation>
    <dataValidation type="list" allowBlank="1" showInputMessage="1" showErrorMessage="1" sqref="I226 I266" xr:uid="{FD46C313-095A-4927-85F0-E66590D5A778}">
      <formula1>"2,4,6,8,10,12,14,16,18,20"</formula1>
    </dataValidation>
    <dataValidation type="list" allowBlank="1" showInputMessage="1" showErrorMessage="1" sqref="I218 I258" xr:uid="{198B00E3-D845-47C4-84F3-61AAB61CF81F}">
      <formula1>"10"</formula1>
    </dataValidation>
    <dataValidation type="list" allowBlank="1" showInputMessage="1" showErrorMessage="1" sqref="I197" xr:uid="{82298129-722E-4989-89CF-651A28EECA43}">
      <formula1>"4,6,8,10,12,14,16,18"</formula1>
    </dataValidation>
    <dataValidation type="list" allowBlank="1" showInputMessage="1" showErrorMessage="1" sqref="I322 I366" xr:uid="{11F73AF5-37CF-4CA9-B898-6024A47DAB4B}">
      <formula1>"Lỗ tròn,Lỗ oval"</formula1>
    </dataValidation>
    <dataValidation type="list" allowBlank="1" showInputMessage="1" showErrorMessage="1" sqref="G322:H322 G366:H366" xr:uid="{40EC6A23-1264-4E60-BFA2-CAF2F7E651C1}">
      <formula1>"Bu lông L, Bu lông khoan cấy"</formula1>
    </dataValidation>
    <dataValidation type="list" allowBlank="1" showInputMessage="1" showErrorMessage="1" sqref="I34" xr:uid="{920C69EE-FC02-4C1F-8687-B2B366E48B2E}">
      <formula1>"4,6,8,10,12,14,16"</formula1>
    </dataValidation>
    <dataValidation type="list" allowBlank="1" showInputMessage="1" showErrorMessage="1" sqref="I35" xr:uid="{26818F3B-FBDC-499A-AA9F-811E94A6E307}">
      <formula1>"0,2"</formula1>
    </dataValidation>
    <dataValidation type="list" allowBlank="1" showInputMessage="1" showErrorMessage="1" sqref="I36" xr:uid="{4A0936E0-E194-4ADE-A376-1131F2F46901}">
      <formula1>"2,4,6,8,10,"</formula1>
    </dataValidation>
    <dataValidation type="list" allowBlank="1" showInputMessage="1" showErrorMessage="1" sqref="I56" xr:uid="{A678D7D6-DE47-43CF-B00C-962F07407173}">
      <formula1>"4,6,8,10,12"</formula1>
    </dataValidation>
  </dataValidations>
  <pageMargins left="0.7" right="0.7" top="0.75" bottom="0.75" header="0.3" footer="0.3"/>
  <pageSetup orientation="portrait" r:id="rId1"/>
  <ignoredErrors>
    <ignoredError sqref="Q9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17140-4E8E-401C-B89C-A3A7BEEED3A0}">
          <x14:formula1>
            <xm:f>Data!$E$3:$E$6</xm:f>
          </x14:formula1>
          <xm:sqref>I2</xm:sqref>
        </x14:dataValidation>
        <x14:dataValidation type="list" allowBlank="1" showInputMessage="1" showErrorMessage="1" xr:uid="{E0E4FB96-D912-4A64-8B28-26C36E8A9DB7}">
          <x14:formula1>
            <xm:f>Data!$B$2:$B$9</xm:f>
          </x14:formula1>
          <xm:sqref>I3 I15 I55 G363 I65 P8 I116 I144 I168 I198 I220 I260 G315 G319 I33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9640E-C01F-4C68-B685-C048B5A4D1AD}">
  <sheetPr codeName="Sheet4"/>
  <dimension ref="A1:R209"/>
  <sheetViews>
    <sheetView showGridLines="0" zoomScale="115" zoomScaleNormal="115" workbookViewId="0">
      <selection activeCell="L115" sqref="L115"/>
    </sheetView>
  </sheetViews>
  <sheetFormatPr defaultRowHeight="15" x14ac:dyDescent="0.25"/>
  <cols>
    <col min="1" max="1" width="10.5703125" bestFit="1" customWidth="1"/>
  </cols>
  <sheetData>
    <row r="1" spans="1:10" ht="15" customHeight="1" x14ac:dyDescent="0.25">
      <c r="A1" s="529" t="s">
        <v>438</v>
      </c>
      <c r="B1" s="530"/>
      <c r="C1" s="530"/>
      <c r="D1" s="530"/>
      <c r="E1" s="530"/>
      <c r="F1" s="531"/>
      <c r="G1" s="535" t="s">
        <v>439</v>
      </c>
      <c r="H1" s="536"/>
      <c r="I1" s="535" t="s">
        <v>440</v>
      </c>
      <c r="J1" s="536"/>
    </row>
    <row r="2" spans="1:10" ht="15" customHeight="1" x14ac:dyDescent="0.25">
      <c r="A2" s="532"/>
      <c r="B2" s="533"/>
      <c r="C2" s="533"/>
      <c r="D2" s="533"/>
      <c r="E2" s="533"/>
      <c r="F2" s="534"/>
      <c r="G2" s="526"/>
      <c r="H2" s="528"/>
      <c r="I2" s="526"/>
      <c r="J2" s="528"/>
    </row>
    <row r="3" spans="1:10" x14ac:dyDescent="0.25">
      <c r="A3" s="537" t="s">
        <v>415</v>
      </c>
      <c r="B3" s="549" t="s">
        <v>422</v>
      </c>
      <c r="C3" s="550"/>
      <c r="D3" s="538" t="s">
        <v>431</v>
      </c>
      <c r="E3" s="538"/>
      <c r="F3" s="537" t="s">
        <v>419</v>
      </c>
      <c r="G3" s="538" t="s">
        <v>420</v>
      </c>
      <c r="H3" s="538"/>
      <c r="I3" s="538" t="s">
        <v>421</v>
      </c>
      <c r="J3" s="538"/>
    </row>
    <row r="4" spans="1:10" ht="15" customHeight="1" x14ac:dyDescent="0.25">
      <c r="A4" s="537"/>
      <c r="B4" s="551"/>
      <c r="C4" s="552"/>
      <c r="D4" s="537" t="s">
        <v>417</v>
      </c>
      <c r="E4" s="537" t="s">
        <v>418</v>
      </c>
      <c r="F4" s="537"/>
      <c r="G4" s="537" t="s">
        <v>39</v>
      </c>
      <c r="H4" s="537" t="s">
        <v>40</v>
      </c>
      <c r="I4" s="537" t="s">
        <v>39</v>
      </c>
      <c r="J4" s="537" t="s">
        <v>40</v>
      </c>
    </row>
    <row r="5" spans="1:10" x14ac:dyDescent="0.25">
      <c r="A5" s="537"/>
      <c r="B5" s="553"/>
      <c r="C5" s="554"/>
      <c r="D5" s="537"/>
      <c r="E5" s="537"/>
      <c r="F5" s="537"/>
      <c r="G5" s="537"/>
      <c r="H5" s="537"/>
      <c r="I5" s="537"/>
      <c r="J5" s="537"/>
    </row>
    <row r="6" spans="1:10" x14ac:dyDescent="0.25">
      <c r="A6" s="52">
        <v>1</v>
      </c>
      <c r="B6" s="290" t="s">
        <v>423</v>
      </c>
      <c r="C6" s="285"/>
      <c r="D6" s="54">
        <v>1200</v>
      </c>
      <c r="E6" s="54">
        <v>900</v>
      </c>
      <c r="F6" s="54">
        <v>8</v>
      </c>
      <c r="G6" s="54">
        <v>300</v>
      </c>
      <c r="H6" s="54">
        <v>14</v>
      </c>
      <c r="I6" s="54">
        <f>G6</f>
        <v>300</v>
      </c>
      <c r="J6" s="54">
        <f>H6</f>
        <v>14</v>
      </c>
    </row>
    <row r="8" spans="1:10" x14ac:dyDescent="0.25">
      <c r="F8" s="542" t="s">
        <v>427</v>
      </c>
      <c r="G8" s="543"/>
      <c r="H8" s="544"/>
      <c r="I8" s="548" t="s">
        <v>425</v>
      </c>
      <c r="J8" s="548" t="s">
        <v>426</v>
      </c>
    </row>
    <row r="9" spans="1:10" x14ac:dyDescent="0.25">
      <c r="F9" s="545"/>
      <c r="G9" s="546"/>
      <c r="H9" s="547"/>
      <c r="I9" s="548"/>
      <c r="J9" s="548"/>
    </row>
    <row r="10" spans="1:10" x14ac:dyDescent="0.25">
      <c r="F10" s="541" t="s">
        <v>428</v>
      </c>
      <c r="G10" s="541"/>
      <c r="H10" s="541"/>
      <c r="I10" s="54">
        <v>25</v>
      </c>
      <c r="J10" s="54">
        <f>I10</f>
        <v>25</v>
      </c>
    </row>
    <row r="11" spans="1:10" x14ac:dyDescent="0.25">
      <c r="F11" s="541" t="s">
        <v>429</v>
      </c>
      <c r="G11" s="541"/>
      <c r="H11" s="541"/>
      <c r="I11" s="54">
        <v>25</v>
      </c>
      <c r="J11" s="54">
        <f t="shared" ref="J11:J15" si="0">I11</f>
        <v>25</v>
      </c>
    </row>
    <row r="12" spans="1:10" x14ac:dyDescent="0.25">
      <c r="F12" s="541" t="s">
        <v>430</v>
      </c>
      <c r="G12" s="541"/>
      <c r="H12" s="541"/>
      <c r="I12" s="54">
        <f>MAX(G6,I6)</f>
        <v>300</v>
      </c>
      <c r="J12" s="54">
        <f t="shared" si="0"/>
        <v>300</v>
      </c>
    </row>
    <row r="13" spans="1:10" x14ac:dyDescent="0.25">
      <c r="F13" s="541" t="s">
        <v>424</v>
      </c>
      <c r="G13" s="541"/>
      <c r="H13" s="541"/>
      <c r="I13" s="54">
        <v>18</v>
      </c>
      <c r="J13" s="54">
        <f t="shared" si="0"/>
        <v>18</v>
      </c>
    </row>
    <row r="14" spans="1:10" ht="15" customHeight="1" x14ac:dyDescent="0.25">
      <c r="F14" s="541" t="s">
        <v>86</v>
      </c>
      <c r="G14" s="541"/>
      <c r="H14" s="541"/>
      <c r="I14" s="54">
        <v>24</v>
      </c>
      <c r="J14" s="54">
        <f t="shared" si="0"/>
        <v>24</v>
      </c>
    </row>
    <row r="15" spans="1:10" ht="15" customHeight="1" x14ac:dyDescent="0.25">
      <c r="F15" s="541" t="s">
        <v>441</v>
      </c>
      <c r="G15" s="541"/>
      <c r="H15" s="541"/>
      <c r="I15" s="54">
        <v>10</v>
      </c>
      <c r="J15" s="54">
        <f t="shared" si="0"/>
        <v>10</v>
      </c>
    </row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:10" s="291" customFormat="1" x14ac:dyDescent="0.25"/>
    <row r="50" spans="1:10" ht="15" customHeight="1" x14ac:dyDescent="0.25">
      <c r="A50" s="529" t="s">
        <v>442</v>
      </c>
      <c r="B50" s="530"/>
      <c r="C50" s="530"/>
      <c r="D50" s="530"/>
      <c r="E50" s="530"/>
      <c r="F50" s="531"/>
      <c r="G50" s="535" t="s">
        <v>439</v>
      </c>
      <c r="H50" s="536"/>
      <c r="I50" s="535" t="s">
        <v>443</v>
      </c>
      <c r="J50" s="536"/>
    </row>
    <row r="51" spans="1:10" ht="15" customHeight="1" x14ac:dyDescent="0.25">
      <c r="A51" s="532"/>
      <c r="B51" s="533"/>
      <c r="C51" s="533"/>
      <c r="D51" s="533"/>
      <c r="E51" s="533"/>
      <c r="F51" s="534"/>
      <c r="G51" s="526"/>
      <c r="H51" s="528"/>
      <c r="I51" s="526"/>
      <c r="J51" s="528"/>
    </row>
    <row r="52" spans="1:10" x14ac:dyDescent="0.25">
      <c r="A52" s="537" t="s">
        <v>415</v>
      </c>
      <c r="B52" s="537" t="s">
        <v>422</v>
      </c>
      <c r="C52" s="537" t="s">
        <v>416</v>
      </c>
      <c r="D52" s="538" t="s">
        <v>431</v>
      </c>
      <c r="E52" s="538"/>
      <c r="F52" s="537" t="s">
        <v>419</v>
      </c>
      <c r="G52" s="538" t="s">
        <v>420</v>
      </c>
      <c r="H52" s="538"/>
      <c r="I52" s="538" t="s">
        <v>421</v>
      </c>
      <c r="J52" s="538"/>
    </row>
    <row r="53" spans="1:10" x14ac:dyDescent="0.25">
      <c r="A53" s="537"/>
      <c r="B53" s="537"/>
      <c r="C53" s="537"/>
      <c r="D53" s="537" t="s">
        <v>417</v>
      </c>
      <c r="E53" s="537" t="s">
        <v>418</v>
      </c>
      <c r="F53" s="537"/>
      <c r="G53" s="537" t="s">
        <v>39</v>
      </c>
      <c r="H53" s="537" t="s">
        <v>40</v>
      </c>
      <c r="I53" s="537" t="s">
        <v>39</v>
      </c>
      <c r="J53" s="537" t="s">
        <v>40</v>
      </c>
    </row>
    <row r="54" spans="1:10" x14ac:dyDescent="0.25">
      <c r="A54" s="537"/>
      <c r="B54" s="537"/>
      <c r="C54" s="537"/>
      <c r="D54" s="537"/>
      <c r="E54" s="537"/>
      <c r="F54" s="537"/>
      <c r="G54" s="537"/>
      <c r="H54" s="537"/>
      <c r="I54" s="537"/>
      <c r="J54" s="537"/>
    </row>
    <row r="55" spans="1:10" x14ac:dyDescent="0.25">
      <c r="A55" s="52">
        <v>1</v>
      </c>
      <c r="B55" s="54" t="s">
        <v>423</v>
      </c>
      <c r="C55" s="52">
        <v>0</v>
      </c>
      <c r="D55" s="54">
        <v>1200</v>
      </c>
      <c r="E55" s="54">
        <v>600</v>
      </c>
      <c r="F55" s="54">
        <f>F56</f>
        <v>12</v>
      </c>
      <c r="G55" s="54">
        <v>300</v>
      </c>
      <c r="H55" s="52">
        <f>H56</f>
        <v>14</v>
      </c>
      <c r="I55" s="54">
        <v>300</v>
      </c>
      <c r="J55" s="52">
        <f>J56</f>
        <v>14</v>
      </c>
    </row>
    <row r="56" spans="1:10" x14ac:dyDescent="0.25">
      <c r="A56" s="52">
        <v>2</v>
      </c>
      <c r="B56" s="62" t="str">
        <f>B55</f>
        <v>SB1</v>
      </c>
      <c r="C56" s="54">
        <v>6000</v>
      </c>
      <c r="D56" s="52">
        <f>E55</f>
        <v>600</v>
      </c>
      <c r="E56" s="54">
        <v>600</v>
      </c>
      <c r="F56" s="54">
        <v>12</v>
      </c>
      <c r="G56" s="54">
        <v>300</v>
      </c>
      <c r="H56" s="54">
        <v>14</v>
      </c>
      <c r="I56" s="54">
        <v>300</v>
      </c>
      <c r="J56" s="54">
        <v>14</v>
      </c>
    </row>
    <row r="58" spans="1:10" x14ac:dyDescent="0.25">
      <c r="A58" t="s">
        <v>447</v>
      </c>
      <c r="F58" s="542" t="s">
        <v>427</v>
      </c>
      <c r="G58" s="543"/>
      <c r="H58" s="544"/>
      <c r="I58" s="548" t="s">
        <v>425</v>
      </c>
      <c r="J58" s="548" t="s">
        <v>426</v>
      </c>
    </row>
    <row r="59" spans="1:10" x14ac:dyDescent="0.25">
      <c r="A59" s="283" t="s">
        <v>446</v>
      </c>
      <c r="F59" s="545"/>
      <c r="G59" s="546"/>
      <c r="H59" s="547"/>
      <c r="I59" s="548"/>
      <c r="J59" s="548"/>
    </row>
    <row r="60" spans="1:10" x14ac:dyDescent="0.25">
      <c r="A60" s="283" t="s">
        <v>448</v>
      </c>
      <c r="F60" s="541" t="s">
        <v>428</v>
      </c>
      <c r="G60" s="541"/>
      <c r="H60" s="541"/>
      <c r="I60" s="54">
        <v>25</v>
      </c>
      <c r="J60" s="54">
        <f>I60</f>
        <v>25</v>
      </c>
    </row>
    <row r="61" spans="1:10" x14ac:dyDescent="0.25">
      <c r="F61" s="541" t="s">
        <v>429</v>
      </c>
      <c r="G61" s="541"/>
      <c r="H61" s="541"/>
      <c r="I61" s="54">
        <v>25</v>
      </c>
      <c r="J61" s="54">
        <f t="shared" ref="J61:J65" si="1">I61</f>
        <v>25</v>
      </c>
    </row>
    <row r="62" spans="1:10" x14ac:dyDescent="0.25">
      <c r="F62" s="541" t="s">
        <v>430</v>
      </c>
      <c r="G62" s="541"/>
      <c r="H62" s="541"/>
      <c r="I62" s="54">
        <f>MAX(G56,I56)</f>
        <v>300</v>
      </c>
      <c r="J62" s="54">
        <f t="shared" si="1"/>
        <v>300</v>
      </c>
    </row>
    <row r="63" spans="1:10" x14ac:dyDescent="0.25">
      <c r="F63" s="541" t="s">
        <v>424</v>
      </c>
      <c r="G63" s="541"/>
      <c r="H63" s="541"/>
      <c r="I63" s="54">
        <v>14</v>
      </c>
      <c r="J63" s="54">
        <v>8</v>
      </c>
    </row>
    <row r="64" spans="1:10" x14ac:dyDescent="0.25">
      <c r="F64" s="541" t="s">
        <v>86</v>
      </c>
      <c r="G64" s="541"/>
      <c r="H64" s="541"/>
      <c r="I64" s="54">
        <v>24</v>
      </c>
      <c r="J64" s="54">
        <f t="shared" si="1"/>
        <v>24</v>
      </c>
    </row>
    <row r="65" spans="6:10" x14ac:dyDescent="0.25">
      <c r="F65" s="541" t="s">
        <v>441</v>
      </c>
      <c r="G65" s="541"/>
      <c r="H65" s="541"/>
      <c r="I65" s="54">
        <v>10</v>
      </c>
      <c r="J65" s="54">
        <f t="shared" si="1"/>
        <v>10</v>
      </c>
    </row>
    <row r="67" spans="6:10" hidden="1" x14ac:dyDescent="0.25"/>
    <row r="68" spans="6:10" hidden="1" x14ac:dyDescent="0.25"/>
    <row r="69" spans="6:10" hidden="1" x14ac:dyDescent="0.25"/>
    <row r="70" spans="6:10" hidden="1" x14ac:dyDescent="0.25"/>
    <row r="71" spans="6:10" hidden="1" x14ac:dyDescent="0.25"/>
    <row r="72" spans="6:10" hidden="1" x14ac:dyDescent="0.25"/>
    <row r="73" spans="6:10" hidden="1" x14ac:dyDescent="0.25"/>
    <row r="74" spans="6:10" hidden="1" x14ac:dyDescent="0.25"/>
    <row r="75" spans="6:10" hidden="1" x14ac:dyDescent="0.25"/>
    <row r="76" spans="6:10" hidden="1" x14ac:dyDescent="0.25"/>
    <row r="77" spans="6:10" hidden="1" x14ac:dyDescent="0.25"/>
    <row r="78" spans="6:10" hidden="1" x14ac:dyDescent="0.25"/>
    <row r="79" spans="6:10" hidden="1" x14ac:dyDescent="0.25"/>
    <row r="80" spans="6:1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1:10" hidden="1" x14ac:dyDescent="0.25"/>
    <row r="98" spans="1:10" hidden="1" x14ac:dyDescent="0.25"/>
    <row r="99" spans="1:10" s="291" customFormat="1" x14ac:dyDescent="0.25"/>
    <row r="100" spans="1:10" ht="15" customHeight="1" x14ac:dyDescent="0.25">
      <c r="A100" s="529" t="s">
        <v>444</v>
      </c>
      <c r="B100" s="530"/>
      <c r="C100" s="530"/>
      <c r="D100" s="530"/>
      <c r="E100" s="530"/>
      <c r="F100" s="531"/>
      <c r="G100" s="535" t="s">
        <v>439</v>
      </c>
      <c r="H100" s="536"/>
      <c r="I100" s="535" t="s">
        <v>445</v>
      </c>
      <c r="J100" s="536"/>
    </row>
    <row r="101" spans="1:10" ht="15" customHeight="1" x14ac:dyDescent="0.25">
      <c r="A101" s="532"/>
      <c r="B101" s="533"/>
      <c r="C101" s="533"/>
      <c r="D101" s="533"/>
      <c r="E101" s="533"/>
      <c r="F101" s="534"/>
      <c r="G101" s="526"/>
      <c r="H101" s="528"/>
      <c r="I101" s="526"/>
      <c r="J101" s="528"/>
    </row>
    <row r="102" spans="1:10" x14ac:dyDescent="0.25">
      <c r="A102" s="537" t="s">
        <v>415</v>
      </c>
      <c r="B102" s="537" t="s">
        <v>422</v>
      </c>
      <c r="C102" s="537" t="s">
        <v>416</v>
      </c>
      <c r="D102" s="538" t="s">
        <v>431</v>
      </c>
      <c r="E102" s="538"/>
      <c r="F102" s="537" t="s">
        <v>419</v>
      </c>
      <c r="G102" s="538" t="s">
        <v>420</v>
      </c>
      <c r="H102" s="538"/>
      <c r="I102" s="538" t="s">
        <v>421</v>
      </c>
      <c r="J102" s="538"/>
    </row>
    <row r="103" spans="1:10" ht="15" customHeight="1" x14ac:dyDescent="0.25">
      <c r="A103" s="537"/>
      <c r="B103" s="537"/>
      <c r="C103" s="537"/>
      <c r="D103" s="537" t="s">
        <v>417</v>
      </c>
      <c r="E103" s="537" t="s">
        <v>418</v>
      </c>
      <c r="F103" s="537"/>
      <c r="G103" s="537" t="s">
        <v>39</v>
      </c>
      <c r="H103" s="537" t="s">
        <v>40</v>
      </c>
      <c r="I103" s="537" t="s">
        <v>39</v>
      </c>
      <c r="J103" s="537" t="s">
        <v>40</v>
      </c>
    </row>
    <row r="104" spans="1:10" x14ac:dyDescent="0.25">
      <c r="A104" s="537"/>
      <c r="B104" s="537"/>
      <c r="C104" s="537"/>
      <c r="D104" s="537"/>
      <c r="E104" s="537"/>
      <c r="F104" s="537"/>
      <c r="G104" s="537"/>
      <c r="H104" s="537"/>
      <c r="I104" s="537"/>
      <c r="J104" s="537"/>
    </row>
    <row r="105" spans="1:10" x14ac:dyDescent="0.25">
      <c r="A105" s="52">
        <v>1</v>
      </c>
      <c r="B105" s="54" t="s">
        <v>423</v>
      </c>
      <c r="C105" s="52">
        <v>0</v>
      </c>
      <c r="D105" s="54">
        <v>1200</v>
      </c>
      <c r="E105" s="54">
        <v>900</v>
      </c>
      <c r="F105" s="54">
        <f>F106</f>
        <v>12</v>
      </c>
      <c r="G105" s="54">
        <v>300</v>
      </c>
      <c r="H105" s="52">
        <f>H106</f>
        <v>14</v>
      </c>
      <c r="I105" s="54">
        <v>300</v>
      </c>
      <c r="J105" s="52">
        <f>J106</f>
        <v>14</v>
      </c>
    </row>
    <row r="106" spans="1:10" x14ac:dyDescent="0.25">
      <c r="A106" s="52">
        <v>2</v>
      </c>
      <c r="B106" s="62" t="str">
        <f>B105</f>
        <v>SB1</v>
      </c>
      <c r="C106" s="54">
        <v>6000</v>
      </c>
      <c r="D106" s="52">
        <f>E105</f>
        <v>900</v>
      </c>
      <c r="E106" s="54">
        <v>900</v>
      </c>
      <c r="F106" s="54">
        <v>12</v>
      </c>
      <c r="G106" s="54">
        <v>300</v>
      </c>
      <c r="H106" s="54">
        <v>14</v>
      </c>
      <c r="I106" s="54">
        <v>300</v>
      </c>
      <c r="J106" s="54">
        <v>14</v>
      </c>
    </row>
    <row r="107" spans="1:10" x14ac:dyDescent="0.25">
      <c r="A107" s="52">
        <v>3</v>
      </c>
      <c r="B107" s="62" t="str">
        <f>B105</f>
        <v>SB1</v>
      </c>
      <c r="C107" s="52">
        <v>0</v>
      </c>
      <c r="D107" s="52">
        <f>E106</f>
        <v>900</v>
      </c>
      <c r="E107" s="54">
        <v>1200</v>
      </c>
      <c r="F107" s="54">
        <f>F106</f>
        <v>12</v>
      </c>
      <c r="G107" s="54">
        <v>300</v>
      </c>
      <c r="H107" s="52">
        <f>H106</f>
        <v>14</v>
      </c>
      <c r="I107" s="54">
        <v>300</v>
      </c>
      <c r="J107" s="52">
        <f>J106</f>
        <v>14</v>
      </c>
    </row>
    <row r="109" spans="1:10" x14ac:dyDescent="0.25">
      <c r="F109" s="542" t="s">
        <v>427</v>
      </c>
      <c r="G109" s="543"/>
      <c r="H109" s="544"/>
      <c r="I109" s="548" t="s">
        <v>425</v>
      </c>
      <c r="J109" s="548" t="s">
        <v>426</v>
      </c>
    </row>
    <row r="110" spans="1:10" x14ac:dyDescent="0.25">
      <c r="F110" s="545"/>
      <c r="G110" s="546"/>
      <c r="H110" s="547"/>
      <c r="I110" s="548"/>
      <c r="J110" s="548"/>
    </row>
    <row r="111" spans="1:10" x14ac:dyDescent="0.25">
      <c r="F111" s="541" t="s">
        <v>428</v>
      </c>
      <c r="G111" s="541"/>
      <c r="H111" s="541"/>
      <c r="I111" s="54">
        <v>25</v>
      </c>
      <c r="J111" s="54">
        <f>I111</f>
        <v>25</v>
      </c>
    </row>
    <row r="112" spans="1:10" x14ac:dyDescent="0.25">
      <c r="F112" s="541" t="s">
        <v>429</v>
      </c>
      <c r="G112" s="541"/>
      <c r="H112" s="541"/>
      <c r="I112" s="54">
        <v>25</v>
      </c>
      <c r="J112" s="54">
        <f t="shared" ref="J112:J116" si="2">I112</f>
        <v>25</v>
      </c>
    </row>
    <row r="113" spans="6:10" x14ac:dyDescent="0.25">
      <c r="F113" s="541" t="s">
        <v>430</v>
      </c>
      <c r="G113" s="541"/>
      <c r="H113" s="541"/>
      <c r="I113" s="54">
        <f>MAX(G105,I105)</f>
        <v>300</v>
      </c>
      <c r="J113" s="54">
        <f t="shared" si="2"/>
        <v>300</v>
      </c>
    </row>
    <row r="114" spans="6:10" x14ac:dyDescent="0.25">
      <c r="F114" s="541" t="s">
        <v>424</v>
      </c>
      <c r="G114" s="541"/>
      <c r="H114" s="541"/>
      <c r="I114" s="54">
        <v>18</v>
      </c>
      <c r="J114" s="54">
        <f t="shared" si="2"/>
        <v>18</v>
      </c>
    </row>
    <row r="115" spans="6:10" ht="15" customHeight="1" x14ac:dyDescent="0.25">
      <c r="F115" s="541" t="s">
        <v>86</v>
      </c>
      <c r="G115" s="541"/>
      <c r="H115" s="541"/>
      <c r="I115" s="54">
        <v>24</v>
      </c>
      <c r="J115" s="54">
        <f t="shared" si="2"/>
        <v>24</v>
      </c>
    </row>
    <row r="116" spans="6:10" ht="15" customHeight="1" x14ac:dyDescent="0.25">
      <c r="F116" s="541" t="s">
        <v>441</v>
      </c>
      <c r="G116" s="541"/>
      <c r="H116" s="541"/>
      <c r="I116" s="54">
        <v>10</v>
      </c>
      <c r="J116" s="54">
        <f t="shared" si="2"/>
        <v>10</v>
      </c>
    </row>
    <row r="118" spans="6:10" hidden="1" x14ac:dyDescent="0.25"/>
    <row r="119" spans="6:10" hidden="1" x14ac:dyDescent="0.25"/>
    <row r="120" spans="6:10" hidden="1" x14ac:dyDescent="0.25"/>
    <row r="121" spans="6:10" hidden="1" x14ac:dyDescent="0.25"/>
    <row r="122" spans="6:10" hidden="1" x14ac:dyDescent="0.25"/>
    <row r="123" spans="6:10" hidden="1" x14ac:dyDescent="0.25"/>
    <row r="124" spans="6:10" hidden="1" x14ac:dyDescent="0.25"/>
    <row r="125" spans="6:10" hidden="1" x14ac:dyDescent="0.25"/>
    <row r="126" spans="6:10" hidden="1" x14ac:dyDescent="0.25"/>
    <row r="127" spans="6:10" hidden="1" x14ac:dyDescent="0.25"/>
    <row r="128" spans="6:10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spans="1:18" hidden="1" x14ac:dyDescent="0.25"/>
    <row r="146" spans="1:18" hidden="1" x14ac:dyDescent="0.25"/>
    <row r="147" spans="1:18" hidden="1" x14ac:dyDescent="0.25"/>
    <row r="148" spans="1:18" hidden="1" x14ac:dyDescent="0.25"/>
    <row r="149" spans="1:18" s="291" customFormat="1" x14ac:dyDescent="0.25"/>
    <row r="150" spans="1:18" ht="15" customHeight="1" x14ac:dyDescent="0.25">
      <c r="A150" s="529" t="s">
        <v>480</v>
      </c>
      <c r="B150" s="530"/>
      <c r="C150" s="530"/>
      <c r="D150" s="530"/>
      <c r="E150" s="530"/>
      <c r="F150" s="531"/>
      <c r="G150" s="523" t="s">
        <v>439</v>
      </c>
      <c r="H150" s="524"/>
      <c r="I150" s="525"/>
      <c r="J150" s="535" t="s">
        <v>479</v>
      </c>
      <c r="K150" s="536"/>
      <c r="L150" s="555"/>
      <c r="M150" s="556"/>
      <c r="N150" s="556"/>
      <c r="O150" s="556"/>
      <c r="P150" s="556"/>
      <c r="Q150" s="556"/>
      <c r="R150" s="556"/>
    </row>
    <row r="151" spans="1:18" ht="15" customHeight="1" x14ac:dyDescent="0.25">
      <c r="A151" s="532"/>
      <c r="B151" s="533"/>
      <c r="C151" s="533"/>
      <c r="D151" s="533"/>
      <c r="E151" s="533"/>
      <c r="F151" s="534"/>
      <c r="G151" s="526"/>
      <c r="H151" s="527"/>
      <c r="I151" s="528"/>
      <c r="J151" s="526"/>
      <c r="K151" s="528"/>
      <c r="L151" s="555"/>
      <c r="M151" s="556"/>
      <c r="N151" s="556"/>
      <c r="O151" s="556"/>
      <c r="P151" s="556"/>
      <c r="Q151" s="556"/>
      <c r="R151" s="556"/>
    </row>
    <row r="152" spans="1:18" ht="15" customHeight="1" x14ac:dyDescent="0.25">
      <c r="A152" s="537" t="s">
        <v>415</v>
      </c>
      <c r="B152" s="537" t="s">
        <v>422</v>
      </c>
      <c r="C152" s="537" t="s">
        <v>416</v>
      </c>
      <c r="D152" s="538" t="s">
        <v>484</v>
      </c>
      <c r="E152" s="538"/>
      <c r="F152" s="538"/>
      <c r="G152" s="539" t="s">
        <v>38</v>
      </c>
      <c r="H152" s="539" t="s">
        <v>39</v>
      </c>
      <c r="I152" s="539" t="s">
        <v>22</v>
      </c>
      <c r="J152" s="539" t="s">
        <v>40</v>
      </c>
      <c r="K152" s="538" t="s">
        <v>485</v>
      </c>
      <c r="L152" s="538"/>
      <c r="M152" s="538"/>
    </row>
    <row r="153" spans="1:18" x14ac:dyDescent="0.25">
      <c r="A153" s="537"/>
      <c r="B153" s="537"/>
      <c r="C153" s="537"/>
      <c r="D153" s="537" t="s">
        <v>481</v>
      </c>
      <c r="E153" s="537" t="s">
        <v>25</v>
      </c>
      <c r="F153" s="537"/>
      <c r="G153" s="540"/>
      <c r="H153" s="540"/>
      <c r="I153" s="540"/>
      <c r="J153" s="540"/>
      <c r="K153" s="537" t="s">
        <v>481</v>
      </c>
      <c r="L153" s="537" t="s">
        <v>25</v>
      </c>
      <c r="M153" s="537"/>
    </row>
    <row r="154" spans="1:18" x14ac:dyDescent="0.25">
      <c r="A154" s="537"/>
      <c r="B154" s="537"/>
      <c r="C154" s="537"/>
      <c r="D154" s="537"/>
      <c r="E154" s="298" t="s">
        <v>435</v>
      </c>
      <c r="F154" s="297" t="s">
        <v>482</v>
      </c>
      <c r="G154" s="297" t="s">
        <v>43</v>
      </c>
      <c r="H154" s="297" t="s">
        <v>44</v>
      </c>
      <c r="I154" s="297" t="s">
        <v>23</v>
      </c>
      <c r="J154" s="297" t="s">
        <v>297</v>
      </c>
      <c r="K154" s="537"/>
      <c r="L154" s="298" t="s">
        <v>435</v>
      </c>
      <c r="M154" s="297" t="s">
        <v>482</v>
      </c>
    </row>
    <row r="155" spans="1:18" x14ac:dyDescent="0.25">
      <c r="A155" s="52">
        <f>IF(H155&gt;0,1,"")</f>
        <v>1</v>
      </c>
      <c r="B155" s="54" t="s">
        <v>373</v>
      </c>
      <c r="C155" s="52">
        <v>0</v>
      </c>
      <c r="D155" s="54">
        <v>20</v>
      </c>
      <c r="E155" s="54">
        <v>8</v>
      </c>
      <c r="F155" s="54">
        <v>20</v>
      </c>
      <c r="G155" s="54" t="s">
        <v>483</v>
      </c>
      <c r="H155" s="54">
        <v>200</v>
      </c>
      <c r="I155" s="54">
        <v>6</v>
      </c>
      <c r="J155" s="54">
        <v>10</v>
      </c>
      <c r="K155" s="54">
        <v>20</v>
      </c>
      <c r="L155" s="54">
        <v>8</v>
      </c>
      <c r="M155" s="54">
        <v>20</v>
      </c>
    </row>
    <row r="156" spans="1:18" x14ac:dyDescent="0.25">
      <c r="A156" s="52">
        <f>IF(H156&gt;0,A155+1,"")</f>
        <v>2</v>
      </c>
      <c r="B156" s="54" t="s">
        <v>374</v>
      </c>
      <c r="C156" s="54">
        <v>6000</v>
      </c>
      <c r="D156" s="52">
        <f>IF($A156="","",K155)</f>
        <v>20</v>
      </c>
      <c r="E156" s="52">
        <f t="shared" ref="E156:F156" si="3">IF($A156="","",L155)</f>
        <v>8</v>
      </c>
      <c r="F156" s="52">
        <f t="shared" si="3"/>
        <v>20</v>
      </c>
      <c r="G156" s="54">
        <v>500</v>
      </c>
      <c r="H156" s="54">
        <v>200</v>
      </c>
      <c r="I156" s="54">
        <v>6</v>
      </c>
      <c r="J156" s="54">
        <v>10</v>
      </c>
      <c r="K156" s="54">
        <v>20</v>
      </c>
      <c r="L156" s="54">
        <v>8</v>
      </c>
      <c r="M156" s="54">
        <v>20</v>
      </c>
    </row>
    <row r="157" spans="1:18" x14ac:dyDescent="0.25">
      <c r="A157" s="52">
        <f t="shared" ref="A157:A159" si="4">IF(H157&gt;0,A156+1,"")</f>
        <v>3</v>
      </c>
      <c r="B157" s="54" t="s">
        <v>375</v>
      </c>
      <c r="C157" s="54">
        <v>6000</v>
      </c>
      <c r="D157" s="52">
        <f t="shared" ref="D157:D159" si="5">IF($A157="","",K156)</f>
        <v>20</v>
      </c>
      <c r="E157" s="52">
        <f t="shared" ref="E157:E159" si="6">IF($A157="","",L156)</f>
        <v>8</v>
      </c>
      <c r="F157" s="52">
        <f t="shared" ref="F157:F159" si="7">IF($A157="","",M156)</f>
        <v>20</v>
      </c>
      <c r="G157" s="54">
        <v>500</v>
      </c>
      <c r="H157" s="54">
        <v>200</v>
      </c>
      <c r="I157" s="54">
        <v>6</v>
      </c>
      <c r="J157" s="54">
        <v>10</v>
      </c>
      <c r="K157" s="54">
        <v>20</v>
      </c>
      <c r="L157" s="54">
        <v>8</v>
      </c>
      <c r="M157" s="54">
        <v>20</v>
      </c>
    </row>
    <row r="158" spans="1:18" x14ac:dyDescent="0.25">
      <c r="A158" s="52" t="str">
        <f t="shared" si="4"/>
        <v/>
      </c>
      <c r="B158" s="52"/>
      <c r="C158" s="52"/>
      <c r="D158" s="52" t="str">
        <f t="shared" si="5"/>
        <v/>
      </c>
      <c r="E158" s="52" t="str">
        <f t="shared" si="6"/>
        <v/>
      </c>
      <c r="F158" s="52" t="str">
        <f t="shared" si="7"/>
        <v/>
      </c>
      <c r="G158" s="52"/>
      <c r="H158" s="52"/>
      <c r="I158" s="52"/>
      <c r="J158" s="52"/>
      <c r="K158" s="52"/>
      <c r="L158" s="52"/>
      <c r="M158" s="4"/>
    </row>
    <row r="159" spans="1:18" x14ac:dyDescent="0.25">
      <c r="A159" s="52" t="str">
        <f t="shared" si="4"/>
        <v/>
      </c>
      <c r="B159" s="52"/>
      <c r="C159" s="52"/>
      <c r="D159" s="52" t="str">
        <f t="shared" si="5"/>
        <v/>
      </c>
      <c r="E159" s="52" t="str">
        <f t="shared" si="6"/>
        <v/>
      </c>
      <c r="F159" s="52" t="str">
        <f t="shared" si="7"/>
        <v/>
      </c>
      <c r="G159" s="52"/>
      <c r="H159" s="52"/>
      <c r="I159" s="52"/>
      <c r="J159" s="52"/>
      <c r="K159" s="52"/>
      <c r="L159" s="52"/>
      <c r="M159" s="4"/>
    </row>
    <row r="160" spans="1:18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1:18" hidden="1" x14ac:dyDescent="0.25"/>
    <row r="194" spans="1:18" hidden="1" x14ac:dyDescent="0.25"/>
    <row r="195" spans="1:18" hidden="1" x14ac:dyDescent="0.25"/>
    <row r="196" spans="1:18" hidden="1" x14ac:dyDescent="0.25"/>
    <row r="197" spans="1:18" hidden="1" x14ac:dyDescent="0.25"/>
    <row r="198" spans="1:18" hidden="1" x14ac:dyDescent="0.25"/>
    <row r="199" spans="1:18" s="291" customFormat="1" x14ac:dyDescent="0.25"/>
    <row r="200" spans="1:18" x14ac:dyDescent="0.25">
      <c r="A200" s="529" t="s">
        <v>486</v>
      </c>
      <c r="B200" s="530"/>
      <c r="C200" s="530"/>
      <c r="D200" s="530"/>
      <c r="E200" s="530"/>
      <c r="F200" s="531"/>
      <c r="G200" s="523" t="s">
        <v>439</v>
      </c>
      <c r="H200" s="524"/>
      <c r="I200" s="525"/>
      <c r="J200" s="535"/>
      <c r="K200" s="536"/>
      <c r="L200" s="555"/>
      <c r="M200" s="556"/>
      <c r="N200" s="556"/>
      <c r="O200" s="556"/>
      <c r="P200" s="556"/>
      <c r="Q200" s="556"/>
      <c r="R200" s="556"/>
    </row>
    <row r="201" spans="1:18" x14ac:dyDescent="0.25">
      <c r="A201" s="532"/>
      <c r="B201" s="533"/>
      <c r="C201" s="533"/>
      <c r="D201" s="533"/>
      <c r="E201" s="533"/>
      <c r="F201" s="534"/>
      <c r="G201" s="526"/>
      <c r="H201" s="527"/>
      <c r="I201" s="528"/>
      <c r="J201" s="526"/>
      <c r="K201" s="528"/>
      <c r="L201" s="555"/>
      <c r="M201" s="556"/>
      <c r="N201" s="556"/>
      <c r="O201" s="556"/>
      <c r="P201" s="556"/>
      <c r="Q201" s="556"/>
      <c r="R201" s="556"/>
    </row>
    <row r="202" spans="1:18" hidden="1" x14ac:dyDescent="0.25">
      <c r="A202" s="537" t="s">
        <v>415</v>
      </c>
      <c r="B202" s="537" t="s">
        <v>422</v>
      </c>
      <c r="C202" s="537" t="s">
        <v>416</v>
      </c>
      <c r="D202" s="538" t="s">
        <v>484</v>
      </c>
      <c r="E202" s="538"/>
      <c r="F202" s="538"/>
      <c r="G202" s="539" t="s">
        <v>38</v>
      </c>
      <c r="H202" s="539" t="s">
        <v>39</v>
      </c>
      <c r="I202" s="539" t="s">
        <v>22</v>
      </c>
      <c r="J202" s="539" t="s">
        <v>40</v>
      </c>
      <c r="K202" s="538" t="s">
        <v>485</v>
      </c>
      <c r="L202" s="538"/>
      <c r="M202" s="538"/>
    </row>
    <row r="203" spans="1:18" hidden="1" x14ac:dyDescent="0.25">
      <c r="A203" s="537"/>
      <c r="B203" s="537"/>
      <c r="C203" s="537"/>
      <c r="D203" s="537" t="s">
        <v>481</v>
      </c>
      <c r="E203" s="537" t="s">
        <v>25</v>
      </c>
      <c r="F203" s="537"/>
      <c r="G203" s="540"/>
      <c r="H203" s="540"/>
      <c r="I203" s="540"/>
      <c r="J203" s="540"/>
      <c r="K203" s="537" t="s">
        <v>481</v>
      </c>
      <c r="L203" s="537" t="s">
        <v>25</v>
      </c>
      <c r="M203" s="537"/>
    </row>
    <row r="204" spans="1:18" hidden="1" x14ac:dyDescent="0.25">
      <c r="A204" s="537"/>
      <c r="B204" s="537"/>
      <c r="C204" s="537"/>
      <c r="D204" s="537"/>
      <c r="E204" s="298" t="s">
        <v>435</v>
      </c>
      <c r="F204" s="297" t="s">
        <v>482</v>
      </c>
      <c r="G204" s="297" t="s">
        <v>43</v>
      </c>
      <c r="H204" s="297" t="s">
        <v>44</v>
      </c>
      <c r="I204" s="297" t="s">
        <v>23</v>
      </c>
      <c r="J204" s="297" t="s">
        <v>297</v>
      </c>
      <c r="K204" s="537"/>
      <c r="L204" s="298" t="s">
        <v>435</v>
      </c>
      <c r="M204" s="297" t="s">
        <v>482</v>
      </c>
    </row>
    <row r="205" spans="1:18" hidden="1" x14ac:dyDescent="0.25">
      <c r="A205" s="52">
        <f>IF(H205&gt;0,1,"")</f>
        <v>1</v>
      </c>
      <c r="B205" s="54" t="s">
        <v>373</v>
      </c>
      <c r="C205" s="52">
        <v>0</v>
      </c>
      <c r="D205" s="54">
        <v>20</v>
      </c>
      <c r="E205" s="54">
        <v>8</v>
      </c>
      <c r="F205" s="54">
        <v>20</v>
      </c>
      <c r="G205" s="54" t="s">
        <v>483</v>
      </c>
      <c r="H205" s="54">
        <v>200</v>
      </c>
      <c r="I205" s="54">
        <v>6</v>
      </c>
      <c r="J205" s="54">
        <v>10</v>
      </c>
      <c r="K205" s="54">
        <v>20</v>
      </c>
      <c r="L205" s="54">
        <v>8</v>
      </c>
      <c r="M205" s="54">
        <v>20</v>
      </c>
    </row>
    <row r="206" spans="1:18" hidden="1" x14ac:dyDescent="0.25">
      <c r="A206" s="52">
        <f>IF(H206&gt;0,A205+1,"")</f>
        <v>2</v>
      </c>
      <c r="B206" s="54" t="s">
        <v>374</v>
      </c>
      <c r="C206" s="54">
        <v>6000</v>
      </c>
      <c r="D206" s="52">
        <f>IF($A206="","",K205)</f>
        <v>20</v>
      </c>
      <c r="E206" s="52">
        <f t="shared" ref="E206:E209" si="8">IF($A206="","",L205)</f>
        <v>8</v>
      </c>
      <c r="F206" s="52">
        <f t="shared" ref="F206:F209" si="9">IF($A206="","",M205)</f>
        <v>20</v>
      </c>
      <c r="G206" s="54">
        <v>500</v>
      </c>
      <c r="H206" s="54">
        <v>200</v>
      </c>
      <c r="I206" s="54">
        <v>6</v>
      </c>
      <c r="J206" s="54">
        <v>10</v>
      </c>
      <c r="K206" s="54">
        <v>20</v>
      </c>
      <c r="L206" s="54">
        <v>8</v>
      </c>
      <c r="M206" s="54">
        <v>20</v>
      </c>
    </row>
    <row r="207" spans="1:18" hidden="1" x14ac:dyDescent="0.25">
      <c r="A207" s="52">
        <f t="shared" ref="A207:A209" si="10">IF(H207&gt;0,A206+1,"")</f>
        <v>3</v>
      </c>
      <c r="B207" s="54" t="s">
        <v>375</v>
      </c>
      <c r="C207" s="54">
        <v>6000</v>
      </c>
      <c r="D207" s="52">
        <f t="shared" ref="D207:D209" si="11">IF($A207="","",K206)</f>
        <v>20</v>
      </c>
      <c r="E207" s="52">
        <f t="shared" si="8"/>
        <v>8</v>
      </c>
      <c r="F207" s="52">
        <f t="shared" si="9"/>
        <v>20</v>
      </c>
      <c r="G207" s="54">
        <v>500</v>
      </c>
      <c r="H207" s="54">
        <v>200</v>
      </c>
      <c r="I207" s="54">
        <v>6</v>
      </c>
      <c r="J207" s="54">
        <v>10</v>
      </c>
      <c r="K207" s="54">
        <v>20</v>
      </c>
      <c r="L207" s="54">
        <v>8</v>
      </c>
      <c r="M207" s="54">
        <v>20</v>
      </c>
    </row>
    <row r="208" spans="1:18" hidden="1" x14ac:dyDescent="0.25">
      <c r="A208" s="52" t="str">
        <f t="shared" si="10"/>
        <v/>
      </c>
      <c r="B208" s="52"/>
      <c r="C208" s="52"/>
      <c r="D208" s="52" t="str">
        <f t="shared" si="11"/>
        <v/>
      </c>
      <c r="E208" s="52" t="str">
        <f t="shared" si="8"/>
        <v/>
      </c>
      <c r="F208" s="52" t="str">
        <f t="shared" si="9"/>
        <v/>
      </c>
      <c r="G208" s="52"/>
      <c r="H208" s="52"/>
      <c r="I208" s="52"/>
      <c r="J208" s="52"/>
      <c r="K208" s="52"/>
      <c r="L208" s="52"/>
      <c r="M208" s="4"/>
    </row>
    <row r="209" spans="1:13" hidden="1" x14ac:dyDescent="0.25">
      <c r="A209" s="52" t="str">
        <f t="shared" si="10"/>
        <v/>
      </c>
      <c r="B209" s="52"/>
      <c r="C209" s="52"/>
      <c r="D209" s="52" t="str">
        <f t="shared" si="11"/>
        <v/>
      </c>
      <c r="E209" s="52" t="str">
        <f t="shared" si="8"/>
        <v/>
      </c>
      <c r="F209" s="52" t="str">
        <f t="shared" si="9"/>
        <v/>
      </c>
      <c r="G209" s="52"/>
      <c r="H209" s="52"/>
      <c r="I209" s="52"/>
      <c r="J209" s="52"/>
      <c r="K209" s="52"/>
      <c r="L209" s="52"/>
      <c r="M209" s="4"/>
    </row>
  </sheetData>
  <mergeCells count="108">
    <mergeCell ref="G103:G104"/>
    <mergeCell ref="H103:H104"/>
    <mergeCell ref="L203:M203"/>
    <mergeCell ref="A200:F201"/>
    <mergeCell ref="G200:I201"/>
    <mergeCell ref="J200:K201"/>
    <mergeCell ref="L200:R201"/>
    <mergeCell ref="A202:A204"/>
    <mergeCell ref="B202:B204"/>
    <mergeCell ref="C202:C204"/>
    <mergeCell ref="D202:F202"/>
    <mergeCell ref="G202:G203"/>
    <mergeCell ref="H202:H203"/>
    <mergeCell ref="I202:I203"/>
    <mergeCell ref="J202:J203"/>
    <mergeCell ref="K202:M202"/>
    <mergeCell ref="D203:D204"/>
    <mergeCell ref="E203:F203"/>
    <mergeCell ref="K203:K204"/>
    <mergeCell ref="L150:R151"/>
    <mergeCell ref="G152:G153"/>
    <mergeCell ref="H152:H153"/>
    <mergeCell ref="I152:I153"/>
    <mergeCell ref="A152:A154"/>
    <mergeCell ref="E4:E5"/>
    <mergeCell ref="G4:G5"/>
    <mergeCell ref="H4:H5"/>
    <mergeCell ref="I4:I5"/>
    <mergeCell ref="J4:J5"/>
    <mergeCell ref="I1:J2"/>
    <mergeCell ref="F111:H111"/>
    <mergeCell ref="G102:H102"/>
    <mergeCell ref="I102:J102"/>
    <mergeCell ref="I8:I9"/>
    <mergeCell ref="J8:J9"/>
    <mergeCell ref="F10:H10"/>
    <mergeCell ref="F11:H11"/>
    <mergeCell ref="F12:H12"/>
    <mergeCell ref="F13:H13"/>
    <mergeCell ref="F14:H14"/>
    <mergeCell ref="A1:F2"/>
    <mergeCell ref="G1:H2"/>
    <mergeCell ref="B3:C5"/>
    <mergeCell ref="F8:H9"/>
    <mergeCell ref="F60:H60"/>
    <mergeCell ref="F61:H61"/>
    <mergeCell ref="C102:C104"/>
    <mergeCell ref="F109:H110"/>
    <mergeCell ref="A3:A5"/>
    <mergeCell ref="D3:E3"/>
    <mergeCell ref="F3:F5"/>
    <mergeCell ref="G3:H3"/>
    <mergeCell ref="I58:I59"/>
    <mergeCell ref="J58:J59"/>
    <mergeCell ref="I52:J52"/>
    <mergeCell ref="I53:I54"/>
    <mergeCell ref="J53:J54"/>
    <mergeCell ref="F15:H15"/>
    <mergeCell ref="A52:A54"/>
    <mergeCell ref="B52:B54"/>
    <mergeCell ref="C52:C54"/>
    <mergeCell ref="D52:E52"/>
    <mergeCell ref="F52:F54"/>
    <mergeCell ref="G52:H52"/>
    <mergeCell ref="D53:D54"/>
    <mergeCell ref="E53:E54"/>
    <mergeCell ref="G53:G54"/>
    <mergeCell ref="H53:H54"/>
    <mergeCell ref="A50:F51"/>
    <mergeCell ref="G50:H51"/>
    <mergeCell ref="I3:J3"/>
    <mergeCell ref="D4:D5"/>
    <mergeCell ref="I50:J51"/>
    <mergeCell ref="F116:H116"/>
    <mergeCell ref="A100:F101"/>
    <mergeCell ref="G100:H101"/>
    <mergeCell ref="I100:J101"/>
    <mergeCell ref="F62:H62"/>
    <mergeCell ref="F63:H63"/>
    <mergeCell ref="F64:H64"/>
    <mergeCell ref="F65:H65"/>
    <mergeCell ref="A102:A104"/>
    <mergeCell ref="F112:H112"/>
    <mergeCell ref="B102:B104"/>
    <mergeCell ref="F113:H113"/>
    <mergeCell ref="F115:H115"/>
    <mergeCell ref="F114:H114"/>
    <mergeCell ref="F58:H59"/>
    <mergeCell ref="I109:I110"/>
    <mergeCell ref="J109:J110"/>
    <mergeCell ref="I103:I104"/>
    <mergeCell ref="J103:J104"/>
    <mergeCell ref="F102:F104"/>
    <mergeCell ref="E103:E104"/>
    <mergeCell ref="D103:D104"/>
    <mergeCell ref="D102:E102"/>
    <mergeCell ref="G150:I151"/>
    <mergeCell ref="A150:F151"/>
    <mergeCell ref="J150:K151"/>
    <mergeCell ref="B152:B154"/>
    <mergeCell ref="C152:C154"/>
    <mergeCell ref="D153:D154"/>
    <mergeCell ref="E153:F153"/>
    <mergeCell ref="D152:F152"/>
    <mergeCell ref="K152:M152"/>
    <mergeCell ref="K153:K154"/>
    <mergeCell ref="L153:M153"/>
    <mergeCell ref="J152:J153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VKDH1</vt:lpstr>
      <vt:lpstr>VKDH2</vt:lpstr>
      <vt:lpstr>VK</vt:lpstr>
      <vt:lpstr>VK3</vt:lpstr>
      <vt:lpstr>LK</vt:lpstr>
      <vt:lpstr>VD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2026-05-31T09:01:14Z</dcterms:modified>
</cp:coreProperties>
</file>