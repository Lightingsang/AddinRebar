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0000001_{2A4FA505-B005-4E99-9A1B-6E47227D6D4A}" xr6:coauthVersionLast="47" xr6:coauthVersionMax="47" xr10:uidLastSave="{00000000-0000-0000-0000-000000000000}"/>
  <bookViews>
    <workbookView xWindow="-120" yWindow="-120" windowWidth="29040" windowHeight="15720" activeTab="2" xr2:uid="{C9D4C48D-97A8-4AE7-8322-404086A89441}"/>
  </bookViews>
  <sheets>
    <sheet name="Bang tra" sheetId="2" r:id="rId1"/>
    <sheet name="Cal" sheetId="1" state="hidden" r:id="rId2"/>
    <sheet name="TCVN" sheetId="3" r:id="rId3"/>
  </sheets>
  <definedNames>
    <definedName name="_xleta.T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2" i="3" l="1"/>
  <c r="J12" i="3" a="1"/>
  <c r="J12" i="3" s="1"/>
  <c r="J18" i="3" s="1"/>
  <c r="B19" i="3"/>
  <c r="B18" i="3"/>
  <c r="B14" i="3"/>
  <c r="J11" i="3"/>
  <c r="B11" i="3"/>
  <c r="B10" i="3"/>
  <c r="B8" i="3"/>
  <c r="B6" i="3"/>
  <c r="B5" i="3"/>
  <c r="J1" i="3"/>
  <c r="J19" i="1" a="1"/>
  <c r="J19" i="1" s="1"/>
  <c r="J34" i="1" s="1"/>
  <c r="J1" i="1"/>
  <c r="B32" i="1"/>
  <c r="B31" i="1"/>
  <c r="B30" i="1"/>
  <c r="J29" i="1"/>
  <c r="B11" i="1"/>
  <c r="B35" i="1"/>
  <c r="B34" i="1"/>
  <c r="B15" i="1"/>
  <c r="B21" i="1"/>
  <c r="J20" i="1"/>
  <c r="B20" i="1"/>
  <c r="B19" i="1"/>
  <c r="J18" i="1"/>
  <c r="B18" i="1"/>
  <c r="B17" i="1"/>
  <c r="B14" i="1"/>
  <c r="B13" i="1"/>
  <c r="B12" i="1"/>
  <c r="B10" i="1"/>
  <c r="B9" i="1"/>
  <c r="B7" i="1"/>
  <c r="B6" i="1"/>
  <c r="B5" i="1"/>
  <c r="B23" i="1"/>
  <c r="J19" i="3" l="1"/>
  <c r="C20" i="3" s="1"/>
  <c r="J35" i="1"/>
  <c r="K35" i="1" s="1"/>
  <c r="J21" i="1"/>
  <c r="J30" i="1" s="1"/>
  <c r="J31" i="1" s="1"/>
  <c r="K19" i="3" l="1"/>
  <c r="J32" i="1"/>
  <c r="K32" i="1" l="1"/>
  <c r="C36" i="1"/>
  <c r="J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</authors>
  <commentList>
    <comment ref="A3" authorId="0" shapeId="0" xr:uid="{1F399469-21F5-4147-98A9-9E207D4E11D9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Source: 003_HUONG DAN THIET KE KET CAU THEP THEO TCXDVN 5575-2024.pdf, uploaded 2026-10-04. Bảng Q.2 (Phụ lục Q), Bảng 5.4, 5.5, 5.6 (mục 5.3). Uploaded file.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<sst xmlns="http://schemas.openxmlformats.org/spreadsheetml/2006/main" count="134" uniqueCount="90">
  <si>
    <t>BẢNG TRA – THÔNG SỐ CÁP VÀ HỆ SỐ (Hướng dẫn thiết kế KCT theo TCVN 5575:2024)</t>
  </si>
  <si>
    <t>Bảng Q.2 – Cáp thép hai lớp kiểu LK–O, cấu tạo 6×7(1+6)+1×7(1+6) theo GOST 3066–80</t>
  </si>
  <si>
    <t>Đường kính cáp d (mm)</t>
  </si>
  <si>
    <t>Diện tích tổng các sợi A (mm²)</t>
  </si>
  <si>
    <t>Khối lượng 1000 m (kg)</t>
  </si>
  <si>
    <t>N_t tổng các sợi (N)</t>
  </si>
  <si>
    <t>N_un toàn bộ cáp (N)</t>
  </si>
  <si>
    <t>Hàng 3: ký hiệu nhóm (giới hạn bền), N/mm². Ô trống = không có cáp ở nhóm đó.</t>
  </si>
  <si>
    <t>Bảng 5.6 – Hệ số độ bền hợp thành k</t>
  </si>
  <si>
    <t>Dạng cáp (bó)</t>
  </si>
  <si>
    <t>k</t>
  </si>
  <si>
    <t>Từ các sợi song song</t>
  </si>
  <si>
    <t>Xoắn kín</t>
  </si>
  <si>
    <t>Xoắn từ các sợi tròn</t>
  </si>
  <si>
    <t>Nhiều tao</t>
  </si>
  <si>
    <t>Mục 5.3.6 – Cách xác định cường độ tiêu chuẩn f_un</t>
  </si>
  <si>
    <t>Phương pháp</t>
  </si>
  <si>
    <t>Công thức</t>
  </si>
  <si>
    <t>a) Theo lực giật đứt toàn bộ cáp N_un</t>
  </si>
  <si>
    <t>f_un = N_un / A  (5.2)</t>
  </si>
  <si>
    <t>b) Theo tổng lực giật đứt các sợi N_t</t>
  </si>
  <si>
    <t>f_un = k·N_t / A  (5.3)</t>
  </si>
  <si>
    <t>c) Theo giới hạn bền kéo của sợi f_unj</t>
  </si>
  <si>
    <t>f_un = k·f_unj  (5.4)</t>
  </si>
  <si>
    <t>Bảng 5.4 – Hệ số điều kiện làm việc γc</t>
  </si>
  <si>
    <t>Cấu kiện kết cấu</t>
  </si>
  <si>
    <t>γc</t>
  </si>
  <si>
    <t>1. Cáp, cáp kéo, cáp giằng và cấu kiện cáp khác của kết cấu kéo dài theo tuyến (trừ điểm 3)</t>
  </si>
  <si>
    <t>0,85</t>
  </si>
  <si>
    <t>2. Phần tử cáp của mái treo không gian và mái có cáp chịu kéo (trừ điểm 3)</t>
  </si>
  <si>
    <t>0,95</t>
  </si>
  <si>
    <t>3. Đai gió, thanh kéo, thanh giằng, cáp ngược và phần tử cáp có ứng suất trước vượt ứng suất do tải ngoài</t>
  </si>
  <si>
    <t>1,00</t>
  </si>
  <si>
    <t>4. Thanh giằng trụ và phần tử chịu lực của kết cấu trụ ăng ten</t>
  </si>
  <si>
    <t>0,80 ÷ 0,95</t>
  </si>
  <si>
    <t>Cáp treo trong nhà (Ví dụ 5.2, 5.3 – TCVN 5575:2024 Bảng 1, điểm 5)</t>
  </si>
  <si>
    <t>0,90</t>
  </si>
  <si>
    <t>Bảng 5.5 – Hệ số γk (tập trung ứng suất cục bộ)</t>
  </si>
  <si>
    <t>Nút và chi tiết cấu kiện cáp</t>
  </si>
  <si>
    <t>γk</t>
  </si>
  <si>
    <t>1a. Cố định đầu bằng đổ hợp kim kẽm – cáp kín</t>
  </si>
  <si>
    <t>1b. Đổ hợp kim kẽm – cáp xoắn ốc và nhiều tao từ sợi tròn</t>
  </si>
  <si>
    <t>2. Đổ hỗn hợp nguội (epoxi + bột kẽm + thép vụn) kết hợp tán/đập bẹt đầu sợi</t>
  </si>
  <si>
    <t>3. Nêm thép trong cốc hình côn với đệm nhôm, chèn epoxi</t>
  </si>
  <si>
    <t>4a. Bẻ cong quanh gối cứng, r/d ≥ 30 (cáp kín), 25 (xoắn sợi tròn), 20 (nhiều tao)</t>
  </si>
  <si>
    <t>4b. Bẻ cong quanh gối cứng, r/d &lt; 20 (cáp kín), 15 (xoắn sợi tròn), 12 (nhiều tao)</t>
  </si>
  <si>
    <t>5. Nút với lực kẹp ngang cáp kín q ≤ 25 kN/cm; q = N/r + ΣN_b/L</t>
  </si>
  <si>
    <t>6. Cố định đầu dạng ống kẹp</t>
  </si>
  <si>
    <t>Ghi chú: không dùng giải pháp cấu tạo yêu cầu γk &lt; 0,85 (trừ nút đặc biệt trụ ăng ten)</t>
  </si>
  <si>
    <t>kN</t>
  </si>
  <si>
    <t>mm</t>
  </si>
  <si>
    <t>MPa</t>
  </si>
  <si>
    <t>Ký hiệu nhóm →</t>
  </si>
  <si>
    <t>sợi</t>
  </si>
  <si>
    <t>A. THÔNG TIN THIẾT KẾ</t>
  </si>
  <si>
    <t>D =</t>
  </si>
  <si>
    <t>B. QUY TRÌNH TÍNH TOÁN</t>
  </si>
  <si>
    <t>THUYẾT MINH TÍNH TOÁN CÁP</t>
  </si>
  <si>
    <t xml:space="preserve">N = </t>
  </si>
  <si>
    <t>1. Thông tin cáp</t>
  </si>
  <si>
    <t>n =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</si>
  <si>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u</t>
    </r>
    <r>
      <rPr>
        <sz val="10"/>
        <color theme="1"/>
        <rFont val="Aptos Narrow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</si>
  <si>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m</t>
    </r>
    <r>
      <rPr>
        <sz val="10"/>
        <color theme="1"/>
        <rFont val="Aptos Narrow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</si>
  <si>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c</t>
    </r>
    <r>
      <rPr>
        <sz val="10"/>
        <color theme="1"/>
        <rFont val="Aptos Narrow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</si>
  <si>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k</t>
    </r>
    <r>
      <rPr>
        <sz val="10"/>
        <color theme="1"/>
        <rFont val="Aptos Narrow"/>
        <family val="2"/>
        <scheme val="minor"/>
      </rPr>
      <t xml:space="preserve"> =</t>
    </r>
  </si>
  <si>
    <t>k =</t>
  </si>
  <si>
    <t>2. Hệ số tính toán</t>
  </si>
  <si>
    <t>3. Thông số cáp</t>
  </si>
  <si>
    <t>A =</t>
  </si>
  <si>
    <r>
      <t>mm</t>
    </r>
    <r>
      <rPr>
        <vertAlign val="superscript"/>
        <sz val="11"/>
        <color theme="1"/>
        <rFont val="Aptos Narrow"/>
        <family val="2"/>
        <scheme val="minor"/>
      </rPr>
      <t>2</t>
    </r>
  </si>
  <si>
    <r>
      <t>N</t>
    </r>
    <r>
      <rPr>
        <vertAlign val="subscript"/>
        <sz val="10"/>
        <color theme="1"/>
        <rFont val="Aptos Narrow"/>
        <family val="2"/>
        <scheme val="minor"/>
      </rPr>
      <t>un</t>
    </r>
    <r>
      <rPr>
        <sz val="10"/>
        <color theme="1"/>
        <rFont val="Aptos Narrow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</si>
  <si>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Aptos Narrow"/>
        <family val="2"/>
        <scheme val="minor"/>
      </rPr>
      <t>t</t>
    </r>
    <r>
      <rPr>
        <sz val="10"/>
        <color theme="1"/>
        <rFont val="Aptos Narrow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</si>
  <si>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Aptos Narrow"/>
        <family val="2"/>
        <scheme val="minor"/>
      </rPr>
      <t>un</t>
    </r>
    <r>
      <rPr>
        <sz val="10"/>
        <color theme="1"/>
        <rFont val="Aptos Narrow"/>
        <family val="2"/>
        <scheme val="minor"/>
      </rPr>
      <t xml:space="preserve"> =</t>
    </r>
  </si>
  <si>
    <t>4. Nội lực cấu kiện</t>
  </si>
  <si>
    <r>
      <t>[N</t>
    </r>
    <r>
      <rPr>
        <vertAlign val="subscript"/>
        <sz val="10"/>
        <color theme="1"/>
        <rFont val="Aptos Narrow"/>
        <family val="2"/>
        <scheme val="minor"/>
      </rPr>
      <t>un</t>
    </r>
    <r>
      <rPr>
        <sz val="10"/>
        <color theme="1"/>
        <rFont val="Aptos Narrow"/>
        <family val="2"/>
        <scheme val="minor"/>
      </rPr>
      <t xml:space="preserve"> /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m</t>
    </r>
    <r>
      <rPr>
        <sz val="10"/>
        <color theme="1"/>
        <rFont val="Aptos Narrow"/>
        <family val="2"/>
        <scheme val="minor"/>
      </rPr>
      <t>]=</t>
    </r>
  </si>
  <si>
    <r>
      <t>N / [N</t>
    </r>
    <r>
      <rPr>
        <vertAlign val="subscript"/>
        <sz val="10"/>
        <color theme="1"/>
        <rFont val="Aptos Narrow"/>
        <family val="2"/>
        <scheme val="minor"/>
      </rPr>
      <t>un</t>
    </r>
    <r>
      <rPr>
        <sz val="10"/>
        <color theme="1"/>
        <rFont val="Aptos Narrow"/>
        <family val="2"/>
        <scheme val="minor"/>
      </rPr>
      <t xml:space="preserve"> /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m</t>
    </r>
    <r>
      <rPr>
        <sz val="10"/>
        <color theme="1"/>
        <rFont val="Aptos Narrow"/>
        <family val="2"/>
        <scheme val="minor"/>
      </rPr>
      <t>]=</t>
    </r>
  </si>
  <si>
    <r>
      <t>f</t>
    </r>
    <r>
      <rPr>
        <vertAlign val="subscript"/>
        <sz val="10"/>
        <color theme="1"/>
        <rFont val="Aptos Narrow"/>
        <family val="2"/>
        <scheme val="minor"/>
      </rPr>
      <t>u</t>
    </r>
    <r>
      <rPr>
        <sz val="10"/>
        <color theme="1"/>
        <rFont val="Aptos Narrow"/>
        <family val="2"/>
        <scheme val="minor"/>
      </rPr>
      <t xml:space="preserve"> =</t>
    </r>
  </si>
  <si>
    <t>Tài liệu tham khảo</t>
  </si>
  <si>
    <t xml:space="preserve">1. SP 294.1325800.2017, Конструкции стальные. Правила проектирования (с 
Изменением N 1, N 2, N 3). </t>
  </si>
  <si>
    <t>2. TCVN 5575:2024 Thiết kế kết cấu thép</t>
  </si>
  <si>
    <t>1. Tính toán theo tài liệu SP 294.1325800.2017</t>
  </si>
  <si>
    <t>2. Tính toán theo TCVN 5575:2024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</si>
  <si>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n</t>
    </r>
    <r>
      <rPr>
        <sz val="10"/>
        <color theme="1"/>
        <rFont val="Aptos Narrow"/>
        <family val="2"/>
        <scheme val="minor"/>
      </rPr>
      <t xml:space="preserve"> =</t>
    </r>
  </si>
  <si>
    <t xml:space="preserve"> - Hệ số tổng hợp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</si>
  <si>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c</t>
    </r>
    <r>
      <rPr>
        <sz val="10"/>
        <color theme="1"/>
        <rFont val="Aptos Narrow"/>
        <family val="2"/>
        <scheme val="minor"/>
      </rPr>
      <t xml:space="preserve">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k</t>
    </r>
    <r>
      <rPr>
        <sz val="10"/>
        <color theme="1"/>
        <rFont val="Aptos Narrow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Aptos Narrow"/>
        <family val="2"/>
        <scheme val="minor"/>
      </rPr>
      <t>u</t>
    </r>
    <r>
      <rPr>
        <sz val="10"/>
        <color theme="1"/>
        <rFont val="Aptos Narrow"/>
        <family val="2"/>
        <scheme val="minor"/>
      </rPr>
      <t xml:space="preserve">.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m</t>
    </r>
    <r>
      <rPr>
        <sz val="10"/>
        <color theme="1"/>
        <rFont val="Symbol"/>
        <family val="1"/>
        <charset val="2"/>
      </rPr>
      <t>. g</t>
    </r>
    <r>
      <rPr>
        <vertAlign val="subscript"/>
        <sz val="10"/>
        <color theme="1"/>
        <rFont val="Aptos Narrow"/>
        <family val="2"/>
        <scheme val="minor"/>
      </rPr>
      <t>n</t>
    </r>
    <r>
      <rPr>
        <sz val="10"/>
        <color theme="1"/>
        <rFont val="Aptos Narrow"/>
        <family val="2"/>
        <scheme val="minor"/>
      </rPr>
      <t>)=</t>
    </r>
  </si>
  <si>
    <t>[N/A] =</t>
  </si>
  <si>
    <r>
      <t>N</t>
    </r>
    <r>
      <rPr>
        <vertAlign val="subscript"/>
        <sz val="10"/>
        <color theme="1"/>
        <rFont val="Aptos Narrow"/>
        <family val="2"/>
        <scheme val="minor"/>
      </rPr>
      <t>ult</t>
    </r>
    <r>
      <rPr>
        <sz val="10"/>
        <color theme="1"/>
        <rFont val="Aptos Narrow"/>
        <family val="2"/>
        <scheme val="minor"/>
      </rPr>
      <t xml:space="preserve"> =</t>
    </r>
  </si>
  <si>
    <t>Kết luận:</t>
  </si>
  <si>
    <t>THUYẾT MINH TÍNH TOÁN CÁP THEO TCVN 5575:2024</t>
  </si>
  <si>
    <t>Tính toán theo TCVN 5575:2024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</si>
</sst>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;\-#,##0;&quot;–&quot;"/>
  </numFmts>
  <fonts count="2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0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0"/>
      <color rgb="FF0070C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rgb="FF0070C0"/>
      <name val="Aptos Narrow"/>
      <family val="2"/>
      <scheme val="minor"/>
    </font>
    <font>
      <sz val="10"/>
      <color rgb="FF0000CC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sz val="10"/>
      <color theme="1"/>
      <name val="Symbol"/>
      <family val="1"/>
      <charset val="2"/>
    </font>
    <font>
      <vertAlign val="subscript"/>
      <sz val="10"/>
      <color theme="1"/>
      <name val="Calibri"/>
      <family val="2"/>
    </font>
    <font>
      <sz val="10"/>
      <color theme="1"/>
      <name val="Aptos Narrow"/>
      <family val="1"/>
      <charset val="2"/>
      <scheme val="minor"/>
    </font>
    <font>
      <b/>
      <u/>
      <sz val="10"/>
      <color rgb="FFFF0000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2" fillId="0" borderId="0" xfId="0" applyFont="1"/>
    <xf numFmtId="0" fontId="3" fillId="0" borderId="0" xfId="0" applyFont="1"/>
    <xf numFmtId="0" fontId="5" fillId="0" borderId="0" xfId="0" applyFont="1"/>
    <xf numFmtId="0" fontId="1" fillId="0" borderId="0" xfId="0" applyFont="1"/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vertical="top"/>
    </xf>
    <xf numFmtId="0" fontId="12" fillId="4" borderId="11" xfId="0" applyFont="1" applyFill="1" applyBorder="1" applyAlignment="1">
      <alignment horizontal="left" indent="1"/>
    </xf>
    <xf numFmtId="0" fontId="11" fillId="4" borderId="11" xfId="0" applyFont="1" applyFill="1" applyBorder="1" applyAlignment="1">
      <alignment horizontal="left" vertical="top" indent="2"/>
    </xf>
    <xf numFmtId="0" fontId="11" fillId="4" borderId="10" xfId="0" applyFont="1" applyFill="1" applyBorder="1"/>
    <xf numFmtId="0" fontId="19" fillId="4" borderId="10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left" indent="1"/>
    </xf>
    <xf numFmtId="0" fontId="11" fillId="4" borderId="13" xfId="0" applyFont="1" applyFill="1" applyBorder="1" applyAlignment="1">
      <alignment horizontal="right" vertical="top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left" vertical="center"/>
    </xf>
    <xf numFmtId="0" fontId="10" fillId="5" borderId="9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center"/>
    </xf>
    <xf numFmtId="0" fontId="11" fillId="4" borderId="11" xfId="0" quotePrefix="1" applyFont="1" applyFill="1" applyBorder="1" applyAlignment="1">
      <alignment horizontal="left" vertical="top" indent="2"/>
    </xf>
    <xf numFmtId="0" fontId="11" fillId="4" borderId="0" xfId="0" applyFont="1" applyFill="1" applyBorder="1" applyAlignment="1">
      <alignment vertical="top"/>
    </xf>
    <xf numFmtId="0" fontId="11" fillId="4" borderId="0" xfId="0" applyFont="1" applyFill="1" applyBorder="1"/>
    <xf numFmtId="0" fontId="13" fillId="4" borderId="0" xfId="0" applyFont="1" applyFill="1" applyBorder="1" applyAlignment="1">
      <alignment vertical="top"/>
    </xf>
    <xf numFmtId="0" fontId="11" fillId="4" borderId="0" xfId="0" applyFont="1" applyFill="1" applyBorder="1" applyAlignment="1">
      <alignment horizontal="right" vertical="top"/>
    </xf>
    <xf numFmtId="0" fontId="14" fillId="4" borderId="0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right" vertical="center"/>
    </xf>
    <xf numFmtId="0" fontId="0" fillId="0" borderId="0" xfId="0" applyBorder="1"/>
    <xf numFmtId="0" fontId="0" fillId="0" borderId="10" xfId="0" applyBorder="1"/>
    <xf numFmtId="0" fontId="18" fillId="4" borderId="0" xfId="0" applyFont="1" applyFill="1" applyBorder="1" applyAlignment="1">
      <alignment horizontal="right" vertical="top"/>
    </xf>
    <xf numFmtId="0" fontId="11" fillId="4" borderId="0" xfId="0" applyFont="1" applyFill="1" applyBorder="1" applyAlignment="1">
      <alignment horizontal="center" vertical="center"/>
    </xf>
    <xf numFmtId="1" fontId="11" fillId="4" borderId="0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Border="1" applyAlignment="1">
      <alignment horizontal="center" vertical="center"/>
    </xf>
    <xf numFmtId="2" fontId="11" fillId="4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21" fillId="0" borderId="11" xfId="0" applyFont="1" applyBorder="1"/>
    <xf numFmtId="0" fontId="12" fillId="4" borderId="0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left" vertical="top" indent="2"/>
    </xf>
    <xf numFmtId="0" fontId="0" fillId="0" borderId="13" xfId="0" applyBorder="1"/>
    <xf numFmtId="0" fontId="0" fillId="0" borderId="14" xfId="0" applyBorder="1"/>
    <xf numFmtId="2" fontId="0" fillId="0" borderId="0" xfId="0" applyNumberFormat="1" applyBorder="1" applyAlignment="1">
      <alignment horizontal="center" vertical="center"/>
    </xf>
    <xf numFmtId="1" fontId="14" fillId="4" borderId="0" xfId="0" applyNumberFormat="1" applyFont="1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19" fillId="4" borderId="14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146537</xdr:rowOff>
    </xdr:from>
    <xdr:to>
      <xdr:col>10</xdr:col>
      <xdr:colOff>352090</xdr:colOff>
      <xdr:row>54</xdr:row>
      <xdr:rowOff>51051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243275-F436-A741-CAEF-4D70A0825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968"/>
        <a:stretch>
          <a:fillRect/>
        </a:stretch>
      </xdr:blipFill>
      <xdr:spPr>
        <a:xfrm>
          <a:off x="0" y="8169518"/>
          <a:ext cx="6074417" cy="2190514"/>
        </a:xfrm>
        <a:prstGeom prst="rect">
          <a:avLst/>
        </a:prstGeom>
      </xdr:spPr>
    </xdr:pic>
    <xdr:clientData/>
  </xdr:twoCellAnchor>
  <xdr:twoCellAnchor editAs="oneCell">
    <xdr:from>
      <xdr:col>3</xdr:col>
      <xdr:colOff>512885</xdr:colOff>
      <xdr:row>26</xdr:row>
      <xdr:rowOff>14847</xdr:rowOff>
    </xdr:from>
    <xdr:to>
      <xdr:col>8</xdr:col>
      <xdr:colOff>180949</xdr:colOff>
      <xdr:row>28</xdr:row>
      <xdr:rowOff>46268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D20DCD-FC34-759E-001A-0CC55A02A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978270" y="5026462"/>
          <a:ext cx="2708737" cy="4124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789ED12-6E2D-4628-AC39-E27B196E90A0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bad897c9-686d-47a7-83a2-b13c8548c8b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F32F-8CA7-4108-A725-DC90FA252776}">
  <dimension ref="A1:L33"/>
  <sheetViews>
    <sheetView workbookViewId="0">
      <selection activeCell="E23" sqref="E23"/>
    </sheetView>
  </sheetViews>
  <sheetFormatPr defaultRowHeight="15" x14ac:dyDescent="0.25"/>
  <cols>
    <col min="1" max="9" width="14.85546875" customWidth="1"/>
    <col min="10" max="10" width="2.85546875" customWidth="1"/>
    <col min="11" max="11" width="81.85546875" style="8" customWidth="1"/>
    <col min="12" max="12" width="22.85546875" customWidth="1"/>
  </cols>
  <sheetData>
    <row r="1" spans="1:12" ht="17.25" x14ac:dyDescent="0.3">
      <c r="A1" s="11" t="s">
        <v>0</v>
      </c>
    </row>
    <row r="2" spans="1:12" x14ac:dyDescent="0.25">
      <c r="A2" s="12" t="s">
        <v>1</v>
      </c>
      <c r="K2" s="14" t="s">
        <v>8</v>
      </c>
    </row>
    <row r="3" spans="1:12" ht="30" x14ac:dyDescent="0.25">
      <c r="A3" s="1" t="s">
        <v>52</v>
      </c>
      <c r="B3" s="1"/>
      <c r="C3" s="1"/>
      <c r="D3" s="1">
        <v>1370</v>
      </c>
      <c r="E3" s="1">
        <v>1370</v>
      </c>
      <c r="F3" s="1">
        <v>1570</v>
      </c>
      <c r="G3" s="1">
        <v>1570</v>
      </c>
      <c r="H3" s="1">
        <v>1770</v>
      </c>
      <c r="I3" s="1">
        <v>1770</v>
      </c>
      <c r="K3" s="9" t="s">
        <v>9</v>
      </c>
      <c r="L3" s="5" t="s">
        <v>10</v>
      </c>
    </row>
    <row r="4" spans="1:12" ht="45" customHeight="1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5</v>
      </c>
      <c r="G4" s="1" t="s">
        <v>6</v>
      </c>
      <c r="H4" s="1" t="s">
        <v>5</v>
      </c>
      <c r="I4" s="1" t="s">
        <v>6</v>
      </c>
      <c r="K4" s="10" t="s">
        <v>11</v>
      </c>
      <c r="L4" s="3">
        <v>1</v>
      </c>
    </row>
    <row r="5" spans="1:12" x14ac:dyDescent="0.25">
      <c r="A5" s="2">
        <v>3.5</v>
      </c>
      <c r="B5" s="3">
        <v>5.64</v>
      </c>
      <c r="C5" s="2">
        <v>51.2</v>
      </c>
      <c r="D5" s="4"/>
      <c r="E5" s="4"/>
      <c r="F5" s="4">
        <v>8840</v>
      </c>
      <c r="G5" s="4">
        <v>7505</v>
      </c>
      <c r="H5" s="4">
        <v>9945</v>
      </c>
      <c r="I5" s="4">
        <v>8445</v>
      </c>
      <c r="K5" s="10" t="s">
        <v>12</v>
      </c>
      <c r="L5" s="3">
        <v>0.9</v>
      </c>
    </row>
    <row r="6" spans="1:12" x14ac:dyDescent="0.25">
      <c r="A6" s="2">
        <v>3.8</v>
      </c>
      <c r="B6" s="3">
        <v>6.39</v>
      </c>
      <c r="C6" s="2">
        <v>58</v>
      </c>
      <c r="D6" s="4"/>
      <c r="E6" s="4"/>
      <c r="F6" s="4">
        <v>10000</v>
      </c>
      <c r="G6" s="4">
        <v>8495</v>
      </c>
      <c r="H6" s="4">
        <v>11250</v>
      </c>
      <c r="I6" s="4">
        <v>9570</v>
      </c>
      <c r="K6" s="10" t="s">
        <v>13</v>
      </c>
      <c r="L6" s="3">
        <v>0.85</v>
      </c>
    </row>
    <row r="7" spans="1:12" x14ac:dyDescent="0.25">
      <c r="A7" s="2">
        <v>4.2</v>
      </c>
      <c r="B7" s="3">
        <v>8.0500000000000007</v>
      </c>
      <c r="C7" s="2">
        <v>72</v>
      </c>
      <c r="D7" s="4"/>
      <c r="E7" s="4"/>
      <c r="F7" s="4">
        <v>12600</v>
      </c>
      <c r="G7" s="4">
        <v>10650</v>
      </c>
      <c r="H7" s="4">
        <v>14200</v>
      </c>
      <c r="I7" s="4">
        <v>12000</v>
      </c>
      <c r="K7" s="10" t="s">
        <v>14</v>
      </c>
      <c r="L7" s="3">
        <v>0.8</v>
      </c>
    </row>
    <row r="8" spans="1:12" x14ac:dyDescent="0.25">
      <c r="A8" s="2">
        <v>4.5999999999999996</v>
      </c>
      <c r="B8" s="3">
        <v>9.91</v>
      </c>
      <c r="C8" s="2">
        <v>90</v>
      </c>
      <c r="D8" s="4"/>
      <c r="E8" s="4"/>
      <c r="F8" s="4">
        <v>15500</v>
      </c>
      <c r="G8" s="4">
        <v>13150</v>
      </c>
      <c r="H8" s="4">
        <v>17450</v>
      </c>
      <c r="I8" s="4">
        <v>14400</v>
      </c>
      <c r="L8" s="6"/>
    </row>
    <row r="9" spans="1:12" x14ac:dyDescent="0.25">
      <c r="A9" s="2">
        <v>5.6</v>
      </c>
      <c r="B9" s="3">
        <v>14.2</v>
      </c>
      <c r="C9" s="2">
        <v>129</v>
      </c>
      <c r="D9" s="4"/>
      <c r="E9" s="4"/>
      <c r="F9" s="4">
        <v>22250</v>
      </c>
      <c r="G9" s="4">
        <v>18850</v>
      </c>
      <c r="H9" s="4">
        <v>25000</v>
      </c>
      <c r="I9" s="4">
        <v>20650</v>
      </c>
      <c r="K9" s="14" t="s">
        <v>15</v>
      </c>
      <c r="L9" s="6"/>
    </row>
    <row r="10" spans="1:12" x14ac:dyDescent="0.25">
      <c r="A10" s="2">
        <v>6.4</v>
      </c>
      <c r="B10" s="3">
        <v>19.25</v>
      </c>
      <c r="C10" s="2">
        <v>175</v>
      </c>
      <c r="D10" s="4">
        <v>22400</v>
      </c>
      <c r="E10" s="4">
        <v>22400</v>
      </c>
      <c r="F10" s="4">
        <v>30150</v>
      </c>
      <c r="G10" s="4">
        <v>25600</v>
      </c>
      <c r="H10" s="4">
        <v>33950</v>
      </c>
      <c r="I10" s="4">
        <v>28050</v>
      </c>
      <c r="K10" s="9" t="s">
        <v>16</v>
      </c>
      <c r="L10" s="5" t="s">
        <v>17</v>
      </c>
    </row>
    <row r="11" spans="1:12" x14ac:dyDescent="0.25">
      <c r="A11" s="2">
        <v>7.4</v>
      </c>
      <c r="B11" s="3">
        <v>25.08</v>
      </c>
      <c r="C11" s="2">
        <v>228</v>
      </c>
      <c r="D11" s="4">
        <v>34400</v>
      </c>
      <c r="E11" s="4">
        <v>29200</v>
      </c>
      <c r="F11" s="4">
        <v>39300</v>
      </c>
      <c r="G11" s="4">
        <v>33350</v>
      </c>
      <c r="H11" s="4">
        <v>44200</v>
      </c>
      <c r="I11" s="4">
        <v>36550</v>
      </c>
      <c r="K11" s="10" t="s">
        <v>18</v>
      </c>
      <c r="L11" s="7" t="s">
        <v>19</v>
      </c>
    </row>
    <row r="12" spans="1:12" x14ac:dyDescent="0.25">
      <c r="A12" s="2">
        <v>8.1999999999999993</v>
      </c>
      <c r="B12" s="3">
        <v>31.68</v>
      </c>
      <c r="C12" s="2">
        <v>288</v>
      </c>
      <c r="D12" s="4">
        <v>43450</v>
      </c>
      <c r="E12" s="4">
        <v>36850</v>
      </c>
      <c r="F12" s="4">
        <v>49650</v>
      </c>
      <c r="G12" s="4">
        <v>42150</v>
      </c>
      <c r="H12" s="4">
        <v>55850</v>
      </c>
      <c r="I12" s="4">
        <v>46200</v>
      </c>
      <c r="K12" s="10" t="s">
        <v>20</v>
      </c>
      <c r="L12" s="7" t="s">
        <v>21</v>
      </c>
    </row>
    <row r="13" spans="1:12" x14ac:dyDescent="0.25">
      <c r="A13" s="2">
        <v>9.1999999999999993</v>
      </c>
      <c r="B13" s="3">
        <v>39.64</v>
      </c>
      <c r="C13" s="2">
        <v>360</v>
      </c>
      <c r="D13" s="4">
        <v>54350</v>
      </c>
      <c r="E13" s="4">
        <v>46150</v>
      </c>
      <c r="F13" s="4">
        <v>62150</v>
      </c>
      <c r="G13" s="4">
        <v>52750</v>
      </c>
      <c r="H13" s="4">
        <v>69900</v>
      </c>
      <c r="I13" s="4">
        <v>58000</v>
      </c>
      <c r="K13" s="10" t="s">
        <v>22</v>
      </c>
      <c r="L13" s="7" t="s">
        <v>23</v>
      </c>
    </row>
    <row r="14" spans="1:12" x14ac:dyDescent="0.25">
      <c r="A14" s="2">
        <v>10</v>
      </c>
      <c r="B14" s="3">
        <v>47.83</v>
      </c>
      <c r="C14" s="2">
        <v>435</v>
      </c>
      <c r="D14" s="4">
        <v>65600</v>
      </c>
      <c r="E14" s="4">
        <v>55750</v>
      </c>
      <c r="F14" s="4">
        <v>74950</v>
      </c>
      <c r="G14" s="4">
        <v>63700</v>
      </c>
      <c r="H14" s="4">
        <v>83350</v>
      </c>
      <c r="I14" s="4">
        <v>69950</v>
      </c>
      <c r="L14" s="6"/>
    </row>
    <row r="15" spans="1:12" x14ac:dyDescent="0.25">
      <c r="A15" s="2">
        <v>11</v>
      </c>
      <c r="B15" s="3">
        <v>56.79</v>
      </c>
      <c r="C15" s="2">
        <v>516</v>
      </c>
      <c r="D15" s="4">
        <v>77900</v>
      </c>
      <c r="E15" s="4">
        <v>66150</v>
      </c>
      <c r="F15" s="4">
        <v>89000</v>
      </c>
      <c r="G15" s="4">
        <v>75650</v>
      </c>
      <c r="H15" s="4">
        <v>100000</v>
      </c>
      <c r="I15" s="4">
        <v>82700</v>
      </c>
      <c r="K15" s="14" t="s">
        <v>24</v>
      </c>
      <c r="L15" s="6"/>
    </row>
    <row r="16" spans="1:12" x14ac:dyDescent="0.25">
      <c r="A16" s="2">
        <v>12</v>
      </c>
      <c r="B16" s="3">
        <v>66.52</v>
      </c>
      <c r="C16" s="2">
        <v>604</v>
      </c>
      <c r="D16" s="4">
        <v>91250</v>
      </c>
      <c r="E16" s="4">
        <v>77500</v>
      </c>
      <c r="F16" s="4">
        <v>104000</v>
      </c>
      <c r="G16" s="4">
        <v>88250</v>
      </c>
      <c r="H16" s="4">
        <v>117000</v>
      </c>
      <c r="I16" s="4">
        <v>96850</v>
      </c>
      <c r="K16" s="9" t="s">
        <v>25</v>
      </c>
      <c r="L16" s="5" t="s">
        <v>26</v>
      </c>
    </row>
    <row r="17" spans="1:12" ht="30" x14ac:dyDescent="0.25">
      <c r="A17" s="2">
        <v>13</v>
      </c>
      <c r="B17" s="3">
        <v>77.02</v>
      </c>
      <c r="C17" s="2">
        <v>699.5</v>
      </c>
      <c r="D17" s="4">
        <v>105500</v>
      </c>
      <c r="E17" s="4">
        <v>89500</v>
      </c>
      <c r="F17" s="4">
        <v>120500</v>
      </c>
      <c r="G17" s="4">
        <v>102000</v>
      </c>
      <c r="H17" s="4">
        <v>135500</v>
      </c>
      <c r="I17" s="4">
        <v>112000</v>
      </c>
      <c r="K17" s="10" t="s">
        <v>27</v>
      </c>
      <c r="L17" s="32" t="s">
        <v>28</v>
      </c>
    </row>
    <row r="18" spans="1:12" x14ac:dyDescent="0.25">
      <c r="A18" s="2">
        <v>14</v>
      </c>
      <c r="B18" s="3">
        <v>88.3</v>
      </c>
      <c r="C18" s="2">
        <v>802</v>
      </c>
      <c r="D18" s="4">
        <v>121000</v>
      </c>
      <c r="E18" s="4">
        <v>102000</v>
      </c>
      <c r="F18" s="4">
        <v>138000</v>
      </c>
      <c r="G18" s="4">
        <v>117000</v>
      </c>
      <c r="H18" s="4">
        <v>155500</v>
      </c>
      <c r="I18" s="4">
        <v>128000</v>
      </c>
      <c r="K18" s="10" t="s">
        <v>29</v>
      </c>
      <c r="L18" s="7" t="s">
        <v>30</v>
      </c>
    </row>
    <row r="19" spans="1:12" ht="30" x14ac:dyDescent="0.25">
      <c r="A19" s="2">
        <v>15</v>
      </c>
      <c r="B19" s="3">
        <v>100.33</v>
      </c>
      <c r="C19" s="2">
        <v>911</v>
      </c>
      <c r="D19" s="4">
        <v>137500</v>
      </c>
      <c r="E19" s="4">
        <v>116500</v>
      </c>
      <c r="F19" s="4">
        <v>157000</v>
      </c>
      <c r="G19" s="4">
        <v>133000</v>
      </c>
      <c r="H19" s="4">
        <v>176500</v>
      </c>
      <c r="I19" s="4">
        <v>146000</v>
      </c>
      <c r="K19" s="10" t="s">
        <v>31</v>
      </c>
      <c r="L19" s="7" t="s">
        <v>32</v>
      </c>
    </row>
    <row r="20" spans="1:12" x14ac:dyDescent="0.25">
      <c r="A20" s="2">
        <v>15.5</v>
      </c>
      <c r="B20" s="3">
        <v>113.14</v>
      </c>
      <c r="C20" s="2">
        <v>1030</v>
      </c>
      <c r="D20" s="4">
        <v>155000</v>
      </c>
      <c r="E20" s="4">
        <v>131000</v>
      </c>
      <c r="F20" s="4">
        <v>177000</v>
      </c>
      <c r="G20" s="4">
        <v>150000</v>
      </c>
      <c r="H20" s="4">
        <v>199500</v>
      </c>
      <c r="I20" s="4">
        <v>164500</v>
      </c>
      <c r="K20" s="10" t="s">
        <v>33</v>
      </c>
      <c r="L20" s="7" t="s">
        <v>34</v>
      </c>
    </row>
    <row r="21" spans="1:12" x14ac:dyDescent="0.25">
      <c r="A21" s="2">
        <v>16.5</v>
      </c>
      <c r="B21" s="3">
        <v>126.72</v>
      </c>
      <c r="C21" s="2">
        <v>1150</v>
      </c>
      <c r="D21" s="4">
        <v>173500</v>
      </c>
      <c r="E21" s="4">
        <v>147000</v>
      </c>
      <c r="F21" s="4">
        <v>198500</v>
      </c>
      <c r="G21" s="4">
        <v>168500</v>
      </c>
      <c r="H21" s="4">
        <v>223500</v>
      </c>
      <c r="I21" s="4">
        <v>184500</v>
      </c>
      <c r="K21" s="10" t="s">
        <v>35</v>
      </c>
      <c r="L21" s="7" t="s">
        <v>36</v>
      </c>
    </row>
    <row r="22" spans="1:12" x14ac:dyDescent="0.25">
      <c r="A22" s="2">
        <v>18.5</v>
      </c>
      <c r="B22" s="3">
        <v>158.55000000000001</v>
      </c>
      <c r="C22" s="2">
        <v>1441</v>
      </c>
      <c r="D22" s="4">
        <v>217500</v>
      </c>
      <c r="E22" s="4">
        <v>184000</v>
      </c>
      <c r="F22" s="4">
        <v>248500</v>
      </c>
      <c r="G22" s="4">
        <v>210500</v>
      </c>
      <c r="H22" s="4">
        <v>279500</v>
      </c>
      <c r="I22" s="4">
        <v>231500</v>
      </c>
      <c r="L22" s="6"/>
    </row>
    <row r="23" spans="1:12" x14ac:dyDescent="0.25">
      <c r="A23" s="2">
        <v>20</v>
      </c>
      <c r="B23" s="3">
        <v>191.32</v>
      </c>
      <c r="C23" s="2">
        <v>1739</v>
      </c>
      <c r="D23" s="4">
        <v>262000</v>
      </c>
      <c r="E23" s="4">
        <v>222000</v>
      </c>
      <c r="F23" s="4">
        <v>299500</v>
      </c>
      <c r="G23" s="4">
        <v>254500</v>
      </c>
      <c r="H23" s="4">
        <v>337000</v>
      </c>
      <c r="I23" s="4">
        <v>279500</v>
      </c>
      <c r="K23" s="14" t="s">
        <v>37</v>
      </c>
      <c r="L23" s="6"/>
    </row>
    <row r="24" spans="1:12" x14ac:dyDescent="0.25">
      <c r="A24" s="2">
        <v>22</v>
      </c>
      <c r="B24" s="3">
        <v>227.17</v>
      </c>
      <c r="C24" s="2">
        <v>2065</v>
      </c>
      <c r="D24" s="4">
        <v>311500</v>
      </c>
      <c r="E24" s="4">
        <v>264500</v>
      </c>
      <c r="F24" s="4">
        <v>356000</v>
      </c>
      <c r="G24" s="4">
        <v>302000</v>
      </c>
      <c r="H24" s="4">
        <v>400500</v>
      </c>
      <c r="I24" s="4">
        <v>332000</v>
      </c>
      <c r="K24" s="9" t="s">
        <v>38</v>
      </c>
      <c r="L24" s="5" t="s">
        <v>39</v>
      </c>
    </row>
    <row r="25" spans="1:12" x14ac:dyDescent="0.25">
      <c r="A25" s="2">
        <v>24</v>
      </c>
      <c r="B25" s="3">
        <v>266.08999999999997</v>
      </c>
      <c r="C25" s="2">
        <v>2420</v>
      </c>
      <c r="D25" s="4">
        <v>365000</v>
      </c>
      <c r="E25" s="4">
        <v>310000</v>
      </c>
      <c r="F25" s="4">
        <v>417000</v>
      </c>
      <c r="G25" s="4">
        <v>354000</v>
      </c>
      <c r="H25" s="4">
        <v>469000</v>
      </c>
      <c r="I25" s="4">
        <v>387500</v>
      </c>
      <c r="K25" s="10" t="s">
        <v>40</v>
      </c>
      <c r="L25" s="7" t="s">
        <v>30</v>
      </c>
    </row>
    <row r="26" spans="1:12" x14ac:dyDescent="0.25">
      <c r="A26" s="2">
        <v>26</v>
      </c>
      <c r="B26" s="3">
        <v>308.10000000000002</v>
      </c>
      <c r="C26" s="2">
        <v>2800</v>
      </c>
      <c r="D26" s="4">
        <v>422500</v>
      </c>
      <c r="E26" s="4">
        <v>358500</v>
      </c>
      <c r="F26" s="4">
        <v>483000</v>
      </c>
      <c r="G26" s="4">
        <v>410000</v>
      </c>
      <c r="H26" s="4">
        <v>543000</v>
      </c>
      <c r="I26" s="4">
        <v>449000</v>
      </c>
      <c r="K26" s="10" t="s">
        <v>41</v>
      </c>
      <c r="L26" s="7" t="s">
        <v>32</v>
      </c>
    </row>
    <row r="27" spans="1:12" x14ac:dyDescent="0.25">
      <c r="A27" s="2">
        <v>27.5</v>
      </c>
      <c r="B27" s="3">
        <v>353.18</v>
      </c>
      <c r="C27" s="2">
        <v>3210</v>
      </c>
      <c r="D27" s="4">
        <v>484500</v>
      </c>
      <c r="E27" s="4">
        <v>411000</v>
      </c>
      <c r="F27" s="4">
        <v>553500</v>
      </c>
      <c r="G27" s="4">
        <v>470000</v>
      </c>
      <c r="H27" s="4">
        <v>623000</v>
      </c>
      <c r="I27" s="4">
        <v>514500</v>
      </c>
      <c r="K27" s="10" t="s">
        <v>42</v>
      </c>
      <c r="L27" s="7" t="s">
        <v>32</v>
      </c>
    </row>
    <row r="28" spans="1:12" x14ac:dyDescent="0.25">
      <c r="A28" s="13" t="s">
        <v>7</v>
      </c>
      <c r="K28" s="10" t="s">
        <v>43</v>
      </c>
      <c r="L28" s="7" t="s">
        <v>32</v>
      </c>
    </row>
    <row r="29" spans="1:12" x14ac:dyDescent="0.25">
      <c r="K29" s="10" t="s">
        <v>44</v>
      </c>
      <c r="L29" s="7" t="s">
        <v>32</v>
      </c>
    </row>
    <row r="30" spans="1:12" x14ac:dyDescent="0.25">
      <c r="K30" s="10" t="s">
        <v>45</v>
      </c>
      <c r="L30" s="32" t="s">
        <v>36</v>
      </c>
    </row>
    <row r="31" spans="1:12" x14ac:dyDescent="0.25">
      <c r="K31" s="10" t="s">
        <v>46</v>
      </c>
      <c r="L31" s="7" t="s">
        <v>32</v>
      </c>
    </row>
    <row r="32" spans="1:12" x14ac:dyDescent="0.25">
      <c r="K32" s="10" t="s">
        <v>47</v>
      </c>
      <c r="L32" s="7" t="s">
        <v>36</v>
      </c>
    </row>
    <row r="33" spans="11:12" x14ac:dyDescent="0.25">
      <c r="K33" s="10" t="s">
        <v>48</v>
      </c>
      <c r="L33" s="7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B23A6-6A05-4C1E-8187-36C901A34982}">
  <dimension ref="B1:K40"/>
  <sheetViews>
    <sheetView showGridLines="0" topLeftCell="B13" zoomScale="130" zoomScaleNormal="130" workbookViewId="0">
      <selection activeCell="O6" sqref="O6"/>
    </sheetView>
  </sheetViews>
  <sheetFormatPr defaultRowHeight="15" x14ac:dyDescent="0.25"/>
  <cols>
    <col min="1" max="1" width="3.7109375" customWidth="1"/>
  </cols>
  <sheetData>
    <row r="1" spans="2:11" x14ac:dyDescent="0.25">
      <c r="B1" s="15" t="s">
        <v>57</v>
      </c>
      <c r="C1" s="16"/>
      <c r="D1" s="16"/>
      <c r="E1" s="16"/>
      <c r="F1" s="16"/>
      <c r="G1" s="16"/>
      <c r="H1" s="16"/>
      <c r="I1" s="16"/>
      <c r="J1" s="26" t="str">
        <f>"Cáp D"&amp;J5</f>
        <v>Cáp D20</v>
      </c>
      <c r="K1" s="27"/>
    </row>
    <row r="2" spans="2:11" x14ac:dyDescent="0.25">
      <c r="B2" s="17"/>
      <c r="C2" s="18"/>
      <c r="D2" s="18"/>
      <c r="E2" s="18"/>
      <c r="F2" s="18"/>
      <c r="G2" s="18"/>
      <c r="H2" s="18"/>
      <c r="I2" s="18"/>
      <c r="J2" s="28"/>
      <c r="K2" s="29"/>
    </row>
    <row r="3" spans="2:11" x14ac:dyDescent="0.25">
      <c r="B3" s="30" t="s">
        <v>54</v>
      </c>
      <c r="C3" s="31"/>
      <c r="D3" s="31"/>
      <c r="E3" s="34"/>
      <c r="F3" s="34"/>
      <c r="G3" s="34"/>
      <c r="H3" s="34"/>
      <c r="I3" s="34"/>
      <c r="J3" s="34"/>
      <c r="K3" s="19"/>
    </row>
    <row r="4" spans="2:11" x14ac:dyDescent="0.25">
      <c r="B4" s="20" t="s">
        <v>59</v>
      </c>
      <c r="C4" s="34"/>
      <c r="D4" s="34"/>
      <c r="E4" s="35"/>
      <c r="F4" s="35"/>
      <c r="G4" s="35"/>
      <c r="H4" s="35"/>
      <c r="I4" s="36"/>
      <c r="J4" s="34"/>
      <c r="K4" s="19"/>
    </row>
    <row r="5" spans="2:11" x14ac:dyDescent="0.25">
      <c r="B5" s="21" t="str">
        <f>"- Đường kính cáp:"</f>
        <v>- Đường kính cáp:</v>
      </c>
      <c r="C5" s="34"/>
      <c r="D5" s="34"/>
      <c r="E5" s="35"/>
      <c r="F5" s="35"/>
      <c r="G5" s="35"/>
      <c r="H5" s="35"/>
      <c r="I5" s="37" t="s">
        <v>55</v>
      </c>
      <c r="J5" s="38">
        <v>20</v>
      </c>
      <c r="K5" s="19" t="s">
        <v>50</v>
      </c>
    </row>
    <row r="6" spans="2:11" x14ac:dyDescent="0.25">
      <c r="B6" s="21" t="str">
        <f>"- Dạng cáp:"</f>
        <v>- Dạng cáp:</v>
      </c>
      <c r="C6" s="34"/>
      <c r="D6" s="34"/>
      <c r="E6" s="35"/>
      <c r="F6" s="35"/>
      <c r="G6" s="35"/>
      <c r="H6" s="35"/>
      <c r="I6" s="37"/>
      <c r="J6" s="39" t="s">
        <v>14</v>
      </c>
      <c r="K6" s="19"/>
    </row>
    <row r="7" spans="2:11" x14ac:dyDescent="0.25">
      <c r="B7" s="21" t="str">
        <f>"- Số lượng sợi cáp làm việc đồng thời (bện/quấn chung):"</f>
        <v>- Số lượng sợi cáp làm việc đồng thời (bện/quấn chung):</v>
      </c>
      <c r="C7" s="40"/>
      <c r="D7" s="40"/>
      <c r="E7" s="40"/>
      <c r="F7" s="40"/>
      <c r="G7" s="40"/>
      <c r="H7" s="40"/>
      <c r="I7" s="37" t="s">
        <v>60</v>
      </c>
      <c r="J7" s="38">
        <v>1</v>
      </c>
      <c r="K7" s="41" t="s">
        <v>53</v>
      </c>
    </row>
    <row r="8" spans="2:11" x14ac:dyDescent="0.25">
      <c r="B8" s="20" t="s">
        <v>66</v>
      </c>
      <c r="C8" s="40"/>
      <c r="D8" s="40"/>
      <c r="E8" s="40"/>
      <c r="F8" s="40"/>
      <c r="G8" s="40"/>
      <c r="H8" s="40"/>
      <c r="I8" s="40"/>
      <c r="J8" s="40"/>
      <c r="K8" s="41"/>
    </row>
    <row r="9" spans="2:11" x14ac:dyDescent="0.25">
      <c r="B9" s="21" t="str">
        <f>"- Hệ số độ tin cậy theo giới hạn bền kéo khi giật đứt:"</f>
        <v>- Hệ số độ tin cậy theo giới hạn bền kéo khi giật đứt:</v>
      </c>
      <c r="C9" s="40"/>
      <c r="D9" s="40"/>
      <c r="E9" s="40"/>
      <c r="F9" s="40"/>
      <c r="G9" s="40"/>
      <c r="H9" s="40"/>
      <c r="I9" s="42" t="s">
        <v>61</v>
      </c>
      <c r="J9" s="43">
        <v>1.3</v>
      </c>
      <c r="K9" s="41"/>
    </row>
    <row r="10" spans="2:11" x14ac:dyDescent="0.25">
      <c r="B10" s="21" t="str">
        <f>"- Hệ số độ tin cậy của cáp thép theo vật liệu:"</f>
        <v>- Hệ số độ tin cậy của cáp thép theo vật liệu:</v>
      </c>
      <c r="C10" s="40"/>
      <c r="D10" s="40"/>
      <c r="E10" s="40"/>
      <c r="F10" s="40"/>
      <c r="G10" s="40"/>
      <c r="H10" s="40"/>
      <c r="I10" s="42" t="s">
        <v>62</v>
      </c>
      <c r="J10" s="43">
        <v>1.2</v>
      </c>
      <c r="K10" s="41"/>
    </row>
    <row r="11" spans="2:11" x14ac:dyDescent="0.25">
      <c r="B11" s="21" t="str">
        <f>"- Hệ số độ tin cậy về tầm quan trọng:"</f>
        <v>- Hệ số độ tin cậy về tầm quan trọng:</v>
      </c>
      <c r="C11" s="40"/>
      <c r="D11" s="40"/>
      <c r="E11" s="40"/>
      <c r="F11" s="40"/>
      <c r="G11" s="40"/>
      <c r="H11" s="40"/>
      <c r="I11" s="42" t="s">
        <v>82</v>
      </c>
      <c r="J11" s="43">
        <v>1</v>
      </c>
      <c r="K11" s="41"/>
    </row>
    <row r="12" spans="2:11" x14ac:dyDescent="0.25">
      <c r="B12" s="21" t="str">
        <f>"- Hệ số điều kiện làm việc của phần tử cáp:"</f>
        <v>- Hệ số điều kiện làm việc của phần tử cáp:</v>
      </c>
      <c r="C12" s="40"/>
      <c r="D12" s="40"/>
      <c r="E12" s="40"/>
      <c r="F12" s="40"/>
      <c r="G12" s="40"/>
      <c r="H12" s="40"/>
      <c r="I12" s="42" t="s">
        <v>63</v>
      </c>
      <c r="J12" s="38">
        <v>0.85</v>
      </c>
      <c r="K12" s="41"/>
    </row>
    <row r="13" spans="2:11" x14ac:dyDescent="0.25">
      <c r="B13" s="21" t="str">
        <f>"- Hệ số kể đến tập trung ứng suất cục bộ:"</f>
        <v>- Hệ số kể đến tập trung ứng suất cục bộ:</v>
      </c>
      <c r="C13" s="40"/>
      <c r="D13" s="40"/>
      <c r="E13" s="40"/>
      <c r="F13" s="40"/>
      <c r="G13" s="40"/>
      <c r="H13" s="40"/>
      <c r="I13" s="42" t="s">
        <v>64</v>
      </c>
      <c r="J13" s="38">
        <v>0.9</v>
      </c>
      <c r="K13" s="41"/>
    </row>
    <row r="14" spans="2:11" x14ac:dyDescent="0.25">
      <c r="B14" s="21" t="str">
        <f>"- Hệ số độ bền hợp thành của cáp:"</f>
        <v>- Hệ số độ bền hợp thành của cáp:</v>
      </c>
      <c r="C14" s="40"/>
      <c r="D14" s="40"/>
      <c r="E14" s="40"/>
      <c r="F14" s="40"/>
      <c r="G14" s="40"/>
      <c r="H14" s="40"/>
      <c r="I14" s="37" t="s">
        <v>65</v>
      </c>
      <c r="J14" s="43">
        <f>_xlfn.XLOOKUP(J6,'Bang tra'!$K$4:$K$7,'Bang tra'!$L$4:$L$7)</f>
        <v>0.8</v>
      </c>
      <c r="K14" s="41"/>
    </row>
    <row r="15" spans="2:11" x14ac:dyDescent="0.25">
      <c r="B15" s="21" t="str">
        <f>"- Hệ số độ tin cậy về vật liệu của cáp thép:"</f>
        <v>- Hệ số độ tin cậy về vật liệu của cáp thép:</v>
      </c>
      <c r="C15" s="40"/>
      <c r="D15" s="40"/>
      <c r="E15" s="40"/>
      <c r="F15" s="40"/>
      <c r="G15" s="40"/>
      <c r="H15" s="40"/>
      <c r="I15" s="42" t="s">
        <v>62</v>
      </c>
      <c r="J15" s="43">
        <v>1.6</v>
      </c>
      <c r="K15" s="41"/>
    </row>
    <row r="16" spans="2:11" x14ac:dyDescent="0.25">
      <c r="B16" s="20" t="s">
        <v>67</v>
      </c>
      <c r="C16" s="40"/>
      <c r="D16" s="40"/>
      <c r="E16" s="40"/>
      <c r="F16" s="40"/>
      <c r="G16" s="40"/>
      <c r="H16" s="40"/>
      <c r="I16" s="40"/>
      <c r="J16" s="40"/>
      <c r="K16" s="41"/>
    </row>
    <row r="17" spans="2:11" x14ac:dyDescent="0.25">
      <c r="B17" s="21" t="str">
        <f>"- Giới hạn bền kéo của sợi:"</f>
        <v>- Giới hạn bền kéo của sợi:</v>
      </c>
      <c r="C17" s="40"/>
      <c r="D17" s="40"/>
      <c r="E17" s="40"/>
      <c r="F17" s="40"/>
      <c r="G17" s="40"/>
      <c r="H17" s="40"/>
      <c r="I17" s="37" t="s">
        <v>76</v>
      </c>
      <c r="J17" s="38">
        <v>1570</v>
      </c>
      <c r="K17" s="41" t="s">
        <v>51</v>
      </c>
    </row>
    <row r="18" spans="2:11" ht="16.5" x14ac:dyDescent="0.25">
      <c r="B18" s="21" t="str">
        <f>"- Tổng diện tích danh định của 1 sợi:"</f>
        <v>- Tổng diện tích danh định của 1 sợi:</v>
      </c>
      <c r="C18" s="40"/>
      <c r="D18" s="40"/>
      <c r="E18" s="40"/>
      <c r="F18" s="40"/>
      <c r="G18" s="40"/>
      <c r="H18" s="40"/>
      <c r="I18" s="37" t="s">
        <v>68</v>
      </c>
      <c r="J18" s="44">
        <f>VLOOKUP(J5,'Bang tra'!$A$5:$B$27,2,FALSE)</f>
        <v>191.32</v>
      </c>
      <c r="K18" s="41" t="s">
        <v>69</v>
      </c>
    </row>
    <row r="19" spans="2:11" x14ac:dyDescent="0.25">
      <c r="B19" s="21" t="str">
        <f>"- Lực giật đứt toàn bộ cáp:"</f>
        <v>- Lực giật đứt toàn bộ cáp:</v>
      </c>
      <c r="C19" s="40"/>
      <c r="D19" s="40"/>
      <c r="E19" s="40"/>
      <c r="F19" s="40"/>
      <c r="G19" s="40"/>
      <c r="H19" s="40"/>
      <c r="I19" s="37" t="s">
        <v>70</v>
      </c>
      <c r="J19" s="45" cm="1">
        <f t="array" ref="J19">INDEX('Bang tra'!$D$5:$I$27,MATCH($J$5,'Bang tra'!$A$5:$A$27,0),MATCH($J$17,'Bang tra'!$D$3:$I$3,0)+1)/1000*J7</f>
        <v>254.5</v>
      </c>
      <c r="K19" s="41" t="s">
        <v>49</v>
      </c>
    </row>
    <row r="20" spans="2:11" x14ac:dyDescent="0.25">
      <c r="B20" s="21" t="str">
        <f>"- Tổng lực giật đứt của tất cả các sợi:"</f>
        <v>- Tổng lực giật đứt của tất cả các sợi:</v>
      </c>
      <c r="C20" s="40"/>
      <c r="D20" s="40"/>
      <c r="E20" s="40"/>
      <c r="F20" s="40"/>
      <c r="G20" s="40"/>
      <c r="H20" s="40"/>
      <c r="I20" s="37" t="s">
        <v>71</v>
      </c>
      <c r="J20" s="45">
        <f>INDEX('Bang tra'!$D$5:$I$27,MATCH($J$5,'Bang tra'!$A$5:$A$27,0),MATCH($J$17,'Bang tra'!$D$3:$I$3,0))/1000</f>
        <v>299.5</v>
      </c>
      <c r="K20" s="41" t="s">
        <v>49</v>
      </c>
    </row>
    <row r="21" spans="2:11" x14ac:dyDescent="0.25">
      <c r="B21" s="21" t="str">
        <f>"- Cường độ tiêu chuẩn của cáp theo giới hạn bền kéo:"</f>
        <v>- Cường độ tiêu chuẩn của cáp theo giới hạn bền kéo:</v>
      </c>
      <c r="C21" s="40"/>
      <c r="D21" s="40"/>
      <c r="E21" s="40"/>
      <c r="F21" s="40"/>
      <c r="G21" s="40"/>
      <c r="H21" s="40"/>
      <c r="I21" s="37" t="s">
        <v>72</v>
      </c>
      <c r="J21" s="45">
        <f>J19*1000/J18</f>
        <v>1330.2320719213883</v>
      </c>
      <c r="K21" s="41" t="s">
        <v>51</v>
      </c>
    </row>
    <row r="22" spans="2:11" x14ac:dyDescent="0.25">
      <c r="B22" s="20" t="s">
        <v>73</v>
      </c>
      <c r="C22" s="35"/>
      <c r="D22" s="43"/>
      <c r="E22" s="43"/>
      <c r="F22" s="43"/>
      <c r="G22" s="43"/>
      <c r="H22" s="43"/>
      <c r="I22" s="43"/>
      <c r="J22" s="43"/>
      <c r="K22" s="22"/>
    </row>
    <row r="23" spans="2:11" x14ac:dyDescent="0.25">
      <c r="B23" s="21" t="str">
        <f>"- Lực kéo tính toán trong cáp:"</f>
        <v>- Lực kéo tính toán trong cáp:</v>
      </c>
      <c r="C23" s="35"/>
      <c r="D23" s="35"/>
      <c r="E23" s="35"/>
      <c r="F23" s="35"/>
      <c r="G23" s="35"/>
      <c r="H23" s="35"/>
      <c r="I23" s="37" t="s">
        <v>58</v>
      </c>
      <c r="J23" s="38">
        <v>40</v>
      </c>
      <c r="K23" s="19" t="s">
        <v>49</v>
      </c>
    </row>
    <row r="24" spans="2:11" x14ac:dyDescent="0.25">
      <c r="B24" s="21"/>
      <c r="C24" s="40"/>
      <c r="D24" s="40"/>
      <c r="E24" s="40"/>
      <c r="F24" s="40"/>
      <c r="G24" s="40"/>
      <c r="H24" s="40"/>
      <c r="I24" s="40"/>
      <c r="J24" s="40"/>
      <c r="K24" s="41"/>
    </row>
    <row r="25" spans="2:11" x14ac:dyDescent="0.25">
      <c r="B25" s="30" t="s">
        <v>56</v>
      </c>
      <c r="C25" s="31"/>
      <c r="D25" s="31"/>
      <c r="E25" s="40"/>
      <c r="F25" s="40"/>
      <c r="G25" s="40"/>
      <c r="H25" s="40"/>
      <c r="I25" s="40"/>
      <c r="J25" s="40"/>
      <c r="K25" s="41"/>
    </row>
    <row r="26" spans="2:11" x14ac:dyDescent="0.25">
      <c r="B26" s="20" t="s">
        <v>80</v>
      </c>
      <c r="C26" s="40"/>
      <c r="D26" s="40"/>
      <c r="E26" s="40"/>
      <c r="F26" s="40"/>
      <c r="G26" s="40"/>
      <c r="H26" s="40"/>
      <c r="I26" s="40"/>
      <c r="J26" s="40"/>
      <c r="K26" s="41"/>
    </row>
    <row r="27" spans="2:11" x14ac:dyDescent="0.25">
      <c r="B27" s="20"/>
      <c r="C27" s="40"/>
      <c r="D27" s="40"/>
      <c r="E27" s="40"/>
      <c r="F27" s="40"/>
      <c r="G27" s="40"/>
      <c r="H27" s="40"/>
      <c r="I27" s="40"/>
      <c r="J27" s="40"/>
      <c r="K27" s="41"/>
    </row>
    <row r="28" spans="2:11" x14ac:dyDescent="0.25">
      <c r="B28" s="20"/>
      <c r="C28" s="40"/>
      <c r="D28" s="40"/>
      <c r="E28" s="40"/>
      <c r="F28" s="40"/>
      <c r="G28" s="40"/>
      <c r="H28" s="40"/>
      <c r="I28" s="40"/>
      <c r="J28" s="40"/>
      <c r="K28" s="41"/>
    </row>
    <row r="29" spans="2:11" x14ac:dyDescent="0.25">
      <c r="B29" s="33" t="s">
        <v>83</v>
      </c>
      <c r="C29" s="40"/>
      <c r="D29" s="40"/>
      <c r="E29" s="40"/>
      <c r="F29" s="40"/>
      <c r="G29" s="40"/>
      <c r="H29" s="40"/>
      <c r="I29" s="42" t="s">
        <v>84</v>
      </c>
      <c r="J29" s="46">
        <f>J12*J13/(J9*J10*J11)</f>
        <v>0.49038461538461536</v>
      </c>
      <c r="K29" s="41"/>
    </row>
    <row r="30" spans="2:11" x14ac:dyDescent="0.25">
      <c r="B30" s="33" t="str">
        <f>"- Khả năng chịu kéo tính toán của cáp:"</f>
        <v>- Khả năng chịu kéo tính toán của cáp:</v>
      </c>
      <c r="C30" s="40"/>
      <c r="D30" s="40"/>
      <c r="E30" s="40"/>
      <c r="F30" s="40"/>
      <c r="G30" s="40"/>
      <c r="H30" s="40"/>
      <c r="I30" s="37" t="s">
        <v>85</v>
      </c>
      <c r="J30" s="44">
        <f>MIN(J29,0.7)*J21</f>
        <v>652.32534296145002</v>
      </c>
      <c r="K30" s="41" t="s">
        <v>51</v>
      </c>
    </row>
    <row r="31" spans="2:11" x14ac:dyDescent="0.25">
      <c r="B31" s="33" t="str">
        <f>"- Khả năng chịu lực tính toán của cụm cáp (n sợi):"</f>
        <v>- Khả năng chịu lực tính toán của cụm cáp (n sợi):</v>
      </c>
      <c r="C31" s="40"/>
      <c r="D31" s="40"/>
      <c r="E31" s="40"/>
      <c r="F31" s="40"/>
      <c r="G31" s="40"/>
      <c r="H31" s="40"/>
      <c r="I31" s="37" t="s">
        <v>86</v>
      </c>
      <c r="J31" s="44">
        <f>J30*J18/1000*J7</f>
        <v>124.80288461538461</v>
      </c>
      <c r="K31" s="41" t="s">
        <v>49</v>
      </c>
    </row>
    <row r="32" spans="2:11" x14ac:dyDescent="0.25">
      <c r="B32" s="21" t="str">
        <f>"- Tỷ số huy động cấu kiện:"</f>
        <v>- Tỷ số huy động cấu kiện:</v>
      </c>
      <c r="C32" s="40"/>
      <c r="D32" s="40"/>
      <c r="E32" s="40"/>
      <c r="F32" s="40"/>
      <c r="G32" s="40"/>
      <c r="H32" s="40"/>
      <c r="I32" s="37" t="s">
        <v>75</v>
      </c>
      <c r="J32" s="47">
        <f>J23/J31</f>
        <v>0.32050541238106245</v>
      </c>
      <c r="K32" s="23" t="str">
        <f>IF(J32="-","",IF(J32&lt;=1,"OK","Check"))</f>
        <v>OK</v>
      </c>
    </row>
    <row r="33" spans="2:11" x14ac:dyDescent="0.25">
      <c r="B33" s="20" t="s">
        <v>81</v>
      </c>
      <c r="C33" s="40"/>
      <c r="D33" s="40"/>
      <c r="E33" s="40"/>
      <c r="F33" s="40"/>
      <c r="G33" s="40"/>
      <c r="H33" s="40"/>
      <c r="I33" s="40"/>
      <c r="J33" s="40"/>
      <c r="K33" s="41"/>
    </row>
    <row r="34" spans="2:11" x14ac:dyDescent="0.25">
      <c r="B34" s="21" t="str">
        <f>"- Khả năng chịu kéo tính toán của cáp:"</f>
        <v>- Khả năng chịu kéo tính toán của cáp:</v>
      </c>
      <c r="C34" s="40"/>
      <c r="D34" s="40"/>
      <c r="E34" s="40"/>
      <c r="F34" s="40"/>
      <c r="G34" s="40"/>
      <c r="H34" s="40"/>
      <c r="I34" s="37" t="s">
        <v>74</v>
      </c>
      <c r="J34" s="47">
        <f>J19/J15</f>
        <v>159.0625</v>
      </c>
      <c r="K34" s="41" t="s">
        <v>49</v>
      </c>
    </row>
    <row r="35" spans="2:11" x14ac:dyDescent="0.25">
      <c r="B35" s="21" t="str">
        <f>"- Tỷ số huy động cấu kiện:"</f>
        <v>- Tỷ số huy động cấu kiện:</v>
      </c>
      <c r="C35" s="40"/>
      <c r="D35" s="40"/>
      <c r="E35" s="40"/>
      <c r="F35" s="40"/>
      <c r="G35" s="40"/>
      <c r="H35" s="40"/>
      <c r="I35" s="37" t="s">
        <v>75</v>
      </c>
      <c r="J35" s="47">
        <f>J23/J34</f>
        <v>0.25147347740667975</v>
      </c>
      <c r="K35" s="23" t="str">
        <f>IF(J35="-","",IF(J35&lt;=1,"OK","Check"))</f>
        <v>OK</v>
      </c>
    </row>
    <row r="36" spans="2:11" x14ac:dyDescent="0.25">
      <c r="B36" s="20" t="s">
        <v>87</v>
      </c>
      <c r="C36" s="40" t="str">
        <f>IF(MAX(J32,J35)&lt;=1,"Cấu kiện đảm bảo khả năng chịu lực","Cấu kiện không đảm bảo khả năng chịu lực")</f>
        <v>Cấu kiện đảm bảo khả năng chịu lực</v>
      </c>
      <c r="D36" s="40"/>
      <c r="E36" s="40"/>
      <c r="F36" s="40"/>
      <c r="G36" s="40"/>
      <c r="H36" s="40"/>
      <c r="I36" s="37"/>
      <c r="J36" s="47"/>
      <c r="K36" s="23"/>
    </row>
    <row r="37" spans="2:11" x14ac:dyDescent="0.25">
      <c r="B37" s="48" t="s">
        <v>77</v>
      </c>
      <c r="C37" s="40"/>
      <c r="D37" s="40"/>
      <c r="E37" s="40"/>
      <c r="F37" s="40"/>
      <c r="G37" s="40"/>
      <c r="H37" s="40"/>
      <c r="I37" s="40"/>
      <c r="J37" s="40"/>
      <c r="K37" s="41"/>
    </row>
    <row r="38" spans="2:11" x14ac:dyDescent="0.25">
      <c r="B38" s="21" t="s">
        <v>78</v>
      </c>
      <c r="C38" s="35"/>
      <c r="D38" s="35"/>
      <c r="E38" s="49"/>
      <c r="F38" s="49"/>
      <c r="G38" s="49"/>
      <c r="H38" s="49"/>
      <c r="I38" s="49"/>
      <c r="J38" s="43"/>
      <c r="K38" s="19"/>
    </row>
    <row r="39" spans="2:11" x14ac:dyDescent="0.25">
      <c r="B39" s="21" t="s">
        <v>79</v>
      </c>
      <c r="C39" s="40"/>
      <c r="D39" s="40"/>
      <c r="E39" s="35"/>
      <c r="F39" s="35"/>
      <c r="G39" s="35"/>
      <c r="H39" s="35"/>
      <c r="I39" s="35"/>
      <c r="J39" s="35"/>
      <c r="K39" s="22"/>
    </row>
    <row r="40" spans="2:11" x14ac:dyDescent="0.25">
      <c r="B40" s="50"/>
      <c r="C40" s="51"/>
      <c r="D40" s="51"/>
      <c r="E40" s="51"/>
      <c r="F40" s="51"/>
      <c r="G40" s="51"/>
      <c r="H40" s="51"/>
      <c r="I40" s="51"/>
      <c r="J40" s="51"/>
      <c r="K40" s="52"/>
    </row>
  </sheetData>
  <mergeCells count="4">
    <mergeCell ref="B25:D25"/>
    <mergeCell ref="B1:I2"/>
    <mergeCell ref="J1:K2"/>
    <mergeCell ref="B3:D3"/>
  </mergeCells>
  <conditionalFormatting sqref="K35:K36">
    <cfRule type="containsText" dxfId="7" priority="5" operator="containsText" text="Check">
      <formula>NOT(ISERROR(SEARCH("Check",K35)))</formula>
    </cfRule>
    <cfRule type="containsText" dxfId="6" priority="6" operator="containsText" text="OK">
      <formula>NOT(ISERROR(SEARCH("OK",K35)))</formula>
    </cfRule>
  </conditionalFormatting>
  <conditionalFormatting sqref="K32">
    <cfRule type="containsText" dxfId="5" priority="1" operator="containsText" text="Check">
      <formula>NOT(ISERROR(SEARCH("Check",K32)))</formula>
    </cfRule>
    <cfRule type="containsText" dxfId="4" priority="2" operator="containsText" text="OK">
      <formula>NOT(ISERROR(SEARCH("OK",K32)))</formula>
    </cfRule>
  </conditionalFormatting>
  <dataValidations count="3">
    <dataValidation type="list" allowBlank="1" showInputMessage="1" showErrorMessage="1" sqref="J17" xr:uid="{2AB87D2D-6208-4E40-8B89-C79903074F6F}">
      <formula1>"1370,1570,1770"</formula1>
    </dataValidation>
    <dataValidation type="whole" operator="greaterThanOrEqual" allowBlank="1" showInputMessage="1" showErrorMessage="1" sqref="J7" xr:uid="{F7917965-B4D6-4583-B5EF-32DCB9CDDD15}">
      <formula1>1</formula1>
    </dataValidation>
    <dataValidation type="decimal" allowBlank="1" showInputMessage="1" showErrorMessage="1" sqref="J12:J13" xr:uid="{EEE153C7-180B-47A8-9944-9A2824097BF5}">
      <formula1>0.8</formula1>
      <formula2>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9C7594-2303-4927-BC0D-39ADC5B5C40D}">
          <x14:formula1>
            <xm:f>'Bang tra'!$A$5:$A$27</xm:f>
          </x14:formula1>
          <xm:sqref>J5</xm:sqref>
        </x14:dataValidation>
        <x14:dataValidation type="list" allowBlank="1" showInputMessage="1" showErrorMessage="1" xr:uid="{2BB2A018-7F2D-456C-B163-5260E64D7FE5}">
          <x14:formula1>
            <xm:f>'Bang tra'!$K$4:$K$7</xm:f>
          </x14:formula1>
          <xm:sqref>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E7008-6EBD-404A-BA8E-84D56A251322}">
  <dimension ref="B1:K20"/>
  <sheetViews>
    <sheetView showGridLines="0" tabSelected="1" topLeftCell="B1" zoomScale="130" zoomScaleNormal="130" workbookViewId="0">
      <selection activeCell="O16" sqref="O16"/>
    </sheetView>
  </sheetViews>
  <sheetFormatPr defaultRowHeight="15" x14ac:dyDescent="0.25"/>
  <cols>
    <col min="1" max="1" width="3.7109375" customWidth="1"/>
  </cols>
  <sheetData>
    <row r="1" spans="2:11" x14ac:dyDescent="0.25">
      <c r="B1" s="15" t="s">
        <v>88</v>
      </c>
      <c r="C1" s="16"/>
      <c r="D1" s="16"/>
      <c r="E1" s="16"/>
      <c r="F1" s="16"/>
      <c r="G1" s="16"/>
      <c r="H1" s="16"/>
      <c r="I1" s="16"/>
      <c r="J1" s="26" t="str">
        <f>"Cáp D"&amp;J5</f>
        <v>Cáp D20</v>
      </c>
      <c r="K1" s="27"/>
    </row>
    <row r="2" spans="2:11" x14ac:dyDescent="0.25">
      <c r="B2" s="17"/>
      <c r="C2" s="18"/>
      <c r="D2" s="18"/>
      <c r="E2" s="18"/>
      <c r="F2" s="18"/>
      <c r="G2" s="18"/>
      <c r="H2" s="18"/>
      <c r="I2" s="18"/>
      <c r="J2" s="28"/>
      <c r="K2" s="29"/>
    </row>
    <row r="3" spans="2:11" x14ac:dyDescent="0.25">
      <c r="B3" s="30" t="s">
        <v>54</v>
      </c>
      <c r="C3" s="31"/>
      <c r="D3" s="31"/>
      <c r="E3" s="34"/>
      <c r="F3" s="34"/>
      <c r="G3" s="34"/>
      <c r="H3" s="34"/>
      <c r="I3" s="34"/>
      <c r="J3" s="34"/>
      <c r="K3" s="19"/>
    </row>
    <row r="4" spans="2:11" x14ac:dyDescent="0.25">
      <c r="B4" s="20" t="s">
        <v>59</v>
      </c>
      <c r="C4" s="34"/>
      <c r="D4" s="34"/>
      <c r="E4" s="35"/>
      <c r="F4" s="35"/>
      <c r="G4" s="35"/>
      <c r="H4" s="35"/>
      <c r="I4" s="36"/>
      <c r="J4" s="34"/>
      <c r="K4" s="19"/>
    </row>
    <row r="5" spans="2:11" x14ac:dyDescent="0.25">
      <c r="B5" s="21" t="str">
        <f>"- Đường kính cáp:"</f>
        <v>- Đường kính cáp:</v>
      </c>
      <c r="C5" s="34"/>
      <c r="D5" s="34"/>
      <c r="E5" s="35"/>
      <c r="F5" s="35"/>
      <c r="G5" s="35"/>
      <c r="H5" s="35"/>
      <c r="I5" s="37" t="s">
        <v>55</v>
      </c>
      <c r="J5" s="38">
        <v>20</v>
      </c>
      <c r="K5" s="19" t="s">
        <v>50</v>
      </c>
    </row>
    <row r="6" spans="2:11" x14ac:dyDescent="0.25">
      <c r="B6" s="21" t="str">
        <f>"- Số lượng sợi cáp làm việc đồng thời (bện/quấn chung):"</f>
        <v>- Số lượng sợi cáp làm việc đồng thời (bện/quấn chung):</v>
      </c>
      <c r="C6" s="40"/>
      <c r="D6" s="40"/>
      <c r="E6" s="40"/>
      <c r="F6" s="40"/>
      <c r="G6" s="40"/>
      <c r="H6" s="40"/>
      <c r="I6" s="37" t="s">
        <v>60</v>
      </c>
      <c r="J6" s="38">
        <v>1</v>
      </c>
      <c r="K6" s="41" t="s">
        <v>53</v>
      </c>
    </row>
    <row r="7" spans="2:11" x14ac:dyDescent="0.25">
      <c r="B7" s="20" t="s">
        <v>66</v>
      </c>
      <c r="C7" s="40"/>
      <c r="D7" s="40"/>
      <c r="E7" s="40"/>
      <c r="F7" s="40"/>
      <c r="G7" s="40"/>
      <c r="H7" s="40"/>
      <c r="I7" s="40"/>
      <c r="J7" s="40"/>
      <c r="K7" s="41"/>
    </row>
    <row r="8" spans="2:11" x14ac:dyDescent="0.25">
      <c r="B8" s="21" t="str">
        <f>"- Hệ số độ tin cậy về vật liệu của cáp thép:"</f>
        <v>- Hệ số độ tin cậy về vật liệu của cáp thép:</v>
      </c>
      <c r="C8" s="40"/>
      <c r="D8" s="40"/>
      <c r="E8" s="40"/>
      <c r="F8" s="40"/>
      <c r="G8" s="40"/>
      <c r="H8" s="40"/>
      <c r="I8" s="42" t="s">
        <v>62</v>
      </c>
      <c r="J8" s="43">
        <v>1.6</v>
      </c>
      <c r="K8" s="41"/>
    </row>
    <row r="9" spans="2:11" x14ac:dyDescent="0.25">
      <c r="B9" s="20" t="s">
        <v>67</v>
      </c>
      <c r="C9" s="40"/>
      <c r="D9" s="40"/>
      <c r="E9" s="40"/>
      <c r="F9" s="40"/>
      <c r="G9" s="40"/>
      <c r="H9" s="40"/>
      <c r="I9" s="40"/>
      <c r="J9" s="40"/>
      <c r="K9" s="41"/>
    </row>
    <row r="10" spans="2:11" x14ac:dyDescent="0.25">
      <c r="B10" s="21" t="str">
        <f>"- Giới hạn bền kéo của sợi:"</f>
        <v>- Giới hạn bền kéo của sợi:</v>
      </c>
      <c r="C10" s="40"/>
      <c r="D10" s="40"/>
      <c r="E10" s="40"/>
      <c r="F10" s="40"/>
      <c r="G10" s="40"/>
      <c r="H10" s="40"/>
      <c r="I10" s="37" t="s">
        <v>76</v>
      </c>
      <c r="J10" s="38">
        <v>1370</v>
      </c>
      <c r="K10" s="41" t="s">
        <v>51</v>
      </c>
    </row>
    <row r="11" spans="2:11" ht="16.5" x14ac:dyDescent="0.25">
      <c r="B11" s="21" t="str">
        <f>"- Tổng diện tích danh định của 1 sợi:"</f>
        <v>- Tổng diện tích danh định của 1 sợi:</v>
      </c>
      <c r="C11" s="40"/>
      <c r="D11" s="40"/>
      <c r="E11" s="40"/>
      <c r="F11" s="40"/>
      <c r="G11" s="40"/>
      <c r="H11" s="40"/>
      <c r="I11" s="37" t="s">
        <v>68</v>
      </c>
      <c r="J11" s="44">
        <f>VLOOKUP(J5,'Bang tra'!$A$5:$B$27,2,FALSE)</f>
        <v>191.32</v>
      </c>
      <c r="K11" s="41" t="s">
        <v>69</v>
      </c>
    </row>
    <row r="12" spans="2:11" x14ac:dyDescent="0.25">
      <c r="B12" s="21" t="str">
        <f>"- Lực giật đứt toàn bộ cáp (theo bảng tra nhà cung cấp):"</f>
        <v>- Lực giật đứt toàn bộ cáp (theo bảng tra nhà cung cấp):</v>
      </c>
      <c r="C12" s="40"/>
      <c r="D12" s="40"/>
      <c r="E12" s="40"/>
      <c r="F12" s="40"/>
      <c r="G12" s="40"/>
      <c r="H12" s="40"/>
      <c r="I12" s="37" t="s">
        <v>70</v>
      </c>
      <c r="J12" s="54" cm="1">
        <f t="array" ref="J12">INDEX('Bang tra'!$D$5:$I$27,MATCH($J$5,'Bang tra'!$A$5:$A$27,0),MATCH($J$10,'Bang tra'!$D$3:$I$3,0)+1)/1000*J6</f>
        <v>222</v>
      </c>
      <c r="K12" s="41" t="s">
        <v>49</v>
      </c>
    </row>
    <row r="13" spans="2:11" x14ac:dyDescent="0.25">
      <c r="B13" s="20" t="s">
        <v>73</v>
      </c>
      <c r="C13" s="35"/>
      <c r="D13" s="43"/>
      <c r="E13" s="43"/>
      <c r="F13" s="43"/>
      <c r="G13" s="43"/>
      <c r="H13" s="43"/>
      <c r="I13" s="43"/>
      <c r="J13" s="43"/>
      <c r="K13" s="22"/>
    </row>
    <row r="14" spans="2:11" x14ac:dyDescent="0.25">
      <c r="B14" s="21" t="str">
        <f>"- Lực kéo tính toán trong cáp:"</f>
        <v>- Lực kéo tính toán trong cáp:</v>
      </c>
      <c r="C14" s="35"/>
      <c r="D14" s="35"/>
      <c r="E14" s="35"/>
      <c r="F14" s="35"/>
      <c r="G14" s="35"/>
      <c r="H14" s="35"/>
      <c r="I14" s="37" t="s">
        <v>58</v>
      </c>
      <c r="J14" s="38">
        <v>40</v>
      </c>
      <c r="K14" s="19" t="s">
        <v>49</v>
      </c>
    </row>
    <row r="15" spans="2:11" x14ac:dyDescent="0.25">
      <c r="B15" s="21"/>
      <c r="C15" s="40"/>
      <c r="D15" s="40"/>
      <c r="E15" s="40"/>
      <c r="F15" s="40"/>
      <c r="G15" s="40"/>
      <c r="H15" s="40"/>
      <c r="I15" s="40"/>
      <c r="J15" s="40"/>
      <c r="K15" s="41"/>
    </row>
    <row r="16" spans="2:11" x14ac:dyDescent="0.25">
      <c r="B16" s="30" t="s">
        <v>56</v>
      </c>
      <c r="C16" s="31"/>
      <c r="D16" s="31"/>
      <c r="E16" s="40"/>
      <c r="F16" s="40"/>
      <c r="G16" s="40"/>
      <c r="H16" s="40"/>
      <c r="I16" s="40"/>
      <c r="J16" s="40"/>
      <c r="K16" s="41"/>
    </row>
    <row r="17" spans="2:11" x14ac:dyDescent="0.25">
      <c r="B17" s="20" t="s">
        <v>89</v>
      </c>
      <c r="C17" s="40"/>
      <c r="D17" s="40"/>
      <c r="E17" s="40"/>
      <c r="F17" s="40"/>
      <c r="G17" s="40"/>
      <c r="H17" s="40"/>
      <c r="I17" s="40"/>
      <c r="J17" s="40"/>
      <c r="K17" s="41"/>
    </row>
    <row r="18" spans="2:11" x14ac:dyDescent="0.25">
      <c r="B18" s="21" t="str">
        <f>"- Khả năng chịu kéo tính toán của cáp:"</f>
        <v>- Khả năng chịu kéo tính toán của cáp:</v>
      </c>
      <c r="C18" s="40"/>
      <c r="D18" s="40"/>
      <c r="E18" s="40"/>
      <c r="F18" s="40"/>
      <c r="G18" s="40"/>
      <c r="H18" s="40"/>
      <c r="I18" s="37" t="s">
        <v>74</v>
      </c>
      <c r="J18" s="47">
        <f>J12/J8</f>
        <v>138.75</v>
      </c>
      <c r="K18" s="41" t="s">
        <v>49</v>
      </c>
    </row>
    <row r="19" spans="2:11" x14ac:dyDescent="0.25">
      <c r="B19" s="21" t="str">
        <f>"- Tỷ số huy động cấu kiện:"</f>
        <v>- Tỷ số huy động cấu kiện:</v>
      </c>
      <c r="C19" s="40"/>
      <c r="D19" s="40"/>
      <c r="E19" s="40"/>
      <c r="F19" s="40"/>
      <c r="G19" s="40"/>
      <c r="H19" s="40"/>
      <c r="I19" s="37" t="s">
        <v>75</v>
      </c>
      <c r="J19" s="53">
        <f>J14/J18</f>
        <v>0.28828828828828829</v>
      </c>
      <c r="K19" s="23" t="str">
        <f>IF(J19="-","",IF(J19&lt;=1,"OK","Check"))</f>
        <v>OK</v>
      </c>
    </row>
    <row r="20" spans="2:11" x14ac:dyDescent="0.25">
      <c r="B20" s="24" t="s">
        <v>87</v>
      </c>
      <c r="C20" s="51" t="str">
        <f>IF(J19&lt;=1,"Cấu kiện đảm bảo khả năng chịu lực","Cấu kiện không đảm bảo khả năng chịu lực")</f>
        <v>Cấu kiện đảm bảo khả năng chịu lực</v>
      </c>
      <c r="D20" s="51"/>
      <c r="E20" s="51"/>
      <c r="F20" s="51"/>
      <c r="G20" s="51"/>
      <c r="H20" s="51"/>
      <c r="I20" s="25"/>
      <c r="J20" s="55"/>
      <c r="K20" s="56"/>
    </row>
  </sheetData>
  <mergeCells count="4">
    <mergeCell ref="B1:I2"/>
    <mergeCell ref="J1:K2"/>
    <mergeCell ref="B3:D3"/>
    <mergeCell ref="B16:D16"/>
  </mergeCells>
  <conditionalFormatting sqref="K19:K20">
    <cfRule type="containsText" dxfId="3" priority="3" operator="containsText" text="Check">
      <formula>NOT(ISERROR(SEARCH("Check",K19)))</formula>
    </cfRule>
    <cfRule type="containsText" dxfId="2" priority="4" operator="containsText" text="OK">
      <formula>NOT(ISERROR(SEARCH("OK",K19)))</formula>
    </cfRule>
  </conditionalFormatting>
  <dataValidations count="2">
    <dataValidation type="whole" operator="greaterThanOrEqual" allowBlank="1" showInputMessage="1" showErrorMessage="1" sqref="J6" xr:uid="{4D948C37-5E2C-4FDC-9990-6038DD942B7B}">
      <formula1>1</formula1>
    </dataValidation>
    <dataValidation type="list" allowBlank="1" showInputMessage="1" showErrorMessage="1" sqref="J10" xr:uid="{3C050532-539C-4678-BD20-43376B76EC87}">
      <formula1>"1370,1570,1770"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6B5F2-41DD-4448-BB69-5C95B424C3A7}">
          <x14:formula1>
            <xm:f>'Bang tra'!$A$5:$A$27</xm:f>
          </x14:formula1>
          <xm:sqref>J5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Bang tra</vt:lpstr>
      <vt:lpstr>Cal</vt:lpstr>
      <vt:lpstr>TCVN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2026-10-04T08:23:27Z</dcterms:created>
  <dcterms:modified xsi:type="dcterms:W3CDTF">2026-10-04T11:33:08Z</dcterms:modified>
</cp:coreProperties>
</file>