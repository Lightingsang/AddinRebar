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an\Downloads\"/>
    </mc:Choice>
  </mc:AlternateContent>
  <xr:revisionPtr revIDLastSave="0" documentId="13_ncr:1_{D56BF5A2-1FB0-4636-8E88-1443DF2F0DD8}" xr6:coauthVersionLast="47" xr6:coauthVersionMax="47" xr10:uidLastSave="{00000000-0000-0000-0000-000000000000}"/>
  <bookViews>
    <workbookView xWindow="-28920" yWindow="-120" windowWidth="29040" windowHeight="15720" xr2:uid="{0713E3CE-4A1C-4D33-855C-CD664633FFE1}"/>
  </bookViews>
  <sheets>
    <sheet name="Tong hop" sheetId="1" r:id="rId1"/>
    <sheet name="ThepTam" sheetId="2" r:id="rId2"/>
  </sheets>
  <functionGroups builtInGroupCount="19"/>
  <definedNames>
    <definedName name="_xlnm._FilterDatabase" localSheetId="0" hidden="1">'Tong hop'!$AA$1:$AN$843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" l="1"/>
  <c r="V11" i="1"/>
  <c r="V10" i="1"/>
  <c r="V9" i="1"/>
  <c r="V8" i="1"/>
  <c r="V7" i="1"/>
  <c r="V6" i="1"/>
  <c r="V5" i="1"/>
  <c r="V4" i="1"/>
  <c r="AH843" i="1"/>
  <c r="AI843" i="1" s="1"/>
  <c r="AJ843" i="1" s="1"/>
  <c r="AG843" i="1"/>
  <c r="AH842" i="1"/>
  <c r="AG842" i="1"/>
  <c r="AH841" i="1"/>
  <c r="AG841" i="1"/>
  <c r="AH840" i="1"/>
  <c r="AI840" i="1" s="1"/>
  <c r="AJ840" i="1" s="1"/>
  <c r="AG840" i="1"/>
  <c r="AH839" i="1"/>
  <c r="AG839" i="1"/>
  <c r="AH838" i="1"/>
  <c r="AI838" i="1" s="1"/>
  <c r="AJ838" i="1" s="1"/>
  <c r="AG838" i="1"/>
  <c r="AH837" i="1"/>
  <c r="AI837" i="1" s="1"/>
  <c r="AJ837" i="1" s="1"/>
  <c r="AG837" i="1"/>
  <c r="AH836" i="1"/>
  <c r="AG836" i="1"/>
  <c r="AH835" i="1"/>
  <c r="AI835" i="1" s="1"/>
  <c r="AJ835" i="1" s="1"/>
  <c r="AG835" i="1"/>
  <c r="AH834" i="1"/>
  <c r="AG834" i="1"/>
  <c r="AH833" i="1"/>
  <c r="AI833" i="1" s="1"/>
  <c r="AJ833" i="1" s="1"/>
  <c r="AG833" i="1"/>
  <c r="AH832" i="1"/>
  <c r="AG832" i="1"/>
  <c r="AI832" i="1" s="1"/>
  <c r="AJ832" i="1" s="1"/>
  <c r="AH831" i="1"/>
  <c r="AI831" i="1" s="1"/>
  <c r="AJ831" i="1" s="1"/>
  <c r="AG831" i="1"/>
  <c r="AH830" i="1"/>
  <c r="AG830" i="1"/>
  <c r="AH829" i="1"/>
  <c r="AI829" i="1" s="1"/>
  <c r="AJ829" i="1" s="1"/>
  <c r="AG829" i="1"/>
  <c r="AH828" i="1"/>
  <c r="AI828" i="1" s="1"/>
  <c r="AJ828" i="1" s="1"/>
  <c r="AG828" i="1"/>
  <c r="AH827" i="1"/>
  <c r="AG827" i="1"/>
  <c r="AH826" i="1"/>
  <c r="AI826" i="1" s="1"/>
  <c r="AJ826" i="1" s="1"/>
  <c r="AG826" i="1"/>
  <c r="AH825" i="1"/>
  <c r="AG825" i="1"/>
  <c r="AH824" i="1"/>
  <c r="AG824" i="1"/>
  <c r="AH823" i="1"/>
  <c r="AI823" i="1" s="1"/>
  <c r="AJ823" i="1" s="1"/>
  <c r="AG823" i="1"/>
  <c r="AH822" i="1"/>
  <c r="AI822" i="1" s="1"/>
  <c r="AJ822" i="1" s="1"/>
  <c r="AG822" i="1"/>
  <c r="AH821" i="1"/>
  <c r="AI821" i="1" s="1"/>
  <c r="AJ821" i="1" s="1"/>
  <c r="AG821" i="1"/>
  <c r="AH820" i="1"/>
  <c r="AI820" i="1" s="1"/>
  <c r="AJ820" i="1" s="1"/>
  <c r="AG820" i="1"/>
  <c r="AH819" i="1"/>
  <c r="AI819" i="1" s="1"/>
  <c r="AJ819" i="1" s="1"/>
  <c r="AG819" i="1"/>
  <c r="AH818" i="1"/>
  <c r="AI818" i="1" s="1"/>
  <c r="AJ818" i="1" s="1"/>
  <c r="AG818" i="1"/>
  <c r="AH817" i="1"/>
  <c r="AI817" i="1" s="1"/>
  <c r="AJ817" i="1" s="1"/>
  <c r="AG817" i="1"/>
  <c r="AH816" i="1"/>
  <c r="AI816" i="1" s="1"/>
  <c r="AJ816" i="1" s="1"/>
  <c r="AG816" i="1"/>
  <c r="AH815" i="1"/>
  <c r="AI815" i="1" s="1"/>
  <c r="AJ815" i="1" s="1"/>
  <c r="AG815" i="1"/>
  <c r="AH814" i="1"/>
  <c r="AI814" i="1" s="1"/>
  <c r="AJ814" i="1" s="1"/>
  <c r="AG814" i="1"/>
  <c r="AH813" i="1"/>
  <c r="AI813" i="1" s="1"/>
  <c r="AJ813" i="1" s="1"/>
  <c r="AG813" i="1"/>
  <c r="AH812" i="1"/>
  <c r="AG812" i="1"/>
  <c r="AH811" i="1"/>
  <c r="AI811" i="1" s="1"/>
  <c r="AJ811" i="1" s="1"/>
  <c r="AG811" i="1"/>
  <c r="AH810" i="1"/>
  <c r="AG810" i="1"/>
  <c r="AH809" i="1"/>
  <c r="AG809" i="1"/>
  <c r="AH808" i="1"/>
  <c r="AI808" i="1" s="1"/>
  <c r="AJ808" i="1" s="1"/>
  <c r="AG808" i="1"/>
  <c r="AH807" i="1"/>
  <c r="AG807" i="1"/>
  <c r="AH806" i="1"/>
  <c r="AG806" i="1"/>
  <c r="AH805" i="1"/>
  <c r="AI805" i="1" s="1"/>
  <c r="AJ805" i="1" s="1"/>
  <c r="AG805" i="1"/>
  <c r="AH804" i="1"/>
  <c r="AI804" i="1" s="1"/>
  <c r="AJ804" i="1" s="1"/>
  <c r="AG804" i="1"/>
  <c r="AH803" i="1"/>
  <c r="AI803" i="1" s="1"/>
  <c r="AJ803" i="1" s="1"/>
  <c r="AG803" i="1"/>
  <c r="AH802" i="1"/>
  <c r="AG802" i="1"/>
  <c r="AH801" i="1"/>
  <c r="AI801" i="1" s="1"/>
  <c r="AJ801" i="1" s="1"/>
  <c r="AG801" i="1"/>
  <c r="AH800" i="1"/>
  <c r="AI800" i="1" s="1"/>
  <c r="AJ800" i="1" s="1"/>
  <c r="AG800" i="1"/>
  <c r="AH799" i="1"/>
  <c r="AI799" i="1" s="1"/>
  <c r="AJ799" i="1" s="1"/>
  <c r="AG799" i="1"/>
  <c r="AH798" i="1"/>
  <c r="AI798" i="1" s="1"/>
  <c r="AJ798" i="1" s="1"/>
  <c r="AG798" i="1"/>
  <c r="AH797" i="1"/>
  <c r="AG797" i="1"/>
  <c r="AH796" i="1"/>
  <c r="AI796" i="1" s="1"/>
  <c r="AJ796" i="1" s="1"/>
  <c r="AG796" i="1"/>
  <c r="AH795" i="1"/>
  <c r="AG795" i="1"/>
  <c r="AH794" i="1"/>
  <c r="AI794" i="1" s="1"/>
  <c r="AJ794" i="1" s="1"/>
  <c r="AG794" i="1"/>
  <c r="AH793" i="1"/>
  <c r="AI793" i="1" s="1"/>
  <c r="AJ793" i="1" s="1"/>
  <c r="AG793" i="1"/>
  <c r="AH792" i="1"/>
  <c r="AG792" i="1"/>
  <c r="AH791" i="1"/>
  <c r="AI791" i="1" s="1"/>
  <c r="AJ791" i="1" s="1"/>
  <c r="AG791" i="1"/>
  <c r="AH790" i="1"/>
  <c r="AI790" i="1" s="1"/>
  <c r="AJ790" i="1" s="1"/>
  <c r="AG790" i="1"/>
  <c r="AH789" i="1"/>
  <c r="AG789" i="1"/>
  <c r="AH788" i="1"/>
  <c r="AI788" i="1" s="1"/>
  <c r="AJ788" i="1" s="1"/>
  <c r="AG788" i="1"/>
  <c r="AH787" i="1"/>
  <c r="AI787" i="1" s="1"/>
  <c r="AJ787" i="1" s="1"/>
  <c r="AG787" i="1"/>
  <c r="AH786" i="1"/>
  <c r="AG786" i="1"/>
  <c r="AH785" i="1"/>
  <c r="AG785" i="1"/>
  <c r="AH784" i="1"/>
  <c r="AG784" i="1"/>
  <c r="AH783" i="1"/>
  <c r="AI783" i="1" s="1"/>
  <c r="AJ783" i="1" s="1"/>
  <c r="AG783" i="1"/>
  <c r="AH782" i="1"/>
  <c r="AG782" i="1"/>
  <c r="AH781" i="1"/>
  <c r="AI781" i="1" s="1"/>
  <c r="AJ781" i="1" s="1"/>
  <c r="AG781" i="1"/>
  <c r="AH780" i="1"/>
  <c r="AG780" i="1"/>
  <c r="AH779" i="1"/>
  <c r="AG779" i="1"/>
  <c r="AH778" i="1"/>
  <c r="AI778" i="1" s="1"/>
  <c r="AJ778" i="1" s="1"/>
  <c r="AG778" i="1"/>
  <c r="AH777" i="1"/>
  <c r="AG777" i="1"/>
  <c r="AH776" i="1"/>
  <c r="AG776" i="1"/>
  <c r="AH775" i="1"/>
  <c r="AI775" i="1" s="1"/>
  <c r="AJ775" i="1" s="1"/>
  <c r="AG775" i="1"/>
  <c r="AH774" i="1"/>
  <c r="AG774" i="1"/>
  <c r="AH773" i="1"/>
  <c r="AI773" i="1" s="1"/>
  <c r="AJ773" i="1" s="1"/>
  <c r="AG773" i="1"/>
  <c r="AH772" i="1"/>
  <c r="AI772" i="1" s="1"/>
  <c r="AJ772" i="1" s="1"/>
  <c r="AG772" i="1"/>
  <c r="AH771" i="1"/>
  <c r="AG771" i="1"/>
  <c r="AH770" i="1"/>
  <c r="AG770" i="1"/>
  <c r="AH769" i="1"/>
  <c r="AG769" i="1"/>
  <c r="AH768" i="1"/>
  <c r="AI768" i="1" s="1"/>
  <c r="AJ768" i="1" s="1"/>
  <c r="AG768" i="1"/>
  <c r="AH767" i="1"/>
  <c r="AI767" i="1" s="1"/>
  <c r="AJ767" i="1" s="1"/>
  <c r="AG767" i="1"/>
  <c r="AH766" i="1"/>
  <c r="AG766" i="1"/>
  <c r="AH765" i="1"/>
  <c r="AG765" i="1"/>
  <c r="AH764" i="1"/>
  <c r="AG764" i="1"/>
  <c r="AH763" i="1"/>
  <c r="AI763" i="1" s="1"/>
  <c r="AJ763" i="1" s="1"/>
  <c r="AG763" i="1"/>
  <c r="AH762" i="1"/>
  <c r="AG762" i="1"/>
  <c r="AH761" i="1"/>
  <c r="AG761" i="1"/>
  <c r="AH760" i="1"/>
  <c r="AI760" i="1" s="1"/>
  <c r="AJ760" i="1" s="1"/>
  <c r="AG760" i="1"/>
  <c r="AH759" i="1"/>
  <c r="AI759" i="1" s="1"/>
  <c r="AJ759" i="1" s="1"/>
  <c r="AG759" i="1"/>
  <c r="AH758" i="1"/>
  <c r="AI758" i="1" s="1"/>
  <c r="AJ758" i="1" s="1"/>
  <c r="AG758" i="1"/>
  <c r="AH757" i="1"/>
  <c r="AG757" i="1"/>
  <c r="AH756" i="1"/>
  <c r="AG756" i="1"/>
  <c r="AH755" i="1"/>
  <c r="AI755" i="1" s="1"/>
  <c r="AJ755" i="1" s="1"/>
  <c r="AG755" i="1"/>
  <c r="AH754" i="1"/>
  <c r="AG754" i="1"/>
  <c r="AH753" i="1"/>
  <c r="AI753" i="1" s="1"/>
  <c r="AJ753" i="1" s="1"/>
  <c r="AG753" i="1"/>
  <c r="AH752" i="1"/>
  <c r="AI752" i="1" s="1"/>
  <c r="AJ752" i="1" s="1"/>
  <c r="AG752" i="1"/>
  <c r="AH751" i="1"/>
  <c r="AI751" i="1" s="1"/>
  <c r="AJ751" i="1" s="1"/>
  <c r="AG751" i="1"/>
  <c r="AH750" i="1"/>
  <c r="AG750" i="1"/>
  <c r="AH749" i="1"/>
  <c r="AI749" i="1" s="1"/>
  <c r="AJ749" i="1" s="1"/>
  <c r="AG749" i="1"/>
  <c r="AH748" i="1"/>
  <c r="AI748" i="1" s="1"/>
  <c r="AJ748" i="1" s="1"/>
  <c r="AG748" i="1"/>
  <c r="AH747" i="1"/>
  <c r="AG747" i="1"/>
  <c r="AH746" i="1"/>
  <c r="AI746" i="1" s="1"/>
  <c r="AJ746" i="1" s="1"/>
  <c r="AG746" i="1"/>
  <c r="AH745" i="1"/>
  <c r="AI745" i="1" s="1"/>
  <c r="AJ745" i="1" s="1"/>
  <c r="AG745" i="1"/>
  <c r="AH744" i="1"/>
  <c r="AG744" i="1"/>
  <c r="AH743" i="1"/>
  <c r="AI743" i="1" s="1"/>
  <c r="AJ743" i="1" s="1"/>
  <c r="AG743" i="1"/>
  <c r="AH742" i="1"/>
  <c r="AI742" i="1" s="1"/>
  <c r="AJ742" i="1" s="1"/>
  <c r="AG742" i="1"/>
  <c r="AH741" i="1"/>
  <c r="AG741" i="1"/>
  <c r="AI741" i="1" s="1"/>
  <c r="AJ741" i="1" s="1"/>
  <c r="AH740" i="1"/>
  <c r="AG740" i="1"/>
  <c r="AH739" i="1"/>
  <c r="AI739" i="1" s="1"/>
  <c r="AJ739" i="1" s="1"/>
  <c r="AG739" i="1"/>
  <c r="AH738" i="1"/>
  <c r="AI738" i="1" s="1"/>
  <c r="AJ738" i="1" s="1"/>
  <c r="AG738" i="1"/>
  <c r="AH737" i="1"/>
  <c r="AI737" i="1" s="1"/>
  <c r="AJ737" i="1" s="1"/>
  <c r="AG737" i="1"/>
  <c r="AH736" i="1"/>
  <c r="AG736" i="1"/>
  <c r="AH735" i="1"/>
  <c r="AG735" i="1"/>
  <c r="AH734" i="1"/>
  <c r="AG734" i="1"/>
  <c r="AH733" i="1"/>
  <c r="AI733" i="1" s="1"/>
  <c r="AJ733" i="1" s="1"/>
  <c r="AG733" i="1"/>
  <c r="AH732" i="1"/>
  <c r="AI732" i="1" s="1"/>
  <c r="AJ732" i="1" s="1"/>
  <c r="AG732" i="1"/>
  <c r="AH731" i="1"/>
  <c r="AI731" i="1" s="1"/>
  <c r="AJ731" i="1" s="1"/>
  <c r="AG731" i="1"/>
  <c r="AH730" i="1"/>
  <c r="AG730" i="1"/>
  <c r="AH729" i="1"/>
  <c r="AG729" i="1"/>
  <c r="AH728" i="1"/>
  <c r="AI728" i="1" s="1"/>
  <c r="AJ728" i="1" s="1"/>
  <c r="AG728" i="1"/>
  <c r="AH727" i="1"/>
  <c r="AG727" i="1"/>
  <c r="AH726" i="1"/>
  <c r="AG726" i="1"/>
  <c r="AH725" i="1"/>
  <c r="AG725" i="1"/>
  <c r="AH724" i="1"/>
  <c r="AG724" i="1"/>
  <c r="AH723" i="1"/>
  <c r="AI723" i="1" s="1"/>
  <c r="AJ723" i="1" s="1"/>
  <c r="AG723" i="1"/>
  <c r="AH722" i="1"/>
  <c r="AG722" i="1"/>
  <c r="AH721" i="1"/>
  <c r="AI721" i="1" s="1"/>
  <c r="AJ721" i="1" s="1"/>
  <c r="AG721" i="1"/>
  <c r="AH720" i="1"/>
  <c r="AI720" i="1" s="1"/>
  <c r="AJ720" i="1" s="1"/>
  <c r="AG720" i="1"/>
  <c r="AH719" i="1"/>
  <c r="AI719" i="1" s="1"/>
  <c r="AJ719" i="1" s="1"/>
  <c r="AG719" i="1"/>
  <c r="AH718" i="1"/>
  <c r="AI718" i="1" s="1"/>
  <c r="AJ718" i="1" s="1"/>
  <c r="AG718" i="1"/>
  <c r="AH717" i="1"/>
  <c r="AI717" i="1" s="1"/>
  <c r="AJ717" i="1" s="1"/>
  <c r="AG717" i="1"/>
  <c r="AH716" i="1"/>
  <c r="AI716" i="1" s="1"/>
  <c r="AJ716" i="1" s="1"/>
  <c r="AG716" i="1"/>
  <c r="AH715" i="1"/>
  <c r="AI715" i="1" s="1"/>
  <c r="AJ715" i="1" s="1"/>
  <c r="AG715" i="1"/>
  <c r="AH714" i="1"/>
  <c r="AI714" i="1" s="1"/>
  <c r="AJ714" i="1" s="1"/>
  <c r="AG714" i="1"/>
  <c r="AH713" i="1"/>
  <c r="AI713" i="1" s="1"/>
  <c r="AJ713" i="1" s="1"/>
  <c r="AG713" i="1"/>
  <c r="AH712" i="1"/>
  <c r="AG712" i="1"/>
  <c r="AH711" i="1"/>
  <c r="AI711" i="1" s="1"/>
  <c r="AJ711" i="1" s="1"/>
  <c r="AG711" i="1"/>
  <c r="AH710" i="1"/>
  <c r="AG710" i="1"/>
  <c r="AH709" i="1"/>
  <c r="AI709" i="1" s="1"/>
  <c r="AJ709" i="1" s="1"/>
  <c r="AG709" i="1"/>
  <c r="AH708" i="1"/>
  <c r="AI708" i="1" s="1"/>
  <c r="AJ708" i="1" s="1"/>
  <c r="AG708" i="1"/>
  <c r="AH707" i="1"/>
  <c r="AG707" i="1"/>
  <c r="AH706" i="1"/>
  <c r="AG706" i="1"/>
  <c r="AH705" i="1"/>
  <c r="AG705" i="1"/>
  <c r="AI705" i="1" s="1"/>
  <c r="AJ705" i="1" s="1"/>
  <c r="AH704" i="1"/>
  <c r="AG704" i="1"/>
  <c r="AI704" i="1" s="1"/>
  <c r="AJ704" i="1" s="1"/>
  <c r="AH703" i="1"/>
  <c r="AI703" i="1" s="1"/>
  <c r="AJ703" i="1" s="1"/>
  <c r="AG703" i="1"/>
  <c r="AH702" i="1"/>
  <c r="AG702" i="1"/>
  <c r="AH701" i="1"/>
  <c r="AI701" i="1" s="1"/>
  <c r="AJ701" i="1" s="1"/>
  <c r="AG701" i="1"/>
  <c r="AH700" i="1"/>
  <c r="AG700" i="1"/>
  <c r="AH699" i="1"/>
  <c r="AI699" i="1" s="1"/>
  <c r="AJ699" i="1" s="1"/>
  <c r="AG699" i="1"/>
  <c r="AH698" i="1"/>
  <c r="AI698" i="1" s="1"/>
  <c r="AJ698" i="1" s="1"/>
  <c r="AG698" i="1"/>
  <c r="AH697" i="1"/>
  <c r="AI697" i="1" s="1"/>
  <c r="AJ697" i="1" s="1"/>
  <c r="AG697" i="1"/>
  <c r="AH696" i="1"/>
  <c r="AI696" i="1" s="1"/>
  <c r="AJ696" i="1" s="1"/>
  <c r="AG696" i="1"/>
  <c r="AH695" i="1"/>
  <c r="AG695" i="1"/>
  <c r="AH694" i="1"/>
  <c r="AG694" i="1"/>
  <c r="AH693" i="1"/>
  <c r="AI693" i="1" s="1"/>
  <c r="AJ693" i="1" s="1"/>
  <c r="AG693" i="1"/>
  <c r="AH692" i="1"/>
  <c r="AI692" i="1" s="1"/>
  <c r="AJ692" i="1" s="1"/>
  <c r="AG692" i="1"/>
  <c r="AH691" i="1"/>
  <c r="AI691" i="1" s="1"/>
  <c r="AJ691" i="1" s="1"/>
  <c r="AG691" i="1"/>
  <c r="AH690" i="1"/>
  <c r="AI690" i="1" s="1"/>
  <c r="AJ690" i="1" s="1"/>
  <c r="AG690" i="1"/>
  <c r="AH689" i="1"/>
  <c r="AG689" i="1"/>
  <c r="AH688" i="1"/>
  <c r="AI688" i="1" s="1"/>
  <c r="AJ688" i="1" s="1"/>
  <c r="AG688" i="1"/>
  <c r="AH687" i="1"/>
  <c r="AG687" i="1"/>
  <c r="AH686" i="1"/>
  <c r="AG686" i="1"/>
  <c r="AH685" i="1"/>
  <c r="AG685" i="1"/>
  <c r="AH684" i="1"/>
  <c r="AG684" i="1"/>
  <c r="AI684" i="1" s="1"/>
  <c r="AJ684" i="1" s="1"/>
  <c r="AH683" i="1"/>
  <c r="AI683" i="1" s="1"/>
  <c r="AJ683" i="1" s="1"/>
  <c r="AG683" i="1"/>
  <c r="AH682" i="1"/>
  <c r="AG682" i="1"/>
  <c r="AI682" i="1" s="1"/>
  <c r="AJ682" i="1" s="1"/>
  <c r="AH681" i="1"/>
  <c r="AG681" i="1"/>
  <c r="AH680" i="1"/>
  <c r="AG680" i="1"/>
  <c r="AH679" i="1"/>
  <c r="AG679" i="1"/>
  <c r="AH678" i="1"/>
  <c r="AI678" i="1" s="1"/>
  <c r="AJ678" i="1" s="1"/>
  <c r="AG678" i="1"/>
  <c r="AH677" i="1"/>
  <c r="AG677" i="1"/>
  <c r="AH676" i="1"/>
  <c r="AI676" i="1" s="1"/>
  <c r="AJ676" i="1" s="1"/>
  <c r="AG676" i="1"/>
  <c r="AH675" i="1"/>
  <c r="AG675" i="1"/>
  <c r="AH674" i="1"/>
  <c r="AG674" i="1"/>
  <c r="AH673" i="1"/>
  <c r="AI673" i="1" s="1"/>
  <c r="AJ673" i="1" s="1"/>
  <c r="AG673" i="1"/>
  <c r="AH672" i="1"/>
  <c r="AI672" i="1" s="1"/>
  <c r="AJ672" i="1" s="1"/>
  <c r="AG672" i="1"/>
  <c r="AH671" i="1"/>
  <c r="AG671" i="1"/>
  <c r="AH670" i="1"/>
  <c r="AG670" i="1"/>
  <c r="AH669" i="1"/>
  <c r="AI669" i="1" s="1"/>
  <c r="AJ669" i="1" s="1"/>
  <c r="AG669" i="1"/>
  <c r="AH668" i="1"/>
  <c r="AI668" i="1" s="1"/>
  <c r="AJ668" i="1" s="1"/>
  <c r="AG668" i="1"/>
  <c r="AH667" i="1"/>
  <c r="AG667" i="1"/>
  <c r="AH666" i="1"/>
  <c r="AG666" i="1"/>
  <c r="AH665" i="1"/>
  <c r="AG665" i="1"/>
  <c r="AH664" i="1"/>
  <c r="AI664" i="1" s="1"/>
  <c r="AJ664" i="1" s="1"/>
  <c r="AG664" i="1"/>
  <c r="AH663" i="1"/>
  <c r="AI663" i="1" s="1"/>
  <c r="AJ663" i="1" s="1"/>
  <c r="AG663" i="1"/>
  <c r="AH662" i="1"/>
  <c r="AI662" i="1" s="1"/>
  <c r="AJ662" i="1" s="1"/>
  <c r="AG662" i="1"/>
  <c r="AH661" i="1"/>
  <c r="AI661" i="1" s="1"/>
  <c r="AJ661" i="1" s="1"/>
  <c r="AG661" i="1"/>
  <c r="AH660" i="1"/>
  <c r="AI660" i="1" s="1"/>
  <c r="AJ660" i="1" s="1"/>
  <c r="AG660" i="1"/>
  <c r="AH659" i="1"/>
  <c r="AG659" i="1"/>
  <c r="AH658" i="1"/>
  <c r="AI658" i="1" s="1"/>
  <c r="AJ658" i="1" s="1"/>
  <c r="AG658" i="1"/>
  <c r="AH657" i="1"/>
  <c r="AG657" i="1"/>
  <c r="AH656" i="1"/>
  <c r="AI656" i="1" s="1"/>
  <c r="AJ656" i="1" s="1"/>
  <c r="AG656" i="1"/>
  <c r="AH655" i="1"/>
  <c r="AI655" i="1" s="1"/>
  <c r="AJ655" i="1" s="1"/>
  <c r="AG655" i="1"/>
  <c r="AH654" i="1"/>
  <c r="AG654" i="1"/>
  <c r="AI654" i="1" s="1"/>
  <c r="AJ654" i="1" s="1"/>
  <c r="AH653" i="1"/>
  <c r="AI653" i="1" s="1"/>
  <c r="AJ653" i="1" s="1"/>
  <c r="AG653" i="1"/>
  <c r="AH652" i="1"/>
  <c r="AG652" i="1"/>
  <c r="AI652" i="1" s="1"/>
  <c r="AJ652" i="1" s="1"/>
  <c r="AH651" i="1"/>
  <c r="AG651" i="1"/>
  <c r="AH650" i="1"/>
  <c r="AI650" i="1" s="1"/>
  <c r="AJ650" i="1" s="1"/>
  <c r="AG650" i="1"/>
  <c r="AH649" i="1"/>
  <c r="AI649" i="1" s="1"/>
  <c r="AJ649" i="1" s="1"/>
  <c r="AG649" i="1"/>
  <c r="AH648" i="1"/>
  <c r="AI648" i="1" s="1"/>
  <c r="AJ648" i="1" s="1"/>
  <c r="AG648" i="1"/>
  <c r="AH647" i="1"/>
  <c r="AG647" i="1"/>
  <c r="AH646" i="1"/>
  <c r="AG646" i="1"/>
  <c r="AH645" i="1"/>
  <c r="AG645" i="1"/>
  <c r="AI645" i="1" s="1"/>
  <c r="AJ645" i="1" s="1"/>
  <c r="AH644" i="1"/>
  <c r="AG644" i="1"/>
  <c r="AH643" i="1"/>
  <c r="AI643" i="1" s="1"/>
  <c r="AJ643" i="1" s="1"/>
  <c r="AG643" i="1"/>
  <c r="AH642" i="1"/>
  <c r="AI642" i="1" s="1"/>
  <c r="AJ642" i="1" s="1"/>
  <c r="AG642" i="1"/>
  <c r="AH641" i="1"/>
  <c r="AI641" i="1" s="1"/>
  <c r="AJ641" i="1" s="1"/>
  <c r="AG641" i="1"/>
  <c r="AH640" i="1"/>
  <c r="AI640" i="1" s="1"/>
  <c r="AJ640" i="1" s="1"/>
  <c r="AG640" i="1"/>
  <c r="AH639" i="1"/>
  <c r="AI639" i="1" s="1"/>
  <c r="AJ639" i="1" s="1"/>
  <c r="AG639" i="1"/>
  <c r="AH638" i="1"/>
  <c r="AI638" i="1" s="1"/>
  <c r="AJ638" i="1" s="1"/>
  <c r="AG638" i="1"/>
  <c r="AH637" i="1"/>
  <c r="AI637" i="1" s="1"/>
  <c r="AJ637" i="1" s="1"/>
  <c r="AG637" i="1"/>
  <c r="AH636" i="1"/>
  <c r="AG636" i="1"/>
  <c r="AH635" i="1"/>
  <c r="AG635" i="1"/>
  <c r="AH634" i="1"/>
  <c r="AI634" i="1" s="1"/>
  <c r="AJ634" i="1" s="1"/>
  <c r="AG634" i="1"/>
  <c r="AH633" i="1"/>
  <c r="AI633" i="1" s="1"/>
  <c r="AJ633" i="1" s="1"/>
  <c r="AG633" i="1"/>
  <c r="AH632" i="1"/>
  <c r="AI632" i="1" s="1"/>
  <c r="AJ632" i="1" s="1"/>
  <c r="AG632" i="1"/>
  <c r="AH631" i="1"/>
  <c r="AI631" i="1" s="1"/>
  <c r="AJ631" i="1" s="1"/>
  <c r="AG631" i="1"/>
  <c r="AH630" i="1"/>
  <c r="AG630" i="1"/>
  <c r="AH629" i="1"/>
  <c r="AG629" i="1"/>
  <c r="AH628" i="1"/>
  <c r="AI628" i="1" s="1"/>
  <c r="AJ628" i="1" s="1"/>
  <c r="AG628" i="1"/>
  <c r="AH627" i="1"/>
  <c r="AI627" i="1" s="1"/>
  <c r="AJ627" i="1" s="1"/>
  <c r="AG627" i="1"/>
  <c r="AH626" i="1"/>
  <c r="AI626" i="1" s="1"/>
  <c r="AJ626" i="1" s="1"/>
  <c r="AG626" i="1"/>
  <c r="AH625" i="1"/>
  <c r="AG625" i="1"/>
  <c r="AH624" i="1"/>
  <c r="AG624" i="1"/>
  <c r="AH623" i="1"/>
  <c r="AI623" i="1" s="1"/>
  <c r="AJ623" i="1" s="1"/>
  <c r="AG623" i="1"/>
  <c r="AH622" i="1"/>
  <c r="AG622" i="1"/>
  <c r="AH621" i="1"/>
  <c r="AG621" i="1"/>
  <c r="AH620" i="1"/>
  <c r="AG620" i="1"/>
  <c r="AH619" i="1"/>
  <c r="AI619" i="1" s="1"/>
  <c r="AJ619" i="1" s="1"/>
  <c r="AG619" i="1"/>
  <c r="AH618" i="1"/>
  <c r="AI618" i="1" s="1"/>
  <c r="AJ618" i="1" s="1"/>
  <c r="AG618" i="1"/>
  <c r="AH617" i="1"/>
  <c r="AI617" i="1" s="1"/>
  <c r="AJ617" i="1" s="1"/>
  <c r="AG617" i="1"/>
  <c r="AH616" i="1"/>
  <c r="AI616" i="1" s="1"/>
  <c r="AJ616" i="1" s="1"/>
  <c r="AG616" i="1"/>
  <c r="AH615" i="1"/>
  <c r="AG615" i="1"/>
  <c r="AH614" i="1"/>
  <c r="AI614" i="1" s="1"/>
  <c r="AJ614" i="1" s="1"/>
  <c r="AG614" i="1"/>
  <c r="AH613" i="1"/>
  <c r="AI613" i="1" s="1"/>
  <c r="AJ613" i="1" s="1"/>
  <c r="AG613" i="1"/>
  <c r="AH612" i="1"/>
  <c r="AG612" i="1"/>
  <c r="AH611" i="1"/>
  <c r="AG611" i="1"/>
  <c r="AI611" i="1" s="1"/>
  <c r="AJ611" i="1" s="1"/>
  <c r="AH610" i="1"/>
  <c r="AI610" i="1" s="1"/>
  <c r="AJ610" i="1" s="1"/>
  <c r="AG610" i="1"/>
  <c r="AH609" i="1"/>
  <c r="AG609" i="1"/>
  <c r="AH608" i="1"/>
  <c r="AI608" i="1" s="1"/>
  <c r="AJ608" i="1" s="1"/>
  <c r="AG608" i="1"/>
  <c r="AH607" i="1"/>
  <c r="AG607" i="1"/>
  <c r="AH606" i="1"/>
  <c r="AI606" i="1" s="1"/>
  <c r="AJ606" i="1" s="1"/>
  <c r="AG606" i="1"/>
  <c r="AH605" i="1"/>
  <c r="AI605" i="1" s="1"/>
  <c r="AJ605" i="1" s="1"/>
  <c r="AG605" i="1"/>
  <c r="AH604" i="1"/>
  <c r="AI604" i="1" s="1"/>
  <c r="AJ604" i="1" s="1"/>
  <c r="AG604" i="1"/>
  <c r="AH603" i="1"/>
  <c r="AI603" i="1" s="1"/>
  <c r="AJ603" i="1" s="1"/>
  <c r="AG603" i="1"/>
  <c r="AH602" i="1"/>
  <c r="AI602" i="1" s="1"/>
  <c r="AJ602" i="1" s="1"/>
  <c r="AG602" i="1"/>
  <c r="AH601" i="1"/>
  <c r="AG601" i="1"/>
  <c r="AH600" i="1"/>
  <c r="AI600" i="1" s="1"/>
  <c r="AJ600" i="1" s="1"/>
  <c r="AG600" i="1"/>
  <c r="AH599" i="1"/>
  <c r="AG599" i="1"/>
  <c r="AH598" i="1"/>
  <c r="AI598" i="1" s="1"/>
  <c r="AJ598" i="1" s="1"/>
  <c r="AG598" i="1"/>
  <c r="AH597" i="1"/>
  <c r="AG597" i="1"/>
  <c r="AH596" i="1"/>
  <c r="AG596" i="1"/>
  <c r="AH595" i="1"/>
  <c r="AI595" i="1" s="1"/>
  <c r="AJ595" i="1" s="1"/>
  <c r="AG595" i="1"/>
  <c r="AH594" i="1"/>
  <c r="AI594" i="1" s="1"/>
  <c r="AJ594" i="1" s="1"/>
  <c r="AG594" i="1"/>
  <c r="AH593" i="1"/>
  <c r="AI593" i="1" s="1"/>
  <c r="AJ593" i="1" s="1"/>
  <c r="AG593" i="1"/>
  <c r="AH592" i="1"/>
  <c r="AG592" i="1"/>
  <c r="AH591" i="1"/>
  <c r="AI591" i="1" s="1"/>
  <c r="AJ591" i="1" s="1"/>
  <c r="AG591" i="1"/>
  <c r="AH590" i="1"/>
  <c r="AG590" i="1"/>
  <c r="AH589" i="1"/>
  <c r="AI589" i="1" s="1"/>
  <c r="AJ589" i="1" s="1"/>
  <c r="AG589" i="1"/>
  <c r="AH588" i="1"/>
  <c r="AI588" i="1" s="1"/>
  <c r="AJ588" i="1" s="1"/>
  <c r="AG588" i="1"/>
  <c r="AH587" i="1"/>
  <c r="AG587" i="1"/>
  <c r="AH586" i="1"/>
  <c r="AI586" i="1" s="1"/>
  <c r="AJ586" i="1" s="1"/>
  <c r="AG586" i="1"/>
  <c r="AH585" i="1"/>
  <c r="AG585" i="1"/>
  <c r="AI585" i="1" s="1"/>
  <c r="AJ585" i="1" s="1"/>
  <c r="AH584" i="1"/>
  <c r="AI584" i="1" s="1"/>
  <c r="AJ584" i="1" s="1"/>
  <c r="AG584" i="1"/>
  <c r="AH583" i="1"/>
  <c r="AI583" i="1" s="1"/>
  <c r="AJ583" i="1" s="1"/>
  <c r="AG583" i="1"/>
  <c r="AH582" i="1"/>
  <c r="AG582" i="1"/>
  <c r="AH581" i="1"/>
  <c r="AG581" i="1"/>
  <c r="AI581" i="1" s="1"/>
  <c r="AJ581" i="1" s="1"/>
  <c r="AH580" i="1"/>
  <c r="AI580" i="1" s="1"/>
  <c r="AJ580" i="1" s="1"/>
  <c r="AG580" i="1"/>
  <c r="AH579" i="1"/>
  <c r="AG579" i="1"/>
  <c r="AH578" i="1"/>
  <c r="AI578" i="1" s="1"/>
  <c r="AJ578" i="1" s="1"/>
  <c r="AG578" i="1"/>
  <c r="AH577" i="1"/>
  <c r="AG577" i="1"/>
  <c r="AH576" i="1"/>
  <c r="AG576" i="1"/>
  <c r="AH575" i="1"/>
  <c r="AG575" i="1"/>
  <c r="AH574" i="1"/>
  <c r="AG574" i="1"/>
  <c r="AH573" i="1"/>
  <c r="AI573" i="1" s="1"/>
  <c r="AJ573" i="1" s="1"/>
  <c r="AG573" i="1"/>
  <c r="AH572" i="1"/>
  <c r="AG572" i="1"/>
  <c r="AH571" i="1"/>
  <c r="AG571" i="1"/>
  <c r="AH570" i="1"/>
  <c r="AG570" i="1"/>
  <c r="AH569" i="1"/>
  <c r="AI569" i="1" s="1"/>
  <c r="AJ569" i="1" s="1"/>
  <c r="AG569" i="1"/>
  <c r="AH568" i="1"/>
  <c r="AI568" i="1" s="1"/>
  <c r="AJ568" i="1" s="1"/>
  <c r="AG568" i="1"/>
  <c r="AH567" i="1"/>
  <c r="AG567" i="1"/>
  <c r="AH566" i="1"/>
  <c r="AG566" i="1"/>
  <c r="AH565" i="1"/>
  <c r="AI565" i="1" s="1"/>
  <c r="AJ565" i="1" s="1"/>
  <c r="AG565" i="1"/>
  <c r="AH564" i="1"/>
  <c r="AI564" i="1" s="1"/>
  <c r="AJ564" i="1" s="1"/>
  <c r="AG564" i="1"/>
  <c r="AH563" i="1"/>
  <c r="AI563" i="1" s="1"/>
  <c r="AJ563" i="1" s="1"/>
  <c r="AG563" i="1"/>
  <c r="AH562" i="1"/>
  <c r="AI562" i="1" s="1"/>
  <c r="AJ562" i="1" s="1"/>
  <c r="AG562" i="1"/>
  <c r="AH561" i="1"/>
  <c r="AI561" i="1" s="1"/>
  <c r="AJ561" i="1" s="1"/>
  <c r="AG561" i="1"/>
  <c r="AH560" i="1"/>
  <c r="AG560" i="1"/>
  <c r="AH559" i="1"/>
  <c r="AG559" i="1"/>
  <c r="AH558" i="1"/>
  <c r="AI558" i="1" s="1"/>
  <c r="AJ558" i="1" s="1"/>
  <c r="AG558" i="1"/>
  <c r="AH557" i="1"/>
  <c r="AG557" i="1"/>
  <c r="AH556" i="1"/>
  <c r="AG556" i="1"/>
  <c r="AH555" i="1"/>
  <c r="AI555" i="1" s="1"/>
  <c r="AJ555" i="1" s="1"/>
  <c r="AG555" i="1"/>
  <c r="AH554" i="1"/>
  <c r="AG554" i="1"/>
  <c r="AH553" i="1"/>
  <c r="AI553" i="1" s="1"/>
  <c r="AJ553" i="1" s="1"/>
  <c r="AG553" i="1"/>
  <c r="AH552" i="1"/>
  <c r="AI552" i="1" s="1"/>
  <c r="AJ552" i="1" s="1"/>
  <c r="AG552" i="1"/>
  <c r="AH551" i="1"/>
  <c r="AG551" i="1"/>
  <c r="AI551" i="1" s="1"/>
  <c r="AJ551" i="1" s="1"/>
  <c r="AH550" i="1"/>
  <c r="AG550" i="1"/>
  <c r="AH549" i="1"/>
  <c r="AG549" i="1"/>
  <c r="AH548" i="1"/>
  <c r="AI548" i="1" s="1"/>
  <c r="AJ548" i="1" s="1"/>
  <c r="AG548" i="1"/>
  <c r="AH547" i="1"/>
  <c r="AI547" i="1" s="1"/>
  <c r="AJ547" i="1" s="1"/>
  <c r="AG547" i="1"/>
  <c r="AH546" i="1"/>
  <c r="AG546" i="1"/>
  <c r="AH545" i="1"/>
  <c r="AG545" i="1"/>
  <c r="AH544" i="1"/>
  <c r="AI544" i="1" s="1"/>
  <c r="AJ544" i="1" s="1"/>
  <c r="AG544" i="1"/>
  <c r="AH543" i="1"/>
  <c r="AI543" i="1" s="1"/>
  <c r="AJ543" i="1" s="1"/>
  <c r="AG543" i="1"/>
  <c r="AH542" i="1"/>
  <c r="AI542" i="1" s="1"/>
  <c r="AJ542" i="1" s="1"/>
  <c r="AG542" i="1"/>
  <c r="AH541" i="1"/>
  <c r="AI541" i="1" s="1"/>
  <c r="AJ541" i="1" s="1"/>
  <c r="AG541" i="1"/>
  <c r="AH540" i="1"/>
  <c r="AI540" i="1" s="1"/>
  <c r="AJ540" i="1" s="1"/>
  <c r="AG540" i="1"/>
  <c r="AH539" i="1"/>
  <c r="AG539" i="1"/>
  <c r="AH538" i="1"/>
  <c r="AI538" i="1" s="1"/>
  <c r="AJ538" i="1" s="1"/>
  <c r="AG538" i="1"/>
  <c r="AH537" i="1"/>
  <c r="AI537" i="1" s="1"/>
  <c r="AJ537" i="1" s="1"/>
  <c r="AG537" i="1"/>
  <c r="AH536" i="1"/>
  <c r="AG536" i="1"/>
  <c r="AH535" i="1"/>
  <c r="AG535" i="1"/>
  <c r="AI535" i="1" s="1"/>
  <c r="AJ535" i="1" s="1"/>
  <c r="AH534" i="1"/>
  <c r="AI534" i="1" s="1"/>
  <c r="AJ534" i="1" s="1"/>
  <c r="AG534" i="1"/>
  <c r="AH533" i="1"/>
  <c r="AI533" i="1" s="1"/>
  <c r="AJ533" i="1" s="1"/>
  <c r="AG533" i="1"/>
  <c r="AH532" i="1"/>
  <c r="AG532" i="1"/>
  <c r="AI532" i="1" s="1"/>
  <c r="AJ532" i="1" s="1"/>
  <c r="AH531" i="1"/>
  <c r="AI531" i="1" s="1"/>
  <c r="AJ531" i="1" s="1"/>
  <c r="AG531" i="1"/>
  <c r="AH530" i="1"/>
  <c r="AI530" i="1" s="1"/>
  <c r="AJ530" i="1" s="1"/>
  <c r="AG530" i="1"/>
  <c r="AH529" i="1"/>
  <c r="AI529" i="1" s="1"/>
  <c r="AJ529" i="1" s="1"/>
  <c r="AG529" i="1"/>
  <c r="AH528" i="1"/>
  <c r="AI528" i="1" s="1"/>
  <c r="AJ528" i="1" s="1"/>
  <c r="AG528" i="1"/>
  <c r="AH527" i="1"/>
  <c r="AG527" i="1"/>
  <c r="AH526" i="1"/>
  <c r="AI526" i="1" s="1"/>
  <c r="AJ526" i="1" s="1"/>
  <c r="AG526" i="1"/>
  <c r="AH525" i="1"/>
  <c r="AG525" i="1"/>
  <c r="AI525" i="1" s="1"/>
  <c r="AJ525" i="1" s="1"/>
  <c r="AH524" i="1"/>
  <c r="AG524" i="1"/>
  <c r="AI524" i="1" s="1"/>
  <c r="AJ524" i="1" s="1"/>
  <c r="AH523" i="1"/>
  <c r="AI523" i="1" s="1"/>
  <c r="AJ523" i="1" s="1"/>
  <c r="AG523" i="1"/>
  <c r="AH522" i="1"/>
  <c r="AG522" i="1"/>
  <c r="AI522" i="1" s="1"/>
  <c r="AJ522" i="1" s="1"/>
  <c r="AH521" i="1"/>
  <c r="AG521" i="1"/>
  <c r="AI521" i="1" s="1"/>
  <c r="AJ521" i="1" s="1"/>
  <c r="AH520" i="1"/>
  <c r="AI520" i="1" s="1"/>
  <c r="AJ520" i="1" s="1"/>
  <c r="AG520" i="1"/>
  <c r="AH519" i="1"/>
  <c r="AI519" i="1" s="1"/>
  <c r="AJ519" i="1" s="1"/>
  <c r="AG519" i="1"/>
  <c r="AH518" i="1"/>
  <c r="AI518" i="1" s="1"/>
  <c r="AJ518" i="1" s="1"/>
  <c r="AG518" i="1"/>
  <c r="AH517" i="1"/>
  <c r="AI517" i="1" s="1"/>
  <c r="AJ517" i="1" s="1"/>
  <c r="AG517" i="1"/>
  <c r="AH516" i="1"/>
  <c r="AI516" i="1" s="1"/>
  <c r="AJ516" i="1" s="1"/>
  <c r="AG516" i="1"/>
  <c r="AH515" i="1"/>
  <c r="AG515" i="1"/>
  <c r="AH514" i="1"/>
  <c r="AI514" i="1" s="1"/>
  <c r="AJ514" i="1" s="1"/>
  <c r="AG514" i="1"/>
  <c r="AH513" i="1"/>
  <c r="AI513" i="1" s="1"/>
  <c r="AJ513" i="1" s="1"/>
  <c r="AG513" i="1"/>
  <c r="AH512" i="1"/>
  <c r="AG512" i="1"/>
  <c r="AH511" i="1"/>
  <c r="AG511" i="1"/>
  <c r="AH510" i="1"/>
  <c r="AG510" i="1"/>
  <c r="AH509" i="1"/>
  <c r="AG509" i="1"/>
  <c r="AH508" i="1"/>
  <c r="AI508" i="1" s="1"/>
  <c r="AJ508" i="1" s="1"/>
  <c r="AG508" i="1"/>
  <c r="AH507" i="1"/>
  <c r="AG507" i="1"/>
  <c r="AH506" i="1"/>
  <c r="AI506" i="1" s="1"/>
  <c r="AJ506" i="1" s="1"/>
  <c r="AG506" i="1"/>
  <c r="AH505" i="1"/>
  <c r="AI505" i="1" s="1"/>
  <c r="AJ505" i="1" s="1"/>
  <c r="AG505" i="1"/>
  <c r="AH504" i="1"/>
  <c r="AI504" i="1" s="1"/>
  <c r="AJ504" i="1" s="1"/>
  <c r="AG504" i="1"/>
  <c r="AH503" i="1"/>
  <c r="AI503" i="1" s="1"/>
  <c r="AJ503" i="1" s="1"/>
  <c r="AG503" i="1"/>
  <c r="AH502" i="1"/>
  <c r="AI502" i="1" s="1"/>
  <c r="AJ502" i="1" s="1"/>
  <c r="AG502" i="1"/>
  <c r="AH501" i="1"/>
  <c r="AG501" i="1"/>
  <c r="AH500" i="1"/>
  <c r="AG500" i="1"/>
  <c r="AH499" i="1"/>
  <c r="AG499" i="1"/>
  <c r="AH498" i="1"/>
  <c r="AI498" i="1" s="1"/>
  <c r="AJ498" i="1" s="1"/>
  <c r="AG498" i="1"/>
  <c r="AH497" i="1"/>
  <c r="AI497" i="1" s="1"/>
  <c r="AJ497" i="1" s="1"/>
  <c r="AG497" i="1"/>
  <c r="AH496" i="1"/>
  <c r="AG496" i="1"/>
  <c r="AH495" i="1"/>
  <c r="AG495" i="1"/>
  <c r="AH494" i="1"/>
  <c r="AG494" i="1"/>
  <c r="AH493" i="1"/>
  <c r="AI493" i="1" s="1"/>
  <c r="AJ493" i="1" s="1"/>
  <c r="AG493" i="1"/>
  <c r="AH492" i="1"/>
  <c r="AG492" i="1"/>
  <c r="AH491" i="1"/>
  <c r="AG491" i="1"/>
  <c r="AH490" i="1"/>
  <c r="AG490" i="1"/>
  <c r="AH489" i="1"/>
  <c r="AI489" i="1" s="1"/>
  <c r="AJ489" i="1" s="1"/>
  <c r="AG489" i="1"/>
  <c r="AH488" i="1"/>
  <c r="AI488" i="1" s="1"/>
  <c r="AJ488" i="1" s="1"/>
  <c r="AG488" i="1"/>
  <c r="AH487" i="1"/>
  <c r="AI487" i="1" s="1"/>
  <c r="AJ487" i="1" s="1"/>
  <c r="AG487" i="1"/>
  <c r="AH486" i="1"/>
  <c r="AG486" i="1"/>
  <c r="AH485" i="1"/>
  <c r="AI485" i="1" s="1"/>
  <c r="AJ485" i="1" s="1"/>
  <c r="AG485" i="1"/>
  <c r="AH484" i="1"/>
  <c r="AG484" i="1"/>
  <c r="AH483" i="1"/>
  <c r="AI483" i="1" s="1"/>
  <c r="AJ483" i="1" s="1"/>
  <c r="AG483" i="1"/>
  <c r="AH482" i="1"/>
  <c r="AI482" i="1" s="1"/>
  <c r="AJ482" i="1" s="1"/>
  <c r="AG482" i="1"/>
  <c r="AH481" i="1"/>
  <c r="AG481" i="1"/>
  <c r="AH480" i="1"/>
  <c r="AG480" i="1"/>
  <c r="AH479" i="1"/>
  <c r="AG479" i="1"/>
  <c r="AH478" i="1"/>
  <c r="AI478" i="1" s="1"/>
  <c r="AJ478" i="1" s="1"/>
  <c r="AG478" i="1"/>
  <c r="AH477" i="1"/>
  <c r="AG477" i="1"/>
  <c r="AH476" i="1"/>
  <c r="AI476" i="1" s="1"/>
  <c r="AJ476" i="1" s="1"/>
  <c r="AG476" i="1"/>
  <c r="AH475" i="1"/>
  <c r="AG475" i="1"/>
  <c r="AH474" i="1"/>
  <c r="AI474" i="1" s="1"/>
  <c r="AJ474" i="1" s="1"/>
  <c r="AG474" i="1"/>
  <c r="AH473" i="1"/>
  <c r="AI473" i="1" s="1"/>
  <c r="AJ473" i="1" s="1"/>
  <c r="AG473" i="1"/>
  <c r="AH472" i="1"/>
  <c r="AI472" i="1" s="1"/>
  <c r="AJ472" i="1" s="1"/>
  <c r="AG472" i="1"/>
  <c r="AH471" i="1"/>
  <c r="AG471" i="1"/>
  <c r="AH470" i="1"/>
  <c r="AG470" i="1"/>
  <c r="AH469" i="1"/>
  <c r="AG469" i="1"/>
  <c r="AH468" i="1"/>
  <c r="AI468" i="1" s="1"/>
  <c r="AJ468" i="1" s="1"/>
  <c r="AG468" i="1"/>
  <c r="AH467" i="1"/>
  <c r="AI467" i="1" s="1"/>
  <c r="AJ467" i="1" s="1"/>
  <c r="AG467" i="1"/>
  <c r="AH466" i="1"/>
  <c r="AI466" i="1" s="1"/>
  <c r="AJ466" i="1" s="1"/>
  <c r="AG466" i="1"/>
  <c r="AH465" i="1"/>
  <c r="AG465" i="1"/>
  <c r="AH464" i="1"/>
  <c r="AI464" i="1" s="1"/>
  <c r="AJ464" i="1" s="1"/>
  <c r="AG464" i="1"/>
  <c r="AH463" i="1"/>
  <c r="AI463" i="1" s="1"/>
  <c r="AJ463" i="1" s="1"/>
  <c r="AG463" i="1"/>
  <c r="AH462" i="1"/>
  <c r="AG462" i="1"/>
  <c r="AH461" i="1"/>
  <c r="AI461" i="1" s="1"/>
  <c r="AJ461" i="1" s="1"/>
  <c r="AG461" i="1"/>
  <c r="AH460" i="1"/>
  <c r="AG460" i="1"/>
  <c r="AH459" i="1"/>
  <c r="AG459" i="1"/>
  <c r="AH458" i="1"/>
  <c r="AI458" i="1" s="1"/>
  <c r="AJ458" i="1" s="1"/>
  <c r="AG458" i="1"/>
  <c r="AH457" i="1"/>
  <c r="AI457" i="1" s="1"/>
  <c r="AJ457" i="1" s="1"/>
  <c r="AG457" i="1"/>
  <c r="AH456" i="1"/>
  <c r="AI456" i="1" s="1"/>
  <c r="AJ456" i="1" s="1"/>
  <c r="AG456" i="1"/>
  <c r="AH455" i="1"/>
  <c r="AI455" i="1" s="1"/>
  <c r="AJ455" i="1" s="1"/>
  <c r="AG455" i="1"/>
  <c r="AH454" i="1"/>
  <c r="AG454" i="1"/>
  <c r="AH453" i="1"/>
  <c r="AI453" i="1" s="1"/>
  <c r="AJ453" i="1" s="1"/>
  <c r="AG453" i="1"/>
  <c r="AH452" i="1"/>
  <c r="AG452" i="1"/>
  <c r="AI452" i="1" s="1"/>
  <c r="AJ452" i="1" s="1"/>
  <c r="AH451" i="1"/>
  <c r="AI451" i="1" s="1"/>
  <c r="AJ451" i="1" s="1"/>
  <c r="AG451" i="1"/>
  <c r="AH450" i="1"/>
  <c r="AG450" i="1"/>
  <c r="AH449" i="1"/>
  <c r="AI449" i="1" s="1"/>
  <c r="AJ449" i="1" s="1"/>
  <c r="AG449" i="1"/>
  <c r="AH448" i="1"/>
  <c r="AI448" i="1" s="1"/>
  <c r="AJ448" i="1" s="1"/>
  <c r="AG448" i="1"/>
  <c r="AH447" i="1"/>
  <c r="AG447" i="1"/>
  <c r="AH446" i="1"/>
  <c r="AG446" i="1"/>
  <c r="AH445" i="1"/>
  <c r="AI445" i="1" s="1"/>
  <c r="AJ445" i="1" s="1"/>
  <c r="AG445" i="1"/>
  <c r="AH444" i="1"/>
  <c r="AG444" i="1"/>
  <c r="AH443" i="1"/>
  <c r="AI443" i="1" s="1"/>
  <c r="AJ443" i="1" s="1"/>
  <c r="AG443" i="1"/>
  <c r="AH442" i="1"/>
  <c r="AI442" i="1" s="1"/>
  <c r="AJ442" i="1" s="1"/>
  <c r="AG442" i="1"/>
  <c r="AH441" i="1"/>
  <c r="AI441" i="1" s="1"/>
  <c r="AJ441" i="1" s="1"/>
  <c r="AG441" i="1"/>
  <c r="AH440" i="1"/>
  <c r="AI440" i="1" s="1"/>
  <c r="AJ440" i="1" s="1"/>
  <c r="AG440" i="1"/>
  <c r="AH439" i="1"/>
  <c r="AG439" i="1"/>
  <c r="AH438" i="1"/>
  <c r="AI438" i="1" s="1"/>
  <c r="AJ438" i="1" s="1"/>
  <c r="AG438" i="1"/>
  <c r="AH437" i="1"/>
  <c r="AG437" i="1"/>
  <c r="AH436" i="1"/>
  <c r="AG436" i="1"/>
  <c r="AH435" i="1"/>
  <c r="AG435" i="1"/>
  <c r="AI435" i="1" s="1"/>
  <c r="AJ435" i="1" s="1"/>
  <c r="AH434" i="1"/>
  <c r="AI434" i="1" s="1"/>
  <c r="AJ434" i="1" s="1"/>
  <c r="AG434" i="1"/>
  <c r="AH433" i="1"/>
  <c r="AI433" i="1" s="1"/>
  <c r="AJ433" i="1" s="1"/>
  <c r="AG433" i="1"/>
  <c r="AH432" i="1"/>
  <c r="AI432" i="1" s="1"/>
  <c r="AJ432" i="1" s="1"/>
  <c r="AG432" i="1"/>
  <c r="AH431" i="1"/>
  <c r="AI431" i="1" s="1"/>
  <c r="AJ431" i="1" s="1"/>
  <c r="AG431" i="1"/>
  <c r="AH430" i="1"/>
  <c r="AI430" i="1" s="1"/>
  <c r="AJ430" i="1" s="1"/>
  <c r="AG430" i="1"/>
  <c r="AH429" i="1"/>
  <c r="AG429" i="1"/>
  <c r="AH428" i="1"/>
  <c r="AI428" i="1" s="1"/>
  <c r="AJ428" i="1" s="1"/>
  <c r="AG428" i="1"/>
  <c r="AH427" i="1"/>
  <c r="AI427" i="1" s="1"/>
  <c r="AJ427" i="1" s="1"/>
  <c r="AG427" i="1"/>
  <c r="AH426" i="1"/>
  <c r="AI426" i="1" s="1"/>
  <c r="AJ426" i="1" s="1"/>
  <c r="AG426" i="1"/>
  <c r="AH425" i="1"/>
  <c r="AG425" i="1"/>
  <c r="AH424" i="1"/>
  <c r="AI424" i="1" s="1"/>
  <c r="AJ424" i="1" s="1"/>
  <c r="AG424" i="1"/>
  <c r="AH423" i="1"/>
  <c r="AI423" i="1" s="1"/>
  <c r="AJ423" i="1" s="1"/>
  <c r="AG423" i="1"/>
  <c r="AH422" i="1"/>
  <c r="AG422" i="1"/>
  <c r="AH421" i="1"/>
  <c r="AI421" i="1" s="1"/>
  <c r="AJ421" i="1" s="1"/>
  <c r="AG421" i="1"/>
  <c r="AH420" i="1"/>
  <c r="AI420" i="1" s="1"/>
  <c r="AJ420" i="1" s="1"/>
  <c r="AG420" i="1"/>
  <c r="AH419" i="1"/>
  <c r="AI419" i="1" s="1"/>
  <c r="AJ419" i="1" s="1"/>
  <c r="AG419" i="1"/>
  <c r="AH418" i="1"/>
  <c r="AI418" i="1" s="1"/>
  <c r="AJ418" i="1" s="1"/>
  <c r="AG418" i="1"/>
  <c r="AH417" i="1"/>
  <c r="AG417" i="1"/>
  <c r="AH416" i="1"/>
  <c r="AG416" i="1"/>
  <c r="AH415" i="1"/>
  <c r="AG415" i="1"/>
  <c r="AH414" i="1"/>
  <c r="AI414" i="1" s="1"/>
  <c r="AJ414" i="1" s="1"/>
  <c r="AG414" i="1"/>
  <c r="AH413" i="1"/>
  <c r="AI413" i="1" s="1"/>
  <c r="AJ413" i="1" s="1"/>
  <c r="AG413" i="1"/>
  <c r="AH412" i="1"/>
  <c r="AI412" i="1" s="1"/>
  <c r="AJ412" i="1" s="1"/>
  <c r="AG412" i="1"/>
  <c r="AH411" i="1"/>
  <c r="AG411" i="1"/>
  <c r="AI411" i="1" s="1"/>
  <c r="AJ411" i="1" s="1"/>
  <c r="AH410" i="1"/>
  <c r="AG410" i="1"/>
  <c r="AH409" i="1"/>
  <c r="AI409" i="1" s="1"/>
  <c r="AJ409" i="1" s="1"/>
  <c r="AG409" i="1"/>
  <c r="AH408" i="1"/>
  <c r="AG408" i="1"/>
  <c r="AH407" i="1"/>
  <c r="AI407" i="1" s="1"/>
  <c r="AJ407" i="1" s="1"/>
  <c r="AG407" i="1"/>
  <c r="AH406" i="1"/>
  <c r="AI406" i="1" s="1"/>
  <c r="AJ406" i="1" s="1"/>
  <c r="AG406" i="1"/>
  <c r="AH405" i="1"/>
  <c r="AI405" i="1" s="1"/>
  <c r="AJ405" i="1" s="1"/>
  <c r="AG405" i="1"/>
  <c r="AH404" i="1"/>
  <c r="AI404" i="1" s="1"/>
  <c r="AJ404" i="1" s="1"/>
  <c r="AG404" i="1"/>
  <c r="AH403" i="1"/>
  <c r="AG403" i="1"/>
  <c r="AI403" i="1" s="1"/>
  <c r="AJ403" i="1" s="1"/>
  <c r="AH402" i="1"/>
  <c r="AG402" i="1"/>
  <c r="AI402" i="1" s="1"/>
  <c r="AJ402" i="1" s="1"/>
  <c r="AH401" i="1"/>
  <c r="AG401" i="1"/>
  <c r="AH400" i="1"/>
  <c r="AI400" i="1" s="1"/>
  <c r="AJ400" i="1" s="1"/>
  <c r="AG400" i="1"/>
  <c r="AH399" i="1"/>
  <c r="AI399" i="1" s="1"/>
  <c r="AJ399" i="1" s="1"/>
  <c r="AG399" i="1"/>
  <c r="AH398" i="1"/>
  <c r="AI398" i="1" s="1"/>
  <c r="AJ398" i="1" s="1"/>
  <c r="AG398" i="1"/>
  <c r="AH397" i="1"/>
  <c r="AG397" i="1"/>
  <c r="AH396" i="1"/>
  <c r="AG396" i="1"/>
  <c r="AH395" i="1"/>
  <c r="AG395" i="1"/>
  <c r="AI395" i="1" s="1"/>
  <c r="AJ395" i="1" s="1"/>
  <c r="AH394" i="1"/>
  <c r="AI394" i="1" s="1"/>
  <c r="AJ394" i="1" s="1"/>
  <c r="AG394" i="1"/>
  <c r="AH393" i="1"/>
  <c r="AG393" i="1"/>
  <c r="AI393" i="1" s="1"/>
  <c r="AJ393" i="1" s="1"/>
  <c r="AH392" i="1"/>
  <c r="AG392" i="1"/>
  <c r="AH391" i="1"/>
  <c r="AI391" i="1" s="1"/>
  <c r="AJ391" i="1" s="1"/>
  <c r="AG391" i="1"/>
  <c r="AH390" i="1"/>
  <c r="AG390" i="1"/>
  <c r="AH389" i="1"/>
  <c r="AI389" i="1" s="1"/>
  <c r="AJ389" i="1" s="1"/>
  <c r="AG389" i="1"/>
  <c r="AH388" i="1"/>
  <c r="AG388" i="1"/>
  <c r="AH387" i="1"/>
  <c r="AI387" i="1" s="1"/>
  <c r="AJ387" i="1" s="1"/>
  <c r="AG387" i="1"/>
  <c r="AH386" i="1"/>
  <c r="AI386" i="1" s="1"/>
  <c r="AJ386" i="1" s="1"/>
  <c r="AG386" i="1"/>
  <c r="AH385" i="1"/>
  <c r="AI385" i="1" s="1"/>
  <c r="AJ385" i="1" s="1"/>
  <c r="AG385" i="1"/>
  <c r="AH384" i="1"/>
  <c r="AI384" i="1" s="1"/>
  <c r="AJ384" i="1" s="1"/>
  <c r="AG384" i="1"/>
  <c r="AH383" i="1"/>
  <c r="AI383" i="1" s="1"/>
  <c r="AJ383" i="1" s="1"/>
  <c r="AG383" i="1"/>
  <c r="AH382" i="1"/>
  <c r="AI382" i="1" s="1"/>
  <c r="AJ382" i="1" s="1"/>
  <c r="AG382" i="1"/>
  <c r="AH381" i="1"/>
  <c r="AG381" i="1"/>
  <c r="AH380" i="1"/>
  <c r="AG380" i="1"/>
  <c r="AH379" i="1"/>
  <c r="AI379" i="1" s="1"/>
  <c r="AJ379" i="1" s="1"/>
  <c r="AG379" i="1"/>
  <c r="AH378" i="1"/>
  <c r="AG378" i="1"/>
  <c r="AH377" i="1"/>
  <c r="AI377" i="1" s="1"/>
  <c r="AJ377" i="1" s="1"/>
  <c r="AG377" i="1"/>
  <c r="AH376" i="1"/>
  <c r="AG376" i="1"/>
  <c r="AH375" i="1"/>
  <c r="AG375" i="1"/>
  <c r="AH374" i="1"/>
  <c r="AI374" i="1" s="1"/>
  <c r="AJ374" i="1" s="1"/>
  <c r="AG374" i="1"/>
  <c r="AH373" i="1"/>
  <c r="AG373" i="1"/>
  <c r="AH372" i="1"/>
  <c r="AI372" i="1" s="1"/>
  <c r="AJ372" i="1" s="1"/>
  <c r="AG372" i="1"/>
  <c r="AH371" i="1"/>
  <c r="AG371" i="1"/>
  <c r="AH370" i="1"/>
  <c r="AI370" i="1" s="1"/>
  <c r="AJ370" i="1" s="1"/>
  <c r="AG370" i="1"/>
  <c r="AH369" i="1"/>
  <c r="AI369" i="1" s="1"/>
  <c r="AJ369" i="1" s="1"/>
  <c r="AG369" i="1"/>
  <c r="AH368" i="1"/>
  <c r="AI368" i="1" s="1"/>
  <c r="AJ368" i="1" s="1"/>
  <c r="AG368" i="1"/>
  <c r="AH367" i="1"/>
  <c r="AG367" i="1"/>
  <c r="AH366" i="1"/>
  <c r="AI366" i="1" s="1"/>
  <c r="AJ366" i="1" s="1"/>
  <c r="AG366" i="1"/>
  <c r="AH365" i="1"/>
  <c r="AI365" i="1" s="1"/>
  <c r="AJ365" i="1" s="1"/>
  <c r="AG365" i="1"/>
  <c r="AH364" i="1"/>
  <c r="AI364" i="1" s="1"/>
  <c r="AJ364" i="1" s="1"/>
  <c r="AG364" i="1"/>
  <c r="AH363" i="1"/>
  <c r="AI363" i="1" s="1"/>
  <c r="AJ363" i="1" s="1"/>
  <c r="AG363" i="1"/>
  <c r="AH362" i="1"/>
  <c r="AG362" i="1"/>
  <c r="AH361" i="1"/>
  <c r="AG361" i="1"/>
  <c r="AH360" i="1"/>
  <c r="AI360" i="1" s="1"/>
  <c r="AJ360" i="1" s="1"/>
  <c r="AG360" i="1"/>
  <c r="AH359" i="1"/>
  <c r="AI359" i="1" s="1"/>
  <c r="AJ359" i="1" s="1"/>
  <c r="AG359" i="1"/>
  <c r="AH358" i="1"/>
  <c r="AG358" i="1"/>
  <c r="AH357" i="1"/>
  <c r="AG357" i="1"/>
  <c r="AH356" i="1"/>
  <c r="AI356" i="1" s="1"/>
  <c r="AJ356" i="1" s="1"/>
  <c r="AG356" i="1"/>
  <c r="AH355" i="1"/>
  <c r="AG355" i="1"/>
  <c r="AH354" i="1"/>
  <c r="AI354" i="1" s="1"/>
  <c r="AJ354" i="1" s="1"/>
  <c r="AG354" i="1"/>
  <c r="AH353" i="1"/>
  <c r="AG353" i="1"/>
  <c r="AH352" i="1"/>
  <c r="AG352" i="1"/>
  <c r="AH351" i="1"/>
  <c r="AG351" i="1"/>
  <c r="AH350" i="1"/>
  <c r="AI350" i="1" s="1"/>
  <c r="AJ350" i="1" s="1"/>
  <c r="AG350" i="1"/>
  <c r="AH349" i="1"/>
  <c r="AI349" i="1" s="1"/>
  <c r="AJ349" i="1" s="1"/>
  <c r="AG349" i="1"/>
  <c r="AH348" i="1"/>
  <c r="AI348" i="1" s="1"/>
  <c r="AJ348" i="1" s="1"/>
  <c r="AG348" i="1"/>
  <c r="AH347" i="1"/>
  <c r="AI347" i="1" s="1"/>
  <c r="AJ347" i="1" s="1"/>
  <c r="AG347" i="1"/>
  <c r="AH346" i="1"/>
  <c r="AG346" i="1"/>
  <c r="AH345" i="1"/>
  <c r="AI345" i="1" s="1"/>
  <c r="AJ345" i="1" s="1"/>
  <c r="AG345" i="1"/>
  <c r="AH344" i="1"/>
  <c r="AI344" i="1" s="1"/>
  <c r="AJ344" i="1" s="1"/>
  <c r="AG344" i="1"/>
  <c r="AH343" i="1"/>
  <c r="AG343" i="1"/>
  <c r="AH342" i="1"/>
  <c r="AI342" i="1" s="1"/>
  <c r="AJ342" i="1" s="1"/>
  <c r="AG342" i="1"/>
  <c r="AH341" i="1"/>
  <c r="AG341" i="1"/>
  <c r="AH340" i="1"/>
  <c r="AG340" i="1"/>
  <c r="AH339" i="1"/>
  <c r="AI339" i="1" s="1"/>
  <c r="AJ339" i="1" s="1"/>
  <c r="AG339" i="1"/>
  <c r="AH338" i="1"/>
  <c r="AG338" i="1"/>
  <c r="AH337" i="1"/>
  <c r="AG337" i="1"/>
  <c r="AH336" i="1"/>
  <c r="AG336" i="1"/>
  <c r="AH335" i="1"/>
  <c r="AI335" i="1" s="1"/>
  <c r="AJ335" i="1" s="1"/>
  <c r="AG335" i="1"/>
  <c r="AH334" i="1"/>
  <c r="AI334" i="1" s="1"/>
  <c r="AJ334" i="1" s="1"/>
  <c r="AG334" i="1"/>
  <c r="AH333" i="1"/>
  <c r="AI333" i="1" s="1"/>
  <c r="AJ333" i="1" s="1"/>
  <c r="AG333" i="1"/>
  <c r="AH332" i="1"/>
  <c r="AG332" i="1"/>
  <c r="AH331" i="1"/>
  <c r="AG331" i="1"/>
  <c r="AH330" i="1"/>
  <c r="AG330" i="1"/>
  <c r="AH329" i="1"/>
  <c r="AI329" i="1" s="1"/>
  <c r="AJ329" i="1" s="1"/>
  <c r="AG329" i="1"/>
  <c r="AH328" i="1"/>
  <c r="AI328" i="1" s="1"/>
  <c r="AJ328" i="1" s="1"/>
  <c r="AG328" i="1"/>
  <c r="AH327" i="1"/>
  <c r="AI327" i="1" s="1"/>
  <c r="AJ327" i="1" s="1"/>
  <c r="AG327" i="1"/>
  <c r="AH326" i="1"/>
  <c r="AI326" i="1" s="1"/>
  <c r="AJ326" i="1" s="1"/>
  <c r="AG326" i="1"/>
  <c r="AH325" i="1"/>
  <c r="AG325" i="1"/>
  <c r="AH324" i="1"/>
  <c r="AI324" i="1" s="1"/>
  <c r="AJ324" i="1" s="1"/>
  <c r="AG324" i="1"/>
  <c r="AH323" i="1"/>
  <c r="AI323" i="1" s="1"/>
  <c r="AJ323" i="1" s="1"/>
  <c r="AG323" i="1"/>
  <c r="AH322" i="1"/>
  <c r="AG322" i="1"/>
  <c r="AH321" i="1"/>
  <c r="AI321" i="1" s="1"/>
  <c r="AJ321" i="1" s="1"/>
  <c r="AG321" i="1"/>
  <c r="AH320" i="1"/>
  <c r="AI320" i="1" s="1"/>
  <c r="AJ320" i="1" s="1"/>
  <c r="AG320" i="1"/>
  <c r="AH319" i="1"/>
  <c r="AI319" i="1" s="1"/>
  <c r="AJ319" i="1" s="1"/>
  <c r="AG319" i="1"/>
  <c r="AH318" i="1"/>
  <c r="AG318" i="1"/>
  <c r="AH317" i="1"/>
  <c r="AG317" i="1"/>
  <c r="AH316" i="1"/>
  <c r="AG316" i="1"/>
  <c r="AH315" i="1"/>
  <c r="AG315" i="1"/>
  <c r="AH314" i="1"/>
  <c r="AI314" i="1" s="1"/>
  <c r="AJ314" i="1" s="1"/>
  <c r="AG314" i="1"/>
  <c r="AH313" i="1"/>
  <c r="AG313" i="1"/>
  <c r="AH312" i="1"/>
  <c r="AI312" i="1" s="1"/>
  <c r="AJ312" i="1" s="1"/>
  <c r="AG312" i="1"/>
  <c r="AH311" i="1"/>
  <c r="AG311" i="1"/>
  <c r="AH310" i="1"/>
  <c r="AG310" i="1"/>
  <c r="AH309" i="1"/>
  <c r="AI309" i="1" s="1"/>
  <c r="AJ309" i="1" s="1"/>
  <c r="AG309" i="1"/>
  <c r="AH308" i="1"/>
  <c r="AG308" i="1"/>
  <c r="AH307" i="1"/>
  <c r="AI307" i="1" s="1"/>
  <c r="AJ307" i="1" s="1"/>
  <c r="AG307" i="1"/>
  <c r="AH306" i="1"/>
  <c r="AI306" i="1" s="1"/>
  <c r="AJ306" i="1" s="1"/>
  <c r="AG306" i="1"/>
  <c r="AH305" i="1"/>
  <c r="AI305" i="1" s="1"/>
  <c r="AJ305" i="1" s="1"/>
  <c r="AG305" i="1"/>
  <c r="AH304" i="1"/>
  <c r="AI304" i="1" s="1"/>
  <c r="AJ304" i="1" s="1"/>
  <c r="AG304" i="1"/>
  <c r="AH303" i="1"/>
  <c r="AG303" i="1"/>
  <c r="AH302" i="1"/>
  <c r="AI302" i="1" s="1"/>
  <c r="AJ302" i="1" s="1"/>
  <c r="AG302" i="1"/>
  <c r="AH301" i="1"/>
  <c r="AG301" i="1"/>
  <c r="AH300" i="1"/>
  <c r="AI300" i="1" s="1"/>
  <c r="AJ300" i="1" s="1"/>
  <c r="AG300" i="1"/>
  <c r="AH299" i="1"/>
  <c r="AI299" i="1" s="1"/>
  <c r="AJ299" i="1" s="1"/>
  <c r="AG299" i="1"/>
  <c r="AH298" i="1"/>
  <c r="AG298" i="1"/>
  <c r="AH297" i="1"/>
  <c r="AG297" i="1"/>
  <c r="AH296" i="1"/>
  <c r="AG296" i="1"/>
  <c r="AH295" i="1"/>
  <c r="AG295" i="1"/>
  <c r="AH294" i="1"/>
  <c r="AI294" i="1" s="1"/>
  <c r="AJ294" i="1" s="1"/>
  <c r="AG294" i="1"/>
  <c r="AH293" i="1"/>
  <c r="AG293" i="1"/>
  <c r="AI293" i="1" s="1"/>
  <c r="AJ293" i="1" s="1"/>
  <c r="AH292" i="1"/>
  <c r="AI292" i="1" s="1"/>
  <c r="AJ292" i="1" s="1"/>
  <c r="AG292" i="1"/>
  <c r="AH291" i="1"/>
  <c r="AI291" i="1" s="1"/>
  <c r="AJ291" i="1" s="1"/>
  <c r="AG291" i="1"/>
  <c r="AH290" i="1"/>
  <c r="AG290" i="1"/>
  <c r="AH289" i="1"/>
  <c r="AI289" i="1" s="1"/>
  <c r="AJ289" i="1" s="1"/>
  <c r="AG289" i="1"/>
  <c r="AH288" i="1"/>
  <c r="AG288" i="1"/>
  <c r="AH287" i="1"/>
  <c r="AG287" i="1"/>
  <c r="AH286" i="1"/>
  <c r="AI286" i="1" s="1"/>
  <c r="AJ286" i="1" s="1"/>
  <c r="AG286" i="1"/>
  <c r="AH285" i="1"/>
  <c r="AI285" i="1" s="1"/>
  <c r="AJ285" i="1" s="1"/>
  <c r="AG285" i="1"/>
  <c r="AH284" i="1"/>
  <c r="AI284" i="1" s="1"/>
  <c r="AJ284" i="1" s="1"/>
  <c r="AG284" i="1"/>
  <c r="AH283" i="1"/>
  <c r="AI283" i="1" s="1"/>
  <c r="AJ283" i="1" s="1"/>
  <c r="AG283" i="1"/>
  <c r="AH282" i="1"/>
  <c r="AG282" i="1"/>
  <c r="AH281" i="1"/>
  <c r="AI281" i="1" s="1"/>
  <c r="AJ281" i="1" s="1"/>
  <c r="AG281" i="1"/>
  <c r="AH280" i="1"/>
  <c r="AG280" i="1"/>
  <c r="AH279" i="1"/>
  <c r="AI279" i="1" s="1"/>
  <c r="AJ279" i="1" s="1"/>
  <c r="AG279" i="1"/>
  <c r="AH278" i="1"/>
  <c r="AG278" i="1"/>
  <c r="AH277" i="1"/>
  <c r="AI277" i="1" s="1"/>
  <c r="AJ277" i="1" s="1"/>
  <c r="AG277" i="1"/>
  <c r="AH276" i="1"/>
  <c r="AG276" i="1"/>
  <c r="AH275" i="1"/>
  <c r="AG275" i="1"/>
  <c r="AH274" i="1"/>
  <c r="AI274" i="1" s="1"/>
  <c r="AJ274" i="1" s="1"/>
  <c r="AG274" i="1"/>
  <c r="AH273" i="1"/>
  <c r="AG273" i="1"/>
  <c r="AH272" i="1"/>
  <c r="AG272" i="1"/>
  <c r="AH271" i="1"/>
  <c r="AI271" i="1" s="1"/>
  <c r="AJ271" i="1" s="1"/>
  <c r="AG271" i="1"/>
  <c r="AH270" i="1"/>
  <c r="AI270" i="1" s="1"/>
  <c r="AJ270" i="1" s="1"/>
  <c r="AG270" i="1"/>
  <c r="AH269" i="1"/>
  <c r="AI269" i="1" s="1"/>
  <c r="AJ269" i="1" s="1"/>
  <c r="AG269" i="1"/>
  <c r="AH268" i="1"/>
  <c r="AI268" i="1" s="1"/>
  <c r="AJ268" i="1" s="1"/>
  <c r="AG268" i="1"/>
  <c r="AH267" i="1"/>
  <c r="AG267" i="1"/>
  <c r="AH266" i="1"/>
  <c r="AG266" i="1"/>
  <c r="AH265" i="1"/>
  <c r="AI265" i="1" s="1"/>
  <c r="AJ265" i="1" s="1"/>
  <c r="AG265" i="1"/>
  <c r="AH264" i="1"/>
  <c r="AI264" i="1" s="1"/>
  <c r="AJ264" i="1" s="1"/>
  <c r="AG264" i="1"/>
  <c r="AH263" i="1"/>
  <c r="AI263" i="1" s="1"/>
  <c r="AJ263" i="1" s="1"/>
  <c r="AG263" i="1"/>
  <c r="AH262" i="1"/>
  <c r="AG262" i="1"/>
  <c r="AH261" i="1"/>
  <c r="AG261" i="1"/>
  <c r="AH260" i="1"/>
  <c r="AI260" i="1" s="1"/>
  <c r="AJ260" i="1" s="1"/>
  <c r="AG260" i="1"/>
  <c r="AH259" i="1"/>
  <c r="AI259" i="1" s="1"/>
  <c r="AJ259" i="1" s="1"/>
  <c r="AG259" i="1"/>
  <c r="AH258" i="1"/>
  <c r="AG258" i="1"/>
  <c r="AH257" i="1"/>
  <c r="AI257" i="1" s="1"/>
  <c r="AJ257" i="1" s="1"/>
  <c r="AG257" i="1"/>
  <c r="AH256" i="1"/>
  <c r="AG256" i="1"/>
  <c r="AH255" i="1"/>
  <c r="AG255" i="1"/>
  <c r="AH254" i="1"/>
  <c r="AI254" i="1" s="1"/>
  <c r="AJ254" i="1" s="1"/>
  <c r="AG254" i="1"/>
  <c r="AH253" i="1"/>
  <c r="AG253" i="1"/>
  <c r="AH252" i="1"/>
  <c r="AG252" i="1"/>
  <c r="AH251" i="1"/>
  <c r="AI251" i="1" s="1"/>
  <c r="AJ251" i="1" s="1"/>
  <c r="AG251" i="1"/>
  <c r="AH250" i="1"/>
  <c r="AG250" i="1"/>
  <c r="AH249" i="1"/>
  <c r="AI249" i="1" s="1"/>
  <c r="AJ249" i="1" s="1"/>
  <c r="AG249" i="1"/>
  <c r="AH248" i="1"/>
  <c r="AI248" i="1" s="1"/>
  <c r="AJ248" i="1" s="1"/>
  <c r="AG248" i="1"/>
  <c r="AH247" i="1"/>
  <c r="AG247" i="1"/>
  <c r="AH246" i="1"/>
  <c r="AG246" i="1"/>
  <c r="AH245" i="1"/>
  <c r="AI245" i="1" s="1"/>
  <c r="AJ245" i="1" s="1"/>
  <c r="AG245" i="1"/>
  <c r="AH244" i="1"/>
  <c r="AI244" i="1" s="1"/>
  <c r="AJ244" i="1" s="1"/>
  <c r="AG244" i="1"/>
  <c r="AH243" i="1"/>
  <c r="AG243" i="1"/>
  <c r="AH242" i="1"/>
  <c r="AI242" i="1" s="1"/>
  <c r="AJ242" i="1" s="1"/>
  <c r="AG242" i="1"/>
  <c r="AH241" i="1"/>
  <c r="AG241" i="1"/>
  <c r="AH240" i="1"/>
  <c r="AI240" i="1" s="1"/>
  <c r="AJ240" i="1" s="1"/>
  <c r="AG240" i="1"/>
  <c r="AH239" i="1"/>
  <c r="AI239" i="1" s="1"/>
  <c r="AJ239" i="1" s="1"/>
  <c r="AG239" i="1"/>
  <c r="AH238" i="1"/>
  <c r="AG238" i="1"/>
  <c r="AH237" i="1"/>
  <c r="AG237" i="1"/>
  <c r="AH236" i="1"/>
  <c r="AG236" i="1"/>
  <c r="AH235" i="1"/>
  <c r="AG235" i="1"/>
  <c r="AH234" i="1"/>
  <c r="AI234" i="1" s="1"/>
  <c r="AJ234" i="1" s="1"/>
  <c r="AG234" i="1"/>
  <c r="AH233" i="1"/>
  <c r="AI233" i="1" s="1"/>
  <c r="AJ233" i="1" s="1"/>
  <c r="AG233" i="1"/>
  <c r="AH232" i="1"/>
  <c r="AG232" i="1"/>
  <c r="AI232" i="1" s="1"/>
  <c r="AJ232" i="1" s="1"/>
  <c r="AH231" i="1"/>
  <c r="AG231" i="1"/>
  <c r="AH230" i="1"/>
  <c r="AI230" i="1" s="1"/>
  <c r="AJ230" i="1" s="1"/>
  <c r="AG230" i="1"/>
  <c r="AH229" i="1"/>
  <c r="AI229" i="1" s="1"/>
  <c r="AJ229" i="1" s="1"/>
  <c r="AG229" i="1"/>
  <c r="AH228" i="1"/>
  <c r="AI228" i="1" s="1"/>
  <c r="AJ228" i="1" s="1"/>
  <c r="AG228" i="1"/>
  <c r="AH227" i="1"/>
  <c r="AI227" i="1" s="1"/>
  <c r="AJ227" i="1" s="1"/>
  <c r="AG227" i="1"/>
  <c r="AH226" i="1"/>
  <c r="AI226" i="1" s="1"/>
  <c r="AJ226" i="1" s="1"/>
  <c r="AG226" i="1"/>
  <c r="AH225" i="1"/>
  <c r="AG225" i="1"/>
  <c r="AH224" i="1"/>
  <c r="AI224" i="1" s="1"/>
  <c r="AJ224" i="1" s="1"/>
  <c r="AG224" i="1"/>
  <c r="AH223" i="1"/>
  <c r="AG223" i="1"/>
  <c r="AH222" i="1"/>
  <c r="AG222" i="1"/>
  <c r="AH221" i="1"/>
  <c r="AI221" i="1" s="1"/>
  <c r="AJ221" i="1" s="1"/>
  <c r="AG221" i="1"/>
  <c r="AH220" i="1"/>
  <c r="AI220" i="1" s="1"/>
  <c r="AJ220" i="1" s="1"/>
  <c r="AG220" i="1"/>
  <c r="AH219" i="1"/>
  <c r="AI219" i="1" s="1"/>
  <c r="AJ219" i="1" s="1"/>
  <c r="AG219" i="1"/>
  <c r="AH218" i="1"/>
  <c r="AI218" i="1" s="1"/>
  <c r="AJ218" i="1" s="1"/>
  <c r="AG218" i="1"/>
  <c r="AH217" i="1"/>
  <c r="AG217" i="1"/>
  <c r="AH216" i="1"/>
  <c r="AG216" i="1"/>
  <c r="AH215" i="1"/>
  <c r="AI215" i="1" s="1"/>
  <c r="AJ215" i="1" s="1"/>
  <c r="AG215" i="1"/>
  <c r="AH214" i="1"/>
  <c r="AI214" i="1" s="1"/>
  <c r="AJ214" i="1" s="1"/>
  <c r="AG214" i="1"/>
  <c r="AH213" i="1"/>
  <c r="AG213" i="1"/>
  <c r="AH212" i="1"/>
  <c r="AI212" i="1" s="1"/>
  <c r="AJ212" i="1" s="1"/>
  <c r="AG212" i="1"/>
  <c r="AH211" i="1"/>
  <c r="AG211" i="1"/>
  <c r="AH210" i="1"/>
  <c r="AG210" i="1"/>
  <c r="AH209" i="1"/>
  <c r="AI209" i="1" s="1"/>
  <c r="AJ209" i="1" s="1"/>
  <c r="AG209" i="1"/>
  <c r="AH208" i="1"/>
  <c r="AG208" i="1"/>
  <c r="AH207" i="1"/>
  <c r="AI207" i="1" s="1"/>
  <c r="AJ207" i="1" s="1"/>
  <c r="AG207" i="1"/>
  <c r="AH206" i="1"/>
  <c r="AI206" i="1" s="1"/>
  <c r="AJ206" i="1" s="1"/>
  <c r="AG206" i="1"/>
  <c r="AH205" i="1"/>
  <c r="AG205" i="1"/>
  <c r="AH204" i="1"/>
  <c r="AI204" i="1" s="1"/>
  <c r="AJ204" i="1" s="1"/>
  <c r="AG204" i="1"/>
  <c r="AH203" i="1"/>
  <c r="AI203" i="1" s="1"/>
  <c r="AJ203" i="1" s="1"/>
  <c r="AG203" i="1"/>
  <c r="AH202" i="1"/>
  <c r="AG202" i="1"/>
  <c r="AI202" i="1" s="1"/>
  <c r="AJ202" i="1" s="1"/>
  <c r="AH201" i="1"/>
  <c r="AG201" i="1"/>
  <c r="AH200" i="1"/>
  <c r="AI200" i="1" s="1"/>
  <c r="AJ200" i="1" s="1"/>
  <c r="AG200" i="1"/>
  <c r="AH199" i="1"/>
  <c r="AI199" i="1" s="1"/>
  <c r="AJ199" i="1" s="1"/>
  <c r="AG199" i="1"/>
  <c r="AH198" i="1"/>
  <c r="AG198" i="1"/>
  <c r="AH197" i="1"/>
  <c r="AI197" i="1" s="1"/>
  <c r="AJ197" i="1" s="1"/>
  <c r="AG197" i="1"/>
  <c r="AH196" i="1"/>
  <c r="AG196" i="1"/>
  <c r="AH195" i="1"/>
  <c r="AG195" i="1"/>
  <c r="AH194" i="1"/>
  <c r="AI194" i="1" s="1"/>
  <c r="AJ194" i="1" s="1"/>
  <c r="AG194" i="1"/>
  <c r="AH193" i="1"/>
  <c r="AG193" i="1"/>
  <c r="AI193" i="1" s="1"/>
  <c r="AJ193" i="1" s="1"/>
  <c r="AH192" i="1"/>
  <c r="AG192" i="1"/>
  <c r="AH191" i="1"/>
  <c r="AI191" i="1" s="1"/>
  <c r="AJ191" i="1" s="1"/>
  <c r="AG191" i="1"/>
  <c r="AH190" i="1"/>
  <c r="AG190" i="1"/>
  <c r="AH189" i="1"/>
  <c r="AI189" i="1" s="1"/>
  <c r="AJ189" i="1" s="1"/>
  <c r="AG189" i="1"/>
  <c r="AH188" i="1"/>
  <c r="AG188" i="1"/>
  <c r="AH187" i="1"/>
  <c r="AG187" i="1"/>
  <c r="AH186" i="1"/>
  <c r="AI186" i="1" s="1"/>
  <c r="AJ186" i="1" s="1"/>
  <c r="AG186" i="1"/>
  <c r="AH185" i="1"/>
  <c r="AI185" i="1" s="1"/>
  <c r="AJ185" i="1" s="1"/>
  <c r="AG185" i="1"/>
  <c r="AH184" i="1"/>
  <c r="AI184" i="1" s="1"/>
  <c r="AJ184" i="1" s="1"/>
  <c r="AG184" i="1"/>
  <c r="AH183" i="1"/>
  <c r="AG183" i="1"/>
  <c r="AH182" i="1"/>
  <c r="AI182" i="1" s="1"/>
  <c r="AJ182" i="1" s="1"/>
  <c r="AG182" i="1"/>
  <c r="AH181" i="1"/>
  <c r="AG181" i="1"/>
  <c r="AH180" i="1"/>
  <c r="AG180" i="1"/>
  <c r="AH179" i="1"/>
  <c r="AI179" i="1" s="1"/>
  <c r="AJ179" i="1" s="1"/>
  <c r="AG179" i="1"/>
  <c r="AH178" i="1"/>
  <c r="AG178" i="1"/>
  <c r="AH177" i="1"/>
  <c r="AG177" i="1"/>
  <c r="AH176" i="1"/>
  <c r="AI176" i="1" s="1"/>
  <c r="AJ176" i="1" s="1"/>
  <c r="AG176" i="1"/>
  <c r="AH175" i="1"/>
  <c r="AG175" i="1"/>
  <c r="AH174" i="1"/>
  <c r="AI174" i="1" s="1"/>
  <c r="AJ174" i="1" s="1"/>
  <c r="AG174" i="1"/>
  <c r="AH173" i="1"/>
  <c r="AG173" i="1"/>
  <c r="AH172" i="1"/>
  <c r="AG172" i="1"/>
  <c r="AH171" i="1"/>
  <c r="AG171" i="1"/>
  <c r="AH170" i="1"/>
  <c r="AI170" i="1" s="1"/>
  <c r="AJ170" i="1" s="1"/>
  <c r="AG170" i="1"/>
  <c r="AH169" i="1"/>
  <c r="AI169" i="1" s="1"/>
  <c r="AJ169" i="1" s="1"/>
  <c r="AG169" i="1"/>
  <c r="AH168" i="1"/>
  <c r="AG168" i="1"/>
  <c r="AH167" i="1"/>
  <c r="AI167" i="1" s="1"/>
  <c r="AJ167" i="1" s="1"/>
  <c r="AG167" i="1"/>
  <c r="AH166" i="1"/>
  <c r="AG166" i="1"/>
  <c r="AH165" i="1"/>
  <c r="AI165" i="1" s="1"/>
  <c r="AJ165" i="1" s="1"/>
  <c r="AG165" i="1"/>
  <c r="AH164" i="1"/>
  <c r="AI164" i="1" s="1"/>
  <c r="AJ164" i="1" s="1"/>
  <c r="AG164" i="1"/>
  <c r="AH163" i="1"/>
  <c r="AI163" i="1" s="1"/>
  <c r="AJ163" i="1" s="1"/>
  <c r="AG163" i="1"/>
  <c r="AH162" i="1"/>
  <c r="AI162" i="1" s="1"/>
  <c r="AJ162" i="1" s="1"/>
  <c r="AG162" i="1"/>
  <c r="AH161" i="1"/>
  <c r="AG161" i="1"/>
  <c r="AH160" i="1"/>
  <c r="AG160" i="1"/>
  <c r="AH159" i="1"/>
  <c r="AI159" i="1" s="1"/>
  <c r="AJ159" i="1" s="1"/>
  <c r="AG159" i="1"/>
  <c r="AH158" i="1"/>
  <c r="AG158" i="1"/>
  <c r="AH157" i="1"/>
  <c r="AG157" i="1"/>
  <c r="AH156" i="1"/>
  <c r="AI156" i="1" s="1"/>
  <c r="AJ156" i="1" s="1"/>
  <c r="AG156" i="1"/>
  <c r="AH155" i="1"/>
  <c r="AG155" i="1"/>
  <c r="AH154" i="1"/>
  <c r="AI154" i="1" s="1"/>
  <c r="AJ154" i="1" s="1"/>
  <c r="AG154" i="1"/>
  <c r="AH153" i="1"/>
  <c r="AG153" i="1"/>
  <c r="AH152" i="1"/>
  <c r="AI152" i="1" s="1"/>
  <c r="AJ152" i="1" s="1"/>
  <c r="AG152" i="1"/>
  <c r="AH151" i="1"/>
  <c r="AG151" i="1"/>
  <c r="AH150" i="1"/>
  <c r="AI150" i="1" s="1"/>
  <c r="AJ150" i="1" s="1"/>
  <c r="AG150" i="1"/>
  <c r="AH149" i="1"/>
  <c r="AI149" i="1" s="1"/>
  <c r="AJ149" i="1" s="1"/>
  <c r="AG149" i="1"/>
  <c r="AH148" i="1"/>
  <c r="AG148" i="1"/>
  <c r="AH147" i="1"/>
  <c r="AG147" i="1"/>
  <c r="AH146" i="1"/>
  <c r="AI146" i="1" s="1"/>
  <c r="AJ146" i="1" s="1"/>
  <c r="AG146" i="1"/>
  <c r="AH145" i="1"/>
  <c r="AG145" i="1"/>
  <c r="AH144" i="1"/>
  <c r="AI144" i="1" s="1"/>
  <c r="AJ144" i="1" s="1"/>
  <c r="AG144" i="1"/>
  <c r="AH143" i="1"/>
  <c r="AG143" i="1"/>
  <c r="AH142" i="1"/>
  <c r="AG142" i="1"/>
  <c r="AI142" i="1" s="1"/>
  <c r="AJ142" i="1" s="1"/>
  <c r="AH141" i="1"/>
  <c r="AG141" i="1"/>
  <c r="AH140" i="1"/>
  <c r="AI140" i="1" s="1"/>
  <c r="AJ140" i="1" s="1"/>
  <c r="AG140" i="1"/>
  <c r="AH139" i="1"/>
  <c r="AI139" i="1" s="1"/>
  <c r="AJ139" i="1" s="1"/>
  <c r="AG139" i="1"/>
  <c r="AH138" i="1"/>
  <c r="AG138" i="1"/>
  <c r="AH137" i="1"/>
  <c r="AI137" i="1" s="1"/>
  <c r="AJ137" i="1" s="1"/>
  <c r="AG137" i="1"/>
  <c r="AH136" i="1"/>
  <c r="AG136" i="1"/>
  <c r="AH135" i="1"/>
  <c r="AG135" i="1"/>
  <c r="AH134" i="1"/>
  <c r="AI134" i="1" s="1"/>
  <c r="AJ134" i="1" s="1"/>
  <c r="AG134" i="1"/>
  <c r="AH133" i="1"/>
  <c r="AG133" i="1"/>
  <c r="AH132" i="1"/>
  <c r="AG132" i="1"/>
  <c r="AI132" i="1" s="1"/>
  <c r="AJ132" i="1" s="1"/>
  <c r="AH131" i="1"/>
  <c r="AI131" i="1" s="1"/>
  <c r="AJ131" i="1" s="1"/>
  <c r="AG131" i="1"/>
  <c r="AH130" i="1"/>
  <c r="AG130" i="1"/>
  <c r="AH129" i="1"/>
  <c r="AI129" i="1" s="1"/>
  <c r="AJ129" i="1" s="1"/>
  <c r="AG129" i="1"/>
  <c r="AH128" i="1"/>
  <c r="AG128" i="1"/>
  <c r="AH127" i="1"/>
  <c r="AG127" i="1"/>
  <c r="AH126" i="1"/>
  <c r="AG126" i="1"/>
  <c r="AH125" i="1"/>
  <c r="AI125" i="1" s="1"/>
  <c r="AJ125" i="1" s="1"/>
  <c r="AG125" i="1"/>
  <c r="AH124" i="1"/>
  <c r="AI124" i="1" s="1"/>
  <c r="AJ124" i="1" s="1"/>
  <c r="AG124" i="1"/>
  <c r="AH123" i="1"/>
  <c r="AG123" i="1"/>
  <c r="AH122" i="1"/>
  <c r="AG122" i="1"/>
  <c r="AI122" i="1" s="1"/>
  <c r="AJ122" i="1" s="1"/>
  <c r="AH121" i="1"/>
  <c r="AG121" i="1"/>
  <c r="AH120" i="1"/>
  <c r="AG120" i="1"/>
  <c r="AH119" i="1"/>
  <c r="AI119" i="1" s="1"/>
  <c r="AJ119" i="1" s="1"/>
  <c r="AG119" i="1"/>
  <c r="AH118" i="1"/>
  <c r="AG118" i="1"/>
  <c r="AH117" i="1"/>
  <c r="AG117" i="1"/>
  <c r="AH116" i="1"/>
  <c r="AI116" i="1" s="1"/>
  <c r="AJ116" i="1" s="1"/>
  <c r="AG116" i="1"/>
  <c r="AH115" i="1"/>
  <c r="AG115" i="1"/>
  <c r="AH114" i="1"/>
  <c r="AI114" i="1" s="1"/>
  <c r="AJ114" i="1" s="1"/>
  <c r="AG114" i="1"/>
  <c r="AH113" i="1"/>
  <c r="AG113" i="1"/>
  <c r="AH112" i="1"/>
  <c r="AG112" i="1"/>
  <c r="AI112" i="1" s="1"/>
  <c r="AJ112" i="1" s="1"/>
  <c r="AH111" i="1"/>
  <c r="AG111" i="1"/>
  <c r="AH110" i="1"/>
  <c r="AI110" i="1" s="1"/>
  <c r="AJ110" i="1" s="1"/>
  <c r="AG110" i="1"/>
  <c r="AH109" i="1"/>
  <c r="AI109" i="1" s="1"/>
  <c r="AJ109" i="1" s="1"/>
  <c r="AG109" i="1"/>
  <c r="AH108" i="1"/>
  <c r="AG108" i="1"/>
  <c r="AH107" i="1"/>
  <c r="AI107" i="1" s="1"/>
  <c r="AJ107" i="1" s="1"/>
  <c r="AG107" i="1"/>
  <c r="AH106" i="1"/>
  <c r="AI106" i="1" s="1"/>
  <c r="AJ106" i="1" s="1"/>
  <c r="AG106" i="1"/>
  <c r="AH105" i="1"/>
  <c r="AG105" i="1"/>
  <c r="AH104" i="1"/>
  <c r="AI104" i="1" s="1"/>
  <c r="AJ104" i="1" s="1"/>
  <c r="AG104" i="1"/>
  <c r="AH103" i="1"/>
  <c r="AG103" i="1"/>
  <c r="AH102" i="1"/>
  <c r="AG102" i="1"/>
  <c r="AH101" i="1"/>
  <c r="AI101" i="1" s="1"/>
  <c r="AJ101" i="1" s="1"/>
  <c r="AG101" i="1"/>
  <c r="AH100" i="1"/>
  <c r="AG100" i="1"/>
  <c r="AH99" i="1"/>
  <c r="AI99" i="1" s="1"/>
  <c r="AJ99" i="1" s="1"/>
  <c r="AG99" i="1"/>
  <c r="AH98" i="1"/>
  <c r="AG98" i="1"/>
  <c r="AH97" i="1"/>
  <c r="AG97" i="1"/>
  <c r="AH96" i="1"/>
  <c r="AI96" i="1" s="1"/>
  <c r="AJ96" i="1" s="1"/>
  <c r="AG96" i="1"/>
  <c r="AH95" i="1"/>
  <c r="AG95" i="1"/>
  <c r="AH94" i="1"/>
  <c r="AI94" i="1" s="1"/>
  <c r="AJ94" i="1" s="1"/>
  <c r="AG94" i="1"/>
  <c r="AH93" i="1"/>
  <c r="AG93" i="1"/>
  <c r="AH92" i="1"/>
  <c r="AI92" i="1" s="1"/>
  <c r="AJ92" i="1" s="1"/>
  <c r="AG92" i="1"/>
  <c r="AH91" i="1"/>
  <c r="AG91" i="1"/>
  <c r="AH90" i="1"/>
  <c r="AI90" i="1" s="1"/>
  <c r="AJ90" i="1" s="1"/>
  <c r="AG90" i="1"/>
  <c r="AH89" i="1"/>
  <c r="AI89" i="1" s="1"/>
  <c r="AJ89" i="1" s="1"/>
  <c r="AG89" i="1"/>
  <c r="AH88" i="1"/>
  <c r="AG88" i="1"/>
  <c r="AH87" i="1"/>
  <c r="AG87" i="1"/>
  <c r="AH86" i="1"/>
  <c r="AG86" i="1"/>
  <c r="AH85" i="1"/>
  <c r="AG85" i="1"/>
  <c r="AH84" i="1"/>
  <c r="AI84" i="1" s="1"/>
  <c r="AJ84" i="1" s="1"/>
  <c r="AG84" i="1"/>
  <c r="AH83" i="1"/>
  <c r="AG83" i="1"/>
  <c r="AH82" i="1"/>
  <c r="AG82" i="1"/>
  <c r="AH81" i="1"/>
  <c r="AG81" i="1"/>
  <c r="AH80" i="1"/>
  <c r="AG80" i="1"/>
  <c r="AH79" i="1"/>
  <c r="AI79" i="1" s="1"/>
  <c r="AJ79" i="1" s="1"/>
  <c r="AG79" i="1"/>
  <c r="AH78" i="1"/>
  <c r="AG78" i="1"/>
  <c r="AH77" i="1"/>
  <c r="AG77" i="1"/>
  <c r="AH76" i="1"/>
  <c r="AG76" i="1"/>
  <c r="AH75" i="1"/>
  <c r="AI75" i="1" s="1"/>
  <c r="AJ75" i="1" s="1"/>
  <c r="AG75" i="1"/>
  <c r="AH74" i="1"/>
  <c r="AI74" i="1" s="1"/>
  <c r="AJ74" i="1" s="1"/>
  <c r="AG74" i="1"/>
  <c r="AH73" i="1"/>
  <c r="AG73" i="1"/>
  <c r="AI73" i="1" s="1"/>
  <c r="AJ73" i="1" s="1"/>
  <c r="AH72" i="1"/>
  <c r="AI72" i="1" s="1"/>
  <c r="AJ72" i="1" s="1"/>
  <c r="AG72" i="1"/>
  <c r="AH71" i="1"/>
  <c r="AG71" i="1"/>
  <c r="AH70" i="1"/>
  <c r="AG70" i="1"/>
  <c r="AH69" i="1"/>
  <c r="AI69" i="1" s="1"/>
  <c r="AJ69" i="1" s="1"/>
  <c r="AG69" i="1"/>
  <c r="AH68" i="1"/>
  <c r="AG68" i="1"/>
  <c r="AH67" i="1"/>
  <c r="AG67" i="1"/>
  <c r="AH66" i="1"/>
  <c r="AI66" i="1" s="1"/>
  <c r="AJ66" i="1" s="1"/>
  <c r="AG66" i="1"/>
  <c r="AH65" i="1"/>
  <c r="AI65" i="1" s="1"/>
  <c r="AJ65" i="1" s="1"/>
  <c r="AG65" i="1"/>
  <c r="AH64" i="1"/>
  <c r="AI64" i="1" s="1"/>
  <c r="AJ64" i="1" s="1"/>
  <c r="AG64" i="1"/>
  <c r="AH63" i="1"/>
  <c r="AG63" i="1"/>
  <c r="AH62" i="1"/>
  <c r="AG62" i="1"/>
  <c r="AH61" i="1"/>
  <c r="AG61" i="1"/>
  <c r="AH60" i="1"/>
  <c r="AI60" i="1" s="1"/>
  <c r="AJ60" i="1" s="1"/>
  <c r="AG60" i="1"/>
  <c r="AH59" i="1"/>
  <c r="AI59" i="1" s="1"/>
  <c r="AJ59" i="1" s="1"/>
  <c r="AG59" i="1"/>
  <c r="AH58" i="1"/>
  <c r="AG58" i="1"/>
  <c r="AH57" i="1"/>
  <c r="AI57" i="1" s="1"/>
  <c r="AJ57" i="1" s="1"/>
  <c r="AG57" i="1"/>
  <c r="AH56" i="1"/>
  <c r="AG56" i="1"/>
  <c r="AH55" i="1"/>
  <c r="AI55" i="1" s="1"/>
  <c r="AJ55" i="1" s="1"/>
  <c r="AG55" i="1"/>
  <c r="AH54" i="1"/>
  <c r="AI54" i="1" s="1"/>
  <c r="AJ54" i="1" s="1"/>
  <c r="AG54" i="1"/>
  <c r="AH53" i="1"/>
  <c r="AG53" i="1"/>
  <c r="AH52" i="1"/>
  <c r="AG52" i="1"/>
  <c r="AH51" i="1"/>
  <c r="AI51" i="1" s="1"/>
  <c r="AJ51" i="1" s="1"/>
  <c r="AG51" i="1"/>
  <c r="AH50" i="1"/>
  <c r="AG50" i="1"/>
  <c r="AH49" i="1"/>
  <c r="AI49" i="1" s="1"/>
  <c r="AJ49" i="1" s="1"/>
  <c r="AG49" i="1"/>
  <c r="AH48" i="1"/>
  <c r="AG48" i="1"/>
  <c r="AH47" i="1"/>
  <c r="AI47" i="1" s="1"/>
  <c r="AJ47" i="1" s="1"/>
  <c r="AG47" i="1"/>
  <c r="AH46" i="1"/>
  <c r="AG46" i="1"/>
  <c r="AH45" i="1"/>
  <c r="AG45" i="1"/>
  <c r="AH44" i="1"/>
  <c r="AG44" i="1"/>
  <c r="AH43" i="1"/>
  <c r="AG43" i="1"/>
  <c r="AH42" i="1"/>
  <c r="AI42" i="1" s="1"/>
  <c r="AJ42" i="1" s="1"/>
  <c r="AG42" i="1"/>
  <c r="AH41" i="1"/>
  <c r="AG41" i="1"/>
  <c r="AH40" i="1"/>
  <c r="AG40" i="1"/>
  <c r="AH39" i="1"/>
  <c r="AG39" i="1"/>
  <c r="AH38" i="1"/>
  <c r="AG38" i="1"/>
  <c r="AH37" i="1"/>
  <c r="AI37" i="1" s="1"/>
  <c r="AJ37" i="1" s="1"/>
  <c r="AG37" i="1"/>
  <c r="AH36" i="1"/>
  <c r="AG36" i="1"/>
  <c r="AH35" i="1"/>
  <c r="AG35" i="1"/>
  <c r="AH34" i="1"/>
  <c r="AG34" i="1"/>
  <c r="AH33" i="1"/>
  <c r="AG33" i="1"/>
  <c r="AH32" i="1"/>
  <c r="AG32" i="1"/>
  <c r="AH31" i="1"/>
  <c r="AI31" i="1" s="1"/>
  <c r="AJ31" i="1" s="1"/>
  <c r="AG31" i="1"/>
  <c r="AH30" i="1"/>
  <c r="AG30" i="1"/>
  <c r="AH29" i="1"/>
  <c r="AG29" i="1"/>
  <c r="AH28" i="1"/>
  <c r="AG28" i="1"/>
  <c r="AH27" i="1"/>
  <c r="AG27" i="1"/>
  <c r="AH26" i="1"/>
  <c r="AG26" i="1"/>
  <c r="AH25" i="1"/>
  <c r="AI25" i="1" s="1"/>
  <c r="AJ25" i="1" s="1"/>
  <c r="AG25" i="1"/>
  <c r="AH24" i="1"/>
  <c r="AG24" i="1"/>
  <c r="AI24" i="1" s="1"/>
  <c r="AJ24" i="1" s="1"/>
  <c r="AH23" i="1"/>
  <c r="AG23" i="1"/>
  <c r="AH22" i="1"/>
  <c r="AG22" i="1"/>
  <c r="AI22" i="1" s="1"/>
  <c r="AJ22" i="1" s="1"/>
  <c r="AH21" i="1"/>
  <c r="AG21" i="1"/>
  <c r="AH20" i="1"/>
  <c r="AG20" i="1"/>
  <c r="AH19" i="1"/>
  <c r="AG19" i="1"/>
  <c r="AH18" i="1"/>
  <c r="AG18" i="1"/>
  <c r="AH17" i="1"/>
  <c r="AG17" i="1"/>
  <c r="AH16" i="1"/>
  <c r="AI16" i="1" s="1"/>
  <c r="AJ16" i="1" s="1"/>
  <c r="AG16" i="1"/>
  <c r="AH15" i="1"/>
  <c r="AG15" i="1"/>
  <c r="AH14" i="1"/>
  <c r="AG14" i="1"/>
  <c r="AI14" i="1" s="1"/>
  <c r="AJ14" i="1" s="1"/>
  <c r="AH13" i="1"/>
  <c r="AG13" i="1"/>
  <c r="AH12" i="1"/>
  <c r="AG12" i="1"/>
  <c r="AI12" i="1" s="1"/>
  <c r="AJ12" i="1" s="1"/>
  <c r="AH11" i="1"/>
  <c r="AG11" i="1"/>
  <c r="AH10" i="1"/>
  <c r="AI10" i="1" s="1"/>
  <c r="AJ10" i="1" s="1"/>
  <c r="AG10" i="1"/>
  <c r="AH9" i="1"/>
  <c r="AG9" i="1"/>
  <c r="AH8" i="1"/>
  <c r="AG8" i="1"/>
  <c r="AH7" i="1"/>
  <c r="AI7" i="1" s="1"/>
  <c r="AJ7" i="1" s="1"/>
  <c r="AG7" i="1"/>
  <c r="AH6" i="1"/>
  <c r="AI6" i="1" s="1"/>
  <c r="AJ6" i="1" s="1"/>
  <c r="AG6" i="1"/>
  <c r="AH5" i="1"/>
  <c r="AG5" i="1"/>
  <c r="AL12" i="2"/>
  <c r="AL11" i="2"/>
  <c r="AL10" i="2"/>
  <c r="G11" i="2"/>
  <c r="G10" i="2"/>
  <c r="G9" i="2"/>
  <c r="G8" i="2"/>
  <c r="G7" i="2"/>
  <c r="E13" i="2"/>
  <c r="E16" i="2"/>
  <c r="E17" i="2"/>
  <c r="E18" i="2"/>
  <c r="E19" i="2"/>
  <c r="E20" i="2"/>
  <c r="E21" i="2"/>
  <c r="E22" i="2"/>
  <c r="E23" i="2"/>
  <c r="D13" i="2"/>
  <c r="D16" i="2"/>
  <c r="D17" i="2"/>
  <c r="D18" i="2"/>
  <c r="D19" i="2"/>
  <c r="D20" i="2"/>
  <c r="D21" i="2"/>
  <c r="D22" i="2"/>
  <c r="D23" i="2"/>
  <c r="D10" i="2"/>
  <c r="C13" i="2"/>
  <c r="C16" i="2"/>
  <c r="C17" i="2"/>
  <c r="C18" i="2"/>
  <c r="C19" i="2"/>
  <c r="C20" i="2"/>
  <c r="C21" i="2"/>
  <c r="C22" i="2"/>
  <c r="C23" i="2"/>
  <c r="C10" i="2"/>
  <c r="AN12" i="2"/>
  <c r="AM12" i="2"/>
  <c r="AK12" i="2"/>
  <c r="AM11" i="2"/>
  <c r="AK11" i="2"/>
  <c r="AM10" i="2"/>
  <c r="AK10" i="2"/>
  <c r="AN10" i="2"/>
  <c r="E33" i="1"/>
  <c r="D28" i="1"/>
  <c r="E28" i="1" s="1"/>
  <c r="D29" i="1"/>
  <c r="E29" i="1" s="1"/>
  <c r="D30" i="1"/>
  <c r="E30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AH4" i="1"/>
  <c r="D25" i="1" s="1"/>
  <c r="E25" i="1" s="1"/>
  <c r="AG4" i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AI195" i="1" l="1"/>
  <c r="AJ195" i="1" s="1"/>
  <c r="AI355" i="1"/>
  <c r="AJ355" i="1" s="1"/>
  <c r="AI86" i="1"/>
  <c r="AJ86" i="1" s="1"/>
  <c r="AI296" i="1"/>
  <c r="AJ296" i="1" s="1"/>
  <c r="AI336" i="1"/>
  <c r="AJ336" i="1" s="1"/>
  <c r="AI376" i="1"/>
  <c r="AJ376" i="1" s="1"/>
  <c r="AI396" i="1"/>
  <c r="AJ396" i="1" s="1"/>
  <c r="AI496" i="1"/>
  <c r="AJ496" i="1" s="1"/>
  <c r="AI67" i="1"/>
  <c r="AJ67" i="1" s="1"/>
  <c r="AI77" i="1"/>
  <c r="AJ77" i="1" s="1"/>
  <c r="AI87" i="1"/>
  <c r="AJ87" i="1" s="1"/>
  <c r="AI177" i="1"/>
  <c r="AJ177" i="1" s="1"/>
  <c r="AI237" i="1"/>
  <c r="AJ237" i="1" s="1"/>
  <c r="AI287" i="1"/>
  <c r="AJ287" i="1" s="1"/>
  <c r="AI367" i="1"/>
  <c r="AJ367" i="1" s="1"/>
  <c r="AI447" i="1"/>
  <c r="AJ447" i="1" s="1"/>
  <c r="AI657" i="1"/>
  <c r="AJ657" i="1" s="1"/>
  <c r="AI707" i="1"/>
  <c r="AJ707" i="1" s="1"/>
  <c r="AI757" i="1"/>
  <c r="AJ757" i="1" s="1"/>
  <c r="AI827" i="1"/>
  <c r="AJ827" i="1" s="1"/>
  <c r="AI68" i="1"/>
  <c r="AJ68" i="1" s="1"/>
  <c r="AI88" i="1"/>
  <c r="AJ88" i="1" s="1"/>
  <c r="AI108" i="1"/>
  <c r="AJ108" i="1" s="1"/>
  <c r="AI178" i="1"/>
  <c r="AJ178" i="1" s="1"/>
  <c r="AI198" i="1"/>
  <c r="AJ198" i="1" s="1"/>
  <c r="AI238" i="1"/>
  <c r="AJ238" i="1" s="1"/>
  <c r="AI308" i="1"/>
  <c r="AJ308" i="1" s="1"/>
  <c r="AI769" i="1"/>
  <c r="AJ769" i="1" s="1"/>
  <c r="AI789" i="1"/>
  <c r="AJ789" i="1" s="1"/>
  <c r="AI839" i="1"/>
  <c r="AJ839" i="1" s="1"/>
  <c r="AI80" i="1"/>
  <c r="AJ80" i="1" s="1"/>
  <c r="AI180" i="1"/>
  <c r="AJ180" i="1" s="1"/>
  <c r="AI210" i="1"/>
  <c r="AJ210" i="1" s="1"/>
  <c r="AI560" i="1"/>
  <c r="AJ560" i="1" s="1"/>
  <c r="AI590" i="1"/>
  <c r="AJ590" i="1" s="1"/>
  <c r="AI680" i="1"/>
  <c r="AJ680" i="1" s="1"/>
  <c r="AI9" i="1"/>
  <c r="AJ9" i="1" s="1"/>
  <c r="AI19" i="1"/>
  <c r="AJ19" i="1" s="1"/>
  <c r="AI39" i="1"/>
  <c r="AJ39" i="1" s="1"/>
  <c r="AI378" i="1"/>
  <c r="AJ378" i="1" s="1"/>
  <c r="AI408" i="1"/>
  <c r="AJ408" i="1" s="1"/>
  <c r="AI706" i="1"/>
  <c r="AJ706" i="1" s="1"/>
  <c r="AI726" i="1"/>
  <c r="AJ726" i="1" s="1"/>
  <c r="AI736" i="1"/>
  <c r="AJ736" i="1" s="1"/>
  <c r="AI756" i="1"/>
  <c r="AJ756" i="1" s="1"/>
  <c r="AI806" i="1"/>
  <c r="AJ806" i="1" s="1"/>
  <c r="AI11" i="1"/>
  <c r="AJ11" i="1" s="1"/>
  <c r="AI81" i="1"/>
  <c r="AJ81" i="1" s="1"/>
  <c r="AI111" i="1"/>
  <c r="AJ111" i="1" s="1"/>
  <c r="AI161" i="1"/>
  <c r="AJ161" i="1" s="1"/>
  <c r="AI380" i="1"/>
  <c r="AJ380" i="1" s="1"/>
  <c r="AI390" i="1"/>
  <c r="AJ390" i="1" s="1"/>
  <c r="AI470" i="1"/>
  <c r="AJ470" i="1" s="1"/>
  <c r="AI539" i="1"/>
  <c r="AJ539" i="1" s="1"/>
  <c r="AI549" i="1"/>
  <c r="AJ549" i="1" s="1"/>
  <c r="AI579" i="1"/>
  <c r="AJ579" i="1" s="1"/>
  <c r="AI599" i="1"/>
  <c r="AJ599" i="1" s="1"/>
  <c r="AI331" i="1"/>
  <c r="AJ331" i="1" s="1"/>
  <c r="AI480" i="1"/>
  <c r="AJ480" i="1" s="1"/>
  <c r="AI262" i="1"/>
  <c r="AJ262" i="1" s="1"/>
  <c r="AI332" i="1"/>
  <c r="AJ332" i="1" s="1"/>
  <c r="AI481" i="1"/>
  <c r="AJ481" i="1" s="1"/>
  <c r="AI82" i="1"/>
  <c r="AJ82" i="1" s="1"/>
  <c r="AI171" i="1"/>
  <c r="AJ171" i="1" s="1"/>
  <c r="AI181" i="1"/>
  <c r="AJ181" i="1" s="1"/>
  <c r="AI592" i="1"/>
  <c r="AJ592" i="1" s="1"/>
  <c r="AI621" i="1"/>
  <c r="AJ621" i="1" s="1"/>
  <c r="AI710" i="1"/>
  <c r="AJ710" i="1" s="1"/>
  <c r="AI730" i="1"/>
  <c r="AJ730" i="1" s="1"/>
  <c r="AI830" i="1"/>
  <c r="AJ830" i="1" s="1"/>
  <c r="AI651" i="1"/>
  <c r="AJ651" i="1" s="1"/>
  <c r="AI183" i="1"/>
  <c r="AJ183" i="1" s="1"/>
  <c r="AI192" i="1"/>
  <c r="AJ192" i="1" s="1"/>
  <c r="AI241" i="1"/>
  <c r="AJ241" i="1" s="1"/>
  <c r="AI446" i="1"/>
  <c r="AJ446" i="1" s="1"/>
  <c r="AI515" i="1"/>
  <c r="AJ515" i="1" s="1"/>
  <c r="AI574" i="1"/>
  <c r="AJ574" i="1" s="1"/>
  <c r="AI712" i="1"/>
  <c r="AJ712" i="1" s="1"/>
  <c r="AI722" i="1"/>
  <c r="AJ722" i="1" s="1"/>
  <c r="AI792" i="1"/>
  <c r="AJ792" i="1" s="1"/>
  <c r="AI802" i="1"/>
  <c r="AJ802" i="1" s="1"/>
  <c r="AI95" i="1"/>
  <c r="AJ95" i="1" s="1"/>
  <c r="AI105" i="1"/>
  <c r="AJ105" i="1" s="1"/>
  <c r="AI272" i="1"/>
  <c r="AJ272" i="1" s="1"/>
  <c r="AI26" i="1"/>
  <c r="AJ26" i="1" s="1"/>
  <c r="AI56" i="1"/>
  <c r="AJ56" i="1" s="1"/>
  <c r="AI243" i="1"/>
  <c r="AJ243" i="1" s="1"/>
  <c r="AI556" i="1"/>
  <c r="AJ556" i="1" s="1"/>
  <c r="AI566" i="1"/>
  <c r="AJ566" i="1" s="1"/>
  <c r="AI576" i="1"/>
  <c r="AJ576" i="1" s="1"/>
  <c r="AI784" i="1"/>
  <c r="AJ784" i="1" s="1"/>
  <c r="AI834" i="1"/>
  <c r="AJ834" i="1" s="1"/>
  <c r="AI166" i="1"/>
  <c r="AJ166" i="1" s="1"/>
  <c r="AI273" i="1"/>
  <c r="AJ273" i="1" s="1"/>
  <c r="AI27" i="1"/>
  <c r="AJ27" i="1" s="1"/>
  <c r="AI557" i="1"/>
  <c r="AJ557" i="1" s="1"/>
  <c r="AI735" i="1"/>
  <c r="AJ735" i="1" s="1"/>
  <c r="AI8" i="1"/>
  <c r="AJ8" i="1" s="1"/>
  <c r="AI127" i="1"/>
  <c r="AJ127" i="1" s="1"/>
  <c r="AI147" i="1"/>
  <c r="AJ147" i="1" s="1"/>
  <c r="AI157" i="1"/>
  <c r="AJ157" i="1" s="1"/>
  <c r="AI225" i="1"/>
  <c r="AJ225" i="1" s="1"/>
  <c r="AI313" i="1"/>
  <c r="AJ313" i="1" s="1"/>
  <c r="AI352" i="1"/>
  <c r="AJ352" i="1" s="1"/>
  <c r="AI479" i="1"/>
  <c r="AJ479" i="1" s="1"/>
  <c r="AI499" i="1"/>
  <c r="AJ499" i="1" s="1"/>
  <c r="AI607" i="1"/>
  <c r="AJ607" i="1" s="1"/>
  <c r="AI646" i="1"/>
  <c r="AJ646" i="1" s="1"/>
  <c r="AI38" i="1"/>
  <c r="AJ38" i="1" s="1"/>
  <c r="AI58" i="1"/>
  <c r="AJ58" i="1" s="1"/>
  <c r="AI97" i="1"/>
  <c r="AJ97" i="1" s="1"/>
  <c r="AI126" i="1"/>
  <c r="AJ126" i="1" s="1"/>
  <c r="AI250" i="1"/>
  <c r="AJ250" i="1" s="1"/>
  <c r="AI278" i="1"/>
  <c r="AJ278" i="1" s="1"/>
  <c r="AI381" i="1"/>
  <c r="AJ381" i="1" s="1"/>
  <c r="AI659" i="1"/>
  <c r="AJ659" i="1" s="1"/>
  <c r="AI689" i="1"/>
  <c r="AJ689" i="1" s="1"/>
  <c r="AI40" i="1"/>
  <c r="AJ40" i="1" s="1"/>
  <c r="AI50" i="1"/>
  <c r="AJ50" i="1" s="1"/>
  <c r="AI128" i="1"/>
  <c r="AJ128" i="1" s="1"/>
  <c r="AI138" i="1"/>
  <c r="AJ138" i="1" s="1"/>
  <c r="AI252" i="1"/>
  <c r="AJ252" i="1" s="1"/>
  <c r="AI346" i="1"/>
  <c r="AJ346" i="1" s="1"/>
  <c r="AI550" i="1"/>
  <c r="AJ550" i="1" s="1"/>
  <c r="AI559" i="1"/>
  <c r="AJ559" i="1" s="1"/>
  <c r="AI587" i="1"/>
  <c r="AJ587" i="1" s="1"/>
  <c r="AI681" i="1"/>
  <c r="AJ681" i="1" s="1"/>
  <c r="AI700" i="1"/>
  <c r="AJ700" i="1" s="1"/>
  <c r="AI729" i="1"/>
  <c r="AJ729" i="1" s="1"/>
  <c r="AI41" i="1"/>
  <c r="AJ41" i="1" s="1"/>
  <c r="AI100" i="1"/>
  <c r="AJ100" i="1" s="1"/>
  <c r="AI168" i="1"/>
  <c r="AJ168" i="1" s="1"/>
  <c r="AI253" i="1"/>
  <c r="AJ253" i="1" s="1"/>
  <c r="AI32" i="1"/>
  <c r="AJ32" i="1" s="1"/>
  <c r="AI62" i="1"/>
  <c r="AJ62" i="1" s="1"/>
  <c r="AI160" i="1"/>
  <c r="AJ160" i="1" s="1"/>
  <c r="AI235" i="1"/>
  <c r="AJ235" i="1" s="1"/>
  <c r="AI282" i="1"/>
  <c r="AJ282" i="1" s="1"/>
  <c r="AI357" i="1"/>
  <c r="AJ357" i="1" s="1"/>
  <c r="AI422" i="1"/>
  <c r="AJ422" i="1" s="1"/>
  <c r="AI597" i="1"/>
  <c r="AJ597" i="1" s="1"/>
  <c r="AI644" i="1"/>
  <c r="AJ644" i="1" s="1"/>
  <c r="AI702" i="1"/>
  <c r="AJ702" i="1" s="1"/>
  <c r="AI740" i="1"/>
  <c r="AJ740" i="1" s="1"/>
  <c r="AI63" i="1"/>
  <c r="AJ63" i="1" s="1"/>
  <c r="AI102" i="1"/>
  <c r="AJ102" i="1" s="1"/>
  <c r="AI141" i="1"/>
  <c r="AJ141" i="1" s="1"/>
  <c r="AI151" i="1"/>
  <c r="AJ151" i="1" s="1"/>
  <c r="AI5" i="1"/>
  <c r="AJ5" i="1" s="1"/>
  <c r="AI266" i="1"/>
  <c r="AJ266" i="1" s="1"/>
  <c r="AI275" i="1"/>
  <c r="AJ275" i="1" s="1"/>
  <c r="AI397" i="1"/>
  <c r="AJ397" i="1" s="1"/>
  <c r="AI462" i="1"/>
  <c r="AJ462" i="1" s="1"/>
  <c r="AI471" i="1"/>
  <c r="AJ471" i="1" s="1"/>
  <c r="AI490" i="1"/>
  <c r="AJ490" i="1" s="1"/>
  <c r="AI554" i="1"/>
  <c r="AJ554" i="1" s="1"/>
  <c r="AI761" i="1"/>
  <c r="AJ761" i="1" s="1"/>
  <c r="AI647" i="1"/>
  <c r="AJ647" i="1" s="1"/>
  <c r="AI85" i="1"/>
  <c r="AJ85" i="1" s="1"/>
  <c r="AI172" i="1"/>
  <c r="AJ172" i="1" s="1"/>
  <c r="AI267" i="1"/>
  <c r="AJ267" i="1" s="1"/>
  <c r="AI276" i="1"/>
  <c r="AJ276" i="1" s="1"/>
  <c r="AI388" i="1"/>
  <c r="AJ388" i="1" s="1"/>
  <c r="AI416" i="1"/>
  <c r="AJ416" i="1" s="1"/>
  <c r="AI425" i="1"/>
  <c r="AJ425" i="1" s="1"/>
  <c r="AI510" i="1"/>
  <c r="AJ510" i="1" s="1"/>
  <c r="AI546" i="1"/>
  <c r="AJ546" i="1" s="1"/>
  <c r="AI629" i="1"/>
  <c r="AJ629" i="1" s="1"/>
  <c r="AI734" i="1"/>
  <c r="AJ734" i="1" s="1"/>
  <c r="AI762" i="1"/>
  <c r="AJ762" i="1" s="1"/>
  <c r="AI23" i="1"/>
  <c r="AJ23" i="1" s="1"/>
  <c r="AI123" i="1"/>
  <c r="AJ123" i="1" s="1"/>
  <c r="AI211" i="1"/>
  <c r="AJ211" i="1" s="1"/>
  <c r="AI236" i="1"/>
  <c r="AJ236" i="1" s="1"/>
  <c r="AI322" i="1"/>
  <c r="AJ322" i="1" s="1"/>
  <c r="AI337" i="1"/>
  <c r="AJ337" i="1" s="1"/>
  <c r="AI353" i="1"/>
  <c r="AJ353" i="1" s="1"/>
  <c r="AI361" i="1"/>
  <c r="AJ361" i="1" s="1"/>
  <c r="AI392" i="1"/>
  <c r="AJ392" i="1" s="1"/>
  <c r="AI401" i="1"/>
  <c r="AJ401" i="1" s="1"/>
  <c r="AI417" i="1"/>
  <c r="AJ417" i="1" s="1"/>
  <c r="AI491" i="1"/>
  <c r="AJ491" i="1" s="1"/>
  <c r="AI500" i="1"/>
  <c r="AJ500" i="1" s="1"/>
  <c r="AI571" i="1"/>
  <c r="AJ571" i="1" s="1"/>
  <c r="AI612" i="1"/>
  <c r="AJ612" i="1" s="1"/>
  <c r="AI630" i="1"/>
  <c r="AJ630" i="1" s="1"/>
  <c r="AI727" i="1"/>
  <c r="AJ727" i="1" s="1"/>
  <c r="AI770" i="1"/>
  <c r="AJ770" i="1" s="1"/>
  <c r="AI779" i="1"/>
  <c r="AJ779" i="1" s="1"/>
  <c r="AI797" i="1"/>
  <c r="AJ797" i="1" s="1"/>
  <c r="AI61" i="1"/>
  <c r="AJ61" i="1" s="1"/>
  <c r="AI330" i="1"/>
  <c r="AJ330" i="1" s="1"/>
  <c r="AI338" i="1"/>
  <c r="AJ338" i="1" s="1"/>
  <c r="AI362" i="1"/>
  <c r="AJ362" i="1" s="1"/>
  <c r="AI450" i="1"/>
  <c r="AJ450" i="1" s="1"/>
  <c r="AI492" i="1"/>
  <c r="AJ492" i="1" s="1"/>
  <c r="AI509" i="1"/>
  <c r="AJ509" i="1" s="1"/>
  <c r="AI572" i="1"/>
  <c r="AJ572" i="1" s="1"/>
  <c r="AI596" i="1"/>
  <c r="AJ596" i="1" s="1"/>
  <c r="AI754" i="1"/>
  <c r="AJ754" i="1" s="1"/>
  <c r="AI771" i="1"/>
  <c r="AJ771" i="1" s="1"/>
  <c r="AI780" i="1"/>
  <c r="AJ780" i="1" s="1"/>
  <c r="AI15" i="1"/>
  <c r="AJ15" i="1" s="1"/>
  <c r="AI43" i="1"/>
  <c r="AJ43" i="1" s="1"/>
  <c r="AI52" i="1"/>
  <c r="AJ52" i="1" s="1"/>
  <c r="AI70" i="1"/>
  <c r="AJ70" i="1" s="1"/>
  <c r="AI115" i="1"/>
  <c r="AJ115" i="1" s="1"/>
  <c r="AI153" i="1"/>
  <c r="AJ153" i="1" s="1"/>
  <c r="AI187" i="1"/>
  <c r="AJ187" i="1" s="1"/>
  <c r="AI196" i="1"/>
  <c r="AJ196" i="1" s="1"/>
  <c r="AI246" i="1"/>
  <c r="AJ246" i="1" s="1"/>
  <c r="AI255" i="1"/>
  <c r="AJ255" i="1" s="1"/>
  <c r="AI280" i="1"/>
  <c r="AJ280" i="1" s="1"/>
  <c r="AI288" i="1"/>
  <c r="AJ288" i="1" s="1"/>
  <c r="AI297" i="1"/>
  <c r="AJ297" i="1" s="1"/>
  <c r="AI410" i="1"/>
  <c r="AJ410" i="1" s="1"/>
  <c r="AI475" i="1"/>
  <c r="AJ475" i="1" s="1"/>
  <c r="AI484" i="1"/>
  <c r="AJ484" i="1" s="1"/>
  <c r="AI501" i="1"/>
  <c r="AJ501" i="1" s="1"/>
  <c r="AI622" i="1"/>
  <c r="AJ622" i="1" s="1"/>
  <c r="AI666" i="1"/>
  <c r="AJ666" i="1" s="1"/>
  <c r="AI675" i="1"/>
  <c r="AJ675" i="1" s="1"/>
  <c r="AI685" i="1"/>
  <c r="AJ685" i="1" s="1"/>
  <c r="AI694" i="1"/>
  <c r="AJ694" i="1" s="1"/>
  <c r="AI807" i="1"/>
  <c r="AJ807" i="1" s="1"/>
  <c r="AI34" i="1"/>
  <c r="AJ34" i="1" s="1"/>
  <c r="AI44" i="1"/>
  <c r="AJ44" i="1" s="1"/>
  <c r="AI71" i="1"/>
  <c r="AJ71" i="1" s="1"/>
  <c r="AI188" i="1"/>
  <c r="AJ188" i="1" s="1"/>
  <c r="AI205" i="1"/>
  <c r="AJ205" i="1" s="1"/>
  <c r="AI213" i="1"/>
  <c r="AJ213" i="1" s="1"/>
  <c r="AI247" i="1"/>
  <c r="AJ247" i="1" s="1"/>
  <c r="AI256" i="1"/>
  <c r="AJ256" i="1" s="1"/>
  <c r="AI298" i="1"/>
  <c r="AJ298" i="1" s="1"/>
  <c r="AI315" i="1"/>
  <c r="AJ315" i="1" s="1"/>
  <c r="AI459" i="1"/>
  <c r="AJ459" i="1" s="1"/>
  <c r="AI667" i="1"/>
  <c r="AJ667" i="1" s="1"/>
  <c r="AI686" i="1"/>
  <c r="AJ686" i="1" s="1"/>
  <c r="AI695" i="1"/>
  <c r="AJ695" i="1" s="1"/>
  <c r="AI764" i="1"/>
  <c r="AJ764" i="1" s="1"/>
  <c r="AI824" i="1"/>
  <c r="AJ824" i="1" s="1"/>
  <c r="AI841" i="1"/>
  <c r="AJ841" i="1" s="1"/>
  <c r="AI17" i="1"/>
  <c r="AJ17" i="1" s="1"/>
  <c r="AI35" i="1"/>
  <c r="AJ35" i="1" s="1"/>
  <c r="AI45" i="1"/>
  <c r="AJ45" i="1" s="1"/>
  <c r="AI117" i="1"/>
  <c r="AJ117" i="1" s="1"/>
  <c r="AI135" i="1"/>
  <c r="AJ135" i="1" s="1"/>
  <c r="AI145" i="1"/>
  <c r="AJ145" i="1" s="1"/>
  <c r="AI155" i="1"/>
  <c r="AJ155" i="1" s="1"/>
  <c r="AI222" i="1"/>
  <c r="AJ222" i="1" s="1"/>
  <c r="AI290" i="1"/>
  <c r="AJ290" i="1" s="1"/>
  <c r="AI316" i="1"/>
  <c r="AJ316" i="1" s="1"/>
  <c r="AI325" i="1"/>
  <c r="AJ325" i="1" s="1"/>
  <c r="AI340" i="1"/>
  <c r="AJ340" i="1" s="1"/>
  <c r="AI371" i="1"/>
  <c r="AJ371" i="1" s="1"/>
  <c r="AI444" i="1"/>
  <c r="AJ444" i="1" s="1"/>
  <c r="AI460" i="1"/>
  <c r="AJ460" i="1" s="1"/>
  <c r="AI477" i="1"/>
  <c r="AJ477" i="1" s="1"/>
  <c r="AI494" i="1"/>
  <c r="AJ494" i="1" s="1"/>
  <c r="AI511" i="1"/>
  <c r="AJ511" i="1" s="1"/>
  <c r="AI615" i="1"/>
  <c r="AJ615" i="1" s="1"/>
  <c r="AI624" i="1"/>
  <c r="AJ624" i="1" s="1"/>
  <c r="AI677" i="1"/>
  <c r="AJ677" i="1" s="1"/>
  <c r="AI687" i="1"/>
  <c r="AJ687" i="1" s="1"/>
  <c r="AI765" i="1"/>
  <c r="AJ765" i="1" s="1"/>
  <c r="AI809" i="1"/>
  <c r="AJ809" i="1" s="1"/>
  <c r="AI825" i="1"/>
  <c r="AJ825" i="1" s="1"/>
  <c r="AI18" i="1"/>
  <c r="AJ18" i="1" s="1"/>
  <c r="AI36" i="1"/>
  <c r="AJ36" i="1" s="1"/>
  <c r="AI46" i="1"/>
  <c r="AJ46" i="1" s="1"/>
  <c r="AI91" i="1"/>
  <c r="AJ91" i="1" s="1"/>
  <c r="AI118" i="1"/>
  <c r="AJ118" i="1" s="1"/>
  <c r="AI136" i="1"/>
  <c r="AJ136" i="1" s="1"/>
  <c r="AI190" i="1"/>
  <c r="AJ190" i="1" s="1"/>
  <c r="AI223" i="1"/>
  <c r="AJ223" i="1" s="1"/>
  <c r="AI231" i="1"/>
  <c r="AJ231" i="1" s="1"/>
  <c r="AI258" i="1"/>
  <c r="AJ258" i="1" s="1"/>
  <c r="AI317" i="1"/>
  <c r="AJ317" i="1" s="1"/>
  <c r="AI341" i="1"/>
  <c r="AJ341" i="1" s="1"/>
  <c r="AI469" i="1"/>
  <c r="AJ469" i="1" s="1"/>
  <c r="AI486" i="1"/>
  <c r="AJ486" i="1" s="1"/>
  <c r="AI495" i="1"/>
  <c r="AJ495" i="1" s="1"/>
  <c r="AI512" i="1"/>
  <c r="AJ512" i="1" s="1"/>
  <c r="AI536" i="1"/>
  <c r="AJ536" i="1" s="1"/>
  <c r="AI575" i="1"/>
  <c r="AJ575" i="1" s="1"/>
  <c r="AI625" i="1"/>
  <c r="AJ625" i="1" s="1"/>
  <c r="AI766" i="1"/>
  <c r="AJ766" i="1" s="1"/>
  <c r="AI774" i="1"/>
  <c r="AJ774" i="1" s="1"/>
  <c r="AI810" i="1"/>
  <c r="AJ810" i="1" s="1"/>
  <c r="AI208" i="1"/>
  <c r="AJ208" i="1" s="1"/>
  <c r="AI216" i="1"/>
  <c r="AJ216" i="1" s="1"/>
  <c r="AI301" i="1"/>
  <c r="AJ301" i="1" s="1"/>
  <c r="AI318" i="1"/>
  <c r="AJ318" i="1" s="1"/>
  <c r="AI358" i="1"/>
  <c r="AJ358" i="1" s="1"/>
  <c r="AI373" i="1"/>
  <c r="AJ373" i="1" s="1"/>
  <c r="AI429" i="1"/>
  <c r="AJ429" i="1" s="1"/>
  <c r="AI454" i="1"/>
  <c r="AJ454" i="1" s="1"/>
  <c r="AI567" i="1"/>
  <c r="AJ567" i="1" s="1"/>
  <c r="AI609" i="1"/>
  <c r="AJ609" i="1" s="1"/>
  <c r="AI635" i="1"/>
  <c r="AJ635" i="1" s="1"/>
  <c r="AI670" i="1"/>
  <c r="AJ670" i="1" s="1"/>
  <c r="AI750" i="1"/>
  <c r="AJ750" i="1" s="1"/>
  <c r="AI785" i="1"/>
  <c r="AJ785" i="1" s="1"/>
  <c r="AI836" i="1"/>
  <c r="AJ836" i="1" s="1"/>
  <c r="AI20" i="1"/>
  <c r="AJ20" i="1" s="1"/>
  <c r="AI29" i="1"/>
  <c r="AJ29" i="1" s="1"/>
  <c r="AI48" i="1"/>
  <c r="AJ48" i="1" s="1"/>
  <c r="AI93" i="1"/>
  <c r="AJ93" i="1" s="1"/>
  <c r="AI103" i="1"/>
  <c r="AJ103" i="1" s="1"/>
  <c r="AI120" i="1"/>
  <c r="AJ120" i="1" s="1"/>
  <c r="AI175" i="1"/>
  <c r="AJ175" i="1" s="1"/>
  <c r="AI217" i="1"/>
  <c r="AJ217" i="1" s="1"/>
  <c r="AI343" i="1"/>
  <c r="AJ343" i="1" s="1"/>
  <c r="AI439" i="1"/>
  <c r="AJ439" i="1" s="1"/>
  <c r="AI601" i="1"/>
  <c r="AJ601" i="1" s="1"/>
  <c r="AI636" i="1"/>
  <c r="AJ636" i="1" s="1"/>
  <c r="AI671" i="1"/>
  <c r="AJ671" i="1" s="1"/>
  <c r="AI776" i="1"/>
  <c r="AJ776" i="1" s="1"/>
  <c r="AI786" i="1"/>
  <c r="AJ786" i="1" s="1"/>
  <c r="AI812" i="1"/>
  <c r="AJ812" i="1" s="1"/>
  <c r="AI28" i="1"/>
  <c r="AJ28" i="1" s="1"/>
  <c r="AI21" i="1"/>
  <c r="AJ21" i="1" s="1"/>
  <c r="AI30" i="1"/>
  <c r="AJ30" i="1" s="1"/>
  <c r="AI76" i="1"/>
  <c r="AJ76" i="1" s="1"/>
  <c r="AI121" i="1"/>
  <c r="AJ121" i="1" s="1"/>
  <c r="AI130" i="1"/>
  <c r="AJ130" i="1" s="1"/>
  <c r="AI201" i="1"/>
  <c r="AJ201" i="1" s="1"/>
  <c r="AI261" i="1"/>
  <c r="AJ261" i="1" s="1"/>
  <c r="AI303" i="1"/>
  <c r="AJ303" i="1" s="1"/>
  <c r="AI311" i="1"/>
  <c r="AJ311" i="1" s="1"/>
  <c r="AI351" i="1"/>
  <c r="AJ351" i="1" s="1"/>
  <c r="AI375" i="1"/>
  <c r="AJ375" i="1" s="1"/>
  <c r="AI415" i="1"/>
  <c r="AJ415" i="1" s="1"/>
  <c r="AI545" i="1"/>
  <c r="AJ545" i="1" s="1"/>
  <c r="AI725" i="1"/>
  <c r="AJ725" i="1" s="1"/>
  <c r="AI744" i="1"/>
  <c r="AJ744" i="1" s="1"/>
  <c r="AI777" i="1"/>
  <c r="AJ777" i="1" s="1"/>
  <c r="AI795" i="1"/>
  <c r="AJ795" i="1" s="1"/>
  <c r="AI78" i="1"/>
  <c r="AJ78" i="1" s="1"/>
  <c r="AI173" i="1"/>
  <c r="AJ173" i="1" s="1"/>
  <c r="AI570" i="1"/>
  <c r="AJ570" i="1" s="1"/>
  <c r="AI33" i="1"/>
  <c r="AJ33" i="1" s="1"/>
  <c r="AI133" i="1"/>
  <c r="AJ133" i="1" s="1"/>
  <c r="AI158" i="1"/>
  <c r="AJ158" i="1" s="1"/>
  <c r="AI295" i="1"/>
  <c r="AJ295" i="1" s="1"/>
  <c r="AI582" i="1"/>
  <c r="AJ582" i="1" s="1"/>
  <c r="AI98" i="1"/>
  <c r="AJ98" i="1" s="1"/>
  <c r="AI679" i="1"/>
  <c r="AJ679" i="1" s="1"/>
  <c r="AI782" i="1"/>
  <c r="AJ782" i="1" s="1"/>
  <c r="AI53" i="1"/>
  <c r="AJ53" i="1" s="1"/>
  <c r="AI148" i="1"/>
  <c r="AJ148" i="1" s="1"/>
  <c r="AI577" i="1"/>
  <c r="AJ577" i="1" s="1"/>
  <c r="AI620" i="1"/>
  <c r="AJ620" i="1" s="1"/>
  <c r="AI674" i="1"/>
  <c r="AJ674" i="1" s="1"/>
  <c r="AI83" i="1"/>
  <c r="AJ83" i="1" s="1"/>
  <c r="AI310" i="1"/>
  <c r="AJ310" i="1" s="1"/>
  <c r="AI436" i="1"/>
  <c r="AJ436" i="1" s="1"/>
  <c r="AI527" i="1"/>
  <c r="AJ527" i="1" s="1"/>
  <c r="AI13" i="1"/>
  <c r="AJ13" i="1" s="1"/>
  <c r="AI113" i="1"/>
  <c r="AJ113" i="1" s="1"/>
  <c r="AI143" i="1"/>
  <c r="AJ143" i="1" s="1"/>
  <c r="AI437" i="1"/>
  <c r="AJ437" i="1" s="1"/>
  <c r="AI465" i="1"/>
  <c r="AJ465" i="1" s="1"/>
  <c r="AI665" i="1"/>
  <c r="AJ665" i="1" s="1"/>
  <c r="AI724" i="1"/>
  <c r="AJ724" i="1" s="1"/>
  <c r="AI507" i="1"/>
  <c r="AJ507" i="1" s="1"/>
  <c r="AI747" i="1"/>
  <c r="AJ747" i="1" s="1"/>
  <c r="AI842" i="1"/>
  <c r="AJ842" i="1" s="1"/>
  <c r="D27" i="1"/>
  <c r="E27" i="1" s="1"/>
  <c r="D15" i="2"/>
  <c r="C14" i="2"/>
  <c r="E15" i="2"/>
  <c r="AN11" i="2"/>
  <c r="D11" i="2"/>
  <c r="D12" i="2"/>
  <c r="E11" i="2"/>
  <c r="E12" i="2"/>
  <c r="E14" i="2"/>
  <c r="D14" i="2"/>
  <c r="C15" i="2"/>
  <c r="C12" i="2"/>
  <c r="C11" i="2"/>
  <c r="D9" i="1"/>
  <c r="E9" i="1" s="1"/>
  <c r="D8" i="1"/>
  <c r="E8" i="1" s="1"/>
  <c r="AI4" i="1"/>
  <c r="AJ4" i="1" s="1"/>
  <c r="D4" i="1" l="1"/>
  <c r="E4" i="1" s="1"/>
  <c r="E24" i="2"/>
  <c r="I7" i="2" s="1"/>
  <c r="C24" i="2"/>
  <c r="D24" i="2"/>
  <c r="D7" i="1"/>
  <c r="E7" i="1" s="1"/>
  <c r="D6" i="1"/>
  <c r="E6" i="1" s="1"/>
  <c r="D5" i="1"/>
  <c r="E5" i="1" s="1"/>
  <c r="D26" i="1"/>
  <c r="E26" i="1" l="1"/>
  <c r="E31" i="1" s="1"/>
  <c r="I10" i="2"/>
  <c r="I9" i="2"/>
  <c r="I8" i="2"/>
  <c r="D21" i="1"/>
  <c r="E21" i="1"/>
  <c r="D31" i="1"/>
</calcChain>
</file>

<file path=xl/sharedStrings.xml><?xml version="1.0" encoding="utf-8"?>
<sst xmlns="http://schemas.openxmlformats.org/spreadsheetml/2006/main" count="3480" uniqueCount="922">
  <si>
    <t>Number Pieces</t>
  </si>
  <si>
    <t>Number Studs</t>
  </si>
  <si>
    <t/>
  </si>
  <si>
    <t>kN</t>
  </si>
  <si>
    <t>m</t>
  </si>
  <si>
    <t>Trọng lượng</t>
  </si>
  <si>
    <t>Unique</t>
  </si>
  <si>
    <t>Type</t>
  </si>
  <si>
    <t>kN/m3</t>
  </si>
  <si>
    <t>Q345</t>
  </si>
  <si>
    <t>Vật liệu</t>
  </si>
  <si>
    <t>Trọng lượng riêng</t>
  </si>
  <si>
    <t>Khối lượng</t>
  </si>
  <si>
    <t>tấn</t>
  </si>
  <si>
    <t>Tổng cộng</t>
  </si>
  <si>
    <t>Số lượng</t>
  </si>
  <si>
    <t>Tổng hợp khối lượng theo cấu kiện</t>
  </si>
  <si>
    <t>Cấu kiện</t>
  </si>
  <si>
    <t>Tổng hợp khối lượng theo tiết diện hình học</t>
  </si>
  <si>
    <t>Tiết diện</t>
  </si>
  <si>
    <t>Tổng chiều dài</t>
  </si>
  <si>
    <t>STT</t>
  </si>
  <si>
    <t>Chiều dài
(m)</t>
  </si>
  <si>
    <t>Trọng lượng
(kN)</t>
  </si>
  <si>
    <t>Khối lượng
(tấn)</t>
  </si>
  <si>
    <t>Bảng tổng hợp khối lượng vật liệu thép</t>
  </si>
  <si>
    <t>Bảng tổng hợp khối lượng vật liệu bê tông</t>
  </si>
  <si>
    <t>Bảng thống kê chi tiết khối lượng thành phần</t>
  </si>
  <si>
    <t>A36</t>
  </si>
  <si>
    <t>B25</t>
  </si>
  <si>
    <r>
      <t>Thể tích
(m</t>
    </r>
    <r>
      <rPr>
        <b/>
        <vertAlign val="superscript"/>
        <sz val="11"/>
        <color rgb="FF0070C0"/>
        <rFont val="Aptos Narrow"/>
        <family val="2"/>
        <scheme val="minor"/>
      </rPr>
      <t>3</t>
    </r>
    <r>
      <rPr>
        <b/>
        <sz val="11"/>
        <color rgb="FF0070C0"/>
        <rFont val="Aptos Narrow"/>
        <family val="2"/>
        <scheme val="minor"/>
      </rPr>
      <t>)</t>
    </r>
  </si>
  <si>
    <r>
      <t>Trọng lượng riêng (kN/m</t>
    </r>
    <r>
      <rPr>
        <b/>
        <vertAlign val="superscript"/>
        <sz val="11"/>
        <color rgb="FF0070C0"/>
        <rFont val="Aptos Narrow"/>
        <family val="2"/>
        <scheme val="minor"/>
      </rPr>
      <t>3</t>
    </r>
    <r>
      <rPr>
        <b/>
        <sz val="11"/>
        <color rgb="FF0070C0"/>
        <rFont val="Aptos Narrow"/>
        <family val="2"/>
        <scheme val="minor"/>
      </rPr>
      <t>)</t>
    </r>
  </si>
  <si>
    <r>
      <t>Diện tích MCN
(m</t>
    </r>
    <r>
      <rPr>
        <b/>
        <vertAlign val="superscript"/>
        <sz val="11"/>
        <color rgb="FF0070C0"/>
        <rFont val="Aptos Narrow"/>
        <family val="2"/>
        <scheme val="minor"/>
      </rPr>
      <t>2</t>
    </r>
    <r>
      <rPr>
        <b/>
        <sz val="11"/>
        <color rgb="FF0070C0"/>
        <rFont val="Aptos Narrow"/>
        <family val="2"/>
        <scheme val="minor"/>
      </rPr>
      <t>)</t>
    </r>
  </si>
  <si>
    <t>I</t>
  </si>
  <si>
    <t>Hình dạng</t>
  </si>
  <si>
    <t>Chu vi</t>
  </si>
  <si>
    <t>Chiều dài</t>
  </si>
  <si>
    <t>Bảng tổng hợp diện tích sơn</t>
  </si>
  <si>
    <t>Tổng diện tích sơn (m2)</t>
  </si>
  <si>
    <r>
      <t>Diện tích sơn (m</t>
    </r>
    <r>
      <rPr>
        <b/>
        <vertAlign val="superscript"/>
        <sz val="11"/>
        <color rgb="FF0070C0"/>
        <rFont val="Aptos Narrow"/>
        <family val="2"/>
        <scheme val="minor"/>
      </rPr>
      <t>2</t>
    </r>
    <r>
      <rPr>
        <b/>
        <sz val="11"/>
        <color rgb="FF0070C0"/>
        <rFont val="Aptos Narrow"/>
        <family val="2"/>
        <scheme val="minor"/>
      </rPr>
      <t>)</t>
    </r>
  </si>
  <si>
    <t>1</t>
  </si>
  <si>
    <t>6</t>
  </si>
  <si>
    <t>73</t>
  </si>
  <si>
    <t>74</t>
  </si>
  <si>
    <t>75</t>
  </si>
  <si>
    <t>76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</si>
  <si>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</si>
  <si>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</si>
  <si>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</si>
  <si>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</si>
  <si>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</si>
  <si>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</si>
  <si>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</si>
  <si>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</si>
  <si>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</si>
  <si>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</si>
  <si>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</si>
  <si>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</si>
  <si>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</si>
  <si>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</si>
  <si>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</si>
  <si>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</si>
  <si>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</si>
  <si>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</si>
  <si>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</si>
  <si>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</si>
  <si>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</si>
  <si>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</si>
  <si>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221</t>
  </si>
  <si>
    <t>222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</si>
  <si>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</si>
  <si>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</si>
  <si>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</si>
  <si>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</si>
  <si>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</si>
  <si>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</si>
  <si>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</si>
  <si>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</si>
  <si>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</si>
  <si>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</si>
  <si>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</si>
  <si>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</si>
  <si>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</si>
  <si>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</si>
  <si>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</si>
  <si>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</si>
  <si>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285</t>
  </si>
  <si>
    <t>286</t>
  </si>
  <si>
    <t>307</t>
  </si>
  <si>
    <t>318</t>
  </si>
  <si>
    <t>329</t>
  </si>
  <si>
    <t>331</t>
  </si>
  <si>
    <t>333</t>
  </si>
  <si>
    <t>335</t>
  </si>
  <si>
    <t>337</t>
  </si>
  <si>
    <t>339</t>
  </si>
  <si>
    <t>380</t>
  </si>
  <si>
    <t>381</t>
  </si>
  <si>
    <t>382</t>
  </si>
  <si>
    <t>383</t>
  </si>
  <si>
    <t>390</t>
  </si>
  <si>
    <t>391</t>
  </si>
  <si>
    <t>392</t>
  </si>
  <si>
    <t>393</t>
  </si>
  <si>
    <t>Rod 20</t>
  </si>
  <si>
    <t>394</t>
  </si>
  <si>
    <t>410</t>
  </si>
  <si>
    <t>411</t>
  </si>
  <si>
    <t>412</t>
  </si>
  <si>
    <t>413</t>
  </si>
  <si>
    <t>414</t>
  </si>
  <si>
    <t>430</t>
  </si>
  <si>
    <t>431</t>
  </si>
  <si>
    <t>432</t>
  </si>
  <si>
    <t>433</t>
  </si>
  <si>
    <t>434</t>
  </si>
  <si>
    <t>435</t>
  </si>
  <si>
    <t>506</t>
  </si>
  <si>
    <t>507</t>
  </si>
  <si>
    <t>508</t>
  </si>
  <si>
    <t>509</t>
  </si>
  <si>
    <t>510</t>
  </si>
  <si>
    <t>511</t>
  </si>
  <si>
    <t>512</t>
  </si>
  <si>
    <t>513</t>
  </si>
  <si>
    <t>Label</t>
  </si>
  <si>
    <t>L</t>
  </si>
  <si>
    <t>B</t>
  </si>
  <si>
    <t>tf</t>
  </si>
  <si>
    <t>Thép tấm</t>
  </si>
  <si>
    <t>Vị trí</t>
  </si>
  <si>
    <t>Cánh trên</t>
  </si>
  <si>
    <t>-</t>
  </si>
  <si>
    <t>400x5+200x10</t>
  </si>
  <si>
    <t>Bản bụng</t>
  </si>
  <si>
    <t>Cánh dưới</t>
  </si>
  <si>
    <t>Bắt đầu</t>
  </si>
  <si>
    <t>Kết thúc</t>
  </si>
  <si>
    <r>
      <t>Diện tích
mặt (m</t>
    </r>
    <r>
      <rPr>
        <b/>
        <vertAlign val="superscript"/>
        <sz val="11"/>
        <color rgb="FF0070C0"/>
        <rFont val="Aptos Narrow"/>
        <family val="2"/>
        <scheme val="minor"/>
      </rPr>
      <t>2</t>
    </r>
    <r>
      <rPr>
        <b/>
        <sz val="11"/>
        <color rgb="FF0070C0"/>
        <rFont val="Aptos Narrow"/>
        <family val="2"/>
        <scheme val="minor"/>
      </rPr>
      <t>)</t>
    </r>
  </si>
  <si>
    <r>
      <t>Diện tích
sơn (m</t>
    </r>
    <r>
      <rPr>
        <b/>
        <vertAlign val="superscript"/>
        <sz val="11"/>
        <color rgb="FF0070C0"/>
        <rFont val="Aptos Narrow"/>
        <family val="2"/>
        <scheme val="minor"/>
      </rPr>
      <t>2</t>
    </r>
    <r>
      <rPr>
        <b/>
        <sz val="11"/>
        <color rgb="FF0070C0"/>
        <rFont val="Aptos Narrow"/>
        <family val="2"/>
        <scheme val="minor"/>
      </rPr>
      <t>)</t>
    </r>
  </si>
  <si>
    <t>Khối lượng (kg)</t>
  </si>
  <si>
    <t>Bảng thống kê</t>
  </si>
  <si>
    <t>Loại</t>
  </si>
  <si>
    <t>Chiều dày
(mm)</t>
  </si>
  <si>
    <t>Tổng</t>
  </si>
  <si>
    <t>kg</t>
  </si>
  <si>
    <t>Đơn vị</t>
  </si>
  <si>
    <t>Giá trị</t>
  </si>
  <si>
    <t>Nội dung</t>
  </si>
  <si>
    <t>Phần trăm</t>
  </si>
  <si>
    <t>H500x250x6x10</t>
  </si>
  <si>
    <t>CD D141x5</t>
  </si>
  <si>
    <t>Thép ống</t>
  </si>
  <si>
    <t>GB D70x4</t>
  </si>
  <si>
    <t>GC D48x2</t>
  </si>
  <si>
    <t>BR D114x3</t>
  </si>
  <si>
    <t>CT D114x4</t>
  </si>
  <si>
    <t>GB D48X2.5</t>
  </si>
  <si>
    <t>CN D141x5</t>
  </si>
  <si>
    <t>Tiết diện tròn</t>
  </si>
  <si>
    <t>C30</t>
  </si>
  <si>
    <t>C30-1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</si>
  <si>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</si>
  <si>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</si>
  <si>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</si>
  <si>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</si>
  <si>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</si>
  <si>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</si>
  <si>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</si>
  <si>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</si>
  <si>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</si>
  <si>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</si>
  <si>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</si>
  <si>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</si>
  <si>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</si>
  <si>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</si>
  <si>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</si>
  <si>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</si>
  <si>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</si>
  <si>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</si>
  <si>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</si>
  <si>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</si>
  <si>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</si>
  <si>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</si>
  <si>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</si>
  <si>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</si>
  <si>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</si>
  <si>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</si>
  <si>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</si>
  <si>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</si>
  <si>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</si>
  <si>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</si>
  <si>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</si>
  <si>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</si>
  <si>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</si>
  <si>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</si>
  <si>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</si>
  <si>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</si>
  <si>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</si>
  <si>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</si>
  <si>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</si>
  <si>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</si>
  <si>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</si>
  <si>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</si>
  <si>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</si>
  <si>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</si>
  <si>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</si>
  <si>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</si>
  <si>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</si>
  <si>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</si>
  <si>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</si>
  <si>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</si>
  <si>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</si>
  <si>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</si>
  <si>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</si>
  <si>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</si>
  <si>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</si>
  <si>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</si>
  <si>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</si>
  <si>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</si>
  <si>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</si>
  <si>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</si>
  <si>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</si>
  <si>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</si>
  <si>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</si>
  <si>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</si>
  <si>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</si>
  <si>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</si>
  <si>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</si>
  <si>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</si>
  <si>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</si>
  <si>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</si>
  <si>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</si>
  <si>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</si>
  <si>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</si>
  <si>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</si>
  <si>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</si>
  <si>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</si>
  <si>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</si>
  <si>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</si>
  <si>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</si>
  <si>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</si>
  <si>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</si>
  <si>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</si>
  <si>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</si>
  <si>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</si>
  <si>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</si>
  <si>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</si>
  <si>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</si>
  <si>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</si>
  <si>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</si>
  <si>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</si>
  <si>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</si>
  <si>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</si>
  <si>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</si>
  <si>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</si>
  <si>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</si>
  <si>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</si>
  <si>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</si>
  <si>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</si>
  <si>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</si>
  <si>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</si>
  <si>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</si>
  <si>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</si>
  <si>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</si>
  <si>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</si>
  <si>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</si>
  <si>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</si>
  <si>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</si>
  <si>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</si>
  <si>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</si>
  <si>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</si>
  <si>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</si>
  <si>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</si>
  <si>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</si>
  <si>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</si>
  <si>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</si>
  <si>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</si>
  <si>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</si>
  <si>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</si>
  <si>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</si>
  <si>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</si>
  <si>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</si>
  <si>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</si>
  <si>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</si>
  <si>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</si>
  <si>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</si>
  <si>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</si>
  <si>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</si>
  <si>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</si>
  <si>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</si>
  <si>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</si>
  <si>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</si>
  <si>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</si>
  <si>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</si>
  <si>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</si>
  <si>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</si>
  <si>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</si>
  <si>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</si>
  <si>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</si>
  <si>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</si>
  <si>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</si>
  <si>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</si>
  <si>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</si>
  <si>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</si>
  <si>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</si>
  <si>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</si>
  <si>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</si>
  <si>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</si>
  <si>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</si>
  <si>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</si>
  <si>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</si>
  <si>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</si>
  <si>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</si>
  <si>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</si>
  <si>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</si>
  <si>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</si>
  <si>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</si>
  <si>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</si>
  <si>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</si>
  <si>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330</t>
  </si>
  <si>
    <t>332</t>
  </si>
  <si>
    <t>334</t>
  </si>
  <si>
    <t>336</t>
  </si>
  <si>
    <t>338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</si>
  <si>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</si>
  <si>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</si>
  <si>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</si>
  <si>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</si>
  <si>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</si>
  <si>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</si>
  <si>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</si>
  <si>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</si>
  <si>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</si>
  <si>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</si>
  <si>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</si>
  <si>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</si>
  <si>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</si>
  <si>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</si>
  <si>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</si>
  <si>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</si>
  <si>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</si>
  <si>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</si>
  <si>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</si>
  <si>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</si>
  <si>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</si>
  <si>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</si>
  <si>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</si>
  <si>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</si>
  <si>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</si>
  <si>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</si>
  <si>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</si>
  <si>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</si>
  <si>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</si>
  <si>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</si>
  <si>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</si>
  <si>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</si>
  <si>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</si>
  <si>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</si>
  <si>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</si>
  <si>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</si>
  <si>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</si>
  <si>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</si>
  <si>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</si>
  <si>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</si>
  <si>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384</t>
  </si>
  <si>
    <t>385</t>
  </si>
  <si>
    <t>386</t>
  </si>
  <si>
    <t>387</t>
  </si>
  <si>
    <t>388</t>
  </si>
  <si>
    <t>389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</si>
  <si>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</si>
  <si>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</si>
  <si>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</si>
  <si>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</si>
  <si>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</si>
  <si>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</si>
  <si>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</si>
  <si>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</si>
  <si>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</si>
  <si>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</si>
  <si>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</si>
  <si>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</si>
  <si>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</si>
  <si>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</si>
  <si>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</si>
  <si>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</si>
  <si>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</si>
  <si>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</si>
  <si>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</si>
  <si>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</si>
  <si>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</si>
  <si>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</si>
  <si>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</si>
  <si>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</si>
  <si>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</si>
  <si>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</si>
  <si>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</si>
  <si>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</si>
  <si>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</si>
  <si>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</si>
  <si>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</si>
  <si>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</si>
  <si>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</si>
  <si>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</si>
  <si>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</si>
  <si>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</si>
  <si>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</si>
  <si>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</si>
  <si>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</si>
  <si>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</si>
  <si>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</si>
  <si>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</si>
  <si>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</si>
  <si>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</si>
  <si>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</si>
  <si>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</si>
  <si>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</si>
  <si>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</si>
  <si>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</si>
  <si>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</si>
  <si>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</si>
  <si>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</si>
  <si>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</si>
  <si>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</si>
  <si>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</si>
  <si>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</si>
  <si>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</si>
  <si>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</si>
  <si>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</si>
  <si>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</si>
  <si>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</si>
  <si>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</si>
  <si>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</si>
  <si>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</si>
  <si>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</si>
  <si>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</si>
  <si>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</si>
  <si>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</si>
  <si>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</si>
  <si>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</si>
  <si>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</si>
  <si>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</si>
  <si>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</si>
  <si>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</si>
  <si>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</si>
  <si>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</si>
  <si>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</si>
  <si>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</si>
  <si>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</si>
  <si>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</si>
  <si>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</si>
  <si>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</si>
  <si>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</si>
  <si>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</si>
  <si>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</si>
  <si>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</si>
  <si>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</si>
  <si>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</si>
  <si>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</si>
  <si>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</si>
  <si>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</si>
  <si>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</si>
  <si>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</si>
  <si>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</si>
  <si>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</si>
  <si>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</si>
  <si>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</si>
  <si>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</si>
  <si>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</si>
  <si>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</si>
  <si>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</si>
  <si>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</si>
  <si>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</si>
  <si>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</si>
  <si>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</si>
  <si>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</si>
  <si>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</si>
  <si>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</si>
  <si>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</si>
  <si>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</si>
  <si>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</si>
  <si>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</si>
  <si>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</si>
  <si>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</si>
  <si>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</si>
  <si>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</si>
  <si>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</si>
  <si>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</si>
  <si>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</si>
  <si>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</si>
  <si>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</si>
  <si>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</si>
  <si>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</si>
  <si>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</si>
  <si>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</si>
  <si>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</si>
  <si>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</si>
  <si>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</si>
  <si>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</si>
  <si>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</si>
  <si>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</si>
  <si>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</si>
  <si>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</si>
  <si>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</si>
  <si>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</si>
  <si>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</si>
  <si>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</si>
  <si>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</si>
  <si>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</si>
  <si>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</si>
  <si>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</si>
  <si>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</si>
  <si>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</si>
  <si>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</si>
  <si>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</si>
  <si>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</si>
  <si>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</si>
  <si>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</si>
  <si>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</si>
  <si>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</si>
  <si>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</si>
  <si>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</si>
  <si>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</si>
  <si>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</si>
  <si>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</si>
  <si>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</si>
  <si>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</si>
  <si>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</si>
  <si>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</si>
  <si>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</si>
  <si>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</si>
  <si>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</si>
  <si>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</si>
  <si>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</si>
  <si>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</si>
  <si>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</si>
  <si>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</si>
  <si>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</si>
  <si>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</si>
  <si>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</si>
  <si>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</si>
  <si>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</si>
  <si>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</si>
  <si>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</si>
  <si>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</si>
  <si>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</si>
  <si>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</si>
  <si>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</si>
  <si>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</si>
  <si>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</si>
  <si>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</si>
  <si>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</si>
  <si>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</si>
  <si>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</si>
  <si>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</si>
  <si>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</si>
  <si>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</si>
  <si>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</si>
  <si>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</si>
  <si>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</si>
  <si>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</si>
  <si>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</si>
  <si>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</si>
  <si>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</si>
  <si>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</si>
  <si>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</si>
  <si>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</si>
  <si>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</si>
  <si>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</si>
  <si>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</si>
  <si>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</si>
  <si>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</si>
  <si>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</si>
  <si>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</si>
  <si>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</si>
  <si>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</si>
  <si>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</si>
  <si>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</si>
  <si>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</si>
  <si>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</si>
  <si>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</si>
  <si>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</si>
  <si>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</si>
  <si>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</si>
  <si>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</si>
  <si>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</si>
  <si>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</si>
  <si>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</si>
  <si>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</si>
  <si>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</si>
  <si>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</si>
  <si>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</si>
  <si>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</si>
  <si>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</si>
  <si>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</si>
  <si>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</si>
  <si>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</si>
  <si>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</si>
  <si>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</si>
  <si>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</si>
  <si>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</si>
  <si>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</si>
  <si>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</si>
  <si>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</si>
  <si>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</si>
  <si>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</si>
  <si>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</si>
  <si>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</si>
  <si>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</si>
  <si>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</si>
  <si>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</si>
  <si>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</si>
  <si>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</si>
  <si>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</si>
  <si>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</si>
  <si>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</si>
  <si>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</si>
  <si>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</si>
  <si>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</si>
  <si>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</si>
  <si>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</si>
  <si>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</si>
  <si>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</si>
  <si>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</si>
  <si>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</si>
  <si>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</si>
  <si>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</si>
  <si>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</si>
  <si>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</si>
  <si>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</si>
  <si>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</si>
  <si>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</si>
  <si>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</si>
  <si>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</si>
  <si>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</si>
  <si>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</si>
  <si>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</si>
  <si>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</si>
  <si>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</si>
  <si>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</si>
  <si>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</si>
  <si>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</si>
  <si>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</si>
  <si>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</si>
  <si>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</si>
  <si>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</si>
  <si>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</si>
  <si>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</si>
  <si>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</si>
  <si>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</si>
  <si>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</si>
  <si>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</si>
  <si>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</si>
  <si>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</si>
  <si>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</si>
  <si>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</si>
  <si>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</si>
  <si>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</si>
  <si>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</si>
  <si>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</si>
  <si>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</si>
  <si>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</si>
  <si>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</si>
  <si>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</si>
  <si>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</si>
  <si>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</si>
  <si>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</si>
  <si>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</si>
  <si>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</si>
  <si>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</si>
  <si>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</si>
  <si>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</si>
  <si>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</si>
  <si>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</si>
  <si>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</si>
  <si>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</si>
  <si>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</si>
  <si>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</si>
  <si>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</si>
  <si>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</si>
  <si>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</si>
  <si>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</si>
  <si>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</si>
  <si>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</si>
  <si>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</si>
  <si>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</si>
  <si>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</si>
  <si>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</si>
  <si>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</si>
  <si>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</si>
  <si>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</si>
  <si>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</si>
  <si>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</si>
  <si>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</si>
  <si>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</si>
  <si>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</si>
  <si>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</si>
  <si>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</si>
  <si>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</si>
  <si>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</si>
  <si>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</si>
  <si>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</si>
  <si>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</si>
  <si>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</si>
  <si>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</si>
  <si>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</si>
  <si>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</si>
  <si>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</si>
  <si>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</si>
  <si>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</si>
  <si>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</si>
  <si>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</si>
  <si>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</si>
  <si>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</si>
  <si>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</si>
  <si>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</si>
  <si>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</si>
  <si>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</si>
  <si>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</si>
  <si>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</si>
  <si>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</si>
  <si>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</si>
  <si>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</si>
  <si>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</si>
  <si>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</si>
  <si>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</si>
  <si>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</si>
  <si>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</si>
  <si>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</si>
  <si>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786</t>
  </si>
  <si>
    <t>787</t>
  </si>
  <si>
    <t>788</t>
  </si>
  <si>
    <t>789</t>
  </si>
  <si>
    <t>790</t>
  </si>
  <si>
    <t>791</t>
  </si>
  <si>
    <t>792</t>
  </si>
  <si>
    <t>801</t>
  </si>
  <si>
    <t>802</t>
  </si>
  <si>
    <t>803</t>
  </si>
  <si>
    <t>804</t>
  </si>
  <si>
    <t>805</t>
  </si>
  <si>
    <t>806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</si>
  <si>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</si>
  <si>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</si>
  <si>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</si>
  <si>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</si>
  <si>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</si>
  <si>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</si>
  <si>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</si>
  <si>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</si>
  <si>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</si>
  <si>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</si>
  <si>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</si>
  <si>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</si>
  <si>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</si>
  <si>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</si>
  <si>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844</t>
  </si>
  <si>
    <t>845</t>
  </si>
  <si>
    <t>853</t>
  </si>
  <si>
    <t>854</t>
  </si>
  <si>
    <t>855</t>
  </si>
  <si>
    <t>856</t>
  </si>
  <si>
    <t>857</t>
  </si>
  <si>
    <t>858</t>
  </si>
  <si>
    <t>859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</si>
  <si>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</si>
  <si>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</si>
  <si>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</si>
  <si>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</si>
  <si>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</si>
  <si>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</si>
  <si>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</si>
  <si>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</si>
  <si>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</si>
  <si>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</si>
  <si>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</si>
  <si>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</si>
  <si>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</si>
  <si>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</si>
  <si>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900</t>
  </si>
  <si>
    <t>901</t>
  </si>
  <si>
    <t>902</t>
  </si>
  <si>
    <t>903</t>
  </si>
  <si>
    <t>904</t>
  </si>
  <si>
    <t>905</t>
  </si>
  <si>
    <t>918</t>
  </si>
  <si>
    <t>957</t>
  </si>
  <si>
    <t>958</t>
  </si>
  <si>
    <t>974</t>
  </si>
  <si>
    <t>985</t>
  </si>
  <si>
    <t>1006</t>
  </si>
  <si>
    <t>1007</t>
  </si>
  <si>
    <t>1431</t>
  </si>
  <si>
    <t>1432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</si>
  <si>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</si>
  <si>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</si>
  <si>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</si>
  <si>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</si>
  <si>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</si>
  <si>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</si>
  <si>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</si>
  <si>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</si>
  <si>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</si>
  <si>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</si>
  <si>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</si>
  <si>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</si>
  <si>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</si>
  <si>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1450</t>
  </si>
  <si>
    <t>1451</t>
  </si>
  <si>
    <t>1452</t>
  </si>
  <si>
    <t>1453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</si>
  <si>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</si>
  <si>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</si>
  <si>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</si>
  <si>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</si>
  <si>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</si>
  <si>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</si>
  <si>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</si>
  <si>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</si>
  <si>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</si>
  <si>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</si>
  <si>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</si>
  <si>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</si>
  <si>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</si>
  <si>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</si>
  <si>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</si>
  <si>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</si>
  <si>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</si>
  <si>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</si>
  <si>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</si>
  <si>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</si>
  <si>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</si>
  <si>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</si>
  <si>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</si>
  <si>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</si>
  <si>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</si>
  <si>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</si>
  <si>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</si>
  <si>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</si>
  <si>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1559</t>
  </si>
  <si>
    <t>1560</t>
  </si>
  <si>
    <t>1561</t>
  </si>
  <si>
    <t>1568</t>
  </si>
  <si>
    <t>1569</t>
  </si>
  <si>
    <t>1570</t>
  </si>
  <si>
    <t>7</t>
  </si>
  <si>
    <t>8</t>
  </si>
  <si>
    <t>10</t>
  </si>
  <si>
    <t>11</t>
  </si>
  <si>
    <t>12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</si>
  <si>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</si>
  <si>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</si>
  <si>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</si>
  <si>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</si>
  <si>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</si>
  <si>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</si>
  <si>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</si>
  <si>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</si>
  <si>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</si>
  <si>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</si>
  <si>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</si>
  <si>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</si>
  <si>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</si>
  <si>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</si>
  <si>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</si>
  <si>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</si>
  <si>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</si>
  <si>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</si>
  <si>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</si>
  <si>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</si>
  <si>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62</t>
  </si>
  <si>
    <t>63</t>
  </si>
  <si>
    <t>64</t>
  </si>
  <si>
    <t>66</t>
  </si>
  <si>
    <t>67</t>
  </si>
  <si>
    <t>69</t>
  </si>
  <si>
    <t>70</t>
  </si>
  <si>
    <t>77</t>
  </si>
  <si>
    <t>78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</si>
  <si>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</si>
  <si>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</si>
  <si>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</si>
  <si>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</si>
  <si>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</si>
  <si>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</si>
  <si>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</si>
  <si>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</si>
  <si>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</si>
  <si>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92</t>
  </si>
  <si>
    <t>93</t>
  </si>
  <si>
    <t>94</t>
  </si>
  <si>
    <t>95</t>
  </si>
  <si>
    <t>96</t>
  </si>
  <si>
    <t>99</t>
  </si>
  <si>
    <t>101</t>
  </si>
  <si>
    <t>102</t>
  </si>
  <si>
    <t>103</t>
  </si>
  <si>
    <t>104</t>
  </si>
  <si>
    <t>105</t>
  </si>
  <si>
    <t>108</t>
  </si>
  <si>
    <t>Z200</t>
  </si>
  <si>
    <t>A653SQGr50</t>
  </si>
  <si>
    <t>109</t>
  </si>
  <si>
    <t>110</t>
  </si>
  <si>
    <t>111</t>
  </si>
  <si>
    <t>112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</si>
  <si>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</si>
  <si>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</si>
  <si>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</si>
  <si>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</si>
  <si>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</si>
  <si>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</si>
  <si>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</si>
  <si>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</si>
  <si>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</si>
  <si>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</si>
  <si>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</si>
  <si>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</si>
  <si>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</si>
  <si>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Pipe</t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</si>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</sst>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"/>
    <numFmt numFmtId="165" formatCode="0.0000"/>
    <numFmt numFmtId="166" formatCode="0.000"/>
    <numFmt numFmtId="167" formatCode="0.0%"/>
    <numFmt numFmtId="168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00CC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indexed="8"/>
      <name val="Arial"/>
      <family val="2"/>
    </font>
    <font>
      <b/>
      <sz val="11"/>
      <color rgb="FF0070C0"/>
      <name val="Aptos Narrow"/>
      <family val="2"/>
      <scheme val="minor"/>
    </font>
    <font>
      <b/>
      <vertAlign val="superscript"/>
      <sz val="11"/>
      <color rgb="FF0070C0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4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0070C0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indexed="64"/>
      </patternFill>
    </fill>
  </fills>
  <borders count="2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9" fontId="7" fillId="0" borderId="0">
      <alignment horizontal="left" vertical="center"/>
    </xf>
    <xf numFmtId="0" fontId="10" fillId="6" borderId="0" applyNumberFormat="0" applyBorder="0" applyAlignment="0" applyProtection="0"/>
    <xf numFmtId="0" fontId="13" fillId="8" borderId="12" applyNumberFormat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90">
    <xf numFmtId="0" fontId="0" fillId="0" borderId="0" xfId="0"/>
    <xf numFmtId="49" fontId="0" fillId="0" borderId="0" xfId="0" applyNumberFormat="1"/>
    <xf numFmtId="0" fontId="0" fillId="4" borderId="0" xfId="0" applyFill="1"/>
    <xf numFmtId="49" fontId="3" fillId="5" borderId="5" xfId="0" applyNumberFormat="1" applyFont="1" applyFill="1" applyBorder="1" applyAlignment="1">
      <alignment horizontal="center" vertical="center"/>
    </xf>
    <xf numFmtId="0" fontId="5" fillId="0" borderId="0" xfId="0" applyFont="1"/>
    <xf numFmtId="0" fontId="5" fillId="4" borderId="0" xfId="0" applyFont="1" applyFill="1"/>
    <xf numFmtId="164" fontId="2" fillId="0" borderId="0" xfId="0" applyNumberFormat="1" applyFont="1" applyAlignment="1">
      <alignment horizontal="right" vertical="center"/>
    </xf>
    <xf numFmtId="164" fontId="2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11" fillId="4" borderId="0" xfId="0" applyFont="1" applyFill="1"/>
    <xf numFmtId="49" fontId="11" fillId="0" borderId="5" xfId="0" applyNumberFormat="1" applyFont="1" applyBorder="1" applyAlignment="1">
      <alignment horizontal="center" vertical="center"/>
    </xf>
    <xf numFmtId="49" fontId="11" fillId="0" borderId="5" xfId="0" applyNumberFormat="1" applyFont="1" applyBorder="1" applyAlignment="1">
      <alignment horizontal="left" vertical="center"/>
    </xf>
    <xf numFmtId="2" fontId="11" fillId="0" borderId="5" xfId="0" applyNumberFormat="1" applyFont="1" applyBorder="1" applyAlignment="1">
      <alignment horizontal="center" vertical="center"/>
    </xf>
    <xf numFmtId="0" fontId="11" fillId="0" borderId="0" xfId="0" applyFont="1"/>
    <xf numFmtId="49" fontId="11" fillId="0" borderId="5" xfId="0" applyNumberFormat="1" applyFont="1" applyBorder="1"/>
    <xf numFmtId="49" fontId="11" fillId="0" borderId="0" xfId="0" applyNumberFormat="1" applyFont="1"/>
    <xf numFmtId="0" fontId="12" fillId="2" borderId="0" xfId="0" applyFont="1" applyFill="1"/>
    <xf numFmtId="0" fontId="12" fillId="4" borderId="0" xfId="0" applyFont="1" applyFill="1"/>
    <xf numFmtId="0" fontId="3" fillId="3" borderId="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6" fillId="4" borderId="0" xfId="0" applyFont="1" applyFill="1"/>
    <xf numFmtId="0" fontId="6" fillId="3" borderId="10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1" fillId="0" borderId="5" xfId="0" applyFont="1" applyBorder="1"/>
    <xf numFmtId="164" fontId="6" fillId="0" borderId="5" xfId="0" applyNumberFormat="1" applyFont="1" applyBorder="1" applyAlignment="1">
      <alignment horizontal="center" vertical="center"/>
    </xf>
    <xf numFmtId="49" fontId="11" fillId="0" borderId="11" xfId="0" applyNumberFormat="1" applyFont="1" applyBorder="1"/>
    <xf numFmtId="0" fontId="11" fillId="0" borderId="11" xfId="0" applyFont="1" applyBorder="1"/>
    <xf numFmtId="164" fontId="10" fillId="6" borderId="5" xfId="2" applyNumberFormat="1" applyBorder="1" applyAlignment="1">
      <alignment horizontal="center" vertical="center"/>
    </xf>
    <xf numFmtId="49" fontId="8" fillId="5" borderId="5" xfId="0" applyNumberFormat="1" applyFont="1" applyFill="1" applyBorder="1" applyAlignment="1">
      <alignment horizontal="center" vertical="center" wrapText="1"/>
    </xf>
    <xf numFmtId="0" fontId="11" fillId="0" borderId="5" xfId="0" applyFont="1" applyBorder="1" applyAlignment="1">
      <alignment horizontal="left"/>
    </xf>
    <xf numFmtId="0" fontId="11" fillId="0" borderId="5" xfId="0" applyFont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13" fillId="8" borderId="5" xfId="3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13" fillId="8" borderId="5" xfId="3" applyNumberFormat="1" applyBorder="1" applyAlignment="1">
      <alignment horizontal="center" vertical="center"/>
    </xf>
    <xf numFmtId="0" fontId="11" fillId="0" borderId="5" xfId="0" applyFont="1" applyBorder="1" applyAlignment="1">
      <alignment horizontal="left" vertical="center"/>
    </xf>
    <xf numFmtId="0" fontId="0" fillId="0" borderId="5" xfId="0" applyBorder="1"/>
    <xf numFmtId="0" fontId="0" fillId="9" borderId="0" xfId="0" applyFill="1"/>
    <xf numFmtId="0" fontId="14" fillId="0" borderId="0" xfId="0" applyFont="1" applyAlignment="1">
      <alignment horizontal="center" vertical="center"/>
    </xf>
    <xf numFmtId="49" fontId="15" fillId="5" borderId="11" xfId="0" applyNumberFormat="1" applyFont="1" applyFill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9" fontId="14" fillId="0" borderId="5" xfId="5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 vertical="center"/>
    </xf>
    <xf numFmtId="167" fontId="14" fillId="0" borderId="5" xfId="5" applyNumberFormat="1" applyFont="1" applyBorder="1" applyAlignment="1">
      <alignment horizontal="center" vertical="center"/>
    </xf>
    <xf numFmtId="43" fontId="17" fillId="0" borderId="5" xfId="4" applyFont="1" applyBorder="1" applyAlignment="1">
      <alignment horizontal="center" vertical="center"/>
    </xf>
    <xf numFmtId="168" fontId="17" fillId="0" borderId="5" xfId="4" applyNumberFormat="1" applyFont="1" applyBorder="1" applyAlignment="1">
      <alignment horizontal="center" vertical="center"/>
    </xf>
    <xf numFmtId="168" fontId="0" fillId="0" borderId="5" xfId="4" applyNumberFormat="1" applyFont="1" applyBorder="1" applyAlignment="1">
      <alignment horizontal="right" vertical="center"/>
    </xf>
    <xf numFmtId="49" fontId="14" fillId="0" borderId="5" xfId="0" applyNumberFormat="1" applyFont="1" applyBorder="1"/>
    <xf numFmtId="0" fontId="14" fillId="0" borderId="5" xfId="0" applyFont="1" applyBorder="1" applyAlignment="1">
      <alignment vertical="center"/>
    </xf>
    <xf numFmtId="164" fontId="14" fillId="0" borderId="5" xfId="0" applyNumberFormat="1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/>
    </xf>
    <xf numFmtId="166" fontId="14" fillId="0" borderId="5" xfId="0" applyNumberFormat="1" applyFont="1" applyBorder="1" applyAlignment="1">
      <alignment horizontal="center"/>
    </xf>
    <xf numFmtId="49" fontId="8" fillId="5" borderId="5" xfId="0" applyNumberFormat="1" applyFont="1" applyFill="1" applyBorder="1" applyAlignment="1">
      <alignment horizontal="center" vertical="center" wrapText="1"/>
    </xf>
    <xf numFmtId="49" fontId="4" fillId="7" borderId="6" xfId="0" applyNumberFormat="1" applyFont="1" applyFill="1" applyBorder="1" applyAlignment="1">
      <alignment horizontal="center"/>
    </xf>
    <xf numFmtId="49" fontId="4" fillId="7" borderId="0" xfId="0" applyNumberFormat="1" applyFont="1" applyFill="1" applyAlignment="1">
      <alignment horizontal="center"/>
    </xf>
    <xf numFmtId="49" fontId="4" fillId="7" borderId="4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4" fillId="7" borderId="5" xfId="0" applyNumberFormat="1" applyFont="1" applyFill="1" applyBorder="1" applyAlignment="1">
      <alignment horizontal="center"/>
    </xf>
    <xf numFmtId="2" fontId="8" fillId="5" borderId="5" xfId="0" applyNumberFormat="1" applyFont="1" applyFill="1" applyBorder="1" applyAlignment="1">
      <alignment horizontal="center" vertical="center" wrapText="1"/>
    </xf>
    <xf numFmtId="164" fontId="6" fillId="0" borderId="5" xfId="0" applyNumberFormat="1" applyFont="1" applyBorder="1" applyAlignment="1">
      <alignment horizontal="center" vertical="center"/>
    </xf>
    <xf numFmtId="164" fontId="8" fillId="5" borderId="5" xfId="0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49" fontId="4" fillId="7" borderId="0" xfId="0" applyNumberFormat="1" applyFont="1" applyFill="1" applyAlignment="1">
      <alignment horizontal="center" vertical="center"/>
    </xf>
    <xf numFmtId="49" fontId="15" fillId="5" borderId="5" xfId="0" applyNumberFormat="1" applyFont="1" applyFill="1" applyBorder="1" applyAlignment="1">
      <alignment horizontal="center" vertical="center" wrapText="1"/>
    </xf>
    <xf numFmtId="49" fontId="15" fillId="5" borderId="11" xfId="0" applyNumberFormat="1" applyFont="1" applyFill="1" applyBorder="1" applyAlignment="1">
      <alignment horizontal="center" vertical="center" wrapText="1"/>
    </xf>
    <xf numFmtId="49" fontId="15" fillId="5" borderId="13" xfId="0" applyNumberFormat="1" applyFont="1" applyFill="1" applyBorder="1" applyAlignment="1">
      <alignment horizontal="center" vertical="center" wrapText="1"/>
    </xf>
    <xf numFmtId="49" fontId="15" fillId="5" borderId="6" xfId="0" applyNumberFormat="1" applyFont="1" applyFill="1" applyBorder="1" applyAlignment="1">
      <alignment horizontal="center" vertical="center" wrapText="1"/>
    </xf>
    <xf numFmtId="164" fontId="8" fillId="5" borderId="11" xfId="0" applyNumberFormat="1" applyFont="1" applyFill="1" applyBorder="1" applyAlignment="1">
      <alignment horizontal="center" vertical="center" wrapText="1"/>
    </xf>
    <xf numFmtId="164" fontId="8" fillId="5" borderId="7" xfId="0" applyNumberFormat="1" applyFont="1" applyFill="1" applyBorder="1" applyAlignment="1">
      <alignment horizontal="center" vertical="center" wrapText="1"/>
    </xf>
    <xf numFmtId="164" fontId="8" fillId="5" borderId="14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horizontal="center"/>
    </xf>
    <xf numFmtId="49" fontId="4" fillId="7" borderId="5" xfId="0" applyNumberFormat="1" applyFont="1" applyFill="1" applyBorder="1" applyAlignment="1">
      <alignment horizontal="center" vertical="center"/>
    </xf>
  </cellXfs>
  <cellStyles count="6">
    <cellStyle name="Comma" xfId="4" builtinId="3"/>
    <cellStyle name="Good" xfId="2" builtinId="26"/>
    <cellStyle name="Input" xfId="3" builtinId="20"/>
    <cellStyle name="Normal" xfId="0" builtinId="0"/>
    <cellStyle name="Percent" xfId="5" builtinId="5"/>
    <cellStyle name="Tieu de phu" xfId="1" xr:uid="{DAD77BA9-135B-4B66-B28C-5E66DF612368}"/>
  </cellStyles>
  <dxfs count="0"/>
  <tableStyles count="0" defaultTableStyle="TableStyleMedium2" defaultPivotStyle="PivotStyleLight16"/>
  <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831BD-0270-43B6-ACED-3D3C65BA6068}">
  <sheetPr codeName="Sheet1">
    <tabColor rgb="FF0070C0"/>
  </sheetPr>
  <dimension ref="A1:AO843"/>
  <sheetViews>
    <sheetView showGridLines="0" tabSelected="1" zoomScale="115" zoomScaleNormal="115" workbookViewId="0">
      <pane ySplit="3" topLeftCell="A13" activePane="bottomLeft" state="frozen"/>
      <selection pane="bottomLeft" activeCell="D38" sqref="D38"/>
    </sheetView>
  </sheetViews>
  <sheetFormatPr defaultRowHeight="15" x14ac:dyDescent="0.25"/>
  <cols>
    <col min="2" max="2" width="9" hidden="1" customWidth="1"/>
    <col min="3" max="3" width="16.7109375" bestFit="1" customWidth="1"/>
    <col min="4" max="4" width="12.7109375" customWidth="1"/>
    <col min="5" max="5" width="10.5703125" bestFit="1" customWidth="1"/>
    <col min="6" max="8" width="9.140625" hidden="1" customWidth="1"/>
    <col min="9" max="9" width="3.28515625" style="2" customWidth="1"/>
    <col min="10" max="11" width="13.140625" style="15" customWidth="1"/>
    <col min="12" max="12" width="13.140625" style="8" customWidth="1"/>
    <col min="13" max="13" width="14.85546875" style="13" hidden="1" customWidth="1"/>
    <col min="14" max="14" width="1" style="13" hidden="1" customWidth="1"/>
    <col min="15" max="15" width="3.28515625" style="9" customWidth="1"/>
    <col min="16" max="16" width="17" style="62" bestFit="1" customWidth="1"/>
    <col min="17" max="17" width="10.85546875" style="62" customWidth="1"/>
    <col min="18" max="18" width="8.28515625" style="63" bestFit="1" customWidth="1"/>
    <col min="19" max="19" width="14" style="64" bestFit="1" customWidth="1"/>
    <col min="20" max="20" width="11.5703125" style="64" bestFit="1" customWidth="1"/>
    <col min="21" max="21" width="11.140625" style="65" customWidth="1"/>
    <col min="22" max="22" width="9.140625" style="66" customWidth="1"/>
    <col min="23" max="23" width="9.140625" hidden="1" customWidth="1"/>
    <col min="24" max="25" width="3.28515625" hidden="1" customWidth="1"/>
    <col min="26" max="26" width="3.28515625" style="2" customWidth="1"/>
    <col min="27" max="27" width="9.140625" style="29" customWidth="1"/>
    <col min="28" max="28" width="9.140625" style="30" customWidth="1"/>
    <col min="29" max="29" width="20.7109375" style="29" customWidth="1"/>
    <col min="30" max="30" width="9.140625" style="30" customWidth="1"/>
    <col min="31" max="31" width="14.5703125" style="31" customWidth="1"/>
    <col min="32" max="32" width="14.5703125" style="12" customWidth="1"/>
    <col min="33" max="33" width="14.5703125" style="38" customWidth="1"/>
    <col min="34" max="34" width="14.5703125" style="32" customWidth="1"/>
    <col min="35" max="35" width="13" style="33" customWidth="1"/>
    <col min="36" max="36" width="11.28515625" style="34" customWidth="1"/>
    <col min="37" max="37" width="11.5703125" style="35" bestFit="1" customWidth="1"/>
    <col min="38" max="39" width="9.140625" style="32"/>
    <col min="40" max="40" width="9.140625" style="36"/>
    <col min="41" max="41" width="3.28515625" style="2" customWidth="1"/>
  </cols>
  <sheetData>
    <row r="1" spans="1:41" s="4" customFormat="1" ht="18.75" x14ac:dyDescent="0.3">
      <c r="A1" s="69" t="s">
        <v>25</v>
      </c>
      <c r="B1" s="69"/>
      <c r="C1" s="69"/>
      <c r="D1" s="69"/>
      <c r="E1" s="69"/>
      <c r="I1" s="5"/>
      <c r="J1" s="70" t="s">
        <v>16</v>
      </c>
      <c r="K1" s="70"/>
      <c r="L1" s="70"/>
      <c r="M1" s="71"/>
      <c r="N1" s="16"/>
      <c r="O1" s="17"/>
      <c r="P1" s="75" t="s">
        <v>18</v>
      </c>
      <c r="Q1" s="75"/>
      <c r="R1" s="75"/>
      <c r="S1" s="75"/>
      <c r="T1" s="75"/>
      <c r="U1" s="75"/>
      <c r="V1" s="75"/>
      <c r="Z1" s="5"/>
      <c r="AA1" s="75" t="s">
        <v>27</v>
      </c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5"/>
    </row>
    <row r="2" spans="1:41" ht="15" customHeight="1" x14ac:dyDescent="0.25">
      <c r="A2" s="68" t="s">
        <v>10</v>
      </c>
      <c r="B2" s="3" t="s">
        <v>7</v>
      </c>
      <c r="C2" s="28" t="s">
        <v>11</v>
      </c>
      <c r="D2" s="28" t="s">
        <v>5</v>
      </c>
      <c r="E2" s="28" t="s">
        <v>12</v>
      </c>
      <c r="J2" s="68" t="s">
        <v>17</v>
      </c>
      <c r="K2" s="68" t="s">
        <v>10</v>
      </c>
      <c r="L2" s="28" t="s">
        <v>5</v>
      </c>
      <c r="M2" s="18" t="s">
        <v>0</v>
      </c>
      <c r="N2" s="19" t="s">
        <v>1</v>
      </c>
      <c r="O2" s="20"/>
      <c r="P2" s="68" t="s">
        <v>19</v>
      </c>
      <c r="Q2" s="68" t="s">
        <v>17</v>
      </c>
      <c r="R2" s="68" t="s">
        <v>15</v>
      </c>
      <c r="S2" s="28" t="s">
        <v>20</v>
      </c>
      <c r="T2" s="28" t="s">
        <v>5</v>
      </c>
      <c r="U2" s="76" t="s">
        <v>24</v>
      </c>
      <c r="V2" s="78" t="s">
        <v>39</v>
      </c>
      <c r="AA2" s="68" t="s">
        <v>21</v>
      </c>
      <c r="AB2" s="68" t="s">
        <v>6</v>
      </c>
      <c r="AC2" s="68" t="s">
        <v>19</v>
      </c>
      <c r="AD2" s="68" t="s">
        <v>10</v>
      </c>
      <c r="AE2" s="68" t="s">
        <v>32</v>
      </c>
      <c r="AF2" s="68" t="s">
        <v>22</v>
      </c>
      <c r="AG2" s="68" t="s">
        <v>30</v>
      </c>
      <c r="AH2" s="68" t="s">
        <v>31</v>
      </c>
      <c r="AI2" s="68" t="s">
        <v>23</v>
      </c>
      <c r="AJ2" s="68" t="s">
        <v>24</v>
      </c>
      <c r="AK2" s="68" t="s">
        <v>34</v>
      </c>
      <c r="AL2" s="76" t="s">
        <v>35</v>
      </c>
      <c r="AM2" s="76" t="s">
        <v>36</v>
      </c>
      <c r="AN2" s="76" t="s">
        <v>39</v>
      </c>
    </row>
    <row r="3" spans="1:41" x14ac:dyDescent="0.25">
      <c r="A3" s="68"/>
      <c r="B3" s="3" t="s">
        <v>2</v>
      </c>
      <c r="C3" s="28" t="s">
        <v>8</v>
      </c>
      <c r="D3" s="28" t="s">
        <v>3</v>
      </c>
      <c r="E3" s="28" t="s">
        <v>13</v>
      </c>
      <c r="J3" s="68"/>
      <c r="K3" s="68"/>
      <c r="L3" s="28" t="s">
        <v>3</v>
      </c>
      <c r="M3" s="21"/>
      <c r="N3" s="22"/>
      <c r="O3" s="20"/>
      <c r="P3" s="68"/>
      <c r="Q3" s="68"/>
      <c r="R3" s="68"/>
      <c r="S3" s="28" t="s">
        <v>4</v>
      </c>
      <c r="T3" s="28" t="s">
        <v>3</v>
      </c>
      <c r="U3" s="76"/>
      <c r="V3" s="7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76"/>
      <c r="AM3" s="76"/>
      <c r="AN3" s="76"/>
    </row>
    <row r="4" spans="1:41" x14ac:dyDescent="0.25">
      <c r="A4" s="10" t="s">
        <v>28</v>
      </c>
      <c r="B4" s="10"/>
      <c r="C4" s="12">
        <v>76.97286394226478</v>
      </c>
      <c r="D4" s="24">
        <f>IF(A4="","",IF(OR($AH$4=0,$AH$4=""),SUMIF($K$4:$K$999,A4,$L$4:$L$999),SUMIF($AD$4:$AD$99999,A4,$AI$4:$AI$99999)))</f>
        <v>134.96840600917508</v>
      </c>
      <c r="E4" s="24">
        <f>IF(D4="","",D4/9.80665)</f>
        <v>13.762947184734347</v>
      </c>
      <c r="J4" s="10"/>
      <c r="K4" s="11"/>
      <c r="L4" s="12"/>
      <c r="P4" s="62" t="s">
        <v>150</v>
      </c>
      <c r="Q4" s="62" t="s">
        <v>33</v>
      </c>
      <c r="R4" s="63">
        <v>13</v>
      </c>
      <c r="S4" s="64">
        <v>90.600307260864867</v>
      </c>
      <c r="T4" s="64">
        <v>54.953269176473327</v>
      </c>
      <c r="U4" s="65">
        <v>5.6036739535390101</v>
      </c>
      <c r="V4" s="66">
        <f t="shared" ref="V4:V11" si="0">SUMIF($AC$4:$AC$9999,P4,$AN$4:$AN$9999)</f>
        <v>180.08999999999997</v>
      </c>
      <c r="AA4" s="29">
        <v>1</v>
      </c>
      <c r="AB4" s="30" t="s">
        <v>162</v>
      </c>
      <c r="AC4" s="29" t="s">
        <v>156</v>
      </c>
      <c r="AD4" s="30" t="s">
        <v>28</v>
      </c>
      <c r="AE4" s="31">
        <v>1.3823007675795071E-3</v>
      </c>
      <c r="AF4" s="12">
        <v>2.0807051797441103</v>
      </c>
      <c r="AG4" s="32">
        <f>IF(AA4="","",AE4*AF4)</f>
        <v>2.8761603670669398E-3</v>
      </c>
      <c r="AH4" s="32">
        <f>IF(AA4="","",IFERROR(VLOOKUP(AD4,$A$4:$E$20,3,FALSE),VLOOKUP(AD4,$A$25:$E$30,3,FALSE)))</f>
        <v>76.97286394226478</v>
      </c>
      <c r="AI4" s="33">
        <f>IF(AA4="","",AG4*AH4)</f>
        <v>0.2213863006103779</v>
      </c>
      <c r="AJ4" s="34">
        <f>IF(AA4="","",AI4/9.80665)</f>
        <v>2.2575120006360777E-2</v>
      </c>
      <c r="AK4" s="35" t="s">
        <v>920</v>
      </c>
      <c r="AL4" s="32">
        <v>0.35814156249900003</v>
      </c>
      <c r="AM4" s="32">
        <v>2.0807051797441103</v>
      </c>
      <c r="AN4" s="36">
        <v>0.75</v>
      </c>
    </row>
    <row r="5" spans="1:41" x14ac:dyDescent="0.25">
      <c r="A5" s="10" t="s">
        <v>9</v>
      </c>
      <c r="B5" s="10"/>
      <c r="C5" s="12">
        <v>76.97286394226478</v>
      </c>
      <c r="D5" s="24">
        <f t="shared" ref="D5:D20" si="1">IF(A5="","",IF(OR($AH$4=0,$AH$4=""),SUMIF($K$4:$K$999,A5,$L$4:$L$999),SUMIF($AD$4:$AD$99999,A5,$AI$4:$AI$99999)))</f>
        <v>54.953269176473327</v>
      </c>
      <c r="E5" s="24">
        <f t="shared" ref="E5:E20" si="2">IF(D5="","",D5/9.80665)</f>
        <v>5.6036739535390101</v>
      </c>
      <c r="J5" s="10"/>
      <c r="K5" s="11"/>
      <c r="L5" s="12"/>
      <c r="P5" s="62" t="s">
        <v>151</v>
      </c>
      <c r="Q5" s="62" t="s">
        <v>152</v>
      </c>
      <c r="R5" s="63">
        <v>81</v>
      </c>
      <c r="S5" s="64">
        <v>168.22448161691</v>
      </c>
      <c r="T5" s="64">
        <v>27.662130754212054</v>
      </c>
      <c r="U5" s="65">
        <v>2.8207523215585399</v>
      </c>
      <c r="V5" s="66">
        <f t="shared" si="0"/>
        <v>74.359999999999957</v>
      </c>
      <c r="AA5" s="29">
        <v>2</v>
      </c>
      <c r="AB5" s="30" t="s">
        <v>163</v>
      </c>
      <c r="AC5" s="29" t="s">
        <v>156</v>
      </c>
      <c r="AD5" s="30" t="s">
        <v>28</v>
      </c>
      <c r="AE5" s="31">
        <v>1.3823007675795071E-3</v>
      </c>
      <c r="AF5" s="12">
        <v>2.0807051797462806</v>
      </c>
      <c r="AG5" s="32">
        <f t="shared" ref="AG5:AG68" si="3">IF(AA5="","",AE5*AF5)</f>
        <v>2.87616036706994E-3</v>
      </c>
      <c r="AH5" s="32">
        <f t="shared" ref="AH5:AH68" si="4">IF(AA5="","",IFERROR(VLOOKUP(AD5,$A$4:$E$20,3,FALSE),VLOOKUP(AD5,$A$25:$E$30,3,FALSE)))</f>
        <v>76.97286394226478</v>
      </c>
      <c r="AI5" s="33">
        <f t="shared" ref="AI5:AI68" si="5">IF(AA5="","",AG5*AH5)</f>
        <v>0.22138630061060882</v>
      </c>
      <c r="AJ5" s="34">
        <f t="shared" ref="AJ5:AJ68" si="6">IF(AA5="","",AI5/9.80665)</f>
        <v>2.2575120006384324E-2</v>
      </c>
      <c r="AK5" s="35" t="s">
        <v>920</v>
      </c>
      <c r="AL5" s="32">
        <v>0.35814156249900003</v>
      </c>
      <c r="AM5" s="32">
        <v>2.0807051797462806</v>
      </c>
      <c r="AN5" s="36">
        <v>0.75</v>
      </c>
    </row>
    <row r="6" spans="1:41" x14ac:dyDescent="0.25">
      <c r="A6" s="10"/>
      <c r="B6" s="10"/>
      <c r="C6" s="12"/>
      <c r="D6" s="24" t="str">
        <f>IF(A6="","",IF(OR($AH$4=0,$AH$4=""),SUMIF($K$4:$K$999,A6,$L$4:$L$999),SUMIF($AD$4:$AD$99999,A6,$AI$4:$AI$99999)))</f>
        <v/>
      </c>
      <c r="E6" s="24" t="str">
        <f t="shared" si="2"/>
        <v/>
      </c>
      <c r="J6" s="10"/>
      <c r="K6" s="11"/>
      <c r="L6" s="12"/>
      <c r="P6" s="62" t="s">
        <v>153</v>
      </c>
      <c r="Q6" s="62" t="s">
        <v>152</v>
      </c>
      <c r="R6" s="63">
        <v>126</v>
      </c>
      <c r="S6" s="64">
        <v>194.87060616197408</v>
      </c>
      <c r="T6" s="64">
        <v>12.440498447129483</v>
      </c>
      <c r="U6" s="65">
        <v>1.2685777964064675</v>
      </c>
      <c r="V6" s="66">
        <f t="shared" si="0"/>
        <v>42.429999999999914</v>
      </c>
      <c r="AA6" s="29">
        <v>3</v>
      </c>
      <c r="AB6" s="30" t="s">
        <v>164</v>
      </c>
      <c r="AC6" s="29" t="s">
        <v>156</v>
      </c>
      <c r="AD6" s="30" t="s">
        <v>28</v>
      </c>
      <c r="AE6" s="31">
        <v>1.3823007675795071E-3</v>
      </c>
      <c r="AF6" s="12">
        <v>2.0807051797469542</v>
      </c>
      <c r="AG6" s="32">
        <f t="shared" si="3"/>
        <v>2.8761603670708711E-3</v>
      </c>
      <c r="AH6" s="32">
        <f t="shared" si="4"/>
        <v>76.97286394226478</v>
      </c>
      <c r="AI6" s="33">
        <f t="shared" si="5"/>
        <v>0.22138630061068049</v>
      </c>
      <c r="AJ6" s="34">
        <f t="shared" si="6"/>
        <v>2.2575120006391631E-2</v>
      </c>
      <c r="AK6" s="35" t="s">
        <v>920</v>
      </c>
      <c r="AL6" s="32">
        <v>0.35814156249900003</v>
      </c>
      <c r="AM6" s="32">
        <v>2.0807051797469542</v>
      </c>
      <c r="AN6" s="36">
        <v>0.75</v>
      </c>
    </row>
    <row r="7" spans="1:41" x14ac:dyDescent="0.25">
      <c r="A7" s="10"/>
      <c r="B7" s="10"/>
      <c r="C7" s="12"/>
      <c r="D7" s="24" t="str">
        <f>IF(A7="","",IF(OR($AH$4=0,$AH$4=""),SUMIF($K$4:$K$999,A7,$L$4:$L$999),SUMIF($AD$4:$AD$99999,A7,$AI$4:$AI$99999)))</f>
        <v/>
      </c>
      <c r="E7" s="24" t="str">
        <f t="shared" si="2"/>
        <v/>
      </c>
      <c r="J7" s="10"/>
      <c r="K7" s="11"/>
      <c r="L7" s="12"/>
      <c r="P7" s="62" t="s">
        <v>154</v>
      </c>
      <c r="Q7" s="62" t="s">
        <v>152</v>
      </c>
      <c r="R7" s="63">
        <v>94</v>
      </c>
      <c r="S7" s="64">
        <v>94</v>
      </c>
      <c r="T7" s="64">
        <v>2.0912367358529269</v>
      </c>
      <c r="U7" s="65">
        <v>0.21324680047242708</v>
      </c>
      <c r="V7" s="66">
        <f t="shared" si="0"/>
        <v>14.100000000000023</v>
      </c>
      <c r="AA7" s="29">
        <v>4</v>
      </c>
      <c r="AB7" s="30" t="s">
        <v>165</v>
      </c>
      <c r="AC7" s="29" t="s">
        <v>156</v>
      </c>
      <c r="AD7" s="30" t="s">
        <v>28</v>
      </c>
      <c r="AE7" s="31">
        <v>1.3823007675795071E-3</v>
      </c>
      <c r="AF7" s="12">
        <v>2.0807051797451113</v>
      </c>
      <c r="AG7" s="32">
        <f t="shared" si="3"/>
        <v>2.8761603670683237E-3</v>
      </c>
      <c r="AH7" s="32">
        <f t="shared" si="4"/>
        <v>76.97286394226478</v>
      </c>
      <c r="AI7" s="33">
        <f t="shared" si="5"/>
        <v>0.22138630061048439</v>
      </c>
      <c r="AJ7" s="34">
        <f t="shared" si="6"/>
        <v>2.2575120006371636E-2</v>
      </c>
      <c r="AK7" s="35" t="s">
        <v>920</v>
      </c>
      <c r="AL7" s="32">
        <v>0.35814156249900003</v>
      </c>
      <c r="AM7" s="32">
        <v>2.0807051797451113</v>
      </c>
      <c r="AN7" s="36">
        <v>0.75</v>
      </c>
    </row>
    <row r="8" spans="1:41" x14ac:dyDescent="0.25">
      <c r="A8" s="10"/>
      <c r="B8" s="10"/>
      <c r="C8" s="12"/>
      <c r="D8" s="24" t="str">
        <f t="shared" si="1"/>
        <v/>
      </c>
      <c r="E8" s="24" t="str">
        <f t="shared" si="2"/>
        <v/>
      </c>
      <c r="J8" s="10"/>
      <c r="K8" s="11"/>
      <c r="L8" s="12"/>
      <c r="P8" s="62" t="s">
        <v>155</v>
      </c>
      <c r="Q8" s="62" t="s">
        <v>152</v>
      </c>
      <c r="R8" s="63">
        <v>35</v>
      </c>
      <c r="S8" s="64">
        <v>185.7436096939729</v>
      </c>
      <c r="T8" s="64">
        <v>14.957039245371638</v>
      </c>
      <c r="U8" s="65">
        <v>1.5251935416652618</v>
      </c>
      <c r="V8" s="66">
        <f t="shared" si="0"/>
        <v>66.499999999999986</v>
      </c>
      <c r="AA8" s="37">
        <v>5</v>
      </c>
      <c r="AB8" s="30" t="s">
        <v>166</v>
      </c>
      <c r="AC8" s="37" t="s">
        <v>156</v>
      </c>
      <c r="AD8" s="30" t="s">
        <v>28</v>
      </c>
      <c r="AE8" s="31">
        <v>1.3823007675795071E-3</v>
      </c>
      <c r="AF8" s="12">
        <v>2.0807051797444625</v>
      </c>
      <c r="AG8" s="32">
        <f t="shared" si="3"/>
        <v>2.8761603670674268E-3</v>
      </c>
      <c r="AH8" s="32">
        <f t="shared" si="4"/>
        <v>76.97286394226478</v>
      </c>
      <c r="AI8" s="33">
        <f t="shared" si="5"/>
        <v>0.22138630061041537</v>
      </c>
      <c r="AJ8" s="34">
        <f t="shared" si="6"/>
        <v>2.2575120006364597E-2</v>
      </c>
      <c r="AK8" s="35" t="s">
        <v>920</v>
      </c>
      <c r="AL8" s="32">
        <v>0.35814156249900003</v>
      </c>
      <c r="AM8" s="32">
        <v>2.0807051797444625</v>
      </c>
      <c r="AN8" s="36">
        <v>0.75</v>
      </c>
    </row>
    <row r="9" spans="1:41" x14ac:dyDescent="0.25">
      <c r="A9" s="14"/>
      <c r="B9" s="14"/>
      <c r="C9" s="23"/>
      <c r="D9" s="24" t="str">
        <f t="shared" si="1"/>
        <v/>
      </c>
      <c r="E9" s="24" t="str">
        <f t="shared" si="2"/>
        <v/>
      </c>
      <c r="J9" s="10"/>
      <c r="K9" s="11"/>
      <c r="L9" s="12"/>
      <c r="P9" s="62" t="s">
        <v>156</v>
      </c>
      <c r="Q9" s="62" t="s">
        <v>152</v>
      </c>
      <c r="R9" s="63">
        <v>187</v>
      </c>
      <c r="S9" s="64">
        <v>430.3373477221017</v>
      </c>
      <c r="T9" s="64">
        <v>45.787742710572068</v>
      </c>
      <c r="U9" s="65">
        <v>4.6690503597632294</v>
      </c>
      <c r="V9" s="66">
        <f t="shared" si="0"/>
        <v>154.80999999999992</v>
      </c>
      <c r="AA9" s="29">
        <v>6</v>
      </c>
      <c r="AB9" s="30" t="s">
        <v>167</v>
      </c>
      <c r="AC9" s="29" t="s">
        <v>156</v>
      </c>
      <c r="AD9" s="30" t="s">
        <v>28</v>
      </c>
      <c r="AE9" s="31">
        <v>1.3823007675795071E-3</v>
      </c>
      <c r="AF9" s="12">
        <v>2.0807051797468379</v>
      </c>
      <c r="AG9" s="32">
        <f t="shared" si="3"/>
        <v>2.8761603670707102E-3</v>
      </c>
      <c r="AH9" s="32">
        <f t="shared" si="4"/>
        <v>76.97286394226478</v>
      </c>
      <c r="AI9" s="33">
        <f t="shared" si="5"/>
        <v>0.22138630061066811</v>
      </c>
      <c r="AJ9" s="34">
        <f t="shared" si="6"/>
        <v>2.2575120006390371E-2</v>
      </c>
      <c r="AK9" s="35" t="s">
        <v>920</v>
      </c>
      <c r="AL9" s="32">
        <v>0.35814156249900003</v>
      </c>
      <c r="AM9" s="32">
        <v>2.0807051797468379</v>
      </c>
      <c r="AN9" s="36">
        <v>0.75</v>
      </c>
    </row>
    <row r="10" spans="1:41" x14ac:dyDescent="0.25">
      <c r="A10" s="14"/>
      <c r="B10" s="14"/>
      <c r="C10" s="23"/>
      <c r="D10" s="24" t="str">
        <f t="shared" si="1"/>
        <v/>
      </c>
      <c r="E10" s="24" t="str">
        <f t="shared" si="2"/>
        <v/>
      </c>
      <c r="J10" s="10"/>
      <c r="K10" s="11"/>
      <c r="L10" s="12"/>
      <c r="P10" s="62" t="s">
        <v>157</v>
      </c>
      <c r="Q10" s="62" t="s">
        <v>152</v>
      </c>
      <c r="R10" s="63">
        <v>238</v>
      </c>
      <c r="S10" s="64">
        <v>361.82017824779194</v>
      </c>
      <c r="T10" s="64">
        <v>9.9524890170764575</v>
      </c>
      <c r="U10" s="65">
        <v>1.014871441019763</v>
      </c>
      <c r="V10" s="66">
        <f t="shared" si="0"/>
        <v>54.759999999999771</v>
      </c>
      <c r="AA10" s="29">
        <v>7</v>
      </c>
      <c r="AB10" s="30" t="s">
        <v>168</v>
      </c>
      <c r="AC10" s="29" t="s">
        <v>156</v>
      </c>
      <c r="AD10" s="30" t="s">
        <v>28</v>
      </c>
      <c r="AE10" s="31">
        <v>1.3823007675795071E-3</v>
      </c>
      <c r="AF10" s="12">
        <v>2.0807051797433171</v>
      </c>
      <c r="AG10" s="32">
        <f t="shared" si="3"/>
        <v>2.8761603670658434E-3</v>
      </c>
      <c r="AH10" s="32">
        <f t="shared" si="4"/>
        <v>76.97286394226478</v>
      </c>
      <c r="AI10" s="33">
        <f t="shared" si="5"/>
        <v>0.22138630061029349</v>
      </c>
      <c r="AJ10" s="34">
        <f t="shared" si="6"/>
        <v>2.2575120006352169E-2</v>
      </c>
      <c r="AK10" s="35" t="s">
        <v>920</v>
      </c>
      <c r="AL10" s="32">
        <v>0.35814156249900003</v>
      </c>
      <c r="AM10" s="32">
        <v>2.0807051797433171</v>
      </c>
      <c r="AN10" s="36">
        <v>0.75</v>
      </c>
    </row>
    <row r="11" spans="1:41" x14ac:dyDescent="0.25">
      <c r="A11" s="14"/>
      <c r="B11" s="14"/>
      <c r="C11" s="23"/>
      <c r="D11" s="24" t="str">
        <f t="shared" si="1"/>
        <v/>
      </c>
      <c r="E11" s="24" t="str">
        <f t="shared" si="2"/>
        <v/>
      </c>
      <c r="J11" s="10"/>
      <c r="K11" s="11"/>
      <c r="L11" s="12"/>
      <c r="P11" s="62" t="s">
        <v>158</v>
      </c>
      <c r="Q11" s="62" t="s">
        <v>152</v>
      </c>
      <c r="R11" s="63">
        <v>42</v>
      </c>
      <c r="S11" s="64">
        <v>116.98816867000248</v>
      </c>
      <c r="T11" s="64">
        <v>19.237045567570497</v>
      </c>
      <c r="U11" s="65">
        <v>1.9616327255046828</v>
      </c>
      <c r="V11" s="66">
        <f t="shared" si="0"/>
        <v>51.790000000000042</v>
      </c>
      <c r="AA11" s="29">
        <v>8</v>
      </c>
      <c r="AB11" s="30" t="s">
        <v>169</v>
      </c>
      <c r="AC11" s="29" t="s">
        <v>156</v>
      </c>
      <c r="AD11" s="30" t="s">
        <v>28</v>
      </c>
      <c r="AE11" s="31">
        <v>1.3823007675795071E-3</v>
      </c>
      <c r="AF11" s="12">
        <v>2.0807051797459848</v>
      </c>
      <c r="AG11" s="32">
        <f t="shared" si="3"/>
        <v>2.876160367069531E-3</v>
      </c>
      <c r="AH11" s="32">
        <f t="shared" si="4"/>
        <v>76.97286394226478</v>
      </c>
      <c r="AI11" s="33">
        <f t="shared" si="5"/>
        <v>0.22138630061057735</v>
      </c>
      <c r="AJ11" s="34">
        <f t="shared" si="6"/>
        <v>2.2575120006381115E-2</v>
      </c>
      <c r="AK11" s="35" t="s">
        <v>920</v>
      </c>
      <c r="AL11" s="32">
        <v>0.35814156249900003</v>
      </c>
      <c r="AM11" s="32">
        <v>2.0807051797459848</v>
      </c>
      <c r="AN11" s="36">
        <v>0.75</v>
      </c>
    </row>
    <row r="12" spans="1:41" x14ac:dyDescent="0.25">
      <c r="A12" s="14"/>
      <c r="B12" s="14"/>
      <c r="C12" s="23"/>
      <c r="D12" s="24" t="str">
        <f t="shared" si="1"/>
        <v/>
      </c>
      <c r="E12" s="24" t="str">
        <f t="shared" si="2"/>
        <v/>
      </c>
      <c r="J12" s="10"/>
      <c r="K12" s="11"/>
      <c r="L12" s="12"/>
      <c r="P12" s="62" t="s">
        <v>104</v>
      </c>
      <c r="Q12" s="62" t="s">
        <v>159</v>
      </c>
      <c r="R12" s="63">
        <v>14</v>
      </c>
      <c r="S12" s="64">
        <v>117.45324036419088</v>
      </c>
      <c r="T12" s="64">
        <v>2.8402235313894462</v>
      </c>
      <c r="U12" s="65">
        <v>0.28962219834392439</v>
      </c>
      <c r="V12" s="66">
        <v>7.3798047413691652</v>
      </c>
      <c r="AA12" s="29">
        <v>9</v>
      </c>
      <c r="AB12" s="30" t="s">
        <v>170</v>
      </c>
      <c r="AC12" s="29" t="s">
        <v>156</v>
      </c>
      <c r="AD12" s="30" t="s">
        <v>28</v>
      </c>
      <c r="AE12" s="31">
        <v>1.3823007675795071E-3</v>
      </c>
      <c r="AF12" s="12">
        <v>2.0807051797455443</v>
      </c>
      <c r="AG12" s="32">
        <f t="shared" si="3"/>
        <v>2.8761603670689221E-3</v>
      </c>
      <c r="AH12" s="32">
        <f t="shared" si="4"/>
        <v>76.97286394226478</v>
      </c>
      <c r="AI12" s="33">
        <f t="shared" si="5"/>
        <v>0.22138630061053047</v>
      </c>
      <c r="AJ12" s="34">
        <f t="shared" si="6"/>
        <v>2.2575120006376334E-2</v>
      </c>
      <c r="AK12" s="35" t="s">
        <v>920</v>
      </c>
      <c r="AL12" s="32">
        <v>0.35814156249900003</v>
      </c>
      <c r="AM12" s="32">
        <v>2.0807051797455443</v>
      </c>
      <c r="AN12" s="36">
        <v>0.75</v>
      </c>
    </row>
    <row r="13" spans="1:41" x14ac:dyDescent="0.25">
      <c r="A13" s="14"/>
      <c r="B13" s="14"/>
      <c r="C13" s="23"/>
      <c r="D13" s="24" t="str">
        <f t="shared" si="1"/>
        <v/>
      </c>
      <c r="E13" s="24" t="str">
        <f t="shared" si="2"/>
        <v/>
      </c>
      <c r="J13" s="10"/>
      <c r="K13" s="11"/>
      <c r="L13" s="12"/>
      <c r="AA13" s="29">
        <v>10</v>
      </c>
      <c r="AB13" s="30" t="s">
        <v>171</v>
      </c>
      <c r="AC13" s="29" t="s">
        <v>156</v>
      </c>
      <c r="AD13" s="30" t="s">
        <v>28</v>
      </c>
      <c r="AE13" s="31">
        <v>1.3823007675795071E-3</v>
      </c>
      <c r="AF13" s="12">
        <v>2.0807051797457792</v>
      </c>
      <c r="AG13" s="32">
        <f t="shared" si="3"/>
        <v>2.8761603670692465E-3</v>
      </c>
      <c r="AH13" s="32">
        <f t="shared" si="4"/>
        <v>76.97286394226478</v>
      </c>
      <c r="AI13" s="33">
        <f t="shared" si="5"/>
        <v>0.22138630061055545</v>
      </c>
      <c r="AJ13" s="34">
        <f t="shared" si="6"/>
        <v>2.2575120006378881E-2</v>
      </c>
      <c r="AK13" s="35" t="s">
        <v>920</v>
      </c>
      <c r="AL13" s="32">
        <v>0.35814156249900003</v>
      </c>
      <c r="AM13" s="32">
        <v>2.0807051797457792</v>
      </c>
      <c r="AN13" s="36">
        <v>0.75</v>
      </c>
    </row>
    <row r="14" spans="1:41" x14ac:dyDescent="0.25">
      <c r="A14" s="14"/>
      <c r="B14" s="14"/>
      <c r="C14" s="23"/>
      <c r="D14" s="24" t="str">
        <f t="shared" si="1"/>
        <v/>
      </c>
      <c r="E14" s="24" t="str">
        <f t="shared" si="2"/>
        <v/>
      </c>
      <c r="J14" s="10"/>
      <c r="K14" s="11"/>
      <c r="L14" s="12"/>
      <c r="AA14" s="29">
        <v>11</v>
      </c>
      <c r="AB14" s="30" t="s">
        <v>172</v>
      </c>
      <c r="AC14" s="29" t="s">
        <v>156</v>
      </c>
      <c r="AD14" s="30" t="s">
        <v>28</v>
      </c>
      <c r="AE14" s="31">
        <v>1.3823007675795071E-3</v>
      </c>
      <c r="AF14" s="12">
        <v>2.0807051797433846</v>
      </c>
      <c r="AG14" s="32">
        <f t="shared" si="3"/>
        <v>2.8761603670659367E-3</v>
      </c>
      <c r="AH14" s="32">
        <f t="shared" si="4"/>
        <v>76.97286394226478</v>
      </c>
      <c r="AI14" s="33">
        <f t="shared" si="5"/>
        <v>0.22138630061030068</v>
      </c>
      <c r="AJ14" s="34">
        <f t="shared" si="6"/>
        <v>2.2575120006352901E-2</v>
      </c>
      <c r="AK14" s="35" t="s">
        <v>920</v>
      </c>
      <c r="AL14" s="32">
        <v>0.35814156249900003</v>
      </c>
      <c r="AM14" s="32">
        <v>2.0807051797433846</v>
      </c>
      <c r="AN14" s="36">
        <v>0.75</v>
      </c>
    </row>
    <row r="15" spans="1:41" x14ac:dyDescent="0.25">
      <c r="A15" s="14"/>
      <c r="B15" s="14"/>
      <c r="C15" s="23"/>
      <c r="D15" s="24" t="str">
        <f t="shared" si="1"/>
        <v/>
      </c>
      <c r="E15" s="24" t="str">
        <f t="shared" si="2"/>
        <v/>
      </c>
      <c r="J15" s="10"/>
      <c r="K15" s="11"/>
      <c r="L15" s="12"/>
      <c r="V15" s="67"/>
      <c r="AA15" s="29">
        <v>12</v>
      </c>
      <c r="AB15" s="30" t="s">
        <v>173</v>
      </c>
      <c r="AC15" s="29" t="s">
        <v>156</v>
      </c>
      <c r="AD15" s="30" t="s">
        <v>28</v>
      </c>
      <c r="AE15" s="31">
        <v>1.3823007675795071E-3</v>
      </c>
      <c r="AF15" s="12">
        <v>2.0807051797462073</v>
      </c>
      <c r="AG15" s="32">
        <f t="shared" si="3"/>
        <v>2.8761603670698385E-3</v>
      </c>
      <c r="AH15" s="32">
        <f t="shared" si="4"/>
        <v>76.97286394226478</v>
      </c>
      <c r="AI15" s="33">
        <f t="shared" si="5"/>
        <v>0.22138630061060099</v>
      </c>
      <c r="AJ15" s="34">
        <f t="shared" si="6"/>
        <v>2.2575120006383526E-2</v>
      </c>
      <c r="AK15" s="35" t="s">
        <v>920</v>
      </c>
      <c r="AL15" s="32">
        <v>0.35814156249900003</v>
      </c>
      <c r="AM15" s="32">
        <v>2.0807051797462073</v>
      </c>
      <c r="AN15" s="36">
        <v>0.75</v>
      </c>
    </row>
    <row r="16" spans="1:41" x14ac:dyDescent="0.25">
      <c r="A16" s="23"/>
      <c r="B16" s="23"/>
      <c r="C16" s="23"/>
      <c r="D16" s="24" t="str">
        <f t="shared" si="1"/>
        <v/>
      </c>
      <c r="E16" s="24" t="str">
        <f t="shared" si="2"/>
        <v/>
      </c>
      <c r="J16" s="10"/>
      <c r="K16" s="11"/>
      <c r="L16" s="12"/>
      <c r="AA16" s="29">
        <v>13</v>
      </c>
      <c r="AB16" s="30" t="s">
        <v>55</v>
      </c>
      <c r="AC16" s="29" t="s">
        <v>156</v>
      </c>
      <c r="AD16" s="30" t="s">
        <v>28</v>
      </c>
      <c r="AE16" s="31">
        <v>1.3823007675795071E-3</v>
      </c>
      <c r="AF16" s="12">
        <v>2.0807051797430582</v>
      </c>
      <c r="AG16" s="32">
        <f t="shared" si="3"/>
        <v>2.8761603670654856E-3</v>
      </c>
      <c r="AH16" s="32">
        <f t="shared" si="4"/>
        <v>76.97286394226478</v>
      </c>
      <c r="AI16" s="33">
        <f t="shared" si="5"/>
        <v>0.22138630061026596</v>
      </c>
      <c r="AJ16" s="34">
        <f t="shared" si="6"/>
        <v>2.2575120006349363E-2</v>
      </c>
      <c r="AK16" s="35" t="s">
        <v>920</v>
      </c>
      <c r="AL16" s="32">
        <v>0.35814156249900003</v>
      </c>
      <c r="AM16" s="32">
        <v>2.0807051797430582</v>
      </c>
      <c r="AN16" s="36">
        <v>0.75</v>
      </c>
    </row>
    <row r="17" spans="1:40" x14ac:dyDescent="0.25">
      <c r="A17" s="23"/>
      <c r="B17" s="23"/>
      <c r="C17" s="23"/>
      <c r="D17" s="24" t="str">
        <f t="shared" si="1"/>
        <v/>
      </c>
      <c r="E17" s="24" t="str">
        <f t="shared" si="2"/>
        <v/>
      </c>
      <c r="J17" s="10"/>
      <c r="K17" s="11"/>
      <c r="L17" s="12"/>
      <c r="AA17" s="29">
        <v>14</v>
      </c>
      <c r="AB17" s="30" t="s">
        <v>56</v>
      </c>
      <c r="AC17" s="29" t="s">
        <v>156</v>
      </c>
      <c r="AD17" s="30" t="s">
        <v>28</v>
      </c>
      <c r="AE17" s="31">
        <v>1.3823007675795071E-3</v>
      </c>
      <c r="AF17" s="12">
        <v>2.0807051797482585</v>
      </c>
      <c r="AG17" s="32">
        <f t="shared" si="3"/>
        <v>2.8761603670726739E-3</v>
      </c>
      <c r="AH17" s="32">
        <f t="shared" si="4"/>
        <v>76.97286394226478</v>
      </c>
      <c r="AI17" s="33">
        <f t="shared" si="5"/>
        <v>0.22138630061081926</v>
      </c>
      <c r="AJ17" s="34">
        <f t="shared" si="6"/>
        <v>2.2575120006405783E-2</v>
      </c>
      <c r="AK17" s="35" t="s">
        <v>920</v>
      </c>
      <c r="AL17" s="32">
        <v>0.35814156249900003</v>
      </c>
      <c r="AM17" s="32">
        <v>2.0807051797482585</v>
      </c>
      <c r="AN17" s="36">
        <v>0.75</v>
      </c>
    </row>
    <row r="18" spans="1:40" x14ac:dyDescent="0.25">
      <c r="A18" s="23"/>
      <c r="B18" s="23"/>
      <c r="C18" s="23"/>
      <c r="D18" s="24" t="str">
        <f t="shared" si="1"/>
        <v/>
      </c>
      <c r="E18" s="24" t="str">
        <f t="shared" si="2"/>
        <v/>
      </c>
      <c r="J18" s="10"/>
      <c r="K18" s="11"/>
      <c r="L18" s="12"/>
      <c r="AA18" s="29">
        <v>15</v>
      </c>
      <c r="AB18" s="30" t="s">
        <v>57</v>
      </c>
      <c r="AC18" s="29" t="s">
        <v>156</v>
      </c>
      <c r="AD18" s="30" t="s">
        <v>28</v>
      </c>
      <c r="AE18" s="31">
        <v>1.3823007675795071E-3</v>
      </c>
      <c r="AF18" s="12">
        <v>2.08070517974528</v>
      </c>
      <c r="AG18" s="32">
        <f t="shared" si="3"/>
        <v>2.876160367068557E-3</v>
      </c>
      <c r="AH18" s="32">
        <f t="shared" si="4"/>
        <v>76.97286394226478</v>
      </c>
      <c r="AI18" s="33">
        <f t="shared" si="5"/>
        <v>0.22138630061050235</v>
      </c>
      <c r="AJ18" s="34">
        <f t="shared" si="6"/>
        <v>2.2575120006373468E-2</v>
      </c>
      <c r="AK18" s="35" t="s">
        <v>920</v>
      </c>
      <c r="AL18" s="32">
        <v>0.35814156249900003</v>
      </c>
      <c r="AM18" s="32">
        <v>2.08070517974528</v>
      </c>
      <c r="AN18" s="36">
        <v>0.75</v>
      </c>
    </row>
    <row r="19" spans="1:40" x14ac:dyDescent="0.25">
      <c r="A19" s="23"/>
      <c r="B19" s="23"/>
      <c r="C19" s="23"/>
      <c r="D19" s="24" t="str">
        <f t="shared" si="1"/>
        <v/>
      </c>
      <c r="E19" s="24" t="str">
        <f t="shared" si="2"/>
        <v/>
      </c>
      <c r="J19" s="10"/>
      <c r="K19" s="11"/>
      <c r="L19" s="12"/>
      <c r="AA19" s="29">
        <v>16</v>
      </c>
      <c r="AB19" s="30" t="s">
        <v>58</v>
      </c>
      <c r="AC19" s="29" t="s">
        <v>156</v>
      </c>
      <c r="AD19" s="30" t="s">
        <v>28</v>
      </c>
      <c r="AE19" s="31">
        <v>1.3823007675795071E-3</v>
      </c>
      <c r="AF19" s="12">
        <v>2.0807051797458058</v>
      </c>
      <c r="AG19" s="32">
        <f t="shared" si="3"/>
        <v>2.8761603670692834E-3</v>
      </c>
      <c r="AH19" s="32">
        <f t="shared" si="4"/>
        <v>76.97286394226478</v>
      </c>
      <c r="AI19" s="33">
        <f t="shared" si="5"/>
        <v>0.22138630061055828</v>
      </c>
      <c r="AJ19" s="34">
        <f t="shared" si="6"/>
        <v>2.2575120006379172E-2</v>
      </c>
      <c r="AK19" s="35" t="s">
        <v>920</v>
      </c>
      <c r="AL19" s="32">
        <v>0.35814156249900003</v>
      </c>
      <c r="AM19" s="32">
        <v>2.0807051797458058</v>
      </c>
      <c r="AN19" s="36">
        <v>0.75</v>
      </c>
    </row>
    <row r="20" spans="1:40" x14ac:dyDescent="0.25">
      <c r="A20" s="23"/>
      <c r="B20" s="23"/>
      <c r="C20" s="23"/>
      <c r="D20" s="24" t="str">
        <f t="shared" si="1"/>
        <v/>
      </c>
      <c r="E20" s="24" t="str">
        <f t="shared" si="2"/>
        <v/>
      </c>
      <c r="J20" s="10"/>
      <c r="K20" s="11"/>
      <c r="L20" s="12"/>
      <c r="AA20" s="29">
        <v>17</v>
      </c>
      <c r="AB20" s="30" t="s">
        <v>59</v>
      </c>
      <c r="AC20" s="29" t="s">
        <v>151</v>
      </c>
      <c r="AD20" s="30" t="s">
        <v>28</v>
      </c>
      <c r="AE20" s="31">
        <v>2.1362830044410596E-3</v>
      </c>
      <c r="AF20" s="12">
        <v>2.036669085140697</v>
      </c>
      <c r="AG20" s="32">
        <f t="shared" si="3"/>
        <v>4.3509015522565928E-3</v>
      </c>
      <c r="AH20" s="32">
        <f t="shared" si="4"/>
        <v>76.97286394226478</v>
      </c>
      <c r="AI20" s="33">
        <f t="shared" si="5"/>
        <v>0.33490135320803538</v>
      </c>
      <c r="AJ20" s="34">
        <f t="shared" si="6"/>
        <v>3.4150433961448137E-2</v>
      </c>
      <c r="AK20" s="35" t="s">
        <v>920</v>
      </c>
      <c r="AL20" s="32">
        <v>0.44296456414349994</v>
      </c>
      <c r="AM20" s="32">
        <v>2.036669085140697</v>
      </c>
      <c r="AN20" s="36">
        <v>0.9</v>
      </c>
    </row>
    <row r="21" spans="1:40" x14ac:dyDescent="0.25">
      <c r="A21" s="72" t="s">
        <v>14</v>
      </c>
      <c r="B21" s="73"/>
      <c r="C21" s="74"/>
      <c r="D21" s="27">
        <f>SUM(D4:D20)</f>
        <v>189.92167518564841</v>
      </c>
      <c r="E21" s="27">
        <f>SUM(E4:E20)</f>
        <v>19.366621138273359</v>
      </c>
      <c r="J21" s="10"/>
      <c r="K21" s="11"/>
      <c r="L21" s="12"/>
      <c r="AA21" s="29">
        <v>18</v>
      </c>
      <c r="AB21" s="30" t="s">
        <v>60</v>
      </c>
      <c r="AC21" s="29" t="s">
        <v>151</v>
      </c>
      <c r="AD21" s="30" t="s">
        <v>28</v>
      </c>
      <c r="AE21" s="31">
        <v>2.1362830044410596E-3</v>
      </c>
      <c r="AF21" s="12">
        <v>2.0366690912858165</v>
      </c>
      <c r="AG21" s="32">
        <f t="shared" si="3"/>
        <v>4.350901565384307E-3</v>
      </c>
      <c r="AH21" s="32">
        <f t="shared" si="4"/>
        <v>76.97286394226478</v>
      </c>
      <c r="AI21" s="33">
        <f t="shared" si="5"/>
        <v>0.33490135421851314</v>
      </c>
      <c r="AJ21" s="34">
        <f t="shared" si="6"/>
        <v>3.4150434064488193E-2</v>
      </c>
      <c r="AK21" s="35" t="s">
        <v>920</v>
      </c>
      <c r="AL21" s="32">
        <v>0.44296456414349994</v>
      </c>
      <c r="AM21" s="32">
        <v>2.0366690912858165</v>
      </c>
      <c r="AN21" s="36">
        <v>0.9</v>
      </c>
    </row>
    <row r="22" spans="1:40" ht="18.75" x14ac:dyDescent="0.3">
      <c r="A22" s="69" t="s">
        <v>26</v>
      </c>
      <c r="B22" s="69"/>
      <c r="C22" s="69"/>
      <c r="D22" s="69"/>
      <c r="E22" s="69"/>
      <c r="J22" s="14"/>
      <c r="K22" s="14"/>
      <c r="L22" s="12"/>
      <c r="AA22" s="29">
        <v>19</v>
      </c>
      <c r="AB22" s="30" t="s">
        <v>61</v>
      </c>
      <c r="AC22" s="29" t="s">
        <v>151</v>
      </c>
      <c r="AD22" s="30" t="s">
        <v>28</v>
      </c>
      <c r="AE22" s="31">
        <v>2.1362830044410596E-3</v>
      </c>
      <c r="AF22" s="12">
        <v>2.0366690912859586</v>
      </c>
      <c r="AG22" s="32">
        <f t="shared" si="3"/>
        <v>4.3509015653846106E-3</v>
      </c>
      <c r="AH22" s="32">
        <f t="shared" si="4"/>
        <v>76.97286394226478</v>
      </c>
      <c r="AI22" s="33">
        <f t="shared" si="5"/>
        <v>0.33490135421853645</v>
      </c>
      <c r="AJ22" s="34">
        <f t="shared" si="6"/>
        <v>3.4150434064490573E-2</v>
      </c>
      <c r="AK22" s="35" t="s">
        <v>920</v>
      </c>
      <c r="AL22" s="32">
        <v>0.44296456414349994</v>
      </c>
      <c r="AM22" s="32">
        <v>2.0366690912859586</v>
      </c>
      <c r="AN22" s="36">
        <v>0.9</v>
      </c>
    </row>
    <row r="23" spans="1:40" x14ac:dyDescent="0.25">
      <c r="A23" s="68" t="s">
        <v>10</v>
      </c>
      <c r="B23" s="3" t="s">
        <v>7</v>
      </c>
      <c r="C23" s="28" t="s">
        <v>11</v>
      </c>
      <c r="D23" s="28" t="s">
        <v>5</v>
      </c>
      <c r="E23" s="28" t="s">
        <v>12</v>
      </c>
      <c r="J23" s="14"/>
      <c r="K23" s="14"/>
      <c r="L23" s="12"/>
      <c r="AA23" s="29">
        <v>20</v>
      </c>
      <c r="AB23" s="30" t="s">
        <v>62</v>
      </c>
      <c r="AC23" s="29" t="s">
        <v>151</v>
      </c>
      <c r="AD23" s="30" t="s">
        <v>28</v>
      </c>
      <c r="AE23" s="31">
        <v>2.1362830044410596E-3</v>
      </c>
      <c r="AF23" s="12">
        <v>2.036669091282715</v>
      </c>
      <c r="AG23" s="32">
        <f t="shared" si="3"/>
        <v>4.3509015653776812E-3</v>
      </c>
      <c r="AH23" s="32">
        <f t="shared" si="4"/>
        <v>76.97286394226478</v>
      </c>
      <c r="AI23" s="33">
        <f t="shared" si="5"/>
        <v>0.3349013542180031</v>
      </c>
      <c r="AJ23" s="34">
        <f t="shared" si="6"/>
        <v>3.4150434064436186E-2</v>
      </c>
      <c r="AK23" s="35" t="s">
        <v>920</v>
      </c>
      <c r="AL23" s="32">
        <v>0.44296456414349994</v>
      </c>
      <c r="AM23" s="32">
        <v>2.036669091282715</v>
      </c>
      <c r="AN23" s="36">
        <v>0.9</v>
      </c>
    </row>
    <row r="24" spans="1:40" x14ac:dyDescent="0.25">
      <c r="A24" s="68"/>
      <c r="B24" s="3" t="s">
        <v>2</v>
      </c>
      <c r="C24" s="28" t="s">
        <v>8</v>
      </c>
      <c r="D24" s="28" t="s">
        <v>3</v>
      </c>
      <c r="E24" s="28" t="s">
        <v>13</v>
      </c>
      <c r="J24" s="14"/>
      <c r="K24" s="14"/>
      <c r="L24" s="12"/>
      <c r="AA24" s="29">
        <v>21</v>
      </c>
      <c r="AB24" s="30" t="s">
        <v>63</v>
      </c>
      <c r="AC24" s="29" t="s">
        <v>151</v>
      </c>
      <c r="AD24" s="30" t="s">
        <v>28</v>
      </c>
      <c r="AE24" s="31">
        <v>2.1362830044410596E-3</v>
      </c>
      <c r="AF24" s="12">
        <v>2.0366690912853036</v>
      </c>
      <c r="AG24" s="32">
        <f t="shared" si="3"/>
        <v>4.3509015653832106E-3</v>
      </c>
      <c r="AH24" s="32">
        <f t="shared" si="4"/>
        <v>76.97286394226478</v>
      </c>
      <c r="AI24" s="33">
        <f t="shared" si="5"/>
        <v>0.3349013542184287</v>
      </c>
      <c r="AJ24" s="34">
        <f t="shared" si="6"/>
        <v>3.4150434064479582E-2</v>
      </c>
      <c r="AK24" s="35" t="s">
        <v>920</v>
      </c>
      <c r="AL24" s="32">
        <v>0.44296456414349994</v>
      </c>
      <c r="AM24" s="32">
        <v>2.0366690912853036</v>
      </c>
      <c r="AN24" s="36">
        <v>0.9</v>
      </c>
    </row>
    <row r="25" spans="1:40" x14ac:dyDescent="0.25">
      <c r="A25" s="10" t="s">
        <v>160</v>
      </c>
      <c r="B25" s="10"/>
      <c r="C25" s="12">
        <v>24.999999999999996</v>
      </c>
      <c r="D25" s="24">
        <f>IF(A25="","",IF(OR($AH$4=0,$AH$4=""),SUMIF($K$4:$K$999,A25,$L$4:$L$999),SUMIF($AD$4:$AD$99999,A25,$AI$4:$AI$99999)))</f>
        <v>0</v>
      </c>
      <c r="E25" s="24">
        <f>IF(D25="","",D25/9.80665)</f>
        <v>0</v>
      </c>
      <c r="J25" s="14"/>
      <c r="K25" s="14"/>
      <c r="L25" s="12"/>
      <c r="AA25" s="29">
        <v>22</v>
      </c>
      <c r="AB25" s="30" t="s">
        <v>64</v>
      </c>
      <c r="AC25" s="29" t="s">
        <v>151</v>
      </c>
      <c r="AD25" s="30" t="s">
        <v>28</v>
      </c>
      <c r="AE25" s="31">
        <v>2.1362830044410596E-3</v>
      </c>
      <c r="AF25" s="12">
        <v>2.036669091286528</v>
      </c>
      <c r="AG25" s="32">
        <f t="shared" si="3"/>
        <v>4.3509015653858266E-3</v>
      </c>
      <c r="AH25" s="32">
        <f t="shared" si="4"/>
        <v>76.97286394226478</v>
      </c>
      <c r="AI25" s="33">
        <f t="shared" si="5"/>
        <v>0.3349013542186301</v>
      </c>
      <c r="AJ25" s="34">
        <f t="shared" si="6"/>
        <v>3.4150434064500121E-2</v>
      </c>
      <c r="AK25" s="35" t="s">
        <v>920</v>
      </c>
      <c r="AL25" s="32">
        <v>0.44296456414349994</v>
      </c>
      <c r="AM25" s="32">
        <v>2.036669091286528</v>
      </c>
      <c r="AN25" s="36">
        <v>0.9</v>
      </c>
    </row>
    <row r="26" spans="1:40" x14ac:dyDescent="0.25">
      <c r="A26" s="10" t="s">
        <v>29</v>
      </c>
      <c r="B26" s="10"/>
      <c r="C26" s="12">
        <v>24.999999999999996</v>
      </c>
      <c r="D26" s="24">
        <f t="shared" ref="D26:D30" si="7">IF(A26="","",IF(OR($AH$4=0,$AH$4=""),SUMIF($K$4:$K$999,A26,$L$4:$L$999),SUMIF($AD$4:$AD$99999,A26,$AI$4:$AI$99999)))</f>
        <v>0</v>
      </c>
      <c r="E26" s="24">
        <f t="shared" ref="E26:E30" si="8">IF(D26="","",D26/9.80665)</f>
        <v>0</v>
      </c>
      <c r="J26" s="14"/>
      <c r="K26" s="14"/>
      <c r="L26" s="12"/>
      <c r="AA26" s="29">
        <v>23</v>
      </c>
      <c r="AB26" s="30" t="s">
        <v>65</v>
      </c>
      <c r="AC26" s="29" t="s">
        <v>151</v>
      </c>
      <c r="AD26" s="30" t="s">
        <v>28</v>
      </c>
      <c r="AE26" s="31">
        <v>2.1362830044410596E-3</v>
      </c>
      <c r="AF26" s="12">
        <v>2.0366690912842809</v>
      </c>
      <c r="AG26" s="32">
        <f t="shared" si="3"/>
        <v>4.3509015653810266E-3</v>
      </c>
      <c r="AH26" s="32">
        <f t="shared" si="4"/>
        <v>76.97286394226478</v>
      </c>
      <c r="AI26" s="33">
        <f t="shared" si="5"/>
        <v>0.33490135421826062</v>
      </c>
      <c r="AJ26" s="34">
        <f t="shared" si="6"/>
        <v>3.4150434064462443E-2</v>
      </c>
      <c r="AK26" s="35" t="s">
        <v>920</v>
      </c>
      <c r="AL26" s="32">
        <v>0.44296456414349994</v>
      </c>
      <c r="AM26" s="32">
        <v>2.0366690912842809</v>
      </c>
      <c r="AN26" s="36">
        <v>0.9</v>
      </c>
    </row>
    <row r="27" spans="1:40" x14ac:dyDescent="0.25">
      <c r="A27" s="10" t="s">
        <v>161</v>
      </c>
      <c r="B27" s="10"/>
      <c r="C27" s="12">
        <v>24.999999999999996</v>
      </c>
      <c r="D27" s="24">
        <f t="shared" si="7"/>
        <v>0</v>
      </c>
      <c r="E27" s="24">
        <f t="shared" si="8"/>
        <v>0</v>
      </c>
      <c r="J27" s="14"/>
      <c r="K27" s="14"/>
      <c r="L27" s="12"/>
      <c r="AA27" s="29">
        <v>24</v>
      </c>
      <c r="AB27" s="30" t="s">
        <v>66</v>
      </c>
      <c r="AC27" s="29" t="s">
        <v>151</v>
      </c>
      <c r="AD27" s="30" t="s">
        <v>28</v>
      </c>
      <c r="AE27" s="31">
        <v>2.1362830044410596E-3</v>
      </c>
      <c r="AF27" s="12">
        <v>2.0366690912851304</v>
      </c>
      <c r="AG27" s="32">
        <f t="shared" si="3"/>
        <v>4.3509015653828411E-3</v>
      </c>
      <c r="AH27" s="32">
        <f t="shared" si="4"/>
        <v>76.97286394226478</v>
      </c>
      <c r="AI27" s="33">
        <f t="shared" si="5"/>
        <v>0.33490135421840028</v>
      </c>
      <c r="AJ27" s="34">
        <f t="shared" si="6"/>
        <v>3.4150434064476688E-2</v>
      </c>
      <c r="AK27" s="35" t="s">
        <v>920</v>
      </c>
      <c r="AL27" s="32">
        <v>0.44296456414349994</v>
      </c>
      <c r="AM27" s="32">
        <v>2.0366690912851304</v>
      </c>
      <c r="AN27" s="36">
        <v>0.9</v>
      </c>
    </row>
    <row r="28" spans="1:40" x14ac:dyDescent="0.25">
      <c r="A28" s="10"/>
      <c r="B28" s="10"/>
      <c r="C28" s="12"/>
      <c r="D28" s="24" t="str">
        <f t="shared" si="7"/>
        <v/>
      </c>
      <c r="E28" s="24" t="str">
        <f t="shared" si="8"/>
        <v/>
      </c>
      <c r="J28" s="14"/>
      <c r="K28" s="14"/>
      <c r="L28" s="12"/>
      <c r="AA28" s="29">
        <v>25</v>
      </c>
      <c r="AB28" s="30" t="s">
        <v>67</v>
      </c>
      <c r="AC28" s="29" t="s">
        <v>151</v>
      </c>
      <c r="AD28" s="30" t="s">
        <v>28</v>
      </c>
      <c r="AE28" s="31">
        <v>2.1362830044410596E-3</v>
      </c>
      <c r="AF28" s="12">
        <v>2.0366690912853014</v>
      </c>
      <c r="AG28" s="32">
        <f t="shared" si="3"/>
        <v>4.3509015653832063E-3</v>
      </c>
      <c r="AH28" s="32">
        <f t="shared" si="4"/>
        <v>76.97286394226478</v>
      </c>
      <c r="AI28" s="33">
        <f t="shared" si="5"/>
        <v>0.33490135421842837</v>
      </c>
      <c r="AJ28" s="34">
        <f t="shared" si="6"/>
        <v>3.4150434064479554E-2</v>
      </c>
      <c r="AK28" s="35" t="s">
        <v>920</v>
      </c>
      <c r="AL28" s="32">
        <v>0.44296456414349994</v>
      </c>
      <c r="AM28" s="32">
        <v>2.0366690912853014</v>
      </c>
      <c r="AN28" s="36">
        <v>0.9</v>
      </c>
    </row>
    <row r="29" spans="1:40" x14ac:dyDescent="0.25">
      <c r="A29" s="10"/>
      <c r="B29" s="10"/>
      <c r="C29" s="12"/>
      <c r="D29" s="24" t="str">
        <f t="shared" si="7"/>
        <v/>
      </c>
      <c r="E29" s="24" t="str">
        <f t="shared" si="8"/>
        <v/>
      </c>
      <c r="J29" s="14"/>
      <c r="K29" s="14"/>
      <c r="L29" s="12"/>
      <c r="AA29" s="29">
        <v>26</v>
      </c>
      <c r="AB29" s="30" t="s">
        <v>174</v>
      </c>
      <c r="AC29" s="29" t="s">
        <v>151</v>
      </c>
      <c r="AD29" s="30" t="s">
        <v>28</v>
      </c>
      <c r="AE29" s="31">
        <v>2.1362830044410596E-3</v>
      </c>
      <c r="AF29" s="12">
        <v>2.0366690912842667</v>
      </c>
      <c r="AG29" s="32">
        <f t="shared" si="3"/>
        <v>4.3509015653809963E-3</v>
      </c>
      <c r="AH29" s="32">
        <f t="shared" si="4"/>
        <v>76.97286394226478</v>
      </c>
      <c r="AI29" s="33">
        <f t="shared" si="5"/>
        <v>0.33490135421825828</v>
      </c>
      <c r="AJ29" s="34">
        <f t="shared" si="6"/>
        <v>3.4150434064462207E-2</v>
      </c>
      <c r="AK29" s="35" t="s">
        <v>920</v>
      </c>
      <c r="AL29" s="32">
        <v>0.44296456414349994</v>
      </c>
      <c r="AM29" s="32">
        <v>2.0366690912842667</v>
      </c>
      <c r="AN29" s="36">
        <v>0.9</v>
      </c>
    </row>
    <row r="30" spans="1:40" x14ac:dyDescent="0.25">
      <c r="A30" s="25"/>
      <c r="B30" s="25"/>
      <c r="C30" s="26"/>
      <c r="D30" s="24" t="str">
        <f t="shared" si="7"/>
        <v/>
      </c>
      <c r="E30" s="24" t="str">
        <f t="shared" si="8"/>
        <v/>
      </c>
      <c r="J30" s="14"/>
      <c r="K30" s="14"/>
      <c r="L30" s="12"/>
      <c r="AA30" s="29">
        <v>27</v>
      </c>
      <c r="AB30" s="30" t="s">
        <v>175</v>
      </c>
      <c r="AC30" s="29" t="s">
        <v>151</v>
      </c>
      <c r="AD30" s="30" t="s">
        <v>28</v>
      </c>
      <c r="AE30" s="31">
        <v>2.1362830044410596E-3</v>
      </c>
      <c r="AF30" s="12">
        <v>2.0366690912853036</v>
      </c>
      <c r="AG30" s="32">
        <f t="shared" si="3"/>
        <v>4.3509015653832106E-3</v>
      </c>
      <c r="AH30" s="32">
        <f t="shared" si="4"/>
        <v>76.97286394226478</v>
      </c>
      <c r="AI30" s="33">
        <f t="shared" si="5"/>
        <v>0.3349013542184287</v>
      </c>
      <c r="AJ30" s="34">
        <f t="shared" si="6"/>
        <v>3.4150434064479582E-2</v>
      </c>
      <c r="AK30" s="35" t="s">
        <v>920</v>
      </c>
      <c r="AL30" s="32">
        <v>0.44296456414349994</v>
      </c>
      <c r="AM30" s="32">
        <v>2.0366690912853036</v>
      </c>
      <c r="AN30" s="36">
        <v>0.9</v>
      </c>
    </row>
    <row r="31" spans="1:40" x14ac:dyDescent="0.25">
      <c r="A31" s="79" t="s">
        <v>14</v>
      </c>
      <c r="B31" s="79"/>
      <c r="C31" s="79"/>
      <c r="D31" s="27">
        <f>SUM(D25:D30)</f>
        <v>0</v>
      </c>
      <c r="E31" s="27">
        <f>SUM(E25:E30)</f>
        <v>0</v>
      </c>
      <c r="J31" s="14"/>
      <c r="K31" s="14"/>
      <c r="L31" s="12"/>
      <c r="AA31" s="29">
        <v>28</v>
      </c>
      <c r="AB31" s="30" t="s">
        <v>176</v>
      </c>
      <c r="AC31" s="29" t="s">
        <v>151</v>
      </c>
      <c r="AD31" s="30" t="s">
        <v>28</v>
      </c>
      <c r="AE31" s="31">
        <v>2.1362830044410596E-3</v>
      </c>
      <c r="AF31" s="12">
        <v>2.0366690912827115</v>
      </c>
      <c r="AG31" s="32">
        <f t="shared" si="3"/>
        <v>4.3509015653776734E-3</v>
      </c>
      <c r="AH31" s="32">
        <f t="shared" si="4"/>
        <v>76.97286394226478</v>
      </c>
      <c r="AI31" s="33">
        <f t="shared" si="5"/>
        <v>0.33490135421800249</v>
      </c>
      <c r="AJ31" s="34">
        <f t="shared" si="6"/>
        <v>3.4150434064436123E-2</v>
      </c>
      <c r="AK31" s="35" t="s">
        <v>920</v>
      </c>
      <c r="AL31" s="32">
        <v>0.44296456414349994</v>
      </c>
      <c r="AM31" s="32">
        <v>2.0366690912827115</v>
      </c>
      <c r="AN31" s="36">
        <v>0.9</v>
      </c>
    </row>
    <row r="32" spans="1:40" ht="18.75" x14ac:dyDescent="0.3">
      <c r="A32" s="69" t="s">
        <v>37</v>
      </c>
      <c r="B32" s="69"/>
      <c r="C32" s="69"/>
      <c r="D32" s="69"/>
      <c r="E32" s="69"/>
      <c r="J32" s="14"/>
      <c r="K32" s="14"/>
      <c r="L32" s="12"/>
      <c r="AA32" s="29">
        <v>29</v>
      </c>
      <c r="AB32" s="30" t="s">
        <v>177</v>
      </c>
      <c r="AC32" s="29" t="s">
        <v>151</v>
      </c>
      <c r="AD32" s="30" t="s">
        <v>28</v>
      </c>
      <c r="AE32" s="31">
        <v>2.1362830044410596E-3</v>
      </c>
      <c r="AF32" s="12">
        <v>2.0366690912859542</v>
      </c>
      <c r="AG32" s="32">
        <f t="shared" si="3"/>
        <v>4.350901565384601E-3</v>
      </c>
      <c r="AH32" s="32">
        <f t="shared" si="4"/>
        <v>76.97286394226478</v>
      </c>
      <c r="AI32" s="33">
        <f t="shared" si="5"/>
        <v>0.33490135421853573</v>
      </c>
      <c r="AJ32" s="34">
        <f t="shared" si="6"/>
        <v>3.4150434064490497E-2</v>
      </c>
      <c r="AK32" s="35" t="s">
        <v>920</v>
      </c>
      <c r="AL32" s="32">
        <v>0.44296456414349994</v>
      </c>
      <c r="AM32" s="32">
        <v>2.0366690912859542</v>
      </c>
      <c r="AN32" s="36">
        <v>0.9</v>
      </c>
    </row>
    <row r="33" spans="1:40" x14ac:dyDescent="0.25">
      <c r="A33" s="77" t="s">
        <v>38</v>
      </c>
      <c r="B33" s="77"/>
      <c r="C33" s="77"/>
      <c r="D33" s="77"/>
      <c r="E33" s="27">
        <f>SUM($AN$4:$AN$999)</f>
        <v>638.84000000000049</v>
      </c>
      <c r="J33" s="14"/>
      <c r="K33" s="14"/>
      <c r="L33" s="12"/>
      <c r="AA33" s="29">
        <v>30</v>
      </c>
      <c r="AB33" s="30" t="s">
        <v>178</v>
      </c>
      <c r="AC33" s="29" t="s">
        <v>151</v>
      </c>
      <c r="AD33" s="30" t="s">
        <v>28</v>
      </c>
      <c r="AE33" s="31">
        <v>2.1362830044410596E-3</v>
      </c>
      <c r="AF33" s="12">
        <v>2.0366690912858196</v>
      </c>
      <c r="AG33" s="32">
        <f t="shared" si="3"/>
        <v>4.3509015653843131E-3</v>
      </c>
      <c r="AH33" s="32">
        <f t="shared" si="4"/>
        <v>76.97286394226478</v>
      </c>
      <c r="AI33" s="33">
        <f t="shared" si="5"/>
        <v>0.33490135421851358</v>
      </c>
      <c r="AJ33" s="34">
        <f t="shared" si="6"/>
        <v>3.4150434064488241E-2</v>
      </c>
      <c r="AK33" s="35" t="s">
        <v>920</v>
      </c>
      <c r="AL33" s="32">
        <v>0.44296456414349994</v>
      </c>
      <c r="AM33" s="32">
        <v>2.0366690912858196</v>
      </c>
      <c r="AN33" s="36">
        <v>0.9</v>
      </c>
    </row>
    <row r="34" spans="1:40" x14ac:dyDescent="0.25">
      <c r="A34" s="1"/>
      <c r="B34" s="1"/>
      <c r="D34" s="6" t="str">
        <f t="shared" ref="D34:D40" si="9">IF(A34="","",SUMIF($K$4:$K$999,A34,$L$4:$L$999))</f>
        <v/>
      </c>
      <c r="E34" s="7" t="str">
        <f t="shared" ref="E26:E40" si="10">IF(D34="","",D34/10)</f>
        <v/>
      </c>
      <c r="J34" s="14"/>
      <c r="K34" s="14"/>
      <c r="L34" s="12"/>
      <c r="AA34" s="29">
        <v>31</v>
      </c>
      <c r="AB34" s="30" t="s">
        <v>179</v>
      </c>
      <c r="AC34" s="29" t="s">
        <v>151</v>
      </c>
      <c r="AD34" s="30" t="s">
        <v>28</v>
      </c>
      <c r="AE34" s="31">
        <v>2.1362830044410596E-3</v>
      </c>
      <c r="AF34" s="12">
        <v>2.0366690851407134</v>
      </c>
      <c r="AG34" s="32">
        <f t="shared" si="3"/>
        <v>4.3509015522566275E-3</v>
      </c>
      <c r="AH34" s="32">
        <f t="shared" si="4"/>
        <v>76.97286394226478</v>
      </c>
      <c r="AI34" s="33">
        <f t="shared" si="5"/>
        <v>0.33490135320803804</v>
      </c>
      <c r="AJ34" s="34">
        <f t="shared" si="6"/>
        <v>3.4150433961448415E-2</v>
      </c>
      <c r="AK34" s="35" t="s">
        <v>920</v>
      </c>
      <c r="AL34" s="32">
        <v>0.44296456414349994</v>
      </c>
      <c r="AM34" s="32">
        <v>2.0366690851407134</v>
      </c>
      <c r="AN34" s="36">
        <v>0.9</v>
      </c>
    </row>
    <row r="35" spans="1:40" x14ac:dyDescent="0.25">
      <c r="A35" s="1"/>
      <c r="B35" s="1"/>
      <c r="D35" s="6" t="str">
        <f t="shared" si="9"/>
        <v/>
      </c>
      <c r="E35" s="7" t="str">
        <f t="shared" si="10"/>
        <v/>
      </c>
      <c r="J35" s="14"/>
      <c r="K35" s="14"/>
      <c r="L35" s="12"/>
      <c r="AA35" s="29">
        <v>32</v>
      </c>
      <c r="AB35" s="30" t="s">
        <v>180</v>
      </c>
      <c r="AC35" s="29" t="s">
        <v>157</v>
      </c>
      <c r="AD35" s="30" t="s">
        <v>28</v>
      </c>
      <c r="AE35" s="31">
        <v>3.5735616434583872E-4</v>
      </c>
      <c r="AF35" s="12">
        <v>1.5197221558262051</v>
      </c>
      <c r="AG35" s="32">
        <f t="shared" si="3"/>
        <v>5.4308208047744162E-4</v>
      </c>
      <c r="AH35" s="32">
        <f t="shared" si="4"/>
        <v>76.97286394226478</v>
      </c>
      <c r="AI35" s="33">
        <f t="shared" si="5"/>
        <v>4.1802583090072204E-2</v>
      </c>
      <c r="AJ35" s="34">
        <f t="shared" si="6"/>
        <v>4.2626771721303615E-3</v>
      </c>
      <c r="AK35" s="35" t="s">
        <v>920</v>
      </c>
      <c r="AL35" s="32">
        <v>0.15079644736800002</v>
      </c>
      <c r="AM35" s="32">
        <v>1.5197221558262051</v>
      </c>
      <c r="AN35" s="36">
        <v>0.23</v>
      </c>
    </row>
    <row r="36" spans="1:40" x14ac:dyDescent="0.25">
      <c r="A36" s="1"/>
      <c r="B36" s="1"/>
      <c r="D36" s="6" t="str">
        <f t="shared" si="9"/>
        <v/>
      </c>
      <c r="E36" s="7" t="str">
        <f t="shared" si="10"/>
        <v/>
      </c>
      <c r="J36" s="14"/>
      <c r="K36" s="14"/>
      <c r="L36" s="12"/>
      <c r="AA36" s="29">
        <v>33</v>
      </c>
      <c r="AB36" s="30" t="s">
        <v>181</v>
      </c>
      <c r="AC36" s="29" t="s">
        <v>153</v>
      </c>
      <c r="AD36" s="30" t="s">
        <v>28</v>
      </c>
      <c r="AE36" s="31">
        <v>8.2938046054770545E-4</v>
      </c>
      <c r="AF36" s="12">
        <v>1.5197221474731262</v>
      </c>
      <c r="AG36" s="32">
        <f t="shared" si="3"/>
        <v>1.2604278545758094E-3</v>
      </c>
      <c r="AH36" s="32">
        <f t="shared" si="4"/>
        <v>76.97286394226478</v>
      </c>
      <c r="AI36" s="33">
        <f t="shared" si="5"/>
        <v>9.7018741759304472E-2</v>
      </c>
      <c r="AJ36" s="34">
        <f t="shared" si="6"/>
        <v>9.8931583934681547E-3</v>
      </c>
      <c r="AK36" s="35" t="s">
        <v>920</v>
      </c>
      <c r="AL36" s="32">
        <v>0.21991148574500002</v>
      </c>
      <c r="AM36" s="32">
        <v>1.5197221474731262</v>
      </c>
      <c r="AN36" s="36">
        <v>0.33</v>
      </c>
    </row>
    <row r="37" spans="1:40" x14ac:dyDescent="0.25">
      <c r="D37" s="6" t="str">
        <f t="shared" si="9"/>
        <v/>
      </c>
      <c r="E37" s="7" t="str">
        <f t="shared" si="10"/>
        <v/>
      </c>
      <c r="J37" s="14"/>
      <c r="K37" s="14"/>
      <c r="L37" s="12"/>
      <c r="AA37" s="29">
        <v>34</v>
      </c>
      <c r="AB37" s="30" t="s">
        <v>182</v>
      </c>
      <c r="AC37" s="29" t="s">
        <v>153</v>
      </c>
      <c r="AD37" s="30" t="s">
        <v>28</v>
      </c>
      <c r="AE37" s="31">
        <v>8.2938046054770545E-4</v>
      </c>
      <c r="AF37" s="12">
        <v>1.5197221502915461</v>
      </c>
      <c r="AG37" s="32">
        <f t="shared" si="3"/>
        <v>1.2604278569133519E-3</v>
      </c>
      <c r="AH37" s="32">
        <f t="shared" si="4"/>
        <v>76.97286394226478</v>
      </c>
      <c r="AI37" s="33">
        <f t="shared" si="5"/>
        <v>9.7018741939231809E-2</v>
      </c>
      <c r="AJ37" s="34">
        <f t="shared" si="6"/>
        <v>9.8931584118156363E-3</v>
      </c>
      <c r="AK37" s="35" t="s">
        <v>920</v>
      </c>
      <c r="AL37" s="32">
        <v>0.21991148574500002</v>
      </c>
      <c r="AM37" s="32">
        <v>1.5197221502915461</v>
      </c>
      <c r="AN37" s="36">
        <v>0.33</v>
      </c>
    </row>
    <row r="38" spans="1:40" x14ac:dyDescent="0.25">
      <c r="D38" s="6" t="str">
        <f t="shared" si="9"/>
        <v/>
      </c>
      <c r="E38" s="7" t="str">
        <f t="shared" si="10"/>
        <v/>
      </c>
      <c r="J38" s="14"/>
      <c r="K38" s="14"/>
      <c r="L38" s="12"/>
      <c r="AA38" s="29">
        <v>35</v>
      </c>
      <c r="AB38" s="30" t="s">
        <v>183</v>
      </c>
      <c r="AC38" s="29" t="s">
        <v>153</v>
      </c>
      <c r="AD38" s="30" t="s">
        <v>28</v>
      </c>
      <c r="AE38" s="31">
        <v>8.2938046054770545E-4</v>
      </c>
      <c r="AF38" s="12">
        <v>1.5197221502894147</v>
      </c>
      <c r="AG38" s="32">
        <f t="shared" si="3"/>
        <v>1.260427856911584E-3</v>
      </c>
      <c r="AH38" s="32">
        <f t="shared" si="4"/>
        <v>76.97286394226478</v>
      </c>
      <c r="AI38" s="33">
        <f t="shared" si="5"/>
        <v>9.7018741939095737E-2</v>
      </c>
      <c r="AJ38" s="34">
        <f t="shared" si="6"/>
        <v>9.8931584118017619E-3</v>
      </c>
      <c r="AK38" s="35" t="s">
        <v>920</v>
      </c>
      <c r="AL38" s="32">
        <v>0.21991148574500002</v>
      </c>
      <c r="AM38" s="32">
        <v>1.5197221502894147</v>
      </c>
      <c r="AN38" s="36">
        <v>0.33</v>
      </c>
    </row>
    <row r="39" spans="1:40" x14ac:dyDescent="0.25">
      <c r="D39" s="6" t="str">
        <f t="shared" si="9"/>
        <v/>
      </c>
      <c r="E39" s="7" t="str">
        <f t="shared" si="10"/>
        <v/>
      </c>
      <c r="AA39" s="29">
        <v>36</v>
      </c>
      <c r="AB39" s="30" t="s">
        <v>184</v>
      </c>
      <c r="AC39" s="29" t="s">
        <v>153</v>
      </c>
      <c r="AD39" s="30" t="s">
        <v>28</v>
      </c>
      <c r="AE39" s="31">
        <v>8.2938046054770545E-4</v>
      </c>
      <c r="AF39" s="12">
        <v>1.5197221502913925</v>
      </c>
      <c r="AG39" s="32">
        <f t="shared" si="3"/>
        <v>1.2604278569132244E-3</v>
      </c>
      <c r="AH39" s="32">
        <f t="shared" si="4"/>
        <v>76.97286394226478</v>
      </c>
      <c r="AI39" s="33">
        <f t="shared" si="5"/>
        <v>9.7018741939221997E-2</v>
      </c>
      <c r="AJ39" s="34">
        <f t="shared" si="6"/>
        <v>9.8931584118146371E-3</v>
      </c>
      <c r="AK39" s="35" t="s">
        <v>920</v>
      </c>
      <c r="AL39" s="32">
        <v>0.21991148574500002</v>
      </c>
      <c r="AM39" s="32">
        <v>1.5197221502913925</v>
      </c>
      <c r="AN39" s="36">
        <v>0.33</v>
      </c>
    </row>
    <row r="40" spans="1:40" x14ac:dyDescent="0.25">
      <c r="D40" s="6" t="str">
        <f t="shared" si="9"/>
        <v/>
      </c>
      <c r="E40" s="7" t="str">
        <f t="shared" si="10"/>
        <v/>
      </c>
      <c r="AA40" s="29">
        <v>37</v>
      </c>
      <c r="AB40" s="30" t="s">
        <v>185</v>
      </c>
      <c r="AC40" s="29" t="s">
        <v>153</v>
      </c>
      <c r="AD40" s="30" t="s">
        <v>28</v>
      </c>
      <c r="AE40" s="31">
        <v>8.2938046054770545E-4</v>
      </c>
      <c r="AF40" s="12">
        <v>1.5197221502907379</v>
      </c>
      <c r="AG40" s="32">
        <f t="shared" si="3"/>
        <v>1.2604278569126814E-3</v>
      </c>
      <c r="AH40" s="32">
        <f t="shared" si="4"/>
        <v>76.97286394226478</v>
      </c>
      <c r="AI40" s="33">
        <f t="shared" si="5"/>
        <v>9.7018741939180211E-2</v>
      </c>
      <c r="AJ40" s="34">
        <f t="shared" si="6"/>
        <v>9.8931584118103748E-3</v>
      </c>
      <c r="AK40" s="35" t="s">
        <v>920</v>
      </c>
      <c r="AL40" s="32">
        <v>0.21991148574500002</v>
      </c>
      <c r="AM40" s="32">
        <v>1.5197221502907379</v>
      </c>
      <c r="AN40" s="36">
        <v>0.33</v>
      </c>
    </row>
    <row r="41" spans="1:40" x14ac:dyDescent="0.25">
      <c r="AA41" s="29">
        <v>38</v>
      </c>
      <c r="AB41" s="30" t="s">
        <v>186</v>
      </c>
      <c r="AC41" s="29" t="s">
        <v>157</v>
      </c>
      <c r="AD41" s="30" t="s">
        <v>28</v>
      </c>
      <c r="AE41" s="31">
        <v>3.5735616434583872E-4</v>
      </c>
      <c r="AF41" s="12">
        <v>1.5197221502916447</v>
      </c>
      <c r="AG41" s="32">
        <f t="shared" si="3"/>
        <v>5.4308207849963243E-4</v>
      </c>
      <c r="AH41" s="32">
        <f t="shared" si="4"/>
        <v>76.97286394226478</v>
      </c>
      <c r="AI41" s="33">
        <f t="shared" si="5"/>
        <v>4.1802582937834565E-2</v>
      </c>
      <c r="AJ41" s="34">
        <f t="shared" si="6"/>
        <v>4.2626771566064425E-3</v>
      </c>
      <c r="AK41" s="35" t="s">
        <v>920</v>
      </c>
      <c r="AL41" s="32">
        <v>0.15079644736800002</v>
      </c>
      <c r="AM41" s="32">
        <v>1.5197221502916447</v>
      </c>
      <c r="AN41" s="36">
        <v>0.23</v>
      </c>
    </row>
    <row r="42" spans="1:40" x14ac:dyDescent="0.25">
      <c r="AA42" s="29">
        <v>39</v>
      </c>
      <c r="AB42" s="30" t="s">
        <v>187</v>
      </c>
      <c r="AC42" s="29" t="s">
        <v>157</v>
      </c>
      <c r="AD42" s="30" t="s">
        <v>28</v>
      </c>
      <c r="AE42" s="31">
        <v>3.5735616434583872E-4</v>
      </c>
      <c r="AF42" s="12">
        <v>1.5197221502892628</v>
      </c>
      <c r="AG42" s="32">
        <f t="shared" si="3"/>
        <v>5.4308207849878122E-4</v>
      </c>
      <c r="AH42" s="32">
        <f t="shared" si="4"/>
        <v>76.97286394226478</v>
      </c>
      <c r="AI42" s="33">
        <f t="shared" si="5"/>
        <v>4.1802582937769048E-2</v>
      </c>
      <c r="AJ42" s="34">
        <f t="shared" si="6"/>
        <v>4.2626771565997612E-3</v>
      </c>
      <c r="AK42" s="35" t="s">
        <v>920</v>
      </c>
      <c r="AL42" s="32">
        <v>0.15079644736800002</v>
      </c>
      <c r="AM42" s="32">
        <v>1.5197221502892628</v>
      </c>
      <c r="AN42" s="36">
        <v>0.23</v>
      </c>
    </row>
    <row r="43" spans="1:40" x14ac:dyDescent="0.25">
      <c r="AA43" s="29">
        <v>40</v>
      </c>
      <c r="AB43" s="30" t="s">
        <v>188</v>
      </c>
      <c r="AC43" s="29" t="s">
        <v>157</v>
      </c>
      <c r="AD43" s="30" t="s">
        <v>28</v>
      </c>
      <c r="AE43" s="31">
        <v>3.5735616434583872E-4</v>
      </c>
      <c r="AF43" s="12">
        <v>1.5197221502894194</v>
      </c>
      <c r="AG43" s="32">
        <f t="shared" si="3"/>
        <v>5.4308207849883717E-4</v>
      </c>
      <c r="AH43" s="32">
        <f t="shared" si="4"/>
        <v>76.97286394226478</v>
      </c>
      <c r="AI43" s="33">
        <f t="shared" si="5"/>
        <v>4.1802582937773357E-2</v>
      </c>
      <c r="AJ43" s="34">
        <f t="shared" si="6"/>
        <v>4.262677156600201E-3</v>
      </c>
      <c r="AK43" s="35" t="s">
        <v>920</v>
      </c>
      <c r="AL43" s="32">
        <v>0.15079644736800002</v>
      </c>
      <c r="AM43" s="32">
        <v>1.5197221502894194</v>
      </c>
      <c r="AN43" s="36">
        <v>0.23</v>
      </c>
    </row>
    <row r="44" spans="1:40" x14ac:dyDescent="0.25">
      <c r="AA44" s="29">
        <v>41</v>
      </c>
      <c r="AB44" s="30" t="s">
        <v>189</v>
      </c>
      <c r="AC44" s="29" t="s">
        <v>157</v>
      </c>
      <c r="AD44" s="30" t="s">
        <v>28</v>
      </c>
      <c r="AE44" s="31">
        <v>3.5735616434583872E-4</v>
      </c>
      <c r="AF44" s="12">
        <v>1.5197221502903198</v>
      </c>
      <c r="AG44" s="32">
        <f t="shared" si="3"/>
        <v>5.4308207849915896E-4</v>
      </c>
      <c r="AH44" s="32">
        <f t="shared" si="4"/>
        <v>76.97286394226478</v>
      </c>
      <c r="AI44" s="33">
        <f t="shared" si="5"/>
        <v>4.1802582937798122E-2</v>
      </c>
      <c r="AJ44" s="34">
        <f t="shared" si="6"/>
        <v>4.2626771566027259E-3</v>
      </c>
      <c r="AK44" s="35" t="s">
        <v>920</v>
      </c>
      <c r="AL44" s="32">
        <v>0.15079644736800002</v>
      </c>
      <c r="AM44" s="32">
        <v>1.5197221502903198</v>
      </c>
      <c r="AN44" s="36">
        <v>0.23</v>
      </c>
    </row>
    <row r="45" spans="1:40" x14ac:dyDescent="0.25">
      <c r="AA45" s="29">
        <v>42</v>
      </c>
      <c r="AB45" s="30" t="s">
        <v>190</v>
      </c>
      <c r="AC45" s="29" t="s">
        <v>157</v>
      </c>
      <c r="AD45" s="30" t="s">
        <v>28</v>
      </c>
      <c r="AE45" s="31">
        <v>3.5735616434583872E-4</v>
      </c>
      <c r="AF45" s="12">
        <v>1.5197221502901306</v>
      </c>
      <c r="AG45" s="32">
        <f t="shared" si="3"/>
        <v>5.430820784990913E-4</v>
      </c>
      <c r="AH45" s="32">
        <f t="shared" si="4"/>
        <v>76.97286394226478</v>
      </c>
      <c r="AI45" s="33">
        <f t="shared" si="5"/>
        <v>4.1802582937792918E-2</v>
      </c>
      <c r="AJ45" s="34">
        <f t="shared" si="6"/>
        <v>4.2626771566021951E-3</v>
      </c>
      <c r="AK45" s="35" t="s">
        <v>920</v>
      </c>
      <c r="AL45" s="32">
        <v>0.15079644736800002</v>
      </c>
      <c r="AM45" s="32">
        <v>1.5197221502901306</v>
      </c>
      <c r="AN45" s="36">
        <v>0.23</v>
      </c>
    </row>
    <row r="46" spans="1:40" x14ac:dyDescent="0.25">
      <c r="AA46" s="29">
        <v>43</v>
      </c>
      <c r="AB46" s="30" t="s">
        <v>191</v>
      </c>
      <c r="AC46" s="29" t="s">
        <v>157</v>
      </c>
      <c r="AD46" s="30" t="s">
        <v>28</v>
      </c>
      <c r="AE46" s="31">
        <v>3.5735616434583872E-4</v>
      </c>
      <c r="AF46" s="12">
        <v>1.5197221502911953</v>
      </c>
      <c r="AG46" s="32">
        <f t="shared" si="3"/>
        <v>5.4308207849947175E-4</v>
      </c>
      <c r="AH46" s="32">
        <f t="shared" si="4"/>
        <v>76.97286394226478</v>
      </c>
      <c r="AI46" s="33">
        <f t="shared" si="5"/>
        <v>4.18025829378222E-2</v>
      </c>
      <c r="AJ46" s="34">
        <f t="shared" si="6"/>
        <v>4.2626771566051814E-3</v>
      </c>
      <c r="AK46" s="35" t="s">
        <v>920</v>
      </c>
      <c r="AL46" s="32">
        <v>0.15079644736800002</v>
      </c>
      <c r="AM46" s="32">
        <v>1.5197221502911953</v>
      </c>
      <c r="AN46" s="36">
        <v>0.23</v>
      </c>
    </row>
    <row r="47" spans="1:40" x14ac:dyDescent="0.25">
      <c r="AA47" s="29">
        <v>44</v>
      </c>
      <c r="AB47" s="30" t="s">
        <v>192</v>
      </c>
      <c r="AC47" s="29" t="s">
        <v>157</v>
      </c>
      <c r="AD47" s="30" t="s">
        <v>28</v>
      </c>
      <c r="AE47" s="31">
        <v>3.5735616434583872E-4</v>
      </c>
      <c r="AF47" s="12">
        <v>1.5197221502884424</v>
      </c>
      <c r="AG47" s="32">
        <f t="shared" si="3"/>
        <v>5.4308207849848805E-4</v>
      </c>
      <c r="AH47" s="32">
        <f t="shared" si="4"/>
        <v>76.97286394226478</v>
      </c>
      <c r="AI47" s="33">
        <f t="shared" si="5"/>
        <v>4.1802582937746482E-2</v>
      </c>
      <c r="AJ47" s="34">
        <f t="shared" si="6"/>
        <v>4.2626771565974601E-3</v>
      </c>
      <c r="AK47" s="35" t="s">
        <v>920</v>
      </c>
      <c r="AL47" s="32">
        <v>0.15079644736800002</v>
      </c>
      <c r="AM47" s="32">
        <v>1.5197221502884424</v>
      </c>
      <c r="AN47" s="36">
        <v>0.23</v>
      </c>
    </row>
    <row r="48" spans="1:40" x14ac:dyDescent="0.25">
      <c r="AA48" s="29">
        <v>45</v>
      </c>
      <c r="AB48" s="30" t="s">
        <v>193</v>
      </c>
      <c r="AC48" s="29" t="s">
        <v>157</v>
      </c>
      <c r="AD48" s="30" t="s">
        <v>28</v>
      </c>
      <c r="AE48" s="31">
        <v>3.5735616434583872E-4</v>
      </c>
      <c r="AF48" s="12">
        <v>1.5197221502903375</v>
      </c>
      <c r="AG48" s="32">
        <f t="shared" si="3"/>
        <v>5.4308207849916525E-4</v>
      </c>
      <c r="AH48" s="32">
        <f t="shared" si="4"/>
        <v>76.97286394226478</v>
      </c>
      <c r="AI48" s="33">
        <f t="shared" si="5"/>
        <v>4.1802582937798607E-2</v>
      </c>
      <c r="AJ48" s="34">
        <f t="shared" si="6"/>
        <v>4.2626771566027753E-3</v>
      </c>
      <c r="AK48" s="35" t="s">
        <v>920</v>
      </c>
      <c r="AL48" s="32">
        <v>0.15079644736800002</v>
      </c>
      <c r="AM48" s="32">
        <v>1.5197221502903375</v>
      </c>
      <c r="AN48" s="36">
        <v>0.23</v>
      </c>
    </row>
    <row r="49" spans="27:40" x14ac:dyDescent="0.25">
      <c r="AA49" s="29">
        <v>46</v>
      </c>
      <c r="AB49" s="30" t="s">
        <v>194</v>
      </c>
      <c r="AC49" s="29" t="s">
        <v>157</v>
      </c>
      <c r="AD49" s="30" t="s">
        <v>28</v>
      </c>
      <c r="AE49" s="31">
        <v>3.5735616434583872E-4</v>
      </c>
      <c r="AF49" s="12">
        <v>1.5197221502899976</v>
      </c>
      <c r="AG49" s="32">
        <f t="shared" si="3"/>
        <v>5.4308207849904382E-4</v>
      </c>
      <c r="AH49" s="32">
        <f t="shared" si="4"/>
        <v>76.97286394226478</v>
      </c>
      <c r="AI49" s="33">
        <f t="shared" si="5"/>
        <v>4.1802582937789261E-2</v>
      </c>
      <c r="AJ49" s="34">
        <f t="shared" si="6"/>
        <v>4.262677156601823E-3</v>
      </c>
      <c r="AK49" s="35" t="s">
        <v>920</v>
      </c>
      <c r="AL49" s="32">
        <v>0.15079644736800002</v>
      </c>
      <c r="AM49" s="32">
        <v>1.5197221502899976</v>
      </c>
      <c r="AN49" s="36">
        <v>0.23</v>
      </c>
    </row>
    <row r="50" spans="27:40" x14ac:dyDescent="0.25">
      <c r="AA50" s="29">
        <v>47</v>
      </c>
      <c r="AB50" s="30" t="s">
        <v>195</v>
      </c>
      <c r="AC50" s="29" t="s">
        <v>157</v>
      </c>
      <c r="AD50" s="30" t="s">
        <v>28</v>
      </c>
      <c r="AE50" s="31">
        <v>3.5735616434583872E-4</v>
      </c>
      <c r="AF50" s="12">
        <v>1.519722150290721</v>
      </c>
      <c r="AG50" s="32">
        <f t="shared" si="3"/>
        <v>5.4308207849930229E-4</v>
      </c>
      <c r="AH50" s="32">
        <f t="shared" si="4"/>
        <v>76.97286394226478</v>
      </c>
      <c r="AI50" s="33">
        <f t="shared" si="5"/>
        <v>4.1802582937809155E-2</v>
      </c>
      <c r="AJ50" s="34">
        <f t="shared" si="6"/>
        <v>4.2626771566038509E-3</v>
      </c>
      <c r="AK50" s="35" t="s">
        <v>920</v>
      </c>
      <c r="AL50" s="32">
        <v>0.15079644736800002</v>
      </c>
      <c r="AM50" s="32">
        <v>1.519722150290721</v>
      </c>
      <c r="AN50" s="36">
        <v>0.23</v>
      </c>
    </row>
    <row r="51" spans="27:40" x14ac:dyDescent="0.25">
      <c r="AA51" s="29">
        <v>48</v>
      </c>
      <c r="AB51" s="30" t="s">
        <v>196</v>
      </c>
      <c r="AC51" s="29" t="s">
        <v>157</v>
      </c>
      <c r="AD51" s="30" t="s">
        <v>28</v>
      </c>
      <c r="AE51" s="31">
        <v>3.5735616434583872E-4</v>
      </c>
      <c r="AF51" s="12">
        <v>1.5197221502895877</v>
      </c>
      <c r="AG51" s="32">
        <f t="shared" si="3"/>
        <v>5.4308207849889734E-4</v>
      </c>
      <c r="AH51" s="32">
        <f t="shared" si="4"/>
        <v>76.97286394226478</v>
      </c>
      <c r="AI51" s="33">
        <f t="shared" si="5"/>
        <v>4.1802582937777985E-2</v>
      </c>
      <c r="AJ51" s="34">
        <f t="shared" si="6"/>
        <v>4.2626771566006728E-3</v>
      </c>
      <c r="AK51" s="35" t="s">
        <v>920</v>
      </c>
      <c r="AL51" s="32">
        <v>0.15079644736800002</v>
      </c>
      <c r="AM51" s="32">
        <v>1.5197221502895877</v>
      </c>
      <c r="AN51" s="36">
        <v>0.23</v>
      </c>
    </row>
    <row r="52" spans="27:40" x14ac:dyDescent="0.25">
      <c r="AA52" s="29">
        <v>49</v>
      </c>
      <c r="AB52" s="30" t="s">
        <v>197</v>
      </c>
      <c r="AC52" s="29" t="s">
        <v>157</v>
      </c>
      <c r="AD52" s="30" t="s">
        <v>28</v>
      </c>
      <c r="AE52" s="31">
        <v>3.5735616434583872E-4</v>
      </c>
      <c r="AF52" s="12">
        <v>1.5197221502908715</v>
      </c>
      <c r="AG52" s="32">
        <f t="shared" si="3"/>
        <v>5.4308207849935607E-4</v>
      </c>
      <c r="AH52" s="32">
        <f t="shared" si="4"/>
        <v>76.97286394226478</v>
      </c>
      <c r="AI52" s="33">
        <f t="shared" si="5"/>
        <v>4.1802582937813297E-2</v>
      </c>
      <c r="AJ52" s="34">
        <f t="shared" si="6"/>
        <v>4.2626771566042733E-3</v>
      </c>
      <c r="AK52" s="35" t="s">
        <v>920</v>
      </c>
      <c r="AL52" s="32">
        <v>0.15079644736800002</v>
      </c>
      <c r="AM52" s="32">
        <v>1.5197221502908715</v>
      </c>
      <c r="AN52" s="36">
        <v>0.23</v>
      </c>
    </row>
    <row r="53" spans="27:40" x14ac:dyDescent="0.25">
      <c r="AA53" s="29">
        <v>50</v>
      </c>
      <c r="AB53" s="30" t="s">
        <v>198</v>
      </c>
      <c r="AC53" s="29" t="s">
        <v>157</v>
      </c>
      <c r="AD53" s="30" t="s">
        <v>28</v>
      </c>
      <c r="AE53" s="31">
        <v>3.5735616434583872E-4</v>
      </c>
      <c r="AF53" s="12">
        <v>1.5197221502888831</v>
      </c>
      <c r="AG53" s="32">
        <f t="shared" si="3"/>
        <v>5.4308207849864559E-4</v>
      </c>
      <c r="AH53" s="32">
        <f t="shared" si="4"/>
        <v>76.97286394226478</v>
      </c>
      <c r="AI53" s="33">
        <f t="shared" si="5"/>
        <v>4.1802582937758605E-2</v>
      </c>
      <c r="AJ53" s="34">
        <f t="shared" si="6"/>
        <v>4.2626771565986961E-3</v>
      </c>
      <c r="AK53" s="35" t="s">
        <v>920</v>
      </c>
      <c r="AL53" s="32">
        <v>0.15079644736800002</v>
      </c>
      <c r="AM53" s="32">
        <v>1.5197221502888831</v>
      </c>
      <c r="AN53" s="36">
        <v>0.23</v>
      </c>
    </row>
    <row r="54" spans="27:40" x14ac:dyDescent="0.25">
      <c r="AA54" s="29">
        <v>51</v>
      </c>
      <c r="AB54" s="30" t="s">
        <v>199</v>
      </c>
      <c r="AC54" s="29" t="s">
        <v>157</v>
      </c>
      <c r="AD54" s="30" t="s">
        <v>28</v>
      </c>
      <c r="AE54" s="31">
        <v>3.5735616434583872E-4</v>
      </c>
      <c r="AF54" s="12">
        <v>1.5197221502918832</v>
      </c>
      <c r="AG54" s="32">
        <f t="shared" si="3"/>
        <v>5.4308207849971765E-4</v>
      </c>
      <c r="AH54" s="32">
        <f t="shared" si="4"/>
        <v>76.97286394226478</v>
      </c>
      <c r="AI54" s="33">
        <f t="shared" si="5"/>
        <v>4.1802582937841129E-2</v>
      </c>
      <c r="AJ54" s="34">
        <f t="shared" si="6"/>
        <v>4.2626771566071113E-3</v>
      </c>
      <c r="AK54" s="35" t="s">
        <v>920</v>
      </c>
      <c r="AL54" s="32">
        <v>0.15079644736800002</v>
      </c>
      <c r="AM54" s="32">
        <v>1.5197221502918832</v>
      </c>
      <c r="AN54" s="36">
        <v>0.23</v>
      </c>
    </row>
    <row r="55" spans="27:40" x14ac:dyDescent="0.25">
      <c r="AA55" s="29">
        <v>52</v>
      </c>
      <c r="AB55" s="30" t="s">
        <v>200</v>
      </c>
      <c r="AC55" s="29" t="s">
        <v>157</v>
      </c>
      <c r="AD55" s="30" t="s">
        <v>28</v>
      </c>
      <c r="AE55" s="31">
        <v>3.5735616434583872E-4</v>
      </c>
      <c r="AF55" s="12">
        <v>1.5197221502896916</v>
      </c>
      <c r="AG55" s="32">
        <f t="shared" si="3"/>
        <v>5.4308207849893442E-4</v>
      </c>
      <c r="AH55" s="32">
        <f t="shared" si="4"/>
        <v>76.97286394226478</v>
      </c>
      <c r="AI55" s="33">
        <f t="shared" si="5"/>
        <v>4.1802582937780837E-2</v>
      </c>
      <c r="AJ55" s="34">
        <f t="shared" si="6"/>
        <v>4.2626771566009634E-3</v>
      </c>
      <c r="AK55" s="35" t="s">
        <v>920</v>
      </c>
      <c r="AL55" s="32">
        <v>0.15079644736800002</v>
      </c>
      <c r="AM55" s="32">
        <v>1.5197221502896916</v>
      </c>
      <c r="AN55" s="36">
        <v>0.23</v>
      </c>
    </row>
    <row r="56" spans="27:40" x14ac:dyDescent="0.25">
      <c r="AA56" s="29">
        <v>53</v>
      </c>
      <c r="AB56" s="30" t="s">
        <v>201</v>
      </c>
      <c r="AC56" s="29" t="s">
        <v>157</v>
      </c>
      <c r="AD56" s="30" t="s">
        <v>28</v>
      </c>
      <c r="AE56" s="31">
        <v>3.5735616434583872E-4</v>
      </c>
      <c r="AF56" s="12">
        <v>1.5197221502893745</v>
      </c>
      <c r="AG56" s="32">
        <f t="shared" si="3"/>
        <v>5.4308207849882112E-4</v>
      </c>
      <c r="AH56" s="32">
        <f t="shared" si="4"/>
        <v>76.97286394226478</v>
      </c>
      <c r="AI56" s="33">
        <f t="shared" si="5"/>
        <v>4.1802582937772122E-2</v>
      </c>
      <c r="AJ56" s="34">
        <f t="shared" si="6"/>
        <v>4.2626771566000752E-3</v>
      </c>
      <c r="AK56" s="35" t="s">
        <v>920</v>
      </c>
      <c r="AL56" s="32">
        <v>0.15079644736800002</v>
      </c>
      <c r="AM56" s="32">
        <v>1.5197221502893745</v>
      </c>
      <c r="AN56" s="36">
        <v>0.23</v>
      </c>
    </row>
    <row r="57" spans="27:40" x14ac:dyDescent="0.25">
      <c r="AA57" s="29">
        <v>54</v>
      </c>
      <c r="AB57" s="30" t="s">
        <v>202</v>
      </c>
      <c r="AC57" s="29" t="s">
        <v>157</v>
      </c>
      <c r="AD57" s="30" t="s">
        <v>28</v>
      </c>
      <c r="AE57" s="31">
        <v>3.5735616434583872E-4</v>
      </c>
      <c r="AF57" s="12">
        <v>1.5197221502908995</v>
      </c>
      <c r="AG57" s="32">
        <f t="shared" si="3"/>
        <v>5.4308207849936615E-4</v>
      </c>
      <c r="AH57" s="32">
        <f t="shared" si="4"/>
        <v>76.97286394226478</v>
      </c>
      <c r="AI57" s="33">
        <f t="shared" si="5"/>
        <v>4.1802582937814074E-2</v>
      </c>
      <c r="AJ57" s="34">
        <f t="shared" si="6"/>
        <v>4.2626771566043531E-3</v>
      </c>
      <c r="AK57" s="35" t="s">
        <v>920</v>
      </c>
      <c r="AL57" s="32">
        <v>0.15079644736800002</v>
      </c>
      <c r="AM57" s="32">
        <v>1.5197221502908995</v>
      </c>
      <c r="AN57" s="36">
        <v>0.23</v>
      </c>
    </row>
    <row r="58" spans="27:40" x14ac:dyDescent="0.25">
      <c r="AA58" s="29">
        <v>55</v>
      </c>
      <c r="AB58" s="30" t="s">
        <v>203</v>
      </c>
      <c r="AC58" s="29" t="s">
        <v>157</v>
      </c>
      <c r="AD58" s="30" t="s">
        <v>28</v>
      </c>
      <c r="AE58" s="31">
        <v>3.5735616434583872E-4</v>
      </c>
      <c r="AF58" s="12">
        <v>1.5197221502900096</v>
      </c>
      <c r="AG58" s="32">
        <f t="shared" si="3"/>
        <v>5.4308207849904804E-4</v>
      </c>
      <c r="AH58" s="32">
        <f t="shared" si="4"/>
        <v>76.97286394226478</v>
      </c>
      <c r="AI58" s="33">
        <f t="shared" si="5"/>
        <v>4.1802582937789587E-2</v>
      </c>
      <c r="AJ58" s="34">
        <f t="shared" si="6"/>
        <v>4.2626771566018559E-3</v>
      </c>
      <c r="AK58" s="35" t="s">
        <v>920</v>
      </c>
      <c r="AL58" s="32">
        <v>0.15079644736800002</v>
      </c>
      <c r="AM58" s="32">
        <v>1.5197221502900096</v>
      </c>
      <c r="AN58" s="36">
        <v>0.23</v>
      </c>
    </row>
    <row r="59" spans="27:40" x14ac:dyDescent="0.25">
      <c r="AA59" s="29">
        <v>56</v>
      </c>
      <c r="AB59" s="30" t="s">
        <v>204</v>
      </c>
      <c r="AC59" s="29" t="s">
        <v>157</v>
      </c>
      <c r="AD59" s="30" t="s">
        <v>28</v>
      </c>
      <c r="AE59" s="31">
        <v>3.5735616434583872E-4</v>
      </c>
      <c r="AF59" s="12">
        <v>1.5197221502888516</v>
      </c>
      <c r="AG59" s="32">
        <f t="shared" si="3"/>
        <v>5.4308207849863431E-4</v>
      </c>
      <c r="AH59" s="32">
        <f t="shared" si="4"/>
        <v>76.97286394226478</v>
      </c>
      <c r="AI59" s="33">
        <f t="shared" si="5"/>
        <v>4.1802582937757737E-2</v>
      </c>
      <c r="AJ59" s="34">
        <f t="shared" si="6"/>
        <v>4.2626771565986077E-3</v>
      </c>
      <c r="AK59" s="35" t="s">
        <v>920</v>
      </c>
      <c r="AL59" s="32">
        <v>0.15079644736800002</v>
      </c>
      <c r="AM59" s="32">
        <v>1.5197221502888516</v>
      </c>
      <c r="AN59" s="36">
        <v>0.23</v>
      </c>
    </row>
    <row r="60" spans="27:40" x14ac:dyDescent="0.25">
      <c r="AA60" s="29">
        <v>57</v>
      </c>
      <c r="AB60" s="30" t="s">
        <v>205</v>
      </c>
      <c r="AC60" s="29" t="s">
        <v>157</v>
      </c>
      <c r="AD60" s="30" t="s">
        <v>28</v>
      </c>
      <c r="AE60" s="31">
        <v>3.5735616434583872E-4</v>
      </c>
      <c r="AF60" s="12">
        <v>1.5197221502905753</v>
      </c>
      <c r="AG60" s="32">
        <f t="shared" si="3"/>
        <v>5.4308207849925025E-4</v>
      </c>
      <c r="AH60" s="32">
        <f t="shared" si="4"/>
        <v>76.97286394226478</v>
      </c>
      <c r="AI60" s="33">
        <f t="shared" si="5"/>
        <v>4.1802582937805151E-2</v>
      </c>
      <c r="AJ60" s="34">
        <f t="shared" si="6"/>
        <v>4.2626771566034432E-3</v>
      </c>
      <c r="AK60" s="35" t="s">
        <v>920</v>
      </c>
      <c r="AL60" s="32">
        <v>0.15079644736800002</v>
      </c>
      <c r="AM60" s="32">
        <v>1.5197221502905753</v>
      </c>
      <c r="AN60" s="36">
        <v>0.23</v>
      </c>
    </row>
    <row r="61" spans="27:40" x14ac:dyDescent="0.25">
      <c r="AA61" s="29">
        <v>58</v>
      </c>
      <c r="AB61" s="30" t="s">
        <v>206</v>
      </c>
      <c r="AC61" s="29" t="s">
        <v>153</v>
      </c>
      <c r="AD61" s="30" t="s">
        <v>28</v>
      </c>
      <c r="AE61" s="31">
        <v>8.2938046054770545E-4</v>
      </c>
      <c r="AF61" s="12">
        <v>1.5197221502914207</v>
      </c>
      <c r="AG61" s="32">
        <f t="shared" si="3"/>
        <v>1.2604278569132478E-3</v>
      </c>
      <c r="AH61" s="32">
        <f t="shared" si="4"/>
        <v>76.97286394226478</v>
      </c>
      <c r="AI61" s="33">
        <f t="shared" si="5"/>
        <v>9.7018741939223802E-2</v>
      </c>
      <c r="AJ61" s="34">
        <f t="shared" si="6"/>
        <v>9.8931584118148209E-3</v>
      </c>
      <c r="AK61" s="35" t="s">
        <v>920</v>
      </c>
      <c r="AL61" s="32">
        <v>0.21991148574500002</v>
      </c>
      <c r="AM61" s="32">
        <v>1.5197221502914207</v>
      </c>
      <c r="AN61" s="36">
        <v>0.33</v>
      </c>
    </row>
    <row r="62" spans="27:40" x14ac:dyDescent="0.25">
      <c r="AA62" s="29">
        <v>59</v>
      </c>
      <c r="AB62" s="30" t="s">
        <v>207</v>
      </c>
      <c r="AC62" s="29" t="s">
        <v>153</v>
      </c>
      <c r="AD62" s="30" t="s">
        <v>28</v>
      </c>
      <c r="AE62" s="31">
        <v>8.2938046054770545E-4</v>
      </c>
      <c r="AF62" s="12">
        <v>1.5197221502913931</v>
      </c>
      <c r="AG62" s="32">
        <f t="shared" si="3"/>
        <v>1.2604278569132248E-3</v>
      </c>
      <c r="AH62" s="32">
        <f t="shared" si="4"/>
        <v>76.97286394226478</v>
      </c>
      <c r="AI62" s="33">
        <f t="shared" si="5"/>
        <v>9.7018741939222025E-2</v>
      </c>
      <c r="AJ62" s="34">
        <f t="shared" si="6"/>
        <v>9.8931584118146388E-3</v>
      </c>
      <c r="AK62" s="35" t="s">
        <v>920</v>
      </c>
      <c r="AL62" s="32">
        <v>0.21991148574500002</v>
      </c>
      <c r="AM62" s="32">
        <v>1.5197221502913931</v>
      </c>
      <c r="AN62" s="36">
        <v>0.33</v>
      </c>
    </row>
    <row r="63" spans="27:40" x14ac:dyDescent="0.25">
      <c r="AA63" s="29">
        <v>60</v>
      </c>
      <c r="AB63" s="30" t="s">
        <v>208</v>
      </c>
      <c r="AC63" s="29" t="s">
        <v>153</v>
      </c>
      <c r="AD63" s="30" t="s">
        <v>28</v>
      </c>
      <c r="AE63" s="31">
        <v>8.2938046054770545E-4</v>
      </c>
      <c r="AF63" s="12">
        <v>1.5197221502894127</v>
      </c>
      <c r="AG63" s="32">
        <f t="shared" si="3"/>
        <v>1.2604278569115824E-3</v>
      </c>
      <c r="AH63" s="32">
        <f t="shared" si="4"/>
        <v>76.97286394226478</v>
      </c>
      <c r="AI63" s="33">
        <f t="shared" si="5"/>
        <v>9.7018741939095612E-2</v>
      </c>
      <c r="AJ63" s="34">
        <f t="shared" si="6"/>
        <v>9.8931584118017481E-3</v>
      </c>
      <c r="AK63" s="35" t="s">
        <v>920</v>
      </c>
      <c r="AL63" s="32">
        <v>0.21991148574500002</v>
      </c>
      <c r="AM63" s="32">
        <v>1.5197221502894127</v>
      </c>
      <c r="AN63" s="36">
        <v>0.33</v>
      </c>
    </row>
    <row r="64" spans="27:40" x14ac:dyDescent="0.25">
      <c r="AA64" s="29">
        <v>61</v>
      </c>
      <c r="AB64" s="30" t="s">
        <v>209</v>
      </c>
      <c r="AC64" s="29" t="s">
        <v>153</v>
      </c>
      <c r="AD64" s="30" t="s">
        <v>28</v>
      </c>
      <c r="AE64" s="31">
        <v>8.2938046054770545E-4</v>
      </c>
      <c r="AF64" s="12">
        <v>1.5197221502906733</v>
      </c>
      <c r="AG64" s="32">
        <f t="shared" si="3"/>
        <v>1.2604278569126278E-3</v>
      </c>
      <c r="AH64" s="32">
        <f t="shared" si="4"/>
        <v>76.97286394226478</v>
      </c>
      <c r="AI64" s="33">
        <f t="shared" si="5"/>
        <v>9.7018741939176076E-2</v>
      </c>
      <c r="AJ64" s="34">
        <f t="shared" si="6"/>
        <v>9.8931584118099533E-3</v>
      </c>
      <c r="AK64" s="35" t="s">
        <v>920</v>
      </c>
      <c r="AL64" s="32">
        <v>0.21991148574500002</v>
      </c>
      <c r="AM64" s="32">
        <v>1.5197221502906733</v>
      </c>
      <c r="AN64" s="36">
        <v>0.33</v>
      </c>
    </row>
    <row r="65" spans="27:40" x14ac:dyDescent="0.25">
      <c r="AA65" s="29">
        <v>62</v>
      </c>
      <c r="AB65" s="30" t="s">
        <v>210</v>
      </c>
      <c r="AC65" s="29" t="s">
        <v>153</v>
      </c>
      <c r="AD65" s="30" t="s">
        <v>28</v>
      </c>
      <c r="AE65" s="31">
        <v>8.2938046054770545E-4</v>
      </c>
      <c r="AF65" s="12">
        <v>1.519722147473572</v>
      </c>
      <c r="AG65" s="32">
        <f t="shared" si="3"/>
        <v>1.2604278545761791E-3</v>
      </c>
      <c r="AH65" s="32">
        <f t="shared" si="4"/>
        <v>76.97286394226478</v>
      </c>
      <c r="AI65" s="33">
        <f t="shared" si="5"/>
        <v>9.7018741759332935E-2</v>
      </c>
      <c r="AJ65" s="34">
        <f t="shared" si="6"/>
        <v>9.8931583934710569E-3</v>
      </c>
      <c r="AK65" s="35" t="s">
        <v>920</v>
      </c>
      <c r="AL65" s="32">
        <v>0.21991148574500002</v>
      </c>
      <c r="AM65" s="32">
        <v>1.519722147473572</v>
      </c>
      <c r="AN65" s="36">
        <v>0.33</v>
      </c>
    </row>
    <row r="66" spans="27:40" x14ac:dyDescent="0.25">
      <c r="AA66" s="29">
        <v>63</v>
      </c>
      <c r="AB66" s="30" t="s">
        <v>211</v>
      </c>
      <c r="AC66" s="29" t="s">
        <v>157</v>
      </c>
      <c r="AD66" s="30" t="s">
        <v>28</v>
      </c>
      <c r="AE66" s="31">
        <v>3.5735616434583872E-4</v>
      </c>
      <c r="AF66" s="12">
        <v>1.5197221558268672</v>
      </c>
      <c r="AG66" s="32">
        <f t="shared" si="3"/>
        <v>5.430820804776783E-4</v>
      </c>
      <c r="AH66" s="32">
        <f t="shared" si="4"/>
        <v>76.97286394226478</v>
      </c>
      <c r="AI66" s="33">
        <f t="shared" si="5"/>
        <v>4.1802583090090425E-2</v>
      </c>
      <c r="AJ66" s="34">
        <f t="shared" si="6"/>
        <v>4.2626771721322194E-3</v>
      </c>
      <c r="AK66" s="35" t="s">
        <v>920</v>
      </c>
      <c r="AL66" s="32">
        <v>0.15079644736800002</v>
      </c>
      <c r="AM66" s="32">
        <v>1.5197221558268672</v>
      </c>
      <c r="AN66" s="36">
        <v>0.23</v>
      </c>
    </row>
    <row r="67" spans="27:40" x14ac:dyDescent="0.25">
      <c r="AA67" s="29">
        <v>64</v>
      </c>
      <c r="AB67" s="30" t="s">
        <v>212</v>
      </c>
      <c r="AC67" s="29" t="s">
        <v>150</v>
      </c>
      <c r="AD67" s="30" t="s">
        <v>9</v>
      </c>
      <c r="AE67" s="31">
        <v>7.8799999999999999E-3</v>
      </c>
      <c r="AF67" s="12">
        <v>6.4</v>
      </c>
      <c r="AG67" s="32">
        <f t="shared" si="3"/>
        <v>5.0432000000000005E-2</v>
      </c>
      <c r="AH67" s="32">
        <f t="shared" si="4"/>
        <v>76.97286394226478</v>
      </c>
      <c r="AI67" s="33">
        <f t="shared" si="5"/>
        <v>3.8818954743362979</v>
      </c>
      <c r="AJ67" s="34">
        <f t="shared" si="6"/>
        <v>0.39584317522663681</v>
      </c>
      <c r="AK67" s="35" t="s">
        <v>33</v>
      </c>
      <c r="AL67" s="32">
        <v>1.988</v>
      </c>
      <c r="AM67" s="32">
        <v>6.4</v>
      </c>
      <c r="AN67" s="36">
        <v>12.72</v>
      </c>
    </row>
    <row r="68" spans="27:40" x14ac:dyDescent="0.25">
      <c r="AA68" s="29">
        <v>65</v>
      </c>
      <c r="AB68" s="30" t="s">
        <v>213</v>
      </c>
      <c r="AC68" s="29" t="s">
        <v>150</v>
      </c>
      <c r="AD68" s="30" t="s">
        <v>9</v>
      </c>
      <c r="AE68" s="31">
        <v>7.8799999999999999E-3</v>
      </c>
      <c r="AF68" s="12">
        <v>6.4</v>
      </c>
      <c r="AG68" s="32">
        <f t="shared" si="3"/>
        <v>5.0432000000000005E-2</v>
      </c>
      <c r="AH68" s="32">
        <f t="shared" si="4"/>
        <v>76.97286394226478</v>
      </c>
      <c r="AI68" s="33">
        <f t="shared" si="5"/>
        <v>3.8818954743362979</v>
      </c>
      <c r="AJ68" s="34">
        <f t="shared" si="6"/>
        <v>0.39584317522663681</v>
      </c>
      <c r="AK68" s="35" t="s">
        <v>33</v>
      </c>
      <c r="AL68" s="32">
        <v>1.988</v>
      </c>
      <c r="AM68" s="32">
        <v>6.4</v>
      </c>
      <c r="AN68" s="36">
        <v>12.72</v>
      </c>
    </row>
    <row r="69" spans="27:40" x14ac:dyDescent="0.25">
      <c r="AA69" s="29">
        <v>66</v>
      </c>
      <c r="AB69" s="30" t="s">
        <v>214</v>
      </c>
      <c r="AC69" s="29" t="s">
        <v>158</v>
      </c>
      <c r="AD69" s="30" t="s">
        <v>28</v>
      </c>
      <c r="AE69" s="31">
        <v>2.1362830044410596E-3</v>
      </c>
      <c r="AF69" s="12">
        <v>3.1790368674891925</v>
      </c>
      <c r="AG69" s="32">
        <f t="shared" ref="AG69:AG132" si="11">IF(AA69="","",AE69*AF69)</f>
        <v>6.7913224305087066E-3</v>
      </c>
      <c r="AH69" s="32">
        <f t="shared" ref="AH69:AH132" si="12">IF(AA69="","",IFERROR(VLOOKUP(AD69,$A$4:$E$20,3,FALSE),VLOOKUP(AD69,$A$25:$E$30,3,FALSE)))</f>
        <v>76.97286394226478</v>
      </c>
      <c r="AI69" s="33">
        <f t="shared" ref="AI69:AI132" si="13">IF(AA69="","",AG69*AH69)</f>
        <v>0.52274753743159763</v>
      </c>
      <c r="AJ69" s="34">
        <f t="shared" ref="AJ69:AJ132" si="14">IF(AA69="","",AI69/9.80665)</f>
        <v>5.3305413921328655E-2</v>
      </c>
      <c r="AK69" s="35" t="s">
        <v>920</v>
      </c>
      <c r="AL69" s="32">
        <v>0.44296456414349994</v>
      </c>
      <c r="AM69" s="32">
        <v>3.1790368674891925</v>
      </c>
      <c r="AN69" s="36">
        <v>1.41</v>
      </c>
    </row>
    <row r="70" spans="27:40" x14ac:dyDescent="0.25">
      <c r="AA70" s="29">
        <v>67</v>
      </c>
      <c r="AB70" s="30" t="s">
        <v>215</v>
      </c>
      <c r="AC70" s="29" t="s">
        <v>158</v>
      </c>
      <c r="AD70" s="30" t="s">
        <v>28</v>
      </c>
      <c r="AE70" s="31">
        <v>2.1362830044410596E-3</v>
      </c>
      <c r="AF70" s="12">
        <v>3.1790368753621117</v>
      </c>
      <c r="AG70" s="32">
        <f t="shared" si="11"/>
        <v>6.79132244732749E-3</v>
      </c>
      <c r="AH70" s="32">
        <f t="shared" si="12"/>
        <v>76.97286394226478</v>
      </c>
      <c r="AI70" s="33">
        <f t="shared" si="13"/>
        <v>0.52274753872618751</v>
      </c>
      <c r="AJ70" s="34">
        <f t="shared" si="14"/>
        <v>5.3305414053340085E-2</v>
      </c>
      <c r="AK70" s="35" t="s">
        <v>920</v>
      </c>
      <c r="AL70" s="32">
        <v>0.44296456414349994</v>
      </c>
      <c r="AM70" s="32">
        <v>3.1790368753621117</v>
      </c>
      <c r="AN70" s="36">
        <v>1.41</v>
      </c>
    </row>
    <row r="71" spans="27:40" x14ac:dyDescent="0.25">
      <c r="AA71" s="29">
        <v>68</v>
      </c>
      <c r="AB71" s="30" t="s">
        <v>216</v>
      </c>
      <c r="AC71" s="29" t="s">
        <v>156</v>
      </c>
      <c r="AD71" s="30" t="s">
        <v>28</v>
      </c>
      <c r="AE71" s="31">
        <v>1.3823007675795071E-3</v>
      </c>
      <c r="AF71" s="12">
        <v>2.0807051797441103</v>
      </c>
      <c r="AG71" s="32">
        <f t="shared" si="11"/>
        <v>2.8761603670669398E-3</v>
      </c>
      <c r="AH71" s="32">
        <f t="shared" si="12"/>
        <v>76.97286394226478</v>
      </c>
      <c r="AI71" s="33">
        <f t="shared" si="13"/>
        <v>0.2213863006103779</v>
      </c>
      <c r="AJ71" s="34">
        <f t="shared" si="14"/>
        <v>2.2575120006360777E-2</v>
      </c>
      <c r="AK71" s="35" t="s">
        <v>920</v>
      </c>
      <c r="AL71" s="32">
        <v>0.35814156249900003</v>
      </c>
      <c r="AM71" s="32">
        <v>2.0807051797441103</v>
      </c>
      <c r="AN71" s="36">
        <v>0.75</v>
      </c>
    </row>
    <row r="72" spans="27:40" x14ac:dyDescent="0.25">
      <c r="AA72" s="29">
        <v>69</v>
      </c>
      <c r="AB72" s="30" t="s">
        <v>217</v>
      </c>
      <c r="AC72" s="29" t="s">
        <v>156</v>
      </c>
      <c r="AD72" s="30" t="s">
        <v>28</v>
      </c>
      <c r="AE72" s="31">
        <v>1.3823007675795071E-3</v>
      </c>
      <c r="AF72" s="12">
        <v>2.0807051797462806</v>
      </c>
      <c r="AG72" s="32">
        <f t="shared" si="11"/>
        <v>2.87616036706994E-3</v>
      </c>
      <c r="AH72" s="32">
        <f t="shared" si="12"/>
        <v>76.97286394226478</v>
      </c>
      <c r="AI72" s="33">
        <f t="shared" si="13"/>
        <v>0.22138630061060882</v>
      </c>
      <c r="AJ72" s="34">
        <f t="shared" si="14"/>
        <v>2.2575120006384324E-2</v>
      </c>
      <c r="AK72" s="35" t="s">
        <v>920</v>
      </c>
      <c r="AL72" s="32">
        <v>0.35814156249900003</v>
      </c>
      <c r="AM72" s="32">
        <v>2.0807051797462806</v>
      </c>
      <c r="AN72" s="36">
        <v>0.75</v>
      </c>
    </row>
    <row r="73" spans="27:40" x14ac:dyDescent="0.25">
      <c r="AA73" s="29">
        <v>70</v>
      </c>
      <c r="AB73" s="30" t="s">
        <v>218</v>
      </c>
      <c r="AC73" s="29" t="s">
        <v>156</v>
      </c>
      <c r="AD73" s="30" t="s">
        <v>28</v>
      </c>
      <c r="AE73" s="31">
        <v>1.3823007675795071E-3</v>
      </c>
      <c r="AF73" s="12">
        <v>2.0807051797469542</v>
      </c>
      <c r="AG73" s="32">
        <f t="shared" si="11"/>
        <v>2.8761603670708711E-3</v>
      </c>
      <c r="AH73" s="32">
        <f t="shared" si="12"/>
        <v>76.97286394226478</v>
      </c>
      <c r="AI73" s="33">
        <f t="shared" si="13"/>
        <v>0.22138630061068049</v>
      </c>
      <c r="AJ73" s="34">
        <f t="shared" si="14"/>
        <v>2.2575120006391631E-2</v>
      </c>
      <c r="AK73" s="35" t="s">
        <v>920</v>
      </c>
      <c r="AL73" s="32">
        <v>0.35814156249900003</v>
      </c>
      <c r="AM73" s="32">
        <v>2.0807051797469542</v>
      </c>
      <c r="AN73" s="36">
        <v>0.75</v>
      </c>
    </row>
    <row r="74" spans="27:40" x14ac:dyDescent="0.25">
      <c r="AA74" s="29">
        <v>71</v>
      </c>
      <c r="AB74" s="30" t="s">
        <v>219</v>
      </c>
      <c r="AC74" s="29" t="s">
        <v>156</v>
      </c>
      <c r="AD74" s="30" t="s">
        <v>28</v>
      </c>
      <c r="AE74" s="31">
        <v>1.3823007675795071E-3</v>
      </c>
      <c r="AF74" s="12">
        <v>2.0807051797451113</v>
      </c>
      <c r="AG74" s="32">
        <f t="shared" si="11"/>
        <v>2.8761603670683237E-3</v>
      </c>
      <c r="AH74" s="32">
        <f t="shared" si="12"/>
        <v>76.97286394226478</v>
      </c>
      <c r="AI74" s="33">
        <f t="shared" si="13"/>
        <v>0.22138630061048439</v>
      </c>
      <c r="AJ74" s="34">
        <f t="shared" si="14"/>
        <v>2.2575120006371636E-2</v>
      </c>
      <c r="AK74" s="35" t="s">
        <v>920</v>
      </c>
      <c r="AL74" s="32">
        <v>0.35814156249900003</v>
      </c>
      <c r="AM74" s="32">
        <v>2.0807051797451113</v>
      </c>
      <c r="AN74" s="36">
        <v>0.75</v>
      </c>
    </row>
    <row r="75" spans="27:40" x14ac:dyDescent="0.25">
      <c r="AA75" s="29">
        <v>72</v>
      </c>
      <c r="AB75" s="30" t="s">
        <v>220</v>
      </c>
      <c r="AC75" s="29" t="s">
        <v>156</v>
      </c>
      <c r="AD75" s="30" t="s">
        <v>28</v>
      </c>
      <c r="AE75" s="31">
        <v>1.3823007675795071E-3</v>
      </c>
      <c r="AF75" s="12">
        <v>2.0807051797444625</v>
      </c>
      <c r="AG75" s="32">
        <f t="shared" si="11"/>
        <v>2.8761603670674268E-3</v>
      </c>
      <c r="AH75" s="32">
        <f t="shared" si="12"/>
        <v>76.97286394226478</v>
      </c>
      <c r="AI75" s="33">
        <f t="shared" si="13"/>
        <v>0.22138630061041537</v>
      </c>
      <c r="AJ75" s="34">
        <f t="shared" si="14"/>
        <v>2.2575120006364597E-2</v>
      </c>
      <c r="AK75" s="35" t="s">
        <v>920</v>
      </c>
      <c r="AL75" s="32">
        <v>0.35814156249900003</v>
      </c>
      <c r="AM75" s="32">
        <v>2.0807051797444625</v>
      </c>
      <c r="AN75" s="36">
        <v>0.75</v>
      </c>
    </row>
    <row r="76" spans="27:40" x14ac:dyDescent="0.25">
      <c r="AA76" s="29">
        <v>73</v>
      </c>
      <c r="AB76" s="30" t="s">
        <v>221</v>
      </c>
      <c r="AC76" s="29" t="s">
        <v>156</v>
      </c>
      <c r="AD76" s="30" t="s">
        <v>28</v>
      </c>
      <c r="AE76" s="31">
        <v>1.3823007675795071E-3</v>
      </c>
      <c r="AF76" s="12">
        <v>2.0807051797468379</v>
      </c>
      <c r="AG76" s="32">
        <f t="shared" si="11"/>
        <v>2.8761603670707102E-3</v>
      </c>
      <c r="AH76" s="32">
        <f t="shared" si="12"/>
        <v>76.97286394226478</v>
      </c>
      <c r="AI76" s="33">
        <f t="shared" si="13"/>
        <v>0.22138630061066811</v>
      </c>
      <c r="AJ76" s="34">
        <f t="shared" si="14"/>
        <v>2.2575120006390371E-2</v>
      </c>
      <c r="AK76" s="35" t="s">
        <v>920</v>
      </c>
      <c r="AL76" s="32">
        <v>0.35814156249900003</v>
      </c>
      <c r="AM76" s="32">
        <v>2.0807051797468379</v>
      </c>
      <c r="AN76" s="36">
        <v>0.75</v>
      </c>
    </row>
    <row r="77" spans="27:40" x14ac:dyDescent="0.25">
      <c r="AA77" s="29">
        <v>74</v>
      </c>
      <c r="AB77" s="30" t="s">
        <v>222</v>
      </c>
      <c r="AC77" s="29" t="s">
        <v>156</v>
      </c>
      <c r="AD77" s="30" t="s">
        <v>28</v>
      </c>
      <c r="AE77" s="31">
        <v>1.3823007675795071E-3</v>
      </c>
      <c r="AF77" s="12">
        <v>2.0807051797433171</v>
      </c>
      <c r="AG77" s="32">
        <f t="shared" si="11"/>
        <v>2.8761603670658434E-3</v>
      </c>
      <c r="AH77" s="32">
        <f t="shared" si="12"/>
        <v>76.97286394226478</v>
      </c>
      <c r="AI77" s="33">
        <f t="shared" si="13"/>
        <v>0.22138630061029349</v>
      </c>
      <c r="AJ77" s="34">
        <f t="shared" si="14"/>
        <v>2.2575120006352169E-2</v>
      </c>
      <c r="AK77" s="35" t="s">
        <v>920</v>
      </c>
      <c r="AL77" s="32">
        <v>0.35814156249900003</v>
      </c>
      <c r="AM77" s="32">
        <v>2.0807051797433171</v>
      </c>
      <c r="AN77" s="36">
        <v>0.75</v>
      </c>
    </row>
    <row r="78" spans="27:40" x14ac:dyDescent="0.25">
      <c r="AA78" s="29">
        <v>75</v>
      </c>
      <c r="AB78" s="30" t="s">
        <v>223</v>
      </c>
      <c r="AC78" s="29" t="s">
        <v>156</v>
      </c>
      <c r="AD78" s="30" t="s">
        <v>28</v>
      </c>
      <c r="AE78" s="31">
        <v>1.3823007675795071E-3</v>
      </c>
      <c r="AF78" s="12">
        <v>2.0807051797459848</v>
      </c>
      <c r="AG78" s="32">
        <f t="shared" si="11"/>
        <v>2.876160367069531E-3</v>
      </c>
      <c r="AH78" s="32">
        <f t="shared" si="12"/>
        <v>76.97286394226478</v>
      </c>
      <c r="AI78" s="33">
        <f t="shared" si="13"/>
        <v>0.22138630061057735</v>
      </c>
      <c r="AJ78" s="34">
        <f t="shared" si="14"/>
        <v>2.2575120006381115E-2</v>
      </c>
      <c r="AK78" s="35" t="s">
        <v>920</v>
      </c>
      <c r="AL78" s="32">
        <v>0.35814156249900003</v>
      </c>
      <c r="AM78" s="32">
        <v>2.0807051797459848</v>
      </c>
      <c r="AN78" s="36">
        <v>0.75</v>
      </c>
    </row>
    <row r="79" spans="27:40" x14ac:dyDescent="0.25">
      <c r="AA79" s="29">
        <v>76</v>
      </c>
      <c r="AB79" s="30" t="s">
        <v>224</v>
      </c>
      <c r="AC79" s="29" t="s">
        <v>156</v>
      </c>
      <c r="AD79" s="30" t="s">
        <v>28</v>
      </c>
      <c r="AE79" s="31">
        <v>1.3823007675795071E-3</v>
      </c>
      <c r="AF79" s="12">
        <v>2.0807051797455443</v>
      </c>
      <c r="AG79" s="32">
        <f t="shared" si="11"/>
        <v>2.8761603670689221E-3</v>
      </c>
      <c r="AH79" s="32">
        <f t="shared" si="12"/>
        <v>76.97286394226478</v>
      </c>
      <c r="AI79" s="33">
        <f t="shared" si="13"/>
        <v>0.22138630061053047</v>
      </c>
      <c r="AJ79" s="34">
        <f t="shared" si="14"/>
        <v>2.2575120006376334E-2</v>
      </c>
      <c r="AK79" s="35" t="s">
        <v>920</v>
      </c>
      <c r="AL79" s="32">
        <v>0.35814156249900003</v>
      </c>
      <c r="AM79" s="32">
        <v>2.0807051797455443</v>
      </c>
      <c r="AN79" s="36">
        <v>0.75</v>
      </c>
    </row>
    <row r="80" spans="27:40" x14ac:dyDescent="0.25">
      <c r="AA80" s="29">
        <v>77</v>
      </c>
      <c r="AB80" s="30" t="s">
        <v>225</v>
      </c>
      <c r="AC80" s="29" t="s">
        <v>156</v>
      </c>
      <c r="AD80" s="30" t="s">
        <v>28</v>
      </c>
      <c r="AE80" s="31">
        <v>1.3823007675795071E-3</v>
      </c>
      <c r="AF80" s="12">
        <v>2.0807051797457792</v>
      </c>
      <c r="AG80" s="32">
        <f t="shared" si="11"/>
        <v>2.8761603670692465E-3</v>
      </c>
      <c r="AH80" s="32">
        <f t="shared" si="12"/>
        <v>76.97286394226478</v>
      </c>
      <c r="AI80" s="33">
        <f t="shared" si="13"/>
        <v>0.22138630061055545</v>
      </c>
      <c r="AJ80" s="34">
        <f t="shared" si="14"/>
        <v>2.2575120006378881E-2</v>
      </c>
      <c r="AK80" s="35" t="s">
        <v>920</v>
      </c>
      <c r="AL80" s="32">
        <v>0.35814156249900003</v>
      </c>
      <c r="AM80" s="32">
        <v>2.0807051797457792</v>
      </c>
      <c r="AN80" s="36">
        <v>0.75</v>
      </c>
    </row>
    <row r="81" spans="27:40" x14ac:dyDescent="0.25">
      <c r="AA81" s="29">
        <v>78</v>
      </c>
      <c r="AB81" s="30" t="s">
        <v>226</v>
      </c>
      <c r="AC81" s="29" t="s">
        <v>156</v>
      </c>
      <c r="AD81" s="30" t="s">
        <v>28</v>
      </c>
      <c r="AE81" s="31">
        <v>1.3823007675795071E-3</v>
      </c>
      <c r="AF81" s="12">
        <v>2.0807051797433846</v>
      </c>
      <c r="AG81" s="32">
        <f t="shared" si="11"/>
        <v>2.8761603670659367E-3</v>
      </c>
      <c r="AH81" s="32">
        <f t="shared" si="12"/>
        <v>76.97286394226478</v>
      </c>
      <c r="AI81" s="33">
        <f t="shared" si="13"/>
        <v>0.22138630061030068</v>
      </c>
      <c r="AJ81" s="34">
        <f t="shared" si="14"/>
        <v>2.2575120006352901E-2</v>
      </c>
      <c r="AK81" s="35" t="s">
        <v>920</v>
      </c>
      <c r="AL81" s="32">
        <v>0.35814156249900003</v>
      </c>
      <c r="AM81" s="32">
        <v>2.0807051797433846</v>
      </c>
      <c r="AN81" s="36">
        <v>0.75</v>
      </c>
    </row>
    <row r="82" spans="27:40" x14ac:dyDescent="0.25">
      <c r="AA82" s="29">
        <v>79</v>
      </c>
      <c r="AB82" s="30" t="s">
        <v>227</v>
      </c>
      <c r="AC82" s="29" t="s">
        <v>156</v>
      </c>
      <c r="AD82" s="30" t="s">
        <v>28</v>
      </c>
      <c r="AE82" s="31">
        <v>1.3823007675795071E-3</v>
      </c>
      <c r="AF82" s="12">
        <v>2.0807051797462073</v>
      </c>
      <c r="AG82" s="32">
        <f t="shared" si="11"/>
        <v>2.8761603670698385E-3</v>
      </c>
      <c r="AH82" s="32">
        <f t="shared" si="12"/>
        <v>76.97286394226478</v>
      </c>
      <c r="AI82" s="33">
        <f t="shared" si="13"/>
        <v>0.22138630061060099</v>
      </c>
      <c r="AJ82" s="34">
        <f t="shared" si="14"/>
        <v>2.2575120006383526E-2</v>
      </c>
      <c r="AK82" s="35" t="s">
        <v>920</v>
      </c>
      <c r="AL82" s="32">
        <v>0.35814156249900003</v>
      </c>
      <c r="AM82" s="32">
        <v>2.0807051797462073</v>
      </c>
      <c r="AN82" s="36">
        <v>0.75</v>
      </c>
    </row>
    <row r="83" spans="27:40" x14ac:dyDescent="0.25">
      <c r="AA83" s="29">
        <v>80</v>
      </c>
      <c r="AB83" s="30" t="s">
        <v>228</v>
      </c>
      <c r="AC83" s="29" t="s">
        <v>156</v>
      </c>
      <c r="AD83" s="30" t="s">
        <v>28</v>
      </c>
      <c r="AE83" s="31">
        <v>1.3823007675795071E-3</v>
      </c>
      <c r="AF83" s="12">
        <v>2.0807051797430582</v>
      </c>
      <c r="AG83" s="32">
        <f t="shared" si="11"/>
        <v>2.8761603670654856E-3</v>
      </c>
      <c r="AH83" s="32">
        <f t="shared" si="12"/>
        <v>76.97286394226478</v>
      </c>
      <c r="AI83" s="33">
        <f t="shared" si="13"/>
        <v>0.22138630061026596</v>
      </c>
      <c r="AJ83" s="34">
        <f t="shared" si="14"/>
        <v>2.2575120006349363E-2</v>
      </c>
      <c r="AK83" s="35" t="s">
        <v>920</v>
      </c>
      <c r="AL83" s="32">
        <v>0.35814156249900003</v>
      </c>
      <c r="AM83" s="32">
        <v>2.0807051797430582</v>
      </c>
      <c r="AN83" s="36">
        <v>0.75</v>
      </c>
    </row>
    <row r="84" spans="27:40" x14ac:dyDescent="0.25">
      <c r="AA84" s="29">
        <v>81</v>
      </c>
      <c r="AB84" s="30" t="s">
        <v>229</v>
      </c>
      <c r="AC84" s="29" t="s">
        <v>156</v>
      </c>
      <c r="AD84" s="30" t="s">
        <v>28</v>
      </c>
      <c r="AE84" s="31">
        <v>1.3823007675795071E-3</v>
      </c>
      <c r="AF84" s="12">
        <v>2.0807051797482585</v>
      </c>
      <c r="AG84" s="32">
        <f t="shared" si="11"/>
        <v>2.8761603670726739E-3</v>
      </c>
      <c r="AH84" s="32">
        <f t="shared" si="12"/>
        <v>76.97286394226478</v>
      </c>
      <c r="AI84" s="33">
        <f t="shared" si="13"/>
        <v>0.22138630061081926</v>
      </c>
      <c r="AJ84" s="34">
        <f t="shared" si="14"/>
        <v>2.2575120006405783E-2</v>
      </c>
      <c r="AK84" s="35" t="s">
        <v>920</v>
      </c>
      <c r="AL84" s="32">
        <v>0.35814156249900003</v>
      </c>
      <c r="AM84" s="32">
        <v>2.0807051797482585</v>
      </c>
      <c r="AN84" s="36">
        <v>0.75</v>
      </c>
    </row>
    <row r="85" spans="27:40" x14ac:dyDescent="0.25">
      <c r="AA85" s="29">
        <v>82</v>
      </c>
      <c r="AB85" s="30" t="s">
        <v>230</v>
      </c>
      <c r="AC85" s="29" t="s">
        <v>156</v>
      </c>
      <c r="AD85" s="30" t="s">
        <v>28</v>
      </c>
      <c r="AE85" s="31">
        <v>1.3823007675795071E-3</v>
      </c>
      <c r="AF85" s="12">
        <v>2.08070517974528</v>
      </c>
      <c r="AG85" s="32">
        <f t="shared" si="11"/>
        <v>2.876160367068557E-3</v>
      </c>
      <c r="AH85" s="32">
        <f t="shared" si="12"/>
        <v>76.97286394226478</v>
      </c>
      <c r="AI85" s="33">
        <f t="shared" si="13"/>
        <v>0.22138630061050235</v>
      </c>
      <c r="AJ85" s="34">
        <f t="shared" si="14"/>
        <v>2.2575120006373468E-2</v>
      </c>
      <c r="AK85" s="35" t="s">
        <v>920</v>
      </c>
      <c r="AL85" s="32">
        <v>0.35814156249900003</v>
      </c>
      <c r="AM85" s="32">
        <v>2.08070517974528</v>
      </c>
      <c r="AN85" s="36">
        <v>0.75</v>
      </c>
    </row>
    <row r="86" spans="27:40" x14ac:dyDescent="0.25">
      <c r="AA86" s="29">
        <v>83</v>
      </c>
      <c r="AB86" s="30" t="s">
        <v>231</v>
      </c>
      <c r="AC86" s="29" t="s">
        <v>156</v>
      </c>
      <c r="AD86" s="30" t="s">
        <v>28</v>
      </c>
      <c r="AE86" s="31">
        <v>1.3823007675795071E-3</v>
      </c>
      <c r="AF86" s="12">
        <v>2.0807051797458058</v>
      </c>
      <c r="AG86" s="32">
        <f t="shared" si="11"/>
        <v>2.8761603670692834E-3</v>
      </c>
      <c r="AH86" s="32">
        <f t="shared" si="12"/>
        <v>76.97286394226478</v>
      </c>
      <c r="AI86" s="33">
        <f t="shared" si="13"/>
        <v>0.22138630061055828</v>
      </c>
      <c r="AJ86" s="34">
        <f t="shared" si="14"/>
        <v>2.2575120006379172E-2</v>
      </c>
      <c r="AK86" s="35" t="s">
        <v>920</v>
      </c>
      <c r="AL86" s="32">
        <v>0.35814156249900003</v>
      </c>
      <c r="AM86" s="32">
        <v>2.0807051797458058</v>
      </c>
      <c r="AN86" s="36">
        <v>0.75</v>
      </c>
    </row>
    <row r="87" spans="27:40" x14ac:dyDescent="0.25">
      <c r="AA87" s="29">
        <v>84</v>
      </c>
      <c r="AB87" s="30" t="s">
        <v>232</v>
      </c>
      <c r="AC87" s="29" t="s">
        <v>157</v>
      </c>
      <c r="AD87" s="30" t="s">
        <v>28</v>
      </c>
      <c r="AE87" s="31">
        <v>3.5735616434583872E-4</v>
      </c>
      <c r="AF87" s="12">
        <v>1.5197221558268672</v>
      </c>
      <c r="AG87" s="32">
        <f t="shared" si="11"/>
        <v>5.430820804776783E-4</v>
      </c>
      <c r="AH87" s="32">
        <f t="shared" si="12"/>
        <v>76.97286394226478</v>
      </c>
      <c r="AI87" s="33">
        <f t="shared" si="13"/>
        <v>4.1802583090090425E-2</v>
      </c>
      <c r="AJ87" s="34">
        <f t="shared" si="14"/>
        <v>4.2626771721322194E-3</v>
      </c>
      <c r="AK87" s="35" t="s">
        <v>920</v>
      </c>
      <c r="AL87" s="32">
        <v>0.15079644736800002</v>
      </c>
      <c r="AM87" s="32">
        <v>1.5197221558268672</v>
      </c>
      <c r="AN87" s="36">
        <v>0.23</v>
      </c>
    </row>
    <row r="88" spans="27:40" x14ac:dyDescent="0.25">
      <c r="AA88" s="29">
        <v>85</v>
      </c>
      <c r="AB88" s="30" t="s">
        <v>233</v>
      </c>
      <c r="AC88" s="29" t="s">
        <v>153</v>
      </c>
      <c r="AD88" s="30" t="s">
        <v>28</v>
      </c>
      <c r="AE88" s="31">
        <v>8.2938046054770545E-4</v>
      </c>
      <c r="AF88" s="12">
        <v>1.519722147473572</v>
      </c>
      <c r="AG88" s="32">
        <f t="shared" si="11"/>
        <v>1.2604278545761791E-3</v>
      </c>
      <c r="AH88" s="32">
        <f t="shared" si="12"/>
        <v>76.97286394226478</v>
      </c>
      <c r="AI88" s="33">
        <f t="shared" si="13"/>
        <v>9.7018741759332935E-2</v>
      </c>
      <c r="AJ88" s="34">
        <f t="shared" si="14"/>
        <v>9.8931583934710569E-3</v>
      </c>
      <c r="AK88" s="35" t="s">
        <v>920</v>
      </c>
      <c r="AL88" s="32">
        <v>0.21991148574500002</v>
      </c>
      <c r="AM88" s="32">
        <v>1.519722147473572</v>
      </c>
      <c r="AN88" s="36">
        <v>0.33</v>
      </c>
    </row>
    <row r="89" spans="27:40" x14ac:dyDescent="0.25">
      <c r="AA89" s="29">
        <v>86</v>
      </c>
      <c r="AB89" s="30" t="s">
        <v>234</v>
      </c>
      <c r="AC89" s="29" t="s">
        <v>153</v>
      </c>
      <c r="AD89" s="30" t="s">
        <v>28</v>
      </c>
      <c r="AE89" s="31">
        <v>8.2938046054770545E-4</v>
      </c>
      <c r="AF89" s="12">
        <v>1.5197221502906733</v>
      </c>
      <c r="AG89" s="32">
        <f t="shared" si="11"/>
        <v>1.2604278569126278E-3</v>
      </c>
      <c r="AH89" s="32">
        <f t="shared" si="12"/>
        <v>76.97286394226478</v>
      </c>
      <c r="AI89" s="33">
        <f t="shared" si="13"/>
        <v>9.7018741939176076E-2</v>
      </c>
      <c r="AJ89" s="34">
        <f t="shared" si="14"/>
        <v>9.8931584118099533E-3</v>
      </c>
      <c r="AK89" s="35" t="s">
        <v>920</v>
      </c>
      <c r="AL89" s="32">
        <v>0.21991148574500002</v>
      </c>
      <c r="AM89" s="32">
        <v>1.5197221502906733</v>
      </c>
      <c r="AN89" s="36">
        <v>0.33</v>
      </c>
    </row>
    <row r="90" spans="27:40" x14ac:dyDescent="0.25">
      <c r="AA90" s="29">
        <v>87</v>
      </c>
      <c r="AB90" s="30" t="s">
        <v>68</v>
      </c>
      <c r="AC90" s="29" t="s">
        <v>153</v>
      </c>
      <c r="AD90" s="30" t="s">
        <v>28</v>
      </c>
      <c r="AE90" s="31">
        <v>8.2938046054770545E-4</v>
      </c>
      <c r="AF90" s="12">
        <v>1.5197221502894127</v>
      </c>
      <c r="AG90" s="32">
        <f t="shared" si="11"/>
        <v>1.2604278569115824E-3</v>
      </c>
      <c r="AH90" s="32">
        <f t="shared" si="12"/>
        <v>76.97286394226478</v>
      </c>
      <c r="AI90" s="33">
        <f t="shared" si="13"/>
        <v>9.7018741939095612E-2</v>
      </c>
      <c r="AJ90" s="34">
        <f t="shared" si="14"/>
        <v>9.8931584118017481E-3</v>
      </c>
      <c r="AK90" s="35" t="s">
        <v>920</v>
      </c>
      <c r="AL90" s="32">
        <v>0.21991148574500002</v>
      </c>
      <c r="AM90" s="32">
        <v>1.5197221502894127</v>
      </c>
      <c r="AN90" s="36">
        <v>0.33</v>
      </c>
    </row>
    <row r="91" spans="27:40" x14ac:dyDescent="0.25">
      <c r="AA91" s="29">
        <v>88</v>
      </c>
      <c r="AB91" s="30" t="s">
        <v>69</v>
      </c>
      <c r="AC91" s="29" t="s">
        <v>153</v>
      </c>
      <c r="AD91" s="30" t="s">
        <v>28</v>
      </c>
      <c r="AE91" s="31">
        <v>8.2938046054770545E-4</v>
      </c>
      <c r="AF91" s="12">
        <v>1.5197221502913931</v>
      </c>
      <c r="AG91" s="32">
        <f t="shared" si="11"/>
        <v>1.2604278569132248E-3</v>
      </c>
      <c r="AH91" s="32">
        <f t="shared" si="12"/>
        <v>76.97286394226478</v>
      </c>
      <c r="AI91" s="33">
        <f t="shared" si="13"/>
        <v>9.7018741939222025E-2</v>
      </c>
      <c r="AJ91" s="34">
        <f t="shared" si="14"/>
        <v>9.8931584118146388E-3</v>
      </c>
      <c r="AK91" s="35" t="s">
        <v>920</v>
      </c>
      <c r="AL91" s="32">
        <v>0.21991148574500002</v>
      </c>
      <c r="AM91" s="32">
        <v>1.5197221502913931</v>
      </c>
      <c r="AN91" s="36">
        <v>0.33</v>
      </c>
    </row>
    <row r="92" spans="27:40" x14ac:dyDescent="0.25">
      <c r="AA92" s="29">
        <v>89</v>
      </c>
      <c r="AB92" s="30" t="s">
        <v>235</v>
      </c>
      <c r="AC92" s="29" t="s">
        <v>157</v>
      </c>
      <c r="AD92" s="30" t="s">
        <v>28</v>
      </c>
      <c r="AE92" s="31">
        <v>3.5735616434583872E-4</v>
      </c>
      <c r="AF92" s="12">
        <v>1.5197221502905753</v>
      </c>
      <c r="AG92" s="32">
        <f t="shared" si="11"/>
        <v>5.4308207849925025E-4</v>
      </c>
      <c r="AH92" s="32">
        <f t="shared" si="12"/>
        <v>76.97286394226478</v>
      </c>
      <c r="AI92" s="33">
        <f t="shared" si="13"/>
        <v>4.1802582937805151E-2</v>
      </c>
      <c r="AJ92" s="34">
        <f t="shared" si="14"/>
        <v>4.2626771566034432E-3</v>
      </c>
      <c r="AK92" s="35" t="s">
        <v>920</v>
      </c>
      <c r="AL92" s="32">
        <v>0.15079644736800002</v>
      </c>
      <c r="AM92" s="32">
        <v>1.5197221502905753</v>
      </c>
      <c r="AN92" s="36">
        <v>0.23</v>
      </c>
    </row>
    <row r="93" spans="27:40" x14ac:dyDescent="0.25">
      <c r="AA93" s="29">
        <v>90</v>
      </c>
      <c r="AB93" s="30" t="s">
        <v>236</v>
      </c>
      <c r="AC93" s="29" t="s">
        <v>157</v>
      </c>
      <c r="AD93" s="30" t="s">
        <v>28</v>
      </c>
      <c r="AE93" s="31">
        <v>3.5735616434583872E-4</v>
      </c>
      <c r="AF93" s="12">
        <v>1.5197221502888516</v>
      </c>
      <c r="AG93" s="32">
        <f t="shared" si="11"/>
        <v>5.4308207849863431E-4</v>
      </c>
      <c r="AH93" s="32">
        <f t="shared" si="12"/>
        <v>76.97286394226478</v>
      </c>
      <c r="AI93" s="33">
        <f t="shared" si="13"/>
        <v>4.1802582937757737E-2</v>
      </c>
      <c r="AJ93" s="34">
        <f t="shared" si="14"/>
        <v>4.2626771565986077E-3</v>
      </c>
      <c r="AK93" s="35" t="s">
        <v>920</v>
      </c>
      <c r="AL93" s="32">
        <v>0.15079644736800002</v>
      </c>
      <c r="AM93" s="32">
        <v>1.5197221502888516</v>
      </c>
      <c r="AN93" s="36">
        <v>0.23</v>
      </c>
    </row>
    <row r="94" spans="27:40" x14ac:dyDescent="0.25">
      <c r="AA94" s="29">
        <v>91</v>
      </c>
      <c r="AB94" s="30" t="s">
        <v>237</v>
      </c>
      <c r="AC94" s="29" t="s">
        <v>157</v>
      </c>
      <c r="AD94" s="30" t="s">
        <v>28</v>
      </c>
      <c r="AE94" s="31">
        <v>3.5735616434583872E-4</v>
      </c>
      <c r="AF94" s="12">
        <v>1.5197221502900096</v>
      </c>
      <c r="AG94" s="32">
        <f t="shared" si="11"/>
        <v>5.4308207849904804E-4</v>
      </c>
      <c r="AH94" s="32">
        <f t="shared" si="12"/>
        <v>76.97286394226478</v>
      </c>
      <c r="AI94" s="33">
        <f t="shared" si="13"/>
        <v>4.1802582937789587E-2</v>
      </c>
      <c r="AJ94" s="34">
        <f t="shared" si="14"/>
        <v>4.2626771566018559E-3</v>
      </c>
      <c r="AK94" s="35" t="s">
        <v>920</v>
      </c>
      <c r="AL94" s="32">
        <v>0.15079644736800002</v>
      </c>
      <c r="AM94" s="32">
        <v>1.5197221502900096</v>
      </c>
      <c r="AN94" s="36">
        <v>0.23</v>
      </c>
    </row>
    <row r="95" spans="27:40" x14ac:dyDescent="0.25">
      <c r="AA95" s="29">
        <v>92</v>
      </c>
      <c r="AB95" s="30" t="s">
        <v>238</v>
      </c>
      <c r="AC95" s="29" t="s">
        <v>157</v>
      </c>
      <c r="AD95" s="30" t="s">
        <v>28</v>
      </c>
      <c r="AE95" s="31">
        <v>3.5735616434583872E-4</v>
      </c>
      <c r="AF95" s="12">
        <v>1.5197221502908995</v>
      </c>
      <c r="AG95" s="32">
        <f t="shared" si="11"/>
        <v>5.4308207849936615E-4</v>
      </c>
      <c r="AH95" s="32">
        <f t="shared" si="12"/>
        <v>76.97286394226478</v>
      </c>
      <c r="AI95" s="33">
        <f t="shared" si="13"/>
        <v>4.1802582937814074E-2</v>
      </c>
      <c r="AJ95" s="34">
        <f t="shared" si="14"/>
        <v>4.2626771566043531E-3</v>
      </c>
      <c r="AK95" s="35" t="s">
        <v>920</v>
      </c>
      <c r="AL95" s="32">
        <v>0.15079644736800002</v>
      </c>
      <c r="AM95" s="32">
        <v>1.5197221502908995</v>
      </c>
      <c r="AN95" s="36">
        <v>0.23</v>
      </c>
    </row>
    <row r="96" spans="27:40" x14ac:dyDescent="0.25">
      <c r="AA96" s="29">
        <v>93</v>
      </c>
      <c r="AB96" s="30" t="s">
        <v>239</v>
      </c>
      <c r="AC96" s="29" t="s">
        <v>157</v>
      </c>
      <c r="AD96" s="30" t="s">
        <v>28</v>
      </c>
      <c r="AE96" s="31">
        <v>3.5735616434583872E-4</v>
      </c>
      <c r="AF96" s="12">
        <v>1.5197221502893745</v>
      </c>
      <c r="AG96" s="32">
        <f t="shared" si="11"/>
        <v>5.4308207849882112E-4</v>
      </c>
      <c r="AH96" s="32">
        <f t="shared" si="12"/>
        <v>76.97286394226478</v>
      </c>
      <c r="AI96" s="33">
        <f t="shared" si="13"/>
        <v>4.1802582937772122E-2</v>
      </c>
      <c r="AJ96" s="34">
        <f t="shared" si="14"/>
        <v>4.2626771566000752E-3</v>
      </c>
      <c r="AK96" s="35" t="s">
        <v>920</v>
      </c>
      <c r="AL96" s="32">
        <v>0.15079644736800002</v>
      </c>
      <c r="AM96" s="32">
        <v>1.5197221502893745</v>
      </c>
      <c r="AN96" s="36">
        <v>0.23</v>
      </c>
    </row>
    <row r="97" spans="27:40" x14ac:dyDescent="0.25">
      <c r="AA97" s="29">
        <v>94</v>
      </c>
      <c r="AB97" s="30" t="s">
        <v>240</v>
      </c>
      <c r="AC97" s="29" t="s">
        <v>157</v>
      </c>
      <c r="AD97" s="30" t="s">
        <v>28</v>
      </c>
      <c r="AE97" s="31">
        <v>3.5735616434583872E-4</v>
      </c>
      <c r="AF97" s="12">
        <v>1.5197221502896916</v>
      </c>
      <c r="AG97" s="32">
        <f t="shared" si="11"/>
        <v>5.4308207849893442E-4</v>
      </c>
      <c r="AH97" s="32">
        <f t="shared" si="12"/>
        <v>76.97286394226478</v>
      </c>
      <c r="AI97" s="33">
        <f t="shared" si="13"/>
        <v>4.1802582937780837E-2</v>
      </c>
      <c r="AJ97" s="34">
        <f t="shared" si="14"/>
        <v>4.2626771566009634E-3</v>
      </c>
      <c r="AK97" s="35" t="s">
        <v>920</v>
      </c>
      <c r="AL97" s="32">
        <v>0.15079644736800002</v>
      </c>
      <c r="AM97" s="32">
        <v>1.5197221502896916</v>
      </c>
      <c r="AN97" s="36">
        <v>0.23</v>
      </c>
    </row>
    <row r="98" spans="27:40" x14ac:dyDescent="0.25">
      <c r="AA98" s="29">
        <v>95</v>
      </c>
      <c r="AB98" s="30" t="s">
        <v>241</v>
      </c>
      <c r="AC98" s="29" t="s">
        <v>157</v>
      </c>
      <c r="AD98" s="30" t="s">
        <v>28</v>
      </c>
      <c r="AE98" s="31">
        <v>3.5735616434583872E-4</v>
      </c>
      <c r="AF98" s="12">
        <v>1.5197221502918832</v>
      </c>
      <c r="AG98" s="32">
        <f t="shared" si="11"/>
        <v>5.4308207849971765E-4</v>
      </c>
      <c r="AH98" s="32">
        <f t="shared" si="12"/>
        <v>76.97286394226478</v>
      </c>
      <c r="AI98" s="33">
        <f t="shared" si="13"/>
        <v>4.1802582937841129E-2</v>
      </c>
      <c r="AJ98" s="34">
        <f t="shared" si="14"/>
        <v>4.2626771566071113E-3</v>
      </c>
      <c r="AK98" s="35" t="s">
        <v>920</v>
      </c>
      <c r="AL98" s="32">
        <v>0.15079644736800002</v>
      </c>
      <c r="AM98" s="32">
        <v>1.5197221502918832</v>
      </c>
      <c r="AN98" s="36">
        <v>0.23</v>
      </c>
    </row>
    <row r="99" spans="27:40" x14ac:dyDescent="0.25">
      <c r="AA99" s="29">
        <v>96</v>
      </c>
      <c r="AB99" s="30" t="s">
        <v>242</v>
      </c>
      <c r="AC99" s="29" t="s">
        <v>157</v>
      </c>
      <c r="AD99" s="30" t="s">
        <v>28</v>
      </c>
      <c r="AE99" s="31">
        <v>3.5735616434583872E-4</v>
      </c>
      <c r="AF99" s="12">
        <v>1.5197221502888831</v>
      </c>
      <c r="AG99" s="32">
        <f t="shared" si="11"/>
        <v>5.4308207849864559E-4</v>
      </c>
      <c r="AH99" s="32">
        <f t="shared" si="12"/>
        <v>76.97286394226478</v>
      </c>
      <c r="AI99" s="33">
        <f t="shared" si="13"/>
        <v>4.1802582937758605E-2</v>
      </c>
      <c r="AJ99" s="34">
        <f t="shared" si="14"/>
        <v>4.2626771565986961E-3</v>
      </c>
      <c r="AK99" s="35" t="s">
        <v>920</v>
      </c>
      <c r="AL99" s="32">
        <v>0.15079644736800002</v>
      </c>
      <c r="AM99" s="32">
        <v>1.5197221502888831</v>
      </c>
      <c r="AN99" s="36">
        <v>0.23</v>
      </c>
    </row>
    <row r="100" spans="27:40" x14ac:dyDescent="0.25">
      <c r="AA100" s="29">
        <v>97</v>
      </c>
      <c r="AB100" s="30" t="s">
        <v>243</v>
      </c>
      <c r="AC100" s="29" t="s">
        <v>157</v>
      </c>
      <c r="AD100" s="30" t="s">
        <v>28</v>
      </c>
      <c r="AE100" s="31">
        <v>3.5735616434583872E-4</v>
      </c>
      <c r="AF100" s="12">
        <v>1.5197221502908715</v>
      </c>
      <c r="AG100" s="32">
        <f t="shared" si="11"/>
        <v>5.4308207849935607E-4</v>
      </c>
      <c r="AH100" s="32">
        <f t="shared" si="12"/>
        <v>76.97286394226478</v>
      </c>
      <c r="AI100" s="33">
        <f t="shared" si="13"/>
        <v>4.1802582937813297E-2</v>
      </c>
      <c r="AJ100" s="34">
        <f t="shared" si="14"/>
        <v>4.2626771566042733E-3</v>
      </c>
      <c r="AK100" s="35" t="s">
        <v>920</v>
      </c>
      <c r="AL100" s="32">
        <v>0.15079644736800002</v>
      </c>
      <c r="AM100" s="32">
        <v>1.5197221502908715</v>
      </c>
      <c r="AN100" s="36">
        <v>0.23</v>
      </c>
    </row>
    <row r="101" spans="27:40" x14ac:dyDescent="0.25">
      <c r="AA101" s="29">
        <v>98</v>
      </c>
      <c r="AB101" s="30" t="s">
        <v>244</v>
      </c>
      <c r="AC101" s="29" t="s">
        <v>157</v>
      </c>
      <c r="AD101" s="30" t="s">
        <v>28</v>
      </c>
      <c r="AE101" s="31">
        <v>3.5735616434583872E-4</v>
      </c>
      <c r="AF101" s="12">
        <v>1.5197221502895877</v>
      </c>
      <c r="AG101" s="32">
        <f t="shared" si="11"/>
        <v>5.4308207849889734E-4</v>
      </c>
      <c r="AH101" s="32">
        <f t="shared" si="12"/>
        <v>76.97286394226478</v>
      </c>
      <c r="AI101" s="33">
        <f t="shared" si="13"/>
        <v>4.1802582937777985E-2</v>
      </c>
      <c r="AJ101" s="34">
        <f t="shared" si="14"/>
        <v>4.2626771566006728E-3</v>
      </c>
      <c r="AK101" s="35" t="s">
        <v>920</v>
      </c>
      <c r="AL101" s="32">
        <v>0.15079644736800002</v>
      </c>
      <c r="AM101" s="32">
        <v>1.5197221502895877</v>
      </c>
      <c r="AN101" s="36">
        <v>0.23</v>
      </c>
    </row>
    <row r="102" spans="27:40" x14ac:dyDescent="0.25">
      <c r="AA102" s="29">
        <v>99</v>
      </c>
      <c r="AB102" s="30" t="s">
        <v>245</v>
      </c>
      <c r="AC102" s="29" t="s">
        <v>157</v>
      </c>
      <c r="AD102" s="30" t="s">
        <v>28</v>
      </c>
      <c r="AE102" s="31">
        <v>3.5735616434583872E-4</v>
      </c>
      <c r="AF102" s="12">
        <v>1.5197221502907208</v>
      </c>
      <c r="AG102" s="32">
        <f t="shared" si="11"/>
        <v>5.4308207849930218E-4</v>
      </c>
      <c r="AH102" s="32">
        <f t="shared" si="12"/>
        <v>76.97286394226478</v>
      </c>
      <c r="AI102" s="33">
        <f t="shared" si="13"/>
        <v>4.1802582937809148E-2</v>
      </c>
      <c r="AJ102" s="34">
        <f t="shared" si="14"/>
        <v>4.2626771566038509E-3</v>
      </c>
      <c r="AK102" s="35" t="s">
        <v>920</v>
      </c>
      <c r="AL102" s="32">
        <v>0.15079644736800002</v>
      </c>
      <c r="AM102" s="32">
        <v>1.5197221502907208</v>
      </c>
      <c r="AN102" s="36">
        <v>0.23</v>
      </c>
    </row>
    <row r="103" spans="27:40" x14ac:dyDescent="0.25">
      <c r="AA103" s="29">
        <v>100</v>
      </c>
      <c r="AB103" s="30" t="s">
        <v>246</v>
      </c>
      <c r="AC103" s="29" t="s">
        <v>157</v>
      </c>
      <c r="AD103" s="30" t="s">
        <v>28</v>
      </c>
      <c r="AE103" s="31">
        <v>3.5735616434583872E-4</v>
      </c>
      <c r="AF103" s="12">
        <v>1.5197221502899976</v>
      </c>
      <c r="AG103" s="32">
        <f t="shared" si="11"/>
        <v>5.4308207849904382E-4</v>
      </c>
      <c r="AH103" s="32">
        <f t="shared" si="12"/>
        <v>76.97286394226478</v>
      </c>
      <c r="AI103" s="33">
        <f t="shared" si="13"/>
        <v>4.1802582937789261E-2</v>
      </c>
      <c r="AJ103" s="34">
        <f t="shared" si="14"/>
        <v>4.262677156601823E-3</v>
      </c>
      <c r="AK103" s="35" t="s">
        <v>920</v>
      </c>
      <c r="AL103" s="32">
        <v>0.15079644736800002</v>
      </c>
      <c r="AM103" s="32">
        <v>1.5197221502899976</v>
      </c>
      <c r="AN103" s="36">
        <v>0.23</v>
      </c>
    </row>
    <row r="104" spans="27:40" x14ac:dyDescent="0.25">
      <c r="AA104" s="29">
        <v>101</v>
      </c>
      <c r="AB104" s="30" t="s">
        <v>247</v>
      </c>
      <c r="AC104" s="29" t="s">
        <v>157</v>
      </c>
      <c r="AD104" s="30" t="s">
        <v>28</v>
      </c>
      <c r="AE104" s="31">
        <v>3.5735616434583872E-4</v>
      </c>
      <c r="AF104" s="12">
        <v>1.5197221502903375</v>
      </c>
      <c r="AG104" s="32">
        <f t="shared" si="11"/>
        <v>5.4308207849916525E-4</v>
      </c>
      <c r="AH104" s="32">
        <f t="shared" si="12"/>
        <v>76.97286394226478</v>
      </c>
      <c r="AI104" s="33">
        <f t="shared" si="13"/>
        <v>4.1802582937798607E-2</v>
      </c>
      <c r="AJ104" s="34">
        <f t="shared" si="14"/>
        <v>4.2626771566027753E-3</v>
      </c>
      <c r="AK104" s="35" t="s">
        <v>920</v>
      </c>
      <c r="AL104" s="32">
        <v>0.15079644736800002</v>
      </c>
      <c r="AM104" s="32">
        <v>1.5197221502903375</v>
      </c>
      <c r="AN104" s="36">
        <v>0.23</v>
      </c>
    </row>
    <row r="105" spans="27:40" x14ac:dyDescent="0.25">
      <c r="AA105" s="29">
        <v>102</v>
      </c>
      <c r="AB105" s="30" t="s">
        <v>248</v>
      </c>
      <c r="AC105" s="29" t="s">
        <v>157</v>
      </c>
      <c r="AD105" s="30" t="s">
        <v>28</v>
      </c>
      <c r="AE105" s="31">
        <v>3.5735616434583872E-4</v>
      </c>
      <c r="AF105" s="12">
        <v>1.5197221502884424</v>
      </c>
      <c r="AG105" s="32">
        <f t="shared" si="11"/>
        <v>5.4308207849848805E-4</v>
      </c>
      <c r="AH105" s="32">
        <f t="shared" si="12"/>
        <v>76.97286394226478</v>
      </c>
      <c r="AI105" s="33">
        <f t="shared" si="13"/>
        <v>4.1802582937746482E-2</v>
      </c>
      <c r="AJ105" s="34">
        <f t="shared" si="14"/>
        <v>4.2626771565974601E-3</v>
      </c>
      <c r="AK105" s="35" t="s">
        <v>920</v>
      </c>
      <c r="AL105" s="32">
        <v>0.15079644736800002</v>
      </c>
      <c r="AM105" s="32">
        <v>1.5197221502884424</v>
      </c>
      <c r="AN105" s="36">
        <v>0.23</v>
      </c>
    </row>
    <row r="106" spans="27:40" x14ac:dyDescent="0.25">
      <c r="AA106" s="29">
        <v>103</v>
      </c>
      <c r="AB106" s="30" t="s">
        <v>249</v>
      </c>
      <c r="AC106" s="29" t="s">
        <v>157</v>
      </c>
      <c r="AD106" s="30" t="s">
        <v>28</v>
      </c>
      <c r="AE106" s="31">
        <v>3.5735616434583872E-4</v>
      </c>
      <c r="AF106" s="12">
        <v>1.5197221502911953</v>
      </c>
      <c r="AG106" s="32">
        <f t="shared" si="11"/>
        <v>5.4308207849947175E-4</v>
      </c>
      <c r="AH106" s="32">
        <f t="shared" si="12"/>
        <v>76.97286394226478</v>
      </c>
      <c r="AI106" s="33">
        <f t="shared" si="13"/>
        <v>4.18025829378222E-2</v>
      </c>
      <c r="AJ106" s="34">
        <f t="shared" si="14"/>
        <v>4.2626771566051814E-3</v>
      </c>
      <c r="AK106" s="35" t="s">
        <v>920</v>
      </c>
      <c r="AL106" s="32">
        <v>0.15079644736800002</v>
      </c>
      <c r="AM106" s="32">
        <v>1.5197221502911953</v>
      </c>
      <c r="AN106" s="36">
        <v>0.23</v>
      </c>
    </row>
    <row r="107" spans="27:40" x14ac:dyDescent="0.25">
      <c r="AA107" s="29">
        <v>104</v>
      </c>
      <c r="AB107" s="30" t="s">
        <v>250</v>
      </c>
      <c r="AC107" s="29" t="s">
        <v>157</v>
      </c>
      <c r="AD107" s="30" t="s">
        <v>28</v>
      </c>
      <c r="AE107" s="31">
        <v>3.5735616434583872E-4</v>
      </c>
      <c r="AF107" s="12">
        <v>1.5197221502901306</v>
      </c>
      <c r="AG107" s="32">
        <f t="shared" si="11"/>
        <v>5.430820784990913E-4</v>
      </c>
      <c r="AH107" s="32">
        <f t="shared" si="12"/>
        <v>76.97286394226478</v>
      </c>
      <c r="AI107" s="33">
        <f t="shared" si="13"/>
        <v>4.1802582937792918E-2</v>
      </c>
      <c r="AJ107" s="34">
        <f t="shared" si="14"/>
        <v>4.2626771566021951E-3</v>
      </c>
      <c r="AK107" s="35" t="s">
        <v>920</v>
      </c>
      <c r="AL107" s="32">
        <v>0.15079644736800002</v>
      </c>
      <c r="AM107" s="32">
        <v>1.5197221502901306</v>
      </c>
      <c r="AN107" s="36">
        <v>0.23</v>
      </c>
    </row>
    <row r="108" spans="27:40" x14ac:dyDescent="0.25">
      <c r="AA108" s="29">
        <v>105</v>
      </c>
      <c r="AB108" s="30" t="s">
        <v>251</v>
      </c>
      <c r="AC108" s="29" t="s">
        <v>157</v>
      </c>
      <c r="AD108" s="30" t="s">
        <v>28</v>
      </c>
      <c r="AE108" s="31">
        <v>3.5735616434583872E-4</v>
      </c>
      <c r="AF108" s="12">
        <v>1.5197221502903198</v>
      </c>
      <c r="AG108" s="32">
        <f t="shared" si="11"/>
        <v>5.4308207849915896E-4</v>
      </c>
      <c r="AH108" s="32">
        <f t="shared" si="12"/>
        <v>76.97286394226478</v>
      </c>
      <c r="AI108" s="33">
        <f t="shared" si="13"/>
        <v>4.1802582937798122E-2</v>
      </c>
      <c r="AJ108" s="34">
        <f t="shared" si="14"/>
        <v>4.2626771566027259E-3</v>
      </c>
      <c r="AK108" s="35" t="s">
        <v>920</v>
      </c>
      <c r="AL108" s="32">
        <v>0.15079644736800002</v>
      </c>
      <c r="AM108" s="32">
        <v>1.5197221502903198</v>
      </c>
      <c r="AN108" s="36">
        <v>0.23</v>
      </c>
    </row>
    <row r="109" spans="27:40" x14ac:dyDescent="0.25">
      <c r="AA109" s="29">
        <v>106</v>
      </c>
      <c r="AB109" s="30" t="s">
        <v>252</v>
      </c>
      <c r="AC109" s="29" t="s">
        <v>157</v>
      </c>
      <c r="AD109" s="30" t="s">
        <v>28</v>
      </c>
      <c r="AE109" s="31">
        <v>3.5735616434583872E-4</v>
      </c>
      <c r="AF109" s="12">
        <v>1.5197221502894194</v>
      </c>
      <c r="AG109" s="32">
        <f t="shared" si="11"/>
        <v>5.4308207849883717E-4</v>
      </c>
      <c r="AH109" s="32">
        <f t="shared" si="12"/>
        <v>76.97286394226478</v>
      </c>
      <c r="AI109" s="33">
        <f t="shared" si="13"/>
        <v>4.1802582937773357E-2</v>
      </c>
      <c r="AJ109" s="34">
        <f t="shared" si="14"/>
        <v>4.262677156600201E-3</v>
      </c>
      <c r="AK109" s="35" t="s">
        <v>920</v>
      </c>
      <c r="AL109" s="32">
        <v>0.15079644736800002</v>
      </c>
      <c r="AM109" s="32">
        <v>1.5197221502894194</v>
      </c>
      <c r="AN109" s="36">
        <v>0.23</v>
      </c>
    </row>
    <row r="110" spans="27:40" x14ac:dyDescent="0.25">
      <c r="AA110" s="29">
        <v>107</v>
      </c>
      <c r="AB110" s="30" t="s">
        <v>253</v>
      </c>
      <c r="AC110" s="29" t="s">
        <v>157</v>
      </c>
      <c r="AD110" s="30" t="s">
        <v>28</v>
      </c>
      <c r="AE110" s="31">
        <v>3.5735616434583872E-4</v>
      </c>
      <c r="AF110" s="12">
        <v>1.5197221502892622</v>
      </c>
      <c r="AG110" s="32">
        <f t="shared" si="11"/>
        <v>5.43082078498781E-4</v>
      </c>
      <c r="AH110" s="32">
        <f t="shared" si="12"/>
        <v>76.97286394226478</v>
      </c>
      <c r="AI110" s="33">
        <f t="shared" si="13"/>
        <v>4.1802582937769034E-2</v>
      </c>
      <c r="AJ110" s="34">
        <f t="shared" si="14"/>
        <v>4.2626771565997604E-3</v>
      </c>
      <c r="AK110" s="35" t="s">
        <v>920</v>
      </c>
      <c r="AL110" s="32">
        <v>0.15079644736800002</v>
      </c>
      <c r="AM110" s="32">
        <v>1.5197221502892622</v>
      </c>
      <c r="AN110" s="36">
        <v>0.23</v>
      </c>
    </row>
    <row r="111" spans="27:40" x14ac:dyDescent="0.25">
      <c r="AA111" s="29">
        <v>108</v>
      </c>
      <c r="AB111" s="30" t="s">
        <v>254</v>
      </c>
      <c r="AC111" s="29" t="s">
        <v>157</v>
      </c>
      <c r="AD111" s="30" t="s">
        <v>28</v>
      </c>
      <c r="AE111" s="31">
        <v>3.5735616434583872E-4</v>
      </c>
      <c r="AF111" s="12">
        <v>1.519722150291644</v>
      </c>
      <c r="AG111" s="32">
        <f t="shared" si="11"/>
        <v>5.4308207849963221E-4</v>
      </c>
      <c r="AH111" s="32">
        <f t="shared" si="12"/>
        <v>76.97286394226478</v>
      </c>
      <c r="AI111" s="33">
        <f t="shared" si="13"/>
        <v>4.1802582937834551E-2</v>
      </c>
      <c r="AJ111" s="34">
        <f t="shared" si="14"/>
        <v>4.2626771566064408E-3</v>
      </c>
      <c r="AK111" s="35" t="s">
        <v>920</v>
      </c>
      <c r="AL111" s="32">
        <v>0.15079644736800002</v>
      </c>
      <c r="AM111" s="32">
        <v>1.519722150291644</v>
      </c>
      <c r="AN111" s="36">
        <v>0.23</v>
      </c>
    </row>
    <row r="112" spans="27:40" x14ac:dyDescent="0.25">
      <c r="AA112" s="29">
        <v>109</v>
      </c>
      <c r="AB112" s="30" t="s">
        <v>255</v>
      </c>
      <c r="AC112" s="29" t="s">
        <v>153</v>
      </c>
      <c r="AD112" s="30" t="s">
        <v>28</v>
      </c>
      <c r="AE112" s="31">
        <v>8.2938046054770545E-4</v>
      </c>
      <c r="AF112" s="12">
        <v>1.5197221502907379</v>
      </c>
      <c r="AG112" s="32">
        <f t="shared" si="11"/>
        <v>1.2604278569126814E-3</v>
      </c>
      <c r="AH112" s="32">
        <f t="shared" si="12"/>
        <v>76.97286394226478</v>
      </c>
      <c r="AI112" s="33">
        <f t="shared" si="13"/>
        <v>9.7018741939180211E-2</v>
      </c>
      <c r="AJ112" s="34">
        <f t="shared" si="14"/>
        <v>9.8931584118103748E-3</v>
      </c>
      <c r="AK112" s="35" t="s">
        <v>920</v>
      </c>
      <c r="AL112" s="32">
        <v>0.21991148574500002</v>
      </c>
      <c r="AM112" s="32">
        <v>1.5197221502907379</v>
      </c>
      <c r="AN112" s="36">
        <v>0.33</v>
      </c>
    </row>
    <row r="113" spans="27:40" x14ac:dyDescent="0.25">
      <c r="AA113" s="29">
        <v>110</v>
      </c>
      <c r="AB113" s="30" t="s">
        <v>256</v>
      </c>
      <c r="AC113" s="29" t="s">
        <v>153</v>
      </c>
      <c r="AD113" s="30" t="s">
        <v>28</v>
      </c>
      <c r="AE113" s="31">
        <v>8.2938046054770545E-4</v>
      </c>
      <c r="AF113" s="12">
        <v>1.5197221502913925</v>
      </c>
      <c r="AG113" s="32">
        <f t="shared" si="11"/>
        <v>1.2604278569132244E-3</v>
      </c>
      <c r="AH113" s="32">
        <f t="shared" si="12"/>
        <v>76.97286394226478</v>
      </c>
      <c r="AI113" s="33">
        <f t="shared" si="13"/>
        <v>9.7018741939221997E-2</v>
      </c>
      <c r="AJ113" s="34">
        <f t="shared" si="14"/>
        <v>9.8931584118146371E-3</v>
      </c>
      <c r="AK113" s="35" t="s">
        <v>920</v>
      </c>
      <c r="AL113" s="32">
        <v>0.21991148574500002</v>
      </c>
      <c r="AM113" s="32">
        <v>1.5197221502913925</v>
      </c>
      <c r="AN113" s="36">
        <v>0.33</v>
      </c>
    </row>
    <row r="114" spans="27:40" x14ac:dyDescent="0.25">
      <c r="AA114" s="29">
        <v>111</v>
      </c>
      <c r="AB114" s="30" t="s">
        <v>257</v>
      </c>
      <c r="AC114" s="29" t="s">
        <v>153</v>
      </c>
      <c r="AD114" s="30" t="s">
        <v>28</v>
      </c>
      <c r="AE114" s="31">
        <v>8.2938046054770545E-4</v>
      </c>
      <c r="AF114" s="12">
        <v>1.5197221502894147</v>
      </c>
      <c r="AG114" s="32">
        <f t="shared" si="11"/>
        <v>1.260427856911584E-3</v>
      </c>
      <c r="AH114" s="32">
        <f t="shared" si="12"/>
        <v>76.97286394226478</v>
      </c>
      <c r="AI114" s="33">
        <f t="shared" si="13"/>
        <v>9.7018741939095737E-2</v>
      </c>
      <c r="AJ114" s="34">
        <f t="shared" si="14"/>
        <v>9.8931584118017619E-3</v>
      </c>
      <c r="AK114" s="35" t="s">
        <v>920</v>
      </c>
      <c r="AL114" s="32">
        <v>0.21991148574500002</v>
      </c>
      <c r="AM114" s="32">
        <v>1.5197221502894147</v>
      </c>
      <c r="AN114" s="36">
        <v>0.33</v>
      </c>
    </row>
    <row r="115" spans="27:40" x14ac:dyDescent="0.25">
      <c r="AA115" s="29">
        <v>112</v>
      </c>
      <c r="AB115" s="30" t="s">
        <v>258</v>
      </c>
      <c r="AC115" s="29" t="s">
        <v>153</v>
      </c>
      <c r="AD115" s="30" t="s">
        <v>28</v>
      </c>
      <c r="AE115" s="31">
        <v>8.2938046054770545E-4</v>
      </c>
      <c r="AF115" s="12">
        <v>1.5197221502915463</v>
      </c>
      <c r="AG115" s="32">
        <f t="shared" si="11"/>
        <v>1.2604278569133519E-3</v>
      </c>
      <c r="AH115" s="32">
        <f t="shared" si="12"/>
        <v>76.97286394226478</v>
      </c>
      <c r="AI115" s="33">
        <f t="shared" si="13"/>
        <v>9.7018741939231809E-2</v>
      </c>
      <c r="AJ115" s="34">
        <f t="shared" si="14"/>
        <v>9.8931584118156363E-3</v>
      </c>
      <c r="AK115" s="35" t="s">
        <v>920</v>
      </c>
      <c r="AL115" s="32">
        <v>0.21991148574500002</v>
      </c>
      <c r="AM115" s="32">
        <v>1.5197221502915463</v>
      </c>
      <c r="AN115" s="36">
        <v>0.33</v>
      </c>
    </row>
    <row r="116" spans="27:40" x14ac:dyDescent="0.25">
      <c r="AA116" s="29">
        <v>113</v>
      </c>
      <c r="AB116" s="30" t="s">
        <v>259</v>
      </c>
      <c r="AC116" s="29" t="s">
        <v>153</v>
      </c>
      <c r="AD116" s="30" t="s">
        <v>28</v>
      </c>
      <c r="AE116" s="31">
        <v>8.2938046054770545E-4</v>
      </c>
      <c r="AF116" s="12">
        <v>1.5197221474731262</v>
      </c>
      <c r="AG116" s="32">
        <f t="shared" si="11"/>
        <v>1.2604278545758094E-3</v>
      </c>
      <c r="AH116" s="32">
        <f t="shared" si="12"/>
        <v>76.97286394226478</v>
      </c>
      <c r="AI116" s="33">
        <f t="shared" si="13"/>
        <v>9.7018741759304472E-2</v>
      </c>
      <c r="AJ116" s="34">
        <f t="shared" si="14"/>
        <v>9.8931583934681547E-3</v>
      </c>
      <c r="AK116" s="35" t="s">
        <v>920</v>
      </c>
      <c r="AL116" s="32">
        <v>0.21991148574500002</v>
      </c>
      <c r="AM116" s="32">
        <v>1.5197221474731262</v>
      </c>
      <c r="AN116" s="36">
        <v>0.33</v>
      </c>
    </row>
    <row r="117" spans="27:40" x14ac:dyDescent="0.25">
      <c r="AA117" s="29">
        <v>114</v>
      </c>
      <c r="AB117" s="30" t="s">
        <v>260</v>
      </c>
      <c r="AC117" s="29" t="s">
        <v>157</v>
      </c>
      <c r="AD117" s="30" t="s">
        <v>28</v>
      </c>
      <c r="AE117" s="31">
        <v>3.5735616434583872E-4</v>
      </c>
      <c r="AF117" s="12">
        <v>1.5197221558262051</v>
      </c>
      <c r="AG117" s="32">
        <f t="shared" si="11"/>
        <v>5.4308208047744162E-4</v>
      </c>
      <c r="AH117" s="32">
        <f t="shared" si="12"/>
        <v>76.97286394226478</v>
      </c>
      <c r="AI117" s="33">
        <f t="shared" si="13"/>
        <v>4.1802583090072204E-2</v>
      </c>
      <c r="AJ117" s="34">
        <f t="shared" si="14"/>
        <v>4.2626771721303615E-3</v>
      </c>
      <c r="AK117" s="35" t="s">
        <v>920</v>
      </c>
      <c r="AL117" s="32">
        <v>0.15079644736800002</v>
      </c>
      <c r="AM117" s="32">
        <v>1.5197221558262051</v>
      </c>
      <c r="AN117" s="36">
        <v>0.23</v>
      </c>
    </row>
    <row r="118" spans="27:40" x14ac:dyDescent="0.25">
      <c r="AA118" s="29">
        <v>115</v>
      </c>
      <c r="AB118" s="30" t="s">
        <v>261</v>
      </c>
      <c r="AC118" s="29" t="s">
        <v>154</v>
      </c>
      <c r="AD118" s="30" t="s">
        <v>28</v>
      </c>
      <c r="AE118" s="31">
        <v>2.8902652413026117E-4</v>
      </c>
      <c r="AF118" s="12">
        <v>1</v>
      </c>
      <c r="AG118" s="32">
        <f t="shared" si="11"/>
        <v>2.8902652413026117E-4</v>
      </c>
      <c r="AH118" s="32">
        <f t="shared" si="12"/>
        <v>76.97286394226478</v>
      </c>
      <c r="AI118" s="33">
        <f t="shared" si="13"/>
        <v>2.2247199317584301E-2</v>
      </c>
      <c r="AJ118" s="34">
        <f t="shared" si="14"/>
        <v>2.2685829837492213E-3</v>
      </c>
      <c r="AK118" s="35" t="s">
        <v>920</v>
      </c>
      <c r="AL118" s="32">
        <v>0.15079644736800002</v>
      </c>
      <c r="AM118" s="32">
        <v>1</v>
      </c>
      <c r="AN118" s="36">
        <v>0.15</v>
      </c>
    </row>
    <row r="119" spans="27:40" x14ac:dyDescent="0.25">
      <c r="AA119" s="29">
        <v>116</v>
      </c>
      <c r="AB119" s="30" t="s">
        <v>262</v>
      </c>
      <c r="AC119" s="29" t="s">
        <v>154</v>
      </c>
      <c r="AD119" s="30" t="s">
        <v>28</v>
      </c>
      <c r="AE119" s="31">
        <v>2.8902652413026117E-4</v>
      </c>
      <c r="AF119" s="12">
        <v>1</v>
      </c>
      <c r="AG119" s="32">
        <f t="shared" si="11"/>
        <v>2.8902652413026117E-4</v>
      </c>
      <c r="AH119" s="32">
        <f t="shared" si="12"/>
        <v>76.97286394226478</v>
      </c>
      <c r="AI119" s="33">
        <f t="shared" si="13"/>
        <v>2.2247199317584301E-2</v>
      </c>
      <c r="AJ119" s="34">
        <f t="shared" si="14"/>
        <v>2.2685829837492213E-3</v>
      </c>
      <c r="AK119" s="35" t="s">
        <v>920</v>
      </c>
      <c r="AL119" s="32">
        <v>0.15079644736800002</v>
      </c>
      <c r="AM119" s="32">
        <v>1</v>
      </c>
      <c r="AN119" s="36">
        <v>0.15</v>
      </c>
    </row>
    <row r="120" spans="27:40" x14ac:dyDescent="0.25">
      <c r="AA120" s="29">
        <v>117</v>
      </c>
      <c r="AB120" s="30" t="s">
        <v>263</v>
      </c>
      <c r="AC120" s="29" t="s">
        <v>154</v>
      </c>
      <c r="AD120" s="30" t="s">
        <v>28</v>
      </c>
      <c r="AE120" s="31">
        <v>2.8902652413026117E-4</v>
      </c>
      <c r="AF120" s="12">
        <v>1</v>
      </c>
      <c r="AG120" s="32">
        <f t="shared" si="11"/>
        <v>2.8902652413026117E-4</v>
      </c>
      <c r="AH120" s="32">
        <f t="shared" si="12"/>
        <v>76.97286394226478</v>
      </c>
      <c r="AI120" s="33">
        <f t="shared" si="13"/>
        <v>2.2247199317584301E-2</v>
      </c>
      <c r="AJ120" s="34">
        <f t="shared" si="14"/>
        <v>2.2685829837492213E-3</v>
      </c>
      <c r="AK120" s="35" t="s">
        <v>920</v>
      </c>
      <c r="AL120" s="32">
        <v>0.15079644736800002</v>
      </c>
      <c r="AM120" s="32">
        <v>1</v>
      </c>
      <c r="AN120" s="36">
        <v>0.15</v>
      </c>
    </row>
    <row r="121" spans="27:40" x14ac:dyDescent="0.25">
      <c r="AA121" s="29">
        <v>118</v>
      </c>
      <c r="AB121" s="30" t="s">
        <v>70</v>
      </c>
      <c r="AC121" s="29" t="s">
        <v>154</v>
      </c>
      <c r="AD121" s="30" t="s">
        <v>28</v>
      </c>
      <c r="AE121" s="31">
        <v>2.8902652413026117E-4</v>
      </c>
      <c r="AF121" s="12">
        <v>1</v>
      </c>
      <c r="AG121" s="32">
        <f t="shared" si="11"/>
        <v>2.8902652413026117E-4</v>
      </c>
      <c r="AH121" s="32">
        <f t="shared" si="12"/>
        <v>76.97286394226478</v>
      </c>
      <c r="AI121" s="33">
        <f t="shared" si="13"/>
        <v>2.2247199317584301E-2</v>
      </c>
      <c r="AJ121" s="34">
        <f t="shared" si="14"/>
        <v>2.2685829837492213E-3</v>
      </c>
      <c r="AK121" s="35" t="s">
        <v>920</v>
      </c>
      <c r="AL121" s="32">
        <v>0.15079644736800002</v>
      </c>
      <c r="AM121" s="32">
        <v>1</v>
      </c>
      <c r="AN121" s="36">
        <v>0.15</v>
      </c>
    </row>
    <row r="122" spans="27:40" x14ac:dyDescent="0.25">
      <c r="AA122" s="29">
        <v>119</v>
      </c>
      <c r="AB122" s="30" t="s">
        <v>71</v>
      </c>
      <c r="AC122" s="29" t="s">
        <v>154</v>
      </c>
      <c r="AD122" s="30" t="s">
        <v>28</v>
      </c>
      <c r="AE122" s="31">
        <v>2.8902652413026117E-4</v>
      </c>
      <c r="AF122" s="12">
        <v>1</v>
      </c>
      <c r="AG122" s="32">
        <f t="shared" si="11"/>
        <v>2.8902652413026117E-4</v>
      </c>
      <c r="AH122" s="32">
        <f t="shared" si="12"/>
        <v>76.97286394226478</v>
      </c>
      <c r="AI122" s="33">
        <f t="shared" si="13"/>
        <v>2.2247199317584301E-2</v>
      </c>
      <c r="AJ122" s="34">
        <f t="shared" si="14"/>
        <v>2.2685829837492213E-3</v>
      </c>
      <c r="AK122" s="35" t="s">
        <v>920</v>
      </c>
      <c r="AL122" s="32">
        <v>0.15079644736800002</v>
      </c>
      <c r="AM122" s="32">
        <v>1</v>
      </c>
      <c r="AN122" s="36">
        <v>0.15</v>
      </c>
    </row>
    <row r="123" spans="27:40" x14ac:dyDescent="0.25">
      <c r="AA123" s="29">
        <v>120</v>
      </c>
      <c r="AB123" s="30" t="s">
        <v>72</v>
      </c>
      <c r="AC123" s="29" t="s">
        <v>154</v>
      </c>
      <c r="AD123" s="30" t="s">
        <v>28</v>
      </c>
      <c r="AE123" s="31">
        <v>2.8902652413026117E-4</v>
      </c>
      <c r="AF123" s="12">
        <v>1</v>
      </c>
      <c r="AG123" s="32">
        <f t="shared" si="11"/>
        <v>2.8902652413026117E-4</v>
      </c>
      <c r="AH123" s="32">
        <f t="shared" si="12"/>
        <v>76.97286394226478</v>
      </c>
      <c r="AI123" s="33">
        <f t="shared" si="13"/>
        <v>2.2247199317584301E-2</v>
      </c>
      <c r="AJ123" s="34">
        <f t="shared" si="14"/>
        <v>2.2685829837492213E-3</v>
      </c>
      <c r="AK123" s="35" t="s">
        <v>920</v>
      </c>
      <c r="AL123" s="32">
        <v>0.15079644736800002</v>
      </c>
      <c r="AM123" s="32">
        <v>1</v>
      </c>
      <c r="AN123" s="36">
        <v>0.15</v>
      </c>
    </row>
    <row r="124" spans="27:40" x14ac:dyDescent="0.25">
      <c r="AA124" s="29">
        <v>121</v>
      </c>
      <c r="AB124" s="30" t="s">
        <v>73</v>
      </c>
      <c r="AC124" s="29" t="s">
        <v>154</v>
      </c>
      <c r="AD124" s="30" t="s">
        <v>28</v>
      </c>
      <c r="AE124" s="31">
        <v>2.8902652413026117E-4</v>
      </c>
      <c r="AF124" s="12">
        <v>1</v>
      </c>
      <c r="AG124" s="32">
        <f t="shared" si="11"/>
        <v>2.8902652413026117E-4</v>
      </c>
      <c r="AH124" s="32">
        <f t="shared" si="12"/>
        <v>76.97286394226478</v>
      </c>
      <c r="AI124" s="33">
        <f t="shared" si="13"/>
        <v>2.2247199317584301E-2</v>
      </c>
      <c r="AJ124" s="34">
        <f t="shared" si="14"/>
        <v>2.2685829837492213E-3</v>
      </c>
      <c r="AK124" s="35" t="s">
        <v>920</v>
      </c>
      <c r="AL124" s="32">
        <v>0.15079644736800002</v>
      </c>
      <c r="AM124" s="32">
        <v>1</v>
      </c>
      <c r="AN124" s="36">
        <v>0.15</v>
      </c>
    </row>
    <row r="125" spans="27:40" x14ac:dyDescent="0.25">
      <c r="AA125" s="29">
        <v>122</v>
      </c>
      <c r="AB125" s="30" t="s">
        <v>74</v>
      </c>
      <c r="AC125" s="29" t="s">
        <v>154</v>
      </c>
      <c r="AD125" s="30" t="s">
        <v>28</v>
      </c>
      <c r="AE125" s="31">
        <v>2.8902652413026117E-4</v>
      </c>
      <c r="AF125" s="12">
        <v>1</v>
      </c>
      <c r="AG125" s="32">
        <f t="shared" si="11"/>
        <v>2.8902652413026117E-4</v>
      </c>
      <c r="AH125" s="32">
        <f t="shared" si="12"/>
        <v>76.97286394226478</v>
      </c>
      <c r="AI125" s="33">
        <f t="shared" si="13"/>
        <v>2.2247199317584301E-2</v>
      </c>
      <c r="AJ125" s="34">
        <f t="shared" si="14"/>
        <v>2.2685829837492213E-3</v>
      </c>
      <c r="AK125" s="35" t="s">
        <v>920</v>
      </c>
      <c r="AL125" s="32">
        <v>0.15079644736800002</v>
      </c>
      <c r="AM125" s="32">
        <v>1</v>
      </c>
      <c r="AN125" s="36">
        <v>0.15</v>
      </c>
    </row>
    <row r="126" spans="27:40" x14ac:dyDescent="0.25">
      <c r="AA126" s="29">
        <v>123</v>
      </c>
      <c r="AB126" s="30" t="s">
        <v>75</v>
      </c>
      <c r="AC126" s="29" t="s">
        <v>154</v>
      </c>
      <c r="AD126" s="30" t="s">
        <v>28</v>
      </c>
      <c r="AE126" s="31">
        <v>2.8902652413026117E-4</v>
      </c>
      <c r="AF126" s="12">
        <v>1</v>
      </c>
      <c r="AG126" s="32">
        <f t="shared" si="11"/>
        <v>2.8902652413026117E-4</v>
      </c>
      <c r="AH126" s="32">
        <f t="shared" si="12"/>
        <v>76.97286394226478</v>
      </c>
      <c r="AI126" s="33">
        <f t="shared" si="13"/>
        <v>2.2247199317584301E-2</v>
      </c>
      <c r="AJ126" s="34">
        <f t="shared" si="14"/>
        <v>2.2685829837492213E-3</v>
      </c>
      <c r="AK126" s="35" t="s">
        <v>920</v>
      </c>
      <c r="AL126" s="32">
        <v>0.15079644736800002</v>
      </c>
      <c r="AM126" s="32">
        <v>1</v>
      </c>
      <c r="AN126" s="36">
        <v>0.15</v>
      </c>
    </row>
    <row r="127" spans="27:40" x14ac:dyDescent="0.25">
      <c r="AA127" s="29">
        <v>124</v>
      </c>
      <c r="AB127" s="30" t="s">
        <v>76</v>
      </c>
      <c r="AC127" s="29" t="s">
        <v>154</v>
      </c>
      <c r="AD127" s="30" t="s">
        <v>28</v>
      </c>
      <c r="AE127" s="31">
        <v>2.8902652413026117E-4</v>
      </c>
      <c r="AF127" s="12">
        <v>1</v>
      </c>
      <c r="AG127" s="32">
        <f t="shared" si="11"/>
        <v>2.8902652413026117E-4</v>
      </c>
      <c r="AH127" s="32">
        <f t="shared" si="12"/>
        <v>76.97286394226478</v>
      </c>
      <c r="AI127" s="33">
        <f t="shared" si="13"/>
        <v>2.2247199317584301E-2</v>
      </c>
      <c r="AJ127" s="34">
        <f t="shared" si="14"/>
        <v>2.2685829837492213E-3</v>
      </c>
      <c r="AK127" s="35" t="s">
        <v>920</v>
      </c>
      <c r="AL127" s="32">
        <v>0.15079644736800002</v>
      </c>
      <c r="AM127" s="32">
        <v>1</v>
      </c>
      <c r="AN127" s="36">
        <v>0.15</v>
      </c>
    </row>
    <row r="128" spans="27:40" x14ac:dyDescent="0.25">
      <c r="AA128" s="29">
        <v>125</v>
      </c>
      <c r="AB128" s="30" t="s">
        <v>77</v>
      </c>
      <c r="AC128" s="29" t="s">
        <v>154</v>
      </c>
      <c r="AD128" s="30" t="s">
        <v>28</v>
      </c>
      <c r="AE128" s="31">
        <v>2.8902652413026117E-4</v>
      </c>
      <c r="AF128" s="12">
        <v>1</v>
      </c>
      <c r="AG128" s="32">
        <f t="shared" si="11"/>
        <v>2.8902652413026117E-4</v>
      </c>
      <c r="AH128" s="32">
        <f t="shared" si="12"/>
        <v>76.97286394226478</v>
      </c>
      <c r="AI128" s="33">
        <f t="shared" si="13"/>
        <v>2.2247199317584301E-2</v>
      </c>
      <c r="AJ128" s="34">
        <f t="shared" si="14"/>
        <v>2.2685829837492213E-3</v>
      </c>
      <c r="AK128" s="35" t="s">
        <v>920</v>
      </c>
      <c r="AL128" s="32">
        <v>0.15079644736800002</v>
      </c>
      <c r="AM128" s="32">
        <v>1</v>
      </c>
      <c r="AN128" s="36">
        <v>0.15</v>
      </c>
    </row>
    <row r="129" spans="27:40" x14ac:dyDescent="0.25">
      <c r="AA129" s="29">
        <v>126</v>
      </c>
      <c r="AB129" s="30" t="s">
        <v>78</v>
      </c>
      <c r="AC129" s="29" t="s">
        <v>154</v>
      </c>
      <c r="AD129" s="30" t="s">
        <v>28</v>
      </c>
      <c r="AE129" s="31">
        <v>2.8902652413026117E-4</v>
      </c>
      <c r="AF129" s="12">
        <v>1</v>
      </c>
      <c r="AG129" s="32">
        <f t="shared" si="11"/>
        <v>2.8902652413026117E-4</v>
      </c>
      <c r="AH129" s="32">
        <f t="shared" si="12"/>
        <v>76.97286394226478</v>
      </c>
      <c r="AI129" s="33">
        <f t="shared" si="13"/>
        <v>2.2247199317584301E-2</v>
      </c>
      <c r="AJ129" s="34">
        <f t="shared" si="14"/>
        <v>2.2685829837492213E-3</v>
      </c>
      <c r="AK129" s="35" t="s">
        <v>920</v>
      </c>
      <c r="AL129" s="32">
        <v>0.15079644736800002</v>
      </c>
      <c r="AM129" s="32">
        <v>1</v>
      </c>
      <c r="AN129" s="36">
        <v>0.15</v>
      </c>
    </row>
    <row r="130" spans="27:40" x14ac:dyDescent="0.25">
      <c r="AA130" s="29">
        <v>127</v>
      </c>
      <c r="AB130" s="30" t="s">
        <v>79</v>
      </c>
      <c r="AC130" s="29" t="s">
        <v>154</v>
      </c>
      <c r="AD130" s="30" t="s">
        <v>28</v>
      </c>
      <c r="AE130" s="31">
        <v>2.8902652413026117E-4</v>
      </c>
      <c r="AF130" s="12">
        <v>1</v>
      </c>
      <c r="AG130" s="32">
        <f t="shared" si="11"/>
        <v>2.8902652413026117E-4</v>
      </c>
      <c r="AH130" s="32">
        <f t="shared" si="12"/>
        <v>76.97286394226478</v>
      </c>
      <c r="AI130" s="33">
        <f t="shared" si="13"/>
        <v>2.2247199317584301E-2</v>
      </c>
      <c r="AJ130" s="34">
        <f t="shared" si="14"/>
        <v>2.2685829837492213E-3</v>
      </c>
      <c r="AK130" s="35" t="s">
        <v>920</v>
      </c>
      <c r="AL130" s="32">
        <v>0.15079644736800002</v>
      </c>
      <c r="AM130" s="32">
        <v>1</v>
      </c>
      <c r="AN130" s="36">
        <v>0.15</v>
      </c>
    </row>
    <row r="131" spans="27:40" x14ac:dyDescent="0.25">
      <c r="AA131" s="29">
        <v>128</v>
      </c>
      <c r="AB131" s="30" t="s">
        <v>80</v>
      </c>
      <c r="AC131" s="29" t="s">
        <v>154</v>
      </c>
      <c r="AD131" s="30" t="s">
        <v>28</v>
      </c>
      <c r="AE131" s="31">
        <v>2.8902652413026117E-4</v>
      </c>
      <c r="AF131" s="12">
        <v>1</v>
      </c>
      <c r="AG131" s="32">
        <f t="shared" si="11"/>
        <v>2.8902652413026117E-4</v>
      </c>
      <c r="AH131" s="32">
        <f t="shared" si="12"/>
        <v>76.97286394226478</v>
      </c>
      <c r="AI131" s="33">
        <f t="shared" si="13"/>
        <v>2.2247199317584301E-2</v>
      </c>
      <c r="AJ131" s="34">
        <f t="shared" si="14"/>
        <v>2.2685829837492213E-3</v>
      </c>
      <c r="AK131" s="35" t="s">
        <v>920</v>
      </c>
      <c r="AL131" s="32">
        <v>0.15079644736800002</v>
      </c>
      <c r="AM131" s="32">
        <v>1</v>
      </c>
      <c r="AN131" s="36">
        <v>0.15</v>
      </c>
    </row>
    <row r="132" spans="27:40" x14ac:dyDescent="0.25">
      <c r="AA132" s="29">
        <v>129</v>
      </c>
      <c r="AB132" s="30" t="s">
        <v>81</v>
      </c>
      <c r="AC132" s="29" t="s">
        <v>154</v>
      </c>
      <c r="AD132" s="30" t="s">
        <v>28</v>
      </c>
      <c r="AE132" s="31">
        <v>2.8902652413026117E-4</v>
      </c>
      <c r="AF132" s="12">
        <v>1</v>
      </c>
      <c r="AG132" s="32">
        <f t="shared" si="11"/>
        <v>2.8902652413026117E-4</v>
      </c>
      <c r="AH132" s="32">
        <f t="shared" si="12"/>
        <v>76.97286394226478</v>
      </c>
      <c r="AI132" s="33">
        <f t="shared" si="13"/>
        <v>2.2247199317584301E-2</v>
      </c>
      <c r="AJ132" s="34">
        <f t="shared" si="14"/>
        <v>2.2685829837492213E-3</v>
      </c>
      <c r="AK132" s="35" t="s">
        <v>920</v>
      </c>
      <c r="AL132" s="32">
        <v>0.15079644736800002</v>
      </c>
      <c r="AM132" s="32">
        <v>1</v>
      </c>
      <c r="AN132" s="36">
        <v>0.15</v>
      </c>
    </row>
    <row r="133" spans="27:40" x14ac:dyDescent="0.25">
      <c r="AA133" s="29">
        <v>130</v>
      </c>
      <c r="AB133" s="30" t="s">
        <v>82</v>
      </c>
      <c r="AC133" s="29" t="s">
        <v>156</v>
      </c>
      <c r="AD133" s="30" t="s">
        <v>28</v>
      </c>
      <c r="AE133" s="31">
        <v>1.3823007675795071E-3</v>
      </c>
      <c r="AF133" s="12">
        <v>2.0807051797441103</v>
      </c>
      <c r="AG133" s="32">
        <f t="shared" ref="AG133:AG196" si="15">IF(AA133="","",AE133*AF133)</f>
        <v>2.8761603670669398E-3</v>
      </c>
      <c r="AH133" s="32">
        <f t="shared" ref="AH133:AH196" si="16">IF(AA133="","",IFERROR(VLOOKUP(AD133,$A$4:$E$20,3,FALSE),VLOOKUP(AD133,$A$25:$E$30,3,FALSE)))</f>
        <v>76.97286394226478</v>
      </c>
      <c r="AI133" s="33">
        <f t="shared" ref="AI133:AI196" si="17">IF(AA133="","",AG133*AH133)</f>
        <v>0.2213863006103779</v>
      </c>
      <c r="AJ133" s="34">
        <f t="shared" ref="AJ133:AJ196" si="18">IF(AA133="","",AI133/9.80665)</f>
        <v>2.2575120006360777E-2</v>
      </c>
      <c r="AK133" s="35" t="s">
        <v>920</v>
      </c>
      <c r="AL133" s="32">
        <v>0.35814156249900003</v>
      </c>
      <c r="AM133" s="32">
        <v>2.0807051797441103</v>
      </c>
      <c r="AN133" s="36">
        <v>0.75</v>
      </c>
    </row>
    <row r="134" spans="27:40" x14ac:dyDescent="0.25">
      <c r="AA134" s="29">
        <v>131</v>
      </c>
      <c r="AB134" s="30" t="s">
        <v>83</v>
      </c>
      <c r="AC134" s="29" t="s">
        <v>156</v>
      </c>
      <c r="AD134" s="30" t="s">
        <v>28</v>
      </c>
      <c r="AE134" s="31">
        <v>1.3823007675795071E-3</v>
      </c>
      <c r="AF134" s="12">
        <v>2.0807051797462806</v>
      </c>
      <c r="AG134" s="32">
        <f t="shared" si="15"/>
        <v>2.87616036706994E-3</v>
      </c>
      <c r="AH134" s="32">
        <f t="shared" si="16"/>
        <v>76.97286394226478</v>
      </c>
      <c r="AI134" s="33">
        <f t="shared" si="17"/>
        <v>0.22138630061060882</v>
      </c>
      <c r="AJ134" s="34">
        <f t="shared" si="18"/>
        <v>2.2575120006384324E-2</v>
      </c>
      <c r="AK134" s="35" t="s">
        <v>920</v>
      </c>
      <c r="AL134" s="32">
        <v>0.35814156249900003</v>
      </c>
      <c r="AM134" s="32">
        <v>2.0807051797462806</v>
      </c>
      <c r="AN134" s="36">
        <v>0.75</v>
      </c>
    </row>
    <row r="135" spans="27:40" x14ac:dyDescent="0.25">
      <c r="AA135" s="29">
        <v>132</v>
      </c>
      <c r="AB135" s="30" t="s">
        <v>84</v>
      </c>
      <c r="AC135" s="29" t="s">
        <v>156</v>
      </c>
      <c r="AD135" s="30" t="s">
        <v>28</v>
      </c>
      <c r="AE135" s="31">
        <v>1.3823007675795071E-3</v>
      </c>
      <c r="AF135" s="12">
        <v>2.0807051797469542</v>
      </c>
      <c r="AG135" s="32">
        <f t="shared" si="15"/>
        <v>2.8761603670708711E-3</v>
      </c>
      <c r="AH135" s="32">
        <f t="shared" si="16"/>
        <v>76.97286394226478</v>
      </c>
      <c r="AI135" s="33">
        <f t="shared" si="17"/>
        <v>0.22138630061068049</v>
      </c>
      <c r="AJ135" s="34">
        <f t="shared" si="18"/>
        <v>2.2575120006391631E-2</v>
      </c>
      <c r="AK135" s="35" t="s">
        <v>920</v>
      </c>
      <c r="AL135" s="32">
        <v>0.35814156249900003</v>
      </c>
      <c r="AM135" s="32">
        <v>2.0807051797469542</v>
      </c>
      <c r="AN135" s="36">
        <v>0.75</v>
      </c>
    </row>
    <row r="136" spans="27:40" x14ac:dyDescent="0.25">
      <c r="AA136" s="29">
        <v>133</v>
      </c>
      <c r="AB136" s="30" t="s">
        <v>85</v>
      </c>
      <c r="AC136" s="29" t="s">
        <v>156</v>
      </c>
      <c r="AD136" s="30" t="s">
        <v>28</v>
      </c>
      <c r="AE136" s="31">
        <v>1.3823007675795071E-3</v>
      </c>
      <c r="AF136" s="12">
        <v>2.0807051797451113</v>
      </c>
      <c r="AG136" s="32">
        <f t="shared" si="15"/>
        <v>2.8761603670683237E-3</v>
      </c>
      <c r="AH136" s="32">
        <f t="shared" si="16"/>
        <v>76.97286394226478</v>
      </c>
      <c r="AI136" s="33">
        <f t="shared" si="17"/>
        <v>0.22138630061048439</v>
      </c>
      <c r="AJ136" s="34">
        <f t="shared" si="18"/>
        <v>2.2575120006371636E-2</v>
      </c>
      <c r="AK136" s="35" t="s">
        <v>920</v>
      </c>
      <c r="AL136" s="32">
        <v>0.35814156249900003</v>
      </c>
      <c r="AM136" s="32">
        <v>2.0807051797451113</v>
      </c>
      <c r="AN136" s="36">
        <v>0.75</v>
      </c>
    </row>
    <row r="137" spans="27:40" x14ac:dyDescent="0.25">
      <c r="AA137" s="29">
        <v>134</v>
      </c>
      <c r="AB137" s="30" t="s">
        <v>264</v>
      </c>
      <c r="AC137" s="29" t="s">
        <v>156</v>
      </c>
      <c r="AD137" s="30" t="s">
        <v>28</v>
      </c>
      <c r="AE137" s="31">
        <v>1.3823007675795071E-3</v>
      </c>
      <c r="AF137" s="12">
        <v>2.0807051797444625</v>
      </c>
      <c r="AG137" s="32">
        <f t="shared" si="15"/>
        <v>2.8761603670674268E-3</v>
      </c>
      <c r="AH137" s="32">
        <f t="shared" si="16"/>
        <v>76.97286394226478</v>
      </c>
      <c r="AI137" s="33">
        <f t="shared" si="17"/>
        <v>0.22138630061041537</v>
      </c>
      <c r="AJ137" s="34">
        <f t="shared" si="18"/>
        <v>2.2575120006364597E-2</v>
      </c>
      <c r="AK137" s="35" t="s">
        <v>920</v>
      </c>
      <c r="AL137" s="32">
        <v>0.35814156249900003</v>
      </c>
      <c r="AM137" s="32">
        <v>2.0807051797444625</v>
      </c>
      <c r="AN137" s="36">
        <v>0.75</v>
      </c>
    </row>
    <row r="138" spans="27:40" x14ac:dyDescent="0.25">
      <c r="AA138" s="29">
        <v>135</v>
      </c>
      <c r="AB138" s="30" t="s">
        <v>265</v>
      </c>
      <c r="AC138" s="29" t="s">
        <v>156</v>
      </c>
      <c r="AD138" s="30" t="s">
        <v>28</v>
      </c>
      <c r="AE138" s="31">
        <v>1.3823007675795071E-3</v>
      </c>
      <c r="AF138" s="12">
        <v>2.0807051797468379</v>
      </c>
      <c r="AG138" s="32">
        <f t="shared" si="15"/>
        <v>2.8761603670707102E-3</v>
      </c>
      <c r="AH138" s="32">
        <f t="shared" si="16"/>
        <v>76.97286394226478</v>
      </c>
      <c r="AI138" s="33">
        <f t="shared" si="17"/>
        <v>0.22138630061066811</v>
      </c>
      <c r="AJ138" s="34">
        <f t="shared" si="18"/>
        <v>2.2575120006390371E-2</v>
      </c>
      <c r="AK138" s="35" t="s">
        <v>920</v>
      </c>
      <c r="AL138" s="32">
        <v>0.35814156249900003</v>
      </c>
      <c r="AM138" s="32">
        <v>2.0807051797468379</v>
      </c>
      <c r="AN138" s="36">
        <v>0.75</v>
      </c>
    </row>
    <row r="139" spans="27:40" x14ac:dyDescent="0.25">
      <c r="AA139" s="29">
        <v>136</v>
      </c>
      <c r="AB139" s="30" t="s">
        <v>266</v>
      </c>
      <c r="AC139" s="29" t="s">
        <v>156</v>
      </c>
      <c r="AD139" s="30" t="s">
        <v>28</v>
      </c>
      <c r="AE139" s="31">
        <v>1.3823007675795071E-3</v>
      </c>
      <c r="AF139" s="12">
        <v>2.0807051797433171</v>
      </c>
      <c r="AG139" s="32">
        <f t="shared" si="15"/>
        <v>2.8761603670658434E-3</v>
      </c>
      <c r="AH139" s="32">
        <f t="shared" si="16"/>
        <v>76.97286394226478</v>
      </c>
      <c r="AI139" s="33">
        <f t="shared" si="17"/>
        <v>0.22138630061029349</v>
      </c>
      <c r="AJ139" s="34">
        <f t="shared" si="18"/>
        <v>2.2575120006352169E-2</v>
      </c>
      <c r="AK139" s="35" t="s">
        <v>920</v>
      </c>
      <c r="AL139" s="32">
        <v>0.35814156249900003</v>
      </c>
      <c r="AM139" s="32">
        <v>2.0807051797433171</v>
      </c>
      <c r="AN139" s="36">
        <v>0.75</v>
      </c>
    </row>
    <row r="140" spans="27:40" x14ac:dyDescent="0.25">
      <c r="AA140" s="29">
        <v>137</v>
      </c>
      <c r="AB140" s="30" t="s">
        <v>267</v>
      </c>
      <c r="AC140" s="29" t="s">
        <v>156</v>
      </c>
      <c r="AD140" s="30" t="s">
        <v>28</v>
      </c>
      <c r="AE140" s="31">
        <v>1.3823007675795071E-3</v>
      </c>
      <c r="AF140" s="12">
        <v>2.0807051797459848</v>
      </c>
      <c r="AG140" s="32">
        <f t="shared" si="15"/>
        <v>2.876160367069531E-3</v>
      </c>
      <c r="AH140" s="32">
        <f t="shared" si="16"/>
        <v>76.97286394226478</v>
      </c>
      <c r="AI140" s="33">
        <f t="shared" si="17"/>
        <v>0.22138630061057735</v>
      </c>
      <c r="AJ140" s="34">
        <f t="shared" si="18"/>
        <v>2.2575120006381115E-2</v>
      </c>
      <c r="AK140" s="35" t="s">
        <v>920</v>
      </c>
      <c r="AL140" s="32">
        <v>0.35814156249900003</v>
      </c>
      <c r="AM140" s="32">
        <v>2.0807051797459848</v>
      </c>
      <c r="AN140" s="36">
        <v>0.75</v>
      </c>
    </row>
    <row r="141" spans="27:40" x14ac:dyDescent="0.25">
      <c r="AA141" s="29">
        <v>138</v>
      </c>
      <c r="AB141" s="30" t="s">
        <v>268</v>
      </c>
      <c r="AC141" s="29" t="s">
        <v>156</v>
      </c>
      <c r="AD141" s="30" t="s">
        <v>28</v>
      </c>
      <c r="AE141" s="31">
        <v>1.3823007675795071E-3</v>
      </c>
      <c r="AF141" s="12">
        <v>2.0807051797455443</v>
      </c>
      <c r="AG141" s="32">
        <f t="shared" si="15"/>
        <v>2.8761603670689221E-3</v>
      </c>
      <c r="AH141" s="32">
        <f t="shared" si="16"/>
        <v>76.97286394226478</v>
      </c>
      <c r="AI141" s="33">
        <f t="shared" si="17"/>
        <v>0.22138630061053047</v>
      </c>
      <c r="AJ141" s="34">
        <f t="shared" si="18"/>
        <v>2.2575120006376334E-2</v>
      </c>
      <c r="AK141" s="35" t="s">
        <v>920</v>
      </c>
      <c r="AL141" s="32">
        <v>0.35814156249900003</v>
      </c>
      <c r="AM141" s="32">
        <v>2.0807051797455443</v>
      </c>
      <c r="AN141" s="36">
        <v>0.75</v>
      </c>
    </row>
    <row r="142" spans="27:40" x14ac:dyDescent="0.25">
      <c r="AA142" s="29">
        <v>139</v>
      </c>
      <c r="AB142" s="30" t="s">
        <v>269</v>
      </c>
      <c r="AC142" s="29" t="s">
        <v>156</v>
      </c>
      <c r="AD142" s="30" t="s">
        <v>28</v>
      </c>
      <c r="AE142" s="31">
        <v>1.3823007675795071E-3</v>
      </c>
      <c r="AF142" s="12">
        <v>2.0807051797457792</v>
      </c>
      <c r="AG142" s="32">
        <f t="shared" si="15"/>
        <v>2.8761603670692465E-3</v>
      </c>
      <c r="AH142" s="32">
        <f t="shared" si="16"/>
        <v>76.97286394226478</v>
      </c>
      <c r="AI142" s="33">
        <f t="shared" si="17"/>
        <v>0.22138630061055545</v>
      </c>
      <c r="AJ142" s="34">
        <f t="shared" si="18"/>
        <v>2.2575120006378881E-2</v>
      </c>
      <c r="AK142" s="35" t="s">
        <v>920</v>
      </c>
      <c r="AL142" s="32">
        <v>0.35814156249900003</v>
      </c>
      <c r="AM142" s="32">
        <v>2.0807051797457792</v>
      </c>
      <c r="AN142" s="36">
        <v>0.75</v>
      </c>
    </row>
    <row r="143" spans="27:40" x14ac:dyDescent="0.25">
      <c r="AA143" s="29">
        <v>140</v>
      </c>
      <c r="AB143" s="30" t="s">
        <v>270</v>
      </c>
      <c r="AC143" s="29" t="s">
        <v>156</v>
      </c>
      <c r="AD143" s="30" t="s">
        <v>28</v>
      </c>
      <c r="AE143" s="31">
        <v>1.3823007675795071E-3</v>
      </c>
      <c r="AF143" s="12">
        <v>2.0807051797433846</v>
      </c>
      <c r="AG143" s="38">
        <f t="shared" si="15"/>
        <v>2.8761603670659367E-3</v>
      </c>
      <c r="AH143" s="32">
        <f t="shared" si="16"/>
        <v>76.97286394226478</v>
      </c>
      <c r="AI143" s="33">
        <f t="shared" si="17"/>
        <v>0.22138630061030068</v>
      </c>
      <c r="AJ143" s="34">
        <f t="shared" si="18"/>
        <v>2.2575120006352901E-2</v>
      </c>
      <c r="AK143" s="35" t="s">
        <v>920</v>
      </c>
      <c r="AL143" s="32">
        <v>0.35814156249900003</v>
      </c>
      <c r="AM143" s="32">
        <v>2.0807051797433846</v>
      </c>
      <c r="AN143" s="36">
        <v>0.75</v>
      </c>
    </row>
    <row r="144" spans="27:40" x14ac:dyDescent="0.25">
      <c r="AA144" s="29">
        <v>141</v>
      </c>
      <c r="AB144" s="30" t="s">
        <v>271</v>
      </c>
      <c r="AC144" s="29" t="s">
        <v>156</v>
      </c>
      <c r="AD144" s="30" t="s">
        <v>28</v>
      </c>
      <c r="AE144" s="31">
        <v>1.3823007675795071E-3</v>
      </c>
      <c r="AF144" s="12">
        <v>2.0807051797462073</v>
      </c>
      <c r="AG144" s="38">
        <f t="shared" si="15"/>
        <v>2.8761603670698385E-3</v>
      </c>
      <c r="AH144" s="32">
        <f t="shared" si="16"/>
        <v>76.97286394226478</v>
      </c>
      <c r="AI144" s="33">
        <f t="shared" si="17"/>
        <v>0.22138630061060099</v>
      </c>
      <c r="AJ144" s="34">
        <f t="shared" si="18"/>
        <v>2.2575120006383526E-2</v>
      </c>
      <c r="AK144" s="35" t="s">
        <v>920</v>
      </c>
      <c r="AL144" s="32">
        <v>0.35814156249900003</v>
      </c>
      <c r="AM144" s="32">
        <v>2.0807051797462073</v>
      </c>
      <c r="AN144" s="36">
        <v>0.75</v>
      </c>
    </row>
    <row r="145" spans="27:40" x14ac:dyDescent="0.25">
      <c r="AA145" s="29">
        <v>142</v>
      </c>
      <c r="AB145" s="30" t="s">
        <v>272</v>
      </c>
      <c r="AC145" s="29" t="s">
        <v>156</v>
      </c>
      <c r="AD145" s="30" t="s">
        <v>28</v>
      </c>
      <c r="AE145" s="31">
        <v>1.3823007675795071E-3</v>
      </c>
      <c r="AF145" s="12">
        <v>2.0807051797430582</v>
      </c>
      <c r="AG145" s="38">
        <f t="shared" si="15"/>
        <v>2.8761603670654856E-3</v>
      </c>
      <c r="AH145" s="32">
        <f t="shared" si="16"/>
        <v>76.97286394226478</v>
      </c>
      <c r="AI145" s="33">
        <f t="shared" si="17"/>
        <v>0.22138630061026596</v>
      </c>
      <c r="AJ145" s="34">
        <f t="shared" si="18"/>
        <v>2.2575120006349363E-2</v>
      </c>
      <c r="AK145" s="35" t="s">
        <v>920</v>
      </c>
      <c r="AL145" s="32">
        <v>0.35814156249900003</v>
      </c>
      <c r="AM145" s="32">
        <v>2.0807051797430582</v>
      </c>
      <c r="AN145" s="36">
        <v>0.75</v>
      </c>
    </row>
    <row r="146" spans="27:40" x14ac:dyDescent="0.25">
      <c r="AA146" s="29">
        <v>143</v>
      </c>
      <c r="AB146" s="30" t="s">
        <v>273</v>
      </c>
      <c r="AC146" s="29" t="s">
        <v>156</v>
      </c>
      <c r="AD146" s="30" t="s">
        <v>28</v>
      </c>
      <c r="AE146" s="31">
        <v>1.3823007675795071E-3</v>
      </c>
      <c r="AF146" s="12">
        <v>2.0807051797482585</v>
      </c>
      <c r="AG146" s="38">
        <f t="shared" si="15"/>
        <v>2.8761603670726739E-3</v>
      </c>
      <c r="AH146" s="32">
        <f t="shared" si="16"/>
        <v>76.97286394226478</v>
      </c>
      <c r="AI146" s="33">
        <f t="shared" si="17"/>
        <v>0.22138630061081926</v>
      </c>
      <c r="AJ146" s="34">
        <f t="shared" si="18"/>
        <v>2.2575120006405783E-2</v>
      </c>
      <c r="AK146" s="35" t="s">
        <v>920</v>
      </c>
      <c r="AL146" s="32">
        <v>0.35814156249900003</v>
      </c>
      <c r="AM146" s="32">
        <v>2.0807051797482585</v>
      </c>
      <c r="AN146" s="36">
        <v>0.75</v>
      </c>
    </row>
    <row r="147" spans="27:40" x14ac:dyDescent="0.25">
      <c r="AA147" s="29">
        <v>144</v>
      </c>
      <c r="AB147" s="30" t="s">
        <v>274</v>
      </c>
      <c r="AC147" s="29" t="s">
        <v>156</v>
      </c>
      <c r="AD147" s="30" t="s">
        <v>28</v>
      </c>
      <c r="AE147" s="31">
        <v>1.3823007675795071E-3</v>
      </c>
      <c r="AF147" s="12">
        <v>2.08070517974528</v>
      </c>
      <c r="AG147" s="38">
        <f t="shared" si="15"/>
        <v>2.876160367068557E-3</v>
      </c>
      <c r="AH147" s="32">
        <f t="shared" si="16"/>
        <v>76.97286394226478</v>
      </c>
      <c r="AI147" s="33">
        <f t="shared" si="17"/>
        <v>0.22138630061050235</v>
      </c>
      <c r="AJ147" s="34">
        <f t="shared" si="18"/>
        <v>2.2575120006373468E-2</v>
      </c>
      <c r="AK147" s="35" t="s">
        <v>920</v>
      </c>
      <c r="AL147" s="32">
        <v>0.35814156249900003</v>
      </c>
      <c r="AM147" s="32">
        <v>2.08070517974528</v>
      </c>
      <c r="AN147" s="36">
        <v>0.75</v>
      </c>
    </row>
    <row r="148" spans="27:40" x14ac:dyDescent="0.25">
      <c r="AA148" s="29">
        <v>145</v>
      </c>
      <c r="AB148" s="30" t="s">
        <v>275</v>
      </c>
      <c r="AC148" s="29" t="s">
        <v>156</v>
      </c>
      <c r="AD148" s="30" t="s">
        <v>28</v>
      </c>
      <c r="AE148" s="31">
        <v>1.3823007675795071E-3</v>
      </c>
      <c r="AF148" s="12">
        <v>2.0807051797458058</v>
      </c>
      <c r="AG148" s="38">
        <f t="shared" si="15"/>
        <v>2.8761603670692834E-3</v>
      </c>
      <c r="AH148" s="32">
        <f t="shared" si="16"/>
        <v>76.97286394226478</v>
      </c>
      <c r="AI148" s="33">
        <f t="shared" si="17"/>
        <v>0.22138630061055828</v>
      </c>
      <c r="AJ148" s="34">
        <f t="shared" si="18"/>
        <v>2.2575120006379172E-2</v>
      </c>
      <c r="AK148" s="35" t="s">
        <v>920</v>
      </c>
      <c r="AL148" s="32">
        <v>0.35814156249900003</v>
      </c>
      <c r="AM148" s="32">
        <v>2.0807051797458058</v>
      </c>
      <c r="AN148" s="36">
        <v>0.75</v>
      </c>
    </row>
    <row r="149" spans="27:40" x14ac:dyDescent="0.25">
      <c r="AA149" s="29">
        <v>146</v>
      </c>
      <c r="AB149" s="30" t="s">
        <v>276</v>
      </c>
      <c r="AC149" s="29" t="s">
        <v>151</v>
      </c>
      <c r="AD149" s="30" t="s">
        <v>28</v>
      </c>
      <c r="AE149" s="31">
        <v>2.1362830044410596E-3</v>
      </c>
      <c r="AF149" s="12">
        <v>2.036669085140697</v>
      </c>
      <c r="AG149" s="38">
        <f t="shared" si="15"/>
        <v>4.3509015522565928E-3</v>
      </c>
      <c r="AH149" s="32">
        <f t="shared" si="16"/>
        <v>76.97286394226478</v>
      </c>
      <c r="AI149" s="33">
        <f t="shared" si="17"/>
        <v>0.33490135320803538</v>
      </c>
      <c r="AJ149" s="34">
        <f t="shared" si="18"/>
        <v>3.4150433961448137E-2</v>
      </c>
      <c r="AK149" s="35" t="s">
        <v>920</v>
      </c>
      <c r="AL149" s="32">
        <v>0.44296456414349994</v>
      </c>
      <c r="AM149" s="32">
        <v>2.036669085140697</v>
      </c>
      <c r="AN149" s="36">
        <v>0.9</v>
      </c>
    </row>
    <row r="150" spans="27:40" x14ac:dyDescent="0.25">
      <c r="AA150" s="29">
        <v>147</v>
      </c>
      <c r="AB150" s="30" t="s">
        <v>277</v>
      </c>
      <c r="AC150" s="29" t="s">
        <v>151</v>
      </c>
      <c r="AD150" s="30" t="s">
        <v>28</v>
      </c>
      <c r="AE150" s="31">
        <v>2.1362830044410596E-3</v>
      </c>
      <c r="AF150" s="12">
        <v>2.0366690912858165</v>
      </c>
      <c r="AG150" s="38">
        <f t="shared" si="15"/>
        <v>4.350901565384307E-3</v>
      </c>
      <c r="AH150" s="32">
        <f t="shared" si="16"/>
        <v>76.97286394226478</v>
      </c>
      <c r="AI150" s="33">
        <f t="shared" si="17"/>
        <v>0.33490135421851314</v>
      </c>
      <c r="AJ150" s="34">
        <f t="shared" si="18"/>
        <v>3.4150434064488193E-2</v>
      </c>
      <c r="AK150" s="35" t="s">
        <v>920</v>
      </c>
      <c r="AL150" s="32">
        <v>0.44296456414349994</v>
      </c>
      <c r="AM150" s="32">
        <v>2.0366690912858165</v>
      </c>
      <c r="AN150" s="36">
        <v>0.9</v>
      </c>
    </row>
    <row r="151" spans="27:40" x14ac:dyDescent="0.25">
      <c r="AA151" s="29">
        <v>148</v>
      </c>
      <c r="AB151" s="30" t="s">
        <v>278</v>
      </c>
      <c r="AC151" s="29" t="s">
        <v>151</v>
      </c>
      <c r="AD151" s="30" t="s">
        <v>28</v>
      </c>
      <c r="AE151" s="31">
        <v>2.1362830044410596E-3</v>
      </c>
      <c r="AF151" s="12">
        <v>2.0366690912859586</v>
      </c>
      <c r="AG151" s="38">
        <f t="shared" si="15"/>
        <v>4.3509015653846106E-3</v>
      </c>
      <c r="AH151" s="32">
        <f t="shared" si="16"/>
        <v>76.97286394226478</v>
      </c>
      <c r="AI151" s="33">
        <f t="shared" si="17"/>
        <v>0.33490135421853645</v>
      </c>
      <c r="AJ151" s="34">
        <f t="shared" si="18"/>
        <v>3.4150434064490573E-2</v>
      </c>
      <c r="AK151" s="35" t="s">
        <v>920</v>
      </c>
      <c r="AL151" s="32">
        <v>0.44296456414349994</v>
      </c>
      <c r="AM151" s="32">
        <v>2.0366690912859586</v>
      </c>
      <c r="AN151" s="36">
        <v>0.9</v>
      </c>
    </row>
    <row r="152" spans="27:40" x14ac:dyDescent="0.25">
      <c r="AA152" s="29">
        <v>149</v>
      </c>
      <c r="AB152" s="30" t="s">
        <v>279</v>
      </c>
      <c r="AC152" s="29" t="s">
        <v>151</v>
      </c>
      <c r="AD152" s="30" t="s">
        <v>28</v>
      </c>
      <c r="AE152" s="31">
        <v>2.1362830044410596E-3</v>
      </c>
      <c r="AF152" s="12">
        <v>2.036669091282715</v>
      </c>
      <c r="AG152" s="38">
        <f t="shared" si="15"/>
        <v>4.3509015653776812E-3</v>
      </c>
      <c r="AH152" s="32">
        <f t="shared" si="16"/>
        <v>76.97286394226478</v>
      </c>
      <c r="AI152" s="33">
        <f t="shared" si="17"/>
        <v>0.3349013542180031</v>
      </c>
      <c r="AJ152" s="34">
        <f t="shared" si="18"/>
        <v>3.4150434064436186E-2</v>
      </c>
      <c r="AK152" s="35" t="s">
        <v>920</v>
      </c>
      <c r="AL152" s="32">
        <v>0.44296456414349994</v>
      </c>
      <c r="AM152" s="32">
        <v>2.036669091282715</v>
      </c>
      <c r="AN152" s="36">
        <v>0.9</v>
      </c>
    </row>
    <row r="153" spans="27:40" x14ac:dyDescent="0.25">
      <c r="AA153" s="29">
        <v>150</v>
      </c>
      <c r="AB153" s="30" t="s">
        <v>86</v>
      </c>
      <c r="AC153" s="29" t="s">
        <v>151</v>
      </c>
      <c r="AD153" s="30" t="s">
        <v>28</v>
      </c>
      <c r="AE153" s="31">
        <v>2.1362830044410596E-3</v>
      </c>
      <c r="AF153" s="12">
        <v>2.0366690912853036</v>
      </c>
      <c r="AG153" s="38">
        <f t="shared" si="15"/>
        <v>4.3509015653832106E-3</v>
      </c>
      <c r="AH153" s="32">
        <f t="shared" si="16"/>
        <v>76.97286394226478</v>
      </c>
      <c r="AI153" s="33">
        <f t="shared" si="17"/>
        <v>0.3349013542184287</v>
      </c>
      <c r="AJ153" s="34">
        <f t="shared" si="18"/>
        <v>3.4150434064479582E-2</v>
      </c>
      <c r="AK153" s="35" t="s">
        <v>920</v>
      </c>
      <c r="AL153" s="32">
        <v>0.44296456414349994</v>
      </c>
      <c r="AM153" s="32">
        <v>2.0366690912853036</v>
      </c>
      <c r="AN153" s="36">
        <v>0.9</v>
      </c>
    </row>
    <row r="154" spans="27:40" x14ac:dyDescent="0.25">
      <c r="AA154" s="29">
        <v>151</v>
      </c>
      <c r="AB154" s="30" t="s">
        <v>87</v>
      </c>
      <c r="AC154" s="29" t="s">
        <v>151</v>
      </c>
      <c r="AD154" s="30" t="s">
        <v>28</v>
      </c>
      <c r="AE154" s="31">
        <v>2.1362830044410596E-3</v>
      </c>
      <c r="AF154" s="12">
        <v>2.036669091286528</v>
      </c>
      <c r="AG154" s="38">
        <f t="shared" si="15"/>
        <v>4.3509015653858266E-3</v>
      </c>
      <c r="AH154" s="32">
        <f t="shared" si="16"/>
        <v>76.97286394226478</v>
      </c>
      <c r="AI154" s="33">
        <f t="shared" si="17"/>
        <v>0.3349013542186301</v>
      </c>
      <c r="AJ154" s="34">
        <f t="shared" si="18"/>
        <v>3.4150434064500121E-2</v>
      </c>
      <c r="AK154" s="35" t="s">
        <v>920</v>
      </c>
      <c r="AL154" s="32">
        <v>0.44296456414349994</v>
      </c>
      <c r="AM154" s="32">
        <v>2.036669091286528</v>
      </c>
      <c r="AN154" s="36">
        <v>0.9</v>
      </c>
    </row>
    <row r="155" spans="27:40" x14ac:dyDescent="0.25">
      <c r="AA155" s="29">
        <v>152</v>
      </c>
      <c r="AB155" s="30" t="s">
        <v>280</v>
      </c>
      <c r="AC155" s="29" t="s">
        <v>151</v>
      </c>
      <c r="AD155" s="30" t="s">
        <v>28</v>
      </c>
      <c r="AE155" s="31">
        <v>2.1362830044410596E-3</v>
      </c>
      <c r="AF155" s="12">
        <v>2.0366690912842809</v>
      </c>
      <c r="AG155" s="38">
        <f t="shared" si="15"/>
        <v>4.3509015653810266E-3</v>
      </c>
      <c r="AH155" s="32">
        <f t="shared" si="16"/>
        <v>76.97286394226478</v>
      </c>
      <c r="AI155" s="33">
        <f t="shared" si="17"/>
        <v>0.33490135421826062</v>
      </c>
      <c r="AJ155" s="34">
        <f t="shared" si="18"/>
        <v>3.4150434064462443E-2</v>
      </c>
      <c r="AK155" s="35" t="s">
        <v>920</v>
      </c>
      <c r="AL155" s="32">
        <v>0.44296456414349994</v>
      </c>
      <c r="AM155" s="32">
        <v>2.0366690912842809</v>
      </c>
      <c r="AN155" s="36">
        <v>0.9</v>
      </c>
    </row>
    <row r="156" spans="27:40" x14ac:dyDescent="0.25">
      <c r="AA156" s="29">
        <v>153</v>
      </c>
      <c r="AB156" s="30" t="s">
        <v>281</v>
      </c>
      <c r="AC156" s="29" t="s">
        <v>151</v>
      </c>
      <c r="AD156" s="30" t="s">
        <v>28</v>
      </c>
      <c r="AE156" s="31">
        <v>2.1362830044410596E-3</v>
      </c>
      <c r="AF156" s="12">
        <v>2.0366690912851304</v>
      </c>
      <c r="AG156" s="38">
        <f t="shared" si="15"/>
        <v>4.3509015653828411E-3</v>
      </c>
      <c r="AH156" s="32">
        <f t="shared" si="16"/>
        <v>76.97286394226478</v>
      </c>
      <c r="AI156" s="33">
        <f t="shared" si="17"/>
        <v>0.33490135421840028</v>
      </c>
      <c r="AJ156" s="34">
        <f t="shared" si="18"/>
        <v>3.4150434064476688E-2</v>
      </c>
      <c r="AK156" s="35" t="s">
        <v>920</v>
      </c>
      <c r="AL156" s="32">
        <v>0.44296456414349994</v>
      </c>
      <c r="AM156" s="32">
        <v>2.0366690912851304</v>
      </c>
      <c r="AN156" s="36">
        <v>0.9</v>
      </c>
    </row>
    <row r="157" spans="27:40" x14ac:dyDescent="0.25">
      <c r="AA157" s="29">
        <v>154</v>
      </c>
      <c r="AB157" s="30" t="s">
        <v>282</v>
      </c>
      <c r="AC157" s="29" t="s">
        <v>151</v>
      </c>
      <c r="AD157" s="30" t="s">
        <v>28</v>
      </c>
      <c r="AE157" s="31">
        <v>2.1362830044410596E-3</v>
      </c>
      <c r="AF157" s="12">
        <v>2.0366690912853014</v>
      </c>
      <c r="AG157" s="38">
        <f t="shared" si="15"/>
        <v>4.3509015653832063E-3</v>
      </c>
      <c r="AH157" s="32">
        <f t="shared" si="16"/>
        <v>76.97286394226478</v>
      </c>
      <c r="AI157" s="33">
        <f t="shared" si="17"/>
        <v>0.33490135421842837</v>
      </c>
      <c r="AJ157" s="34">
        <f t="shared" si="18"/>
        <v>3.4150434064479554E-2</v>
      </c>
      <c r="AK157" s="35" t="s">
        <v>920</v>
      </c>
      <c r="AL157" s="32">
        <v>0.44296456414349994</v>
      </c>
      <c r="AM157" s="32">
        <v>2.0366690912853014</v>
      </c>
      <c r="AN157" s="36">
        <v>0.9</v>
      </c>
    </row>
    <row r="158" spans="27:40" x14ac:dyDescent="0.25">
      <c r="AA158" s="29">
        <v>155</v>
      </c>
      <c r="AB158" s="30" t="s">
        <v>283</v>
      </c>
      <c r="AC158" s="29" t="s">
        <v>151</v>
      </c>
      <c r="AD158" s="30" t="s">
        <v>28</v>
      </c>
      <c r="AE158" s="31">
        <v>2.1362830044410596E-3</v>
      </c>
      <c r="AF158" s="12">
        <v>2.0366690912842667</v>
      </c>
      <c r="AG158" s="38">
        <f t="shared" si="15"/>
        <v>4.3509015653809963E-3</v>
      </c>
      <c r="AH158" s="32">
        <f t="shared" si="16"/>
        <v>76.97286394226478</v>
      </c>
      <c r="AI158" s="33">
        <f t="shared" si="17"/>
        <v>0.33490135421825828</v>
      </c>
      <c r="AJ158" s="34">
        <f t="shared" si="18"/>
        <v>3.4150434064462207E-2</v>
      </c>
      <c r="AK158" s="35" t="s">
        <v>920</v>
      </c>
      <c r="AL158" s="32">
        <v>0.44296456414349994</v>
      </c>
      <c r="AM158" s="32">
        <v>2.0366690912842667</v>
      </c>
      <c r="AN158" s="36">
        <v>0.9</v>
      </c>
    </row>
    <row r="159" spans="27:40" x14ac:dyDescent="0.25">
      <c r="AA159" s="29">
        <v>156</v>
      </c>
      <c r="AB159" s="30" t="s">
        <v>284</v>
      </c>
      <c r="AC159" s="29" t="s">
        <v>151</v>
      </c>
      <c r="AD159" s="30" t="s">
        <v>28</v>
      </c>
      <c r="AE159" s="31">
        <v>2.1362830044410596E-3</v>
      </c>
      <c r="AF159" s="12">
        <v>2.0366690912853036</v>
      </c>
      <c r="AG159" s="38">
        <f t="shared" si="15"/>
        <v>4.3509015653832106E-3</v>
      </c>
      <c r="AH159" s="32">
        <f t="shared" si="16"/>
        <v>76.97286394226478</v>
      </c>
      <c r="AI159" s="33">
        <f t="shared" si="17"/>
        <v>0.3349013542184287</v>
      </c>
      <c r="AJ159" s="34">
        <f t="shared" si="18"/>
        <v>3.4150434064479582E-2</v>
      </c>
      <c r="AK159" s="35" t="s">
        <v>920</v>
      </c>
      <c r="AL159" s="32">
        <v>0.44296456414349994</v>
      </c>
      <c r="AM159" s="32">
        <v>2.0366690912853036</v>
      </c>
      <c r="AN159" s="36">
        <v>0.9</v>
      </c>
    </row>
    <row r="160" spans="27:40" x14ac:dyDescent="0.25">
      <c r="AA160" s="29">
        <v>157</v>
      </c>
      <c r="AB160" s="30" t="s">
        <v>285</v>
      </c>
      <c r="AC160" s="29" t="s">
        <v>151</v>
      </c>
      <c r="AD160" s="30" t="s">
        <v>28</v>
      </c>
      <c r="AE160" s="31">
        <v>2.1362830044410596E-3</v>
      </c>
      <c r="AF160" s="12">
        <v>2.0366690912827115</v>
      </c>
      <c r="AG160" s="38">
        <f t="shared" si="15"/>
        <v>4.3509015653776734E-3</v>
      </c>
      <c r="AH160" s="32">
        <f t="shared" si="16"/>
        <v>76.97286394226478</v>
      </c>
      <c r="AI160" s="33">
        <f t="shared" si="17"/>
        <v>0.33490135421800249</v>
      </c>
      <c r="AJ160" s="34">
        <f t="shared" si="18"/>
        <v>3.4150434064436123E-2</v>
      </c>
      <c r="AK160" s="35" t="s">
        <v>920</v>
      </c>
      <c r="AL160" s="32">
        <v>0.44296456414349994</v>
      </c>
      <c r="AM160" s="32">
        <v>2.0366690912827115</v>
      </c>
      <c r="AN160" s="36">
        <v>0.9</v>
      </c>
    </row>
    <row r="161" spans="27:40" x14ac:dyDescent="0.25">
      <c r="AA161" s="29">
        <v>158</v>
      </c>
      <c r="AB161" s="30" t="s">
        <v>286</v>
      </c>
      <c r="AC161" s="29" t="s">
        <v>151</v>
      </c>
      <c r="AD161" s="30" t="s">
        <v>28</v>
      </c>
      <c r="AE161" s="31">
        <v>2.1362830044410596E-3</v>
      </c>
      <c r="AF161" s="12">
        <v>2.0366690912859542</v>
      </c>
      <c r="AG161" s="38">
        <f t="shared" si="15"/>
        <v>4.350901565384601E-3</v>
      </c>
      <c r="AH161" s="32">
        <f t="shared" si="16"/>
        <v>76.97286394226478</v>
      </c>
      <c r="AI161" s="33">
        <f t="shared" si="17"/>
        <v>0.33490135421853573</v>
      </c>
      <c r="AJ161" s="34">
        <f t="shared" si="18"/>
        <v>3.4150434064490497E-2</v>
      </c>
      <c r="AK161" s="35" t="s">
        <v>920</v>
      </c>
      <c r="AL161" s="32">
        <v>0.44296456414349994</v>
      </c>
      <c r="AM161" s="32">
        <v>2.0366690912859542</v>
      </c>
      <c r="AN161" s="36">
        <v>0.9</v>
      </c>
    </row>
    <row r="162" spans="27:40" x14ac:dyDescent="0.25">
      <c r="AA162" s="29">
        <v>159</v>
      </c>
      <c r="AB162" s="30" t="s">
        <v>287</v>
      </c>
      <c r="AC162" s="29" t="s">
        <v>151</v>
      </c>
      <c r="AD162" s="30" t="s">
        <v>28</v>
      </c>
      <c r="AE162" s="31">
        <v>2.1362830044410596E-3</v>
      </c>
      <c r="AF162" s="12">
        <v>2.0366690912858196</v>
      </c>
      <c r="AG162" s="38">
        <f t="shared" si="15"/>
        <v>4.3509015653843131E-3</v>
      </c>
      <c r="AH162" s="32">
        <f t="shared" si="16"/>
        <v>76.97286394226478</v>
      </c>
      <c r="AI162" s="33">
        <f t="shared" si="17"/>
        <v>0.33490135421851358</v>
      </c>
      <c r="AJ162" s="34">
        <f t="shared" si="18"/>
        <v>3.4150434064488241E-2</v>
      </c>
      <c r="AK162" s="35" t="s">
        <v>920</v>
      </c>
      <c r="AL162" s="32">
        <v>0.44296456414349994</v>
      </c>
      <c r="AM162" s="32">
        <v>2.0366690912858196</v>
      </c>
      <c r="AN162" s="36">
        <v>0.9</v>
      </c>
    </row>
    <row r="163" spans="27:40" x14ac:dyDescent="0.25">
      <c r="AA163" s="29">
        <v>160</v>
      </c>
      <c r="AB163" s="30" t="s">
        <v>288</v>
      </c>
      <c r="AC163" s="29" t="s">
        <v>151</v>
      </c>
      <c r="AD163" s="30" t="s">
        <v>28</v>
      </c>
      <c r="AE163" s="31">
        <v>2.1362830044410596E-3</v>
      </c>
      <c r="AF163" s="12">
        <v>2.0366690851407134</v>
      </c>
      <c r="AG163" s="38">
        <f t="shared" si="15"/>
        <v>4.3509015522566275E-3</v>
      </c>
      <c r="AH163" s="32">
        <f t="shared" si="16"/>
        <v>76.97286394226478</v>
      </c>
      <c r="AI163" s="33">
        <f t="shared" si="17"/>
        <v>0.33490135320803804</v>
      </c>
      <c r="AJ163" s="34">
        <f t="shared" si="18"/>
        <v>3.4150433961448415E-2</v>
      </c>
      <c r="AK163" s="35" t="s">
        <v>920</v>
      </c>
      <c r="AL163" s="32">
        <v>0.44296456414349994</v>
      </c>
      <c r="AM163" s="32">
        <v>2.0366690851407134</v>
      </c>
      <c r="AN163" s="36">
        <v>0.9</v>
      </c>
    </row>
    <row r="164" spans="27:40" x14ac:dyDescent="0.25">
      <c r="AA164" s="29">
        <v>161</v>
      </c>
      <c r="AB164" s="30" t="s">
        <v>289</v>
      </c>
      <c r="AC164" s="29" t="s">
        <v>157</v>
      </c>
      <c r="AD164" s="30" t="s">
        <v>28</v>
      </c>
      <c r="AE164" s="31">
        <v>3.5735616434583872E-4</v>
      </c>
      <c r="AF164" s="12">
        <v>1.5197221558262051</v>
      </c>
      <c r="AG164" s="38">
        <f t="shared" si="15"/>
        <v>5.4308208047744162E-4</v>
      </c>
      <c r="AH164" s="32">
        <f t="shared" si="16"/>
        <v>76.97286394226478</v>
      </c>
      <c r="AI164" s="33">
        <f t="shared" si="17"/>
        <v>4.1802583090072204E-2</v>
      </c>
      <c r="AJ164" s="34">
        <f t="shared" si="18"/>
        <v>4.2626771721303615E-3</v>
      </c>
      <c r="AK164" s="35" t="s">
        <v>920</v>
      </c>
      <c r="AL164" s="32">
        <v>0.15079644736800002</v>
      </c>
      <c r="AM164" s="32">
        <v>1.5197221558262051</v>
      </c>
      <c r="AN164" s="36">
        <v>0.23</v>
      </c>
    </row>
    <row r="165" spans="27:40" x14ac:dyDescent="0.25">
      <c r="AA165" s="29">
        <v>162</v>
      </c>
      <c r="AB165" s="30" t="s">
        <v>290</v>
      </c>
      <c r="AC165" s="29" t="s">
        <v>153</v>
      </c>
      <c r="AD165" s="30" t="s">
        <v>28</v>
      </c>
      <c r="AE165" s="31">
        <v>8.2938046054770545E-4</v>
      </c>
      <c r="AF165" s="12">
        <v>1.5197221474731262</v>
      </c>
      <c r="AG165" s="38">
        <f t="shared" si="15"/>
        <v>1.2604278545758094E-3</v>
      </c>
      <c r="AH165" s="32">
        <f t="shared" si="16"/>
        <v>76.97286394226478</v>
      </c>
      <c r="AI165" s="33">
        <f t="shared" si="17"/>
        <v>9.7018741759304472E-2</v>
      </c>
      <c r="AJ165" s="34">
        <f t="shared" si="18"/>
        <v>9.8931583934681547E-3</v>
      </c>
      <c r="AK165" s="35" t="s">
        <v>920</v>
      </c>
      <c r="AL165" s="32">
        <v>0.21991148574500002</v>
      </c>
      <c r="AM165" s="32">
        <v>1.5197221474731262</v>
      </c>
      <c r="AN165" s="36">
        <v>0.33</v>
      </c>
    </row>
    <row r="166" spans="27:40" x14ac:dyDescent="0.25">
      <c r="AA166" s="29">
        <v>163</v>
      </c>
      <c r="AB166" s="30" t="s">
        <v>291</v>
      </c>
      <c r="AC166" s="29" t="s">
        <v>153</v>
      </c>
      <c r="AD166" s="30" t="s">
        <v>28</v>
      </c>
      <c r="AE166" s="31">
        <v>8.2938046054770545E-4</v>
      </c>
      <c r="AF166" s="12">
        <v>1.5197221502915461</v>
      </c>
      <c r="AG166" s="38">
        <f t="shared" si="15"/>
        <v>1.2604278569133519E-3</v>
      </c>
      <c r="AH166" s="32">
        <f t="shared" si="16"/>
        <v>76.97286394226478</v>
      </c>
      <c r="AI166" s="33">
        <f t="shared" si="17"/>
        <v>9.7018741939231809E-2</v>
      </c>
      <c r="AJ166" s="34">
        <f t="shared" si="18"/>
        <v>9.8931584118156363E-3</v>
      </c>
      <c r="AK166" s="35" t="s">
        <v>920</v>
      </c>
      <c r="AL166" s="32">
        <v>0.21991148574500002</v>
      </c>
      <c r="AM166" s="32">
        <v>1.5197221502915461</v>
      </c>
      <c r="AN166" s="36">
        <v>0.33</v>
      </c>
    </row>
    <row r="167" spans="27:40" x14ac:dyDescent="0.25">
      <c r="AA167" s="29">
        <v>164</v>
      </c>
      <c r="AB167" s="30" t="s">
        <v>292</v>
      </c>
      <c r="AC167" s="29" t="s">
        <v>153</v>
      </c>
      <c r="AD167" s="30" t="s">
        <v>28</v>
      </c>
      <c r="AE167" s="31">
        <v>8.2938046054770545E-4</v>
      </c>
      <c r="AF167" s="12">
        <v>1.5197221502894149</v>
      </c>
      <c r="AG167" s="38">
        <f t="shared" si="15"/>
        <v>1.2604278569115842E-3</v>
      </c>
      <c r="AH167" s="32">
        <f t="shared" si="16"/>
        <v>76.97286394226478</v>
      </c>
      <c r="AI167" s="33">
        <f t="shared" si="17"/>
        <v>9.7018741939095751E-2</v>
      </c>
      <c r="AJ167" s="34">
        <f t="shared" si="18"/>
        <v>9.8931584118017619E-3</v>
      </c>
      <c r="AK167" s="35" t="s">
        <v>920</v>
      </c>
      <c r="AL167" s="32">
        <v>0.21991148574500002</v>
      </c>
      <c r="AM167" s="32">
        <v>1.5197221502894149</v>
      </c>
      <c r="AN167" s="36">
        <v>0.33</v>
      </c>
    </row>
    <row r="168" spans="27:40" x14ac:dyDescent="0.25">
      <c r="AA168" s="29">
        <v>165</v>
      </c>
      <c r="AB168" s="30" t="s">
        <v>293</v>
      </c>
      <c r="AC168" s="29" t="s">
        <v>153</v>
      </c>
      <c r="AD168" s="30" t="s">
        <v>28</v>
      </c>
      <c r="AE168" s="31">
        <v>8.2938046054770545E-4</v>
      </c>
      <c r="AF168" s="12">
        <v>1.5197221502913925</v>
      </c>
      <c r="AG168" s="38">
        <f t="shared" si="15"/>
        <v>1.2604278569132244E-3</v>
      </c>
      <c r="AH168" s="32">
        <f t="shared" si="16"/>
        <v>76.97286394226478</v>
      </c>
      <c r="AI168" s="33">
        <f t="shared" si="17"/>
        <v>9.7018741939221997E-2</v>
      </c>
      <c r="AJ168" s="34">
        <f t="shared" si="18"/>
        <v>9.8931584118146371E-3</v>
      </c>
      <c r="AK168" s="35" t="s">
        <v>920</v>
      </c>
      <c r="AL168" s="32">
        <v>0.21991148574500002</v>
      </c>
      <c r="AM168" s="32">
        <v>1.5197221502913925</v>
      </c>
      <c r="AN168" s="36">
        <v>0.33</v>
      </c>
    </row>
    <row r="169" spans="27:40" x14ac:dyDescent="0.25">
      <c r="AA169" s="29">
        <v>166</v>
      </c>
      <c r="AB169" s="30" t="s">
        <v>294</v>
      </c>
      <c r="AC169" s="29" t="s">
        <v>153</v>
      </c>
      <c r="AD169" s="30" t="s">
        <v>28</v>
      </c>
      <c r="AE169" s="31">
        <v>8.2938046054770545E-4</v>
      </c>
      <c r="AF169" s="12">
        <v>1.5197221502907379</v>
      </c>
      <c r="AG169" s="38">
        <f t="shared" si="15"/>
        <v>1.2604278569126814E-3</v>
      </c>
      <c r="AH169" s="32">
        <f t="shared" si="16"/>
        <v>76.97286394226478</v>
      </c>
      <c r="AI169" s="33">
        <f t="shared" si="17"/>
        <v>9.7018741939180211E-2</v>
      </c>
      <c r="AJ169" s="34">
        <f t="shared" si="18"/>
        <v>9.8931584118103748E-3</v>
      </c>
      <c r="AK169" s="35" t="s">
        <v>920</v>
      </c>
      <c r="AL169" s="32">
        <v>0.21991148574500002</v>
      </c>
      <c r="AM169" s="32">
        <v>1.5197221502907379</v>
      </c>
      <c r="AN169" s="36">
        <v>0.33</v>
      </c>
    </row>
    <row r="170" spans="27:40" x14ac:dyDescent="0.25">
      <c r="AA170" s="29">
        <v>167</v>
      </c>
      <c r="AB170" s="30" t="s">
        <v>295</v>
      </c>
      <c r="AC170" s="29" t="s">
        <v>157</v>
      </c>
      <c r="AD170" s="30" t="s">
        <v>28</v>
      </c>
      <c r="AE170" s="31">
        <v>3.5735616434583872E-4</v>
      </c>
      <c r="AF170" s="12">
        <v>1.5197221502916447</v>
      </c>
      <c r="AG170" s="38">
        <f t="shared" si="15"/>
        <v>5.4308207849963243E-4</v>
      </c>
      <c r="AH170" s="32">
        <f t="shared" si="16"/>
        <v>76.97286394226478</v>
      </c>
      <c r="AI170" s="33">
        <f t="shared" si="17"/>
        <v>4.1802582937834565E-2</v>
      </c>
      <c r="AJ170" s="34">
        <f t="shared" si="18"/>
        <v>4.2626771566064425E-3</v>
      </c>
      <c r="AK170" s="35" t="s">
        <v>920</v>
      </c>
      <c r="AL170" s="32">
        <v>0.15079644736800002</v>
      </c>
      <c r="AM170" s="32">
        <v>1.5197221502916447</v>
      </c>
      <c r="AN170" s="36">
        <v>0.23</v>
      </c>
    </row>
    <row r="171" spans="27:40" x14ac:dyDescent="0.25">
      <c r="AA171" s="29">
        <v>168</v>
      </c>
      <c r="AB171" s="30" t="s">
        <v>296</v>
      </c>
      <c r="AC171" s="29" t="s">
        <v>157</v>
      </c>
      <c r="AD171" s="30" t="s">
        <v>28</v>
      </c>
      <c r="AE171" s="31">
        <v>3.5735616434583872E-4</v>
      </c>
      <c r="AF171" s="12">
        <v>1.5197221502892628</v>
      </c>
      <c r="AG171" s="38">
        <f t="shared" si="15"/>
        <v>5.4308207849878122E-4</v>
      </c>
      <c r="AH171" s="32">
        <f t="shared" si="16"/>
        <v>76.97286394226478</v>
      </c>
      <c r="AI171" s="33">
        <f t="shared" si="17"/>
        <v>4.1802582937769048E-2</v>
      </c>
      <c r="AJ171" s="34">
        <f t="shared" si="18"/>
        <v>4.2626771565997612E-3</v>
      </c>
      <c r="AK171" s="35" t="s">
        <v>920</v>
      </c>
      <c r="AL171" s="32">
        <v>0.15079644736800002</v>
      </c>
      <c r="AM171" s="32">
        <v>1.5197221502892628</v>
      </c>
      <c r="AN171" s="36">
        <v>0.23</v>
      </c>
    </row>
    <row r="172" spans="27:40" x14ac:dyDescent="0.25">
      <c r="AA172" s="29">
        <v>169</v>
      </c>
      <c r="AB172" s="30" t="s">
        <v>297</v>
      </c>
      <c r="AC172" s="29" t="s">
        <v>157</v>
      </c>
      <c r="AD172" s="30" t="s">
        <v>28</v>
      </c>
      <c r="AE172" s="31">
        <v>3.5735616434583872E-4</v>
      </c>
      <c r="AF172" s="12">
        <v>1.5197221502894194</v>
      </c>
      <c r="AG172" s="38">
        <f t="shared" si="15"/>
        <v>5.4308207849883717E-4</v>
      </c>
      <c r="AH172" s="32">
        <f t="shared" si="16"/>
        <v>76.97286394226478</v>
      </c>
      <c r="AI172" s="33">
        <f t="shared" si="17"/>
        <v>4.1802582937773357E-2</v>
      </c>
      <c r="AJ172" s="34">
        <f t="shared" si="18"/>
        <v>4.262677156600201E-3</v>
      </c>
      <c r="AK172" s="35" t="s">
        <v>920</v>
      </c>
      <c r="AL172" s="32">
        <v>0.15079644736800002</v>
      </c>
      <c r="AM172" s="32">
        <v>1.5197221502894194</v>
      </c>
      <c r="AN172" s="36">
        <v>0.23</v>
      </c>
    </row>
    <row r="173" spans="27:40" x14ac:dyDescent="0.25">
      <c r="AA173" s="29">
        <v>170</v>
      </c>
      <c r="AB173" s="30" t="s">
        <v>298</v>
      </c>
      <c r="AC173" s="29" t="s">
        <v>157</v>
      </c>
      <c r="AD173" s="30" t="s">
        <v>28</v>
      </c>
      <c r="AE173" s="31">
        <v>3.5735616434583872E-4</v>
      </c>
      <c r="AF173" s="12">
        <v>1.5197221502903198</v>
      </c>
      <c r="AG173" s="38">
        <f t="shared" si="15"/>
        <v>5.4308207849915896E-4</v>
      </c>
      <c r="AH173" s="32">
        <f t="shared" si="16"/>
        <v>76.97286394226478</v>
      </c>
      <c r="AI173" s="33">
        <f t="shared" si="17"/>
        <v>4.1802582937798122E-2</v>
      </c>
      <c r="AJ173" s="34">
        <f t="shared" si="18"/>
        <v>4.2626771566027259E-3</v>
      </c>
      <c r="AK173" s="35" t="s">
        <v>920</v>
      </c>
      <c r="AL173" s="32">
        <v>0.15079644736800002</v>
      </c>
      <c r="AM173" s="32">
        <v>1.5197221502903198</v>
      </c>
      <c r="AN173" s="36">
        <v>0.23</v>
      </c>
    </row>
    <row r="174" spans="27:40" x14ac:dyDescent="0.25">
      <c r="AA174" s="29">
        <v>171</v>
      </c>
      <c r="AB174" s="30" t="s">
        <v>299</v>
      </c>
      <c r="AC174" s="29" t="s">
        <v>157</v>
      </c>
      <c r="AD174" s="30" t="s">
        <v>28</v>
      </c>
      <c r="AE174" s="31">
        <v>3.5735616434583872E-4</v>
      </c>
      <c r="AF174" s="12">
        <v>1.5197221502901306</v>
      </c>
      <c r="AG174" s="38">
        <f t="shared" si="15"/>
        <v>5.430820784990913E-4</v>
      </c>
      <c r="AH174" s="32">
        <f t="shared" si="16"/>
        <v>76.97286394226478</v>
      </c>
      <c r="AI174" s="33">
        <f t="shared" si="17"/>
        <v>4.1802582937792918E-2</v>
      </c>
      <c r="AJ174" s="34">
        <f t="shared" si="18"/>
        <v>4.2626771566021951E-3</v>
      </c>
      <c r="AK174" s="35" t="s">
        <v>920</v>
      </c>
      <c r="AL174" s="32">
        <v>0.15079644736800002</v>
      </c>
      <c r="AM174" s="32">
        <v>1.5197221502901306</v>
      </c>
      <c r="AN174" s="36">
        <v>0.23</v>
      </c>
    </row>
    <row r="175" spans="27:40" x14ac:dyDescent="0.25">
      <c r="AA175" s="29">
        <v>172</v>
      </c>
      <c r="AB175" s="30" t="s">
        <v>88</v>
      </c>
      <c r="AC175" s="29" t="s">
        <v>157</v>
      </c>
      <c r="AD175" s="30" t="s">
        <v>28</v>
      </c>
      <c r="AE175" s="31">
        <v>3.5735616434583872E-4</v>
      </c>
      <c r="AF175" s="12">
        <v>1.5197221502911953</v>
      </c>
      <c r="AG175" s="38">
        <f t="shared" si="15"/>
        <v>5.4308207849947175E-4</v>
      </c>
      <c r="AH175" s="32">
        <f t="shared" si="16"/>
        <v>76.97286394226478</v>
      </c>
      <c r="AI175" s="33">
        <f t="shared" si="17"/>
        <v>4.18025829378222E-2</v>
      </c>
      <c r="AJ175" s="34">
        <f t="shared" si="18"/>
        <v>4.2626771566051814E-3</v>
      </c>
      <c r="AK175" s="35" t="s">
        <v>920</v>
      </c>
      <c r="AL175" s="32">
        <v>0.15079644736800002</v>
      </c>
      <c r="AM175" s="32">
        <v>1.5197221502911953</v>
      </c>
      <c r="AN175" s="36">
        <v>0.23</v>
      </c>
    </row>
    <row r="176" spans="27:40" x14ac:dyDescent="0.25">
      <c r="AA176" s="29">
        <v>173</v>
      </c>
      <c r="AB176" s="30" t="s">
        <v>300</v>
      </c>
      <c r="AC176" s="29" t="s">
        <v>157</v>
      </c>
      <c r="AD176" s="30" t="s">
        <v>28</v>
      </c>
      <c r="AE176" s="31">
        <v>3.5735616434583872E-4</v>
      </c>
      <c r="AF176" s="12">
        <v>1.5197221502884424</v>
      </c>
      <c r="AG176" s="38">
        <f t="shared" si="15"/>
        <v>5.4308207849848805E-4</v>
      </c>
      <c r="AH176" s="32">
        <f t="shared" si="16"/>
        <v>76.97286394226478</v>
      </c>
      <c r="AI176" s="33">
        <f t="shared" si="17"/>
        <v>4.1802582937746482E-2</v>
      </c>
      <c r="AJ176" s="34">
        <f t="shared" si="18"/>
        <v>4.2626771565974601E-3</v>
      </c>
      <c r="AK176" s="35" t="s">
        <v>920</v>
      </c>
      <c r="AL176" s="32">
        <v>0.15079644736800002</v>
      </c>
      <c r="AM176" s="32">
        <v>1.5197221502884424</v>
      </c>
      <c r="AN176" s="36">
        <v>0.23</v>
      </c>
    </row>
    <row r="177" spans="27:40" x14ac:dyDescent="0.25">
      <c r="AA177" s="29">
        <v>174</v>
      </c>
      <c r="AB177" s="30" t="s">
        <v>301</v>
      </c>
      <c r="AC177" s="29" t="s">
        <v>157</v>
      </c>
      <c r="AD177" s="30" t="s">
        <v>28</v>
      </c>
      <c r="AE177" s="31">
        <v>3.5735616434583872E-4</v>
      </c>
      <c r="AF177" s="12">
        <v>1.5197221502903375</v>
      </c>
      <c r="AG177" s="38">
        <f t="shared" si="15"/>
        <v>5.4308207849916525E-4</v>
      </c>
      <c r="AH177" s="32">
        <f t="shared" si="16"/>
        <v>76.97286394226478</v>
      </c>
      <c r="AI177" s="33">
        <f t="shared" si="17"/>
        <v>4.1802582937798607E-2</v>
      </c>
      <c r="AJ177" s="34">
        <f t="shared" si="18"/>
        <v>4.2626771566027753E-3</v>
      </c>
      <c r="AK177" s="35" t="s">
        <v>920</v>
      </c>
      <c r="AL177" s="32">
        <v>0.15079644736800002</v>
      </c>
      <c r="AM177" s="32">
        <v>1.5197221502903375</v>
      </c>
      <c r="AN177" s="36">
        <v>0.23</v>
      </c>
    </row>
    <row r="178" spans="27:40" x14ac:dyDescent="0.25">
      <c r="AA178" s="29">
        <v>175</v>
      </c>
      <c r="AB178" s="30" t="s">
        <v>302</v>
      </c>
      <c r="AC178" s="29" t="s">
        <v>157</v>
      </c>
      <c r="AD178" s="30" t="s">
        <v>28</v>
      </c>
      <c r="AE178" s="31">
        <v>3.5735616434583872E-4</v>
      </c>
      <c r="AF178" s="12">
        <v>1.5197221502899976</v>
      </c>
      <c r="AG178" s="38">
        <f t="shared" si="15"/>
        <v>5.4308207849904382E-4</v>
      </c>
      <c r="AH178" s="32">
        <f t="shared" si="16"/>
        <v>76.97286394226478</v>
      </c>
      <c r="AI178" s="33">
        <f t="shared" si="17"/>
        <v>4.1802582937789261E-2</v>
      </c>
      <c r="AJ178" s="34">
        <f t="shared" si="18"/>
        <v>4.262677156601823E-3</v>
      </c>
      <c r="AK178" s="35" t="s">
        <v>920</v>
      </c>
      <c r="AL178" s="32">
        <v>0.15079644736800002</v>
      </c>
      <c r="AM178" s="32">
        <v>1.5197221502899976</v>
      </c>
      <c r="AN178" s="36">
        <v>0.23</v>
      </c>
    </row>
    <row r="179" spans="27:40" x14ac:dyDescent="0.25">
      <c r="AA179" s="29">
        <v>176</v>
      </c>
      <c r="AB179" s="30" t="s">
        <v>303</v>
      </c>
      <c r="AC179" s="29" t="s">
        <v>157</v>
      </c>
      <c r="AD179" s="30" t="s">
        <v>28</v>
      </c>
      <c r="AE179" s="31">
        <v>3.5735616434583872E-4</v>
      </c>
      <c r="AF179" s="12">
        <v>1.5197221502907208</v>
      </c>
      <c r="AG179" s="38">
        <f t="shared" si="15"/>
        <v>5.4308207849930218E-4</v>
      </c>
      <c r="AH179" s="32">
        <f t="shared" si="16"/>
        <v>76.97286394226478</v>
      </c>
      <c r="AI179" s="33">
        <f t="shared" si="17"/>
        <v>4.1802582937809148E-2</v>
      </c>
      <c r="AJ179" s="34">
        <f t="shared" si="18"/>
        <v>4.2626771566038509E-3</v>
      </c>
      <c r="AK179" s="35" t="s">
        <v>920</v>
      </c>
      <c r="AL179" s="32">
        <v>0.15079644736800002</v>
      </c>
      <c r="AM179" s="32">
        <v>1.5197221502907208</v>
      </c>
      <c r="AN179" s="36">
        <v>0.23</v>
      </c>
    </row>
    <row r="180" spans="27:40" x14ac:dyDescent="0.25">
      <c r="AA180" s="29">
        <v>177</v>
      </c>
      <c r="AB180" s="30" t="s">
        <v>304</v>
      </c>
      <c r="AC180" s="29" t="s">
        <v>157</v>
      </c>
      <c r="AD180" s="30" t="s">
        <v>28</v>
      </c>
      <c r="AE180" s="31">
        <v>3.5735616434583872E-4</v>
      </c>
      <c r="AF180" s="12">
        <v>1.5197221502895877</v>
      </c>
      <c r="AG180" s="38">
        <f t="shared" si="15"/>
        <v>5.4308207849889734E-4</v>
      </c>
      <c r="AH180" s="32">
        <f t="shared" si="16"/>
        <v>76.97286394226478</v>
      </c>
      <c r="AI180" s="33">
        <f t="shared" si="17"/>
        <v>4.1802582937777985E-2</v>
      </c>
      <c r="AJ180" s="34">
        <f t="shared" si="18"/>
        <v>4.2626771566006728E-3</v>
      </c>
      <c r="AK180" s="35" t="s">
        <v>920</v>
      </c>
      <c r="AL180" s="32">
        <v>0.15079644736800002</v>
      </c>
      <c r="AM180" s="32">
        <v>1.5197221502895877</v>
      </c>
      <c r="AN180" s="36">
        <v>0.23</v>
      </c>
    </row>
    <row r="181" spans="27:40" x14ac:dyDescent="0.25">
      <c r="AA181" s="29">
        <v>178</v>
      </c>
      <c r="AB181" s="30" t="s">
        <v>305</v>
      </c>
      <c r="AC181" s="29" t="s">
        <v>157</v>
      </c>
      <c r="AD181" s="30" t="s">
        <v>28</v>
      </c>
      <c r="AE181" s="31">
        <v>3.5735616434583872E-4</v>
      </c>
      <c r="AF181" s="12">
        <v>1.5197221502908715</v>
      </c>
      <c r="AG181" s="38">
        <f t="shared" si="15"/>
        <v>5.4308207849935607E-4</v>
      </c>
      <c r="AH181" s="32">
        <f t="shared" si="16"/>
        <v>76.97286394226478</v>
      </c>
      <c r="AI181" s="33">
        <f t="shared" si="17"/>
        <v>4.1802582937813297E-2</v>
      </c>
      <c r="AJ181" s="34">
        <f t="shared" si="18"/>
        <v>4.2626771566042733E-3</v>
      </c>
      <c r="AK181" s="35" t="s">
        <v>920</v>
      </c>
      <c r="AL181" s="32">
        <v>0.15079644736800002</v>
      </c>
      <c r="AM181" s="32">
        <v>1.5197221502908715</v>
      </c>
      <c r="AN181" s="36">
        <v>0.23</v>
      </c>
    </row>
    <row r="182" spans="27:40" x14ac:dyDescent="0.25">
      <c r="AA182" s="29">
        <v>179</v>
      </c>
      <c r="AB182" s="30" t="s">
        <v>306</v>
      </c>
      <c r="AC182" s="29" t="s">
        <v>157</v>
      </c>
      <c r="AD182" s="30" t="s">
        <v>28</v>
      </c>
      <c r="AE182" s="31">
        <v>3.5735616434583872E-4</v>
      </c>
      <c r="AF182" s="12">
        <v>1.5197221502888827</v>
      </c>
      <c r="AG182" s="38">
        <f t="shared" si="15"/>
        <v>5.4308207849864537E-4</v>
      </c>
      <c r="AH182" s="32">
        <f t="shared" si="16"/>
        <v>76.97286394226478</v>
      </c>
      <c r="AI182" s="33">
        <f t="shared" si="17"/>
        <v>4.1802582937758591E-2</v>
      </c>
      <c r="AJ182" s="34">
        <f t="shared" si="18"/>
        <v>4.2626771565986953E-3</v>
      </c>
      <c r="AK182" s="35" t="s">
        <v>920</v>
      </c>
      <c r="AL182" s="32">
        <v>0.15079644736800002</v>
      </c>
      <c r="AM182" s="32">
        <v>1.5197221502888827</v>
      </c>
      <c r="AN182" s="36">
        <v>0.23</v>
      </c>
    </row>
    <row r="183" spans="27:40" x14ac:dyDescent="0.25">
      <c r="AA183" s="29">
        <v>180</v>
      </c>
      <c r="AB183" s="30" t="s">
        <v>307</v>
      </c>
      <c r="AC183" s="29" t="s">
        <v>157</v>
      </c>
      <c r="AD183" s="30" t="s">
        <v>28</v>
      </c>
      <c r="AE183" s="31">
        <v>3.5735616434583872E-4</v>
      </c>
      <c r="AF183" s="12">
        <v>1.5197221502918832</v>
      </c>
      <c r="AG183" s="38">
        <f t="shared" si="15"/>
        <v>5.4308207849971765E-4</v>
      </c>
      <c r="AH183" s="32">
        <f t="shared" si="16"/>
        <v>76.97286394226478</v>
      </c>
      <c r="AI183" s="33">
        <f t="shared" si="17"/>
        <v>4.1802582937841129E-2</v>
      </c>
      <c r="AJ183" s="34">
        <f t="shared" si="18"/>
        <v>4.2626771566071113E-3</v>
      </c>
      <c r="AK183" s="35" t="s">
        <v>920</v>
      </c>
      <c r="AL183" s="32">
        <v>0.15079644736800002</v>
      </c>
      <c r="AM183" s="32">
        <v>1.5197221502918832</v>
      </c>
      <c r="AN183" s="36">
        <v>0.23</v>
      </c>
    </row>
    <row r="184" spans="27:40" x14ac:dyDescent="0.25">
      <c r="AA184" s="29">
        <v>181</v>
      </c>
      <c r="AB184" s="30" t="s">
        <v>308</v>
      </c>
      <c r="AC184" s="29" t="s">
        <v>157</v>
      </c>
      <c r="AD184" s="30" t="s">
        <v>28</v>
      </c>
      <c r="AE184" s="31">
        <v>3.5735616434583872E-4</v>
      </c>
      <c r="AF184" s="12">
        <v>1.5197221502896916</v>
      </c>
      <c r="AG184" s="38">
        <f t="shared" si="15"/>
        <v>5.4308207849893442E-4</v>
      </c>
      <c r="AH184" s="32">
        <f t="shared" si="16"/>
        <v>76.97286394226478</v>
      </c>
      <c r="AI184" s="33">
        <f t="shared" si="17"/>
        <v>4.1802582937780837E-2</v>
      </c>
      <c r="AJ184" s="34">
        <f t="shared" si="18"/>
        <v>4.2626771566009634E-3</v>
      </c>
      <c r="AK184" s="35" t="s">
        <v>920</v>
      </c>
      <c r="AL184" s="32">
        <v>0.15079644736800002</v>
      </c>
      <c r="AM184" s="32">
        <v>1.5197221502896916</v>
      </c>
      <c r="AN184" s="36">
        <v>0.23</v>
      </c>
    </row>
    <row r="185" spans="27:40" x14ac:dyDescent="0.25">
      <c r="AA185" s="29">
        <v>182</v>
      </c>
      <c r="AB185" s="30" t="s">
        <v>309</v>
      </c>
      <c r="AC185" s="29" t="s">
        <v>157</v>
      </c>
      <c r="AD185" s="30" t="s">
        <v>28</v>
      </c>
      <c r="AE185" s="31">
        <v>3.5735616434583872E-4</v>
      </c>
      <c r="AF185" s="12">
        <v>1.5197221502893745</v>
      </c>
      <c r="AG185" s="38">
        <f t="shared" si="15"/>
        <v>5.4308207849882112E-4</v>
      </c>
      <c r="AH185" s="32">
        <f t="shared" si="16"/>
        <v>76.97286394226478</v>
      </c>
      <c r="AI185" s="33">
        <f t="shared" si="17"/>
        <v>4.1802582937772122E-2</v>
      </c>
      <c r="AJ185" s="34">
        <f t="shared" si="18"/>
        <v>4.2626771566000752E-3</v>
      </c>
      <c r="AK185" s="35" t="s">
        <v>920</v>
      </c>
      <c r="AL185" s="32">
        <v>0.15079644736800002</v>
      </c>
      <c r="AM185" s="32">
        <v>1.5197221502893745</v>
      </c>
      <c r="AN185" s="36">
        <v>0.23</v>
      </c>
    </row>
    <row r="186" spans="27:40" x14ac:dyDescent="0.25">
      <c r="AA186" s="29">
        <v>183</v>
      </c>
      <c r="AB186" s="30" t="s">
        <v>89</v>
      </c>
      <c r="AC186" s="29" t="s">
        <v>157</v>
      </c>
      <c r="AD186" s="30" t="s">
        <v>28</v>
      </c>
      <c r="AE186" s="31">
        <v>3.5735616434583872E-4</v>
      </c>
      <c r="AF186" s="12">
        <v>1.5197221502908995</v>
      </c>
      <c r="AG186" s="38">
        <f t="shared" si="15"/>
        <v>5.4308207849936615E-4</v>
      </c>
      <c r="AH186" s="32">
        <f t="shared" si="16"/>
        <v>76.97286394226478</v>
      </c>
      <c r="AI186" s="33">
        <f t="shared" si="17"/>
        <v>4.1802582937814074E-2</v>
      </c>
      <c r="AJ186" s="34">
        <f t="shared" si="18"/>
        <v>4.2626771566043531E-3</v>
      </c>
      <c r="AK186" s="35" t="s">
        <v>920</v>
      </c>
      <c r="AL186" s="32">
        <v>0.15079644736800002</v>
      </c>
      <c r="AM186" s="32">
        <v>1.5197221502908995</v>
      </c>
      <c r="AN186" s="36">
        <v>0.23</v>
      </c>
    </row>
    <row r="187" spans="27:40" x14ac:dyDescent="0.25">
      <c r="AA187" s="29">
        <v>184</v>
      </c>
      <c r="AB187" s="30" t="s">
        <v>310</v>
      </c>
      <c r="AC187" s="29" t="s">
        <v>157</v>
      </c>
      <c r="AD187" s="30" t="s">
        <v>28</v>
      </c>
      <c r="AE187" s="31">
        <v>3.5735616434583872E-4</v>
      </c>
      <c r="AF187" s="12">
        <v>1.5197221502900096</v>
      </c>
      <c r="AG187" s="38">
        <f t="shared" si="15"/>
        <v>5.4308207849904804E-4</v>
      </c>
      <c r="AH187" s="32">
        <f t="shared" si="16"/>
        <v>76.97286394226478</v>
      </c>
      <c r="AI187" s="33">
        <f t="shared" si="17"/>
        <v>4.1802582937789587E-2</v>
      </c>
      <c r="AJ187" s="34">
        <f t="shared" si="18"/>
        <v>4.2626771566018559E-3</v>
      </c>
      <c r="AK187" s="35" t="s">
        <v>920</v>
      </c>
      <c r="AL187" s="32">
        <v>0.15079644736800002</v>
      </c>
      <c r="AM187" s="32">
        <v>1.5197221502900096</v>
      </c>
      <c r="AN187" s="36">
        <v>0.23</v>
      </c>
    </row>
    <row r="188" spans="27:40" x14ac:dyDescent="0.25">
      <c r="AA188" s="29">
        <v>185</v>
      </c>
      <c r="AB188" s="30" t="s">
        <v>311</v>
      </c>
      <c r="AC188" s="29" t="s">
        <v>157</v>
      </c>
      <c r="AD188" s="30" t="s">
        <v>28</v>
      </c>
      <c r="AE188" s="31">
        <v>3.5735616434583872E-4</v>
      </c>
      <c r="AF188" s="12">
        <v>1.5197221502888516</v>
      </c>
      <c r="AG188" s="38">
        <f t="shared" si="15"/>
        <v>5.4308207849863431E-4</v>
      </c>
      <c r="AH188" s="32">
        <f t="shared" si="16"/>
        <v>76.97286394226478</v>
      </c>
      <c r="AI188" s="33">
        <f t="shared" si="17"/>
        <v>4.1802582937757737E-2</v>
      </c>
      <c r="AJ188" s="34">
        <f t="shared" si="18"/>
        <v>4.2626771565986077E-3</v>
      </c>
      <c r="AK188" s="35" t="s">
        <v>920</v>
      </c>
      <c r="AL188" s="32">
        <v>0.15079644736800002</v>
      </c>
      <c r="AM188" s="32">
        <v>1.5197221502888516</v>
      </c>
      <c r="AN188" s="36">
        <v>0.23</v>
      </c>
    </row>
    <row r="189" spans="27:40" x14ac:dyDescent="0.25">
      <c r="AA189" s="29">
        <v>186</v>
      </c>
      <c r="AB189" s="30" t="s">
        <v>312</v>
      </c>
      <c r="AC189" s="29" t="s">
        <v>157</v>
      </c>
      <c r="AD189" s="30" t="s">
        <v>28</v>
      </c>
      <c r="AE189" s="31">
        <v>3.5735616434583872E-4</v>
      </c>
      <c r="AF189" s="12">
        <v>1.5197221502905753</v>
      </c>
      <c r="AG189" s="38">
        <f t="shared" si="15"/>
        <v>5.4308207849925025E-4</v>
      </c>
      <c r="AH189" s="32">
        <f t="shared" si="16"/>
        <v>76.97286394226478</v>
      </c>
      <c r="AI189" s="33">
        <f t="shared" si="17"/>
        <v>4.1802582937805151E-2</v>
      </c>
      <c r="AJ189" s="34">
        <f t="shared" si="18"/>
        <v>4.2626771566034432E-3</v>
      </c>
      <c r="AK189" s="35" t="s">
        <v>920</v>
      </c>
      <c r="AL189" s="32">
        <v>0.15079644736800002</v>
      </c>
      <c r="AM189" s="32">
        <v>1.5197221502905753</v>
      </c>
      <c r="AN189" s="36">
        <v>0.23</v>
      </c>
    </row>
    <row r="190" spans="27:40" x14ac:dyDescent="0.25">
      <c r="AA190" s="29">
        <v>187</v>
      </c>
      <c r="AB190" s="30" t="s">
        <v>313</v>
      </c>
      <c r="AC190" s="29" t="s">
        <v>153</v>
      </c>
      <c r="AD190" s="30" t="s">
        <v>28</v>
      </c>
      <c r="AE190" s="31">
        <v>8.2938046054770545E-4</v>
      </c>
      <c r="AF190" s="12">
        <v>1.5197221502914207</v>
      </c>
      <c r="AG190" s="38">
        <f t="shared" si="15"/>
        <v>1.2604278569132478E-3</v>
      </c>
      <c r="AH190" s="32">
        <f t="shared" si="16"/>
        <v>76.97286394226478</v>
      </c>
      <c r="AI190" s="33">
        <f t="shared" si="17"/>
        <v>9.7018741939223802E-2</v>
      </c>
      <c r="AJ190" s="34">
        <f t="shared" si="18"/>
        <v>9.8931584118148209E-3</v>
      </c>
      <c r="AK190" s="35" t="s">
        <v>920</v>
      </c>
      <c r="AL190" s="32">
        <v>0.21991148574500002</v>
      </c>
      <c r="AM190" s="32">
        <v>1.5197221502914207</v>
      </c>
      <c r="AN190" s="36">
        <v>0.33</v>
      </c>
    </row>
    <row r="191" spans="27:40" x14ac:dyDescent="0.25">
      <c r="AA191" s="29">
        <v>188</v>
      </c>
      <c r="AB191" s="30" t="s">
        <v>314</v>
      </c>
      <c r="AC191" s="29" t="s">
        <v>153</v>
      </c>
      <c r="AD191" s="30" t="s">
        <v>28</v>
      </c>
      <c r="AE191" s="31">
        <v>8.2938046054770545E-4</v>
      </c>
      <c r="AF191" s="12">
        <v>1.5197221502913931</v>
      </c>
      <c r="AG191" s="38">
        <f t="shared" si="15"/>
        <v>1.2604278569132248E-3</v>
      </c>
      <c r="AH191" s="32">
        <f t="shared" si="16"/>
        <v>76.97286394226478</v>
      </c>
      <c r="AI191" s="33">
        <f t="shared" si="17"/>
        <v>9.7018741939222025E-2</v>
      </c>
      <c r="AJ191" s="34">
        <f t="shared" si="18"/>
        <v>9.8931584118146388E-3</v>
      </c>
      <c r="AK191" s="35" t="s">
        <v>920</v>
      </c>
      <c r="AL191" s="32">
        <v>0.21991148574500002</v>
      </c>
      <c r="AM191" s="32">
        <v>1.5197221502913931</v>
      </c>
      <c r="AN191" s="36">
        <v>0.33</v>
      </c>
    </row>
    <row r="192" spans="27:40" x14ac:dyDescent="0.25">
      <c r="AA192" s="29">
        <v>189</v>
      </c>
      <c r="AB192" s="30" t="s">
        <v>315</v>
      </c>
      <c r="AC192" s="29" t="s">
        <v>153</v>
      </c>
      <c r="AD192" s="30" t="s">
        <v>28</v>
      </c>
      <c r="AE192" s="31">
        <v>8.2938046054770545E-4</v>
      </c>
      <c r="AF192" s="12">
        <v>1.5197221502894127</v>
      </c>
      <c r="AG192" s="38">
        <f t="shared" si="15"/>
        <v>1.2604278569115824E-3</v>
      </c>
      <c r="AH192" s="32">
        <f t="shared" si="16"/>
        <v>76.97286394226478</v>
      </c>
      <c r="AI192" s="33">
        <f t="shared" si="17"/>
        <v>9.7018741939095612E-2</v>
      </c>
      <c r="AJ192" s="34">
        <f t="shared" si="18"/>
        <v>9.8931584118017481E-3</v>
      </c>
      <c r="AK192" s="35" t="s">
        <v>920</v>
      </c>
      <c r="AL192" s="32">
        <v>0.21991148574500002</v>
      </c>
      <c r="AM192" s="32">
        <v>1.5197221502894127</v>
      </c>
      <c r="AN192" s="36">
        <v>0.33</v>
      </c>
    </row>
    <row r="193" spans="27:40" x14ac:dyDescent="0.25">
      <c r="AA193" s="29">
        <v>190</v>
      </c>
      <c r="AB193" s="30" t="s">
        <v>316</v>
      </c>
      <c r="AC193" s="29" t="s">
        <v>153</v>
      </c>
      <c r="AD193" s="30" t="s">
        <v>28</v>
      </c>
      <c r="AE193" s="31">
        <v>8.2938046054770545E-4</v>
      </c>
      <c r="AF193" s="12">
        <v>1.5197221502906733</v>
      </c>
      <c r="AG193" s="38">
        <f t="shared" si="15"/>
        <v>1.2604278569126278E-3</v>
      </c>
      <c r="AH193" s="32">
        <f t="shared" si="16"/>
        <v>76.97286394226478</v>
      </c>
      <c r="AI193" s="33">
        <f t="shared" si="17"/>
        <v>9.7018741939176076E-2</v>
      </c>
      <c r="AJ193" s="34">
        <f t="shared" si="18"/>
        <v>9.8931584118099533E-3</v>
      </c>
      <c r="AK193" s="35" t="s">
        <v>920</v>
      </c>
      <c r="AL193" s="32">
        <v>0.21991148574500002</v>
      </c>
      <c r="AM193" s="32">
        <v>1.5197221502906733</v>
      </c>
      <c r="AN193" s="36">
        <v>0.33</v>
      </c>
    </row>
    <row r="194" spans="27:40" x14ac:dyDescent="0.25">
      <c r="AA194" s="29">
        <v>191</v>
      </c>
      <c r="AB194" s="30" t="s">
        <v>317</v>
      </c>
      <c r="AC194" s="29" t="s">
        <v>153</v>
      </c>
      <c r="AD194" s="30" t="s">
        <v>28</v>
      </c>
      <c r="AE194" s="31">
        <v>8.2938046054770545E-4</v>
      </c>
      <c r="AF194" s="12">
        <v>1.519722147473572</v>
      </c>
      <c r="AG194" s="38">
        <f t="shared" si="15"/>
        <v>1.2604278545761791E-3</v>
      </c>
      <c r="AH194" s="32">
        <f t="shared" si="16"/>
        <v>76.97286394226478</v>
      </c>
      <c r="AI194" s="33">
        <f t="shared" si="17"/>
        <v>9.7018741759332935E-2</v>
      </c>
      <c r="AJ194" s="34">
        <f t="shared" si="18"/>
        <v>9.8931583934710569E-3</v>
      </c>
      <c r="AK194" s="35" t="s">
        <v>920</v>
      </c>
      <c r="AL194" s="32">
        <v>0.21991148574500002</v>
      </c>
      <c r="AM194" s="32">
        <v>1.519722147473572</v>
      </c>
      <c r="AN194" s="36">
        <v>0.33</v>
      </c>
    </row>
    <row r="195" spans="27:40" x14ac:dyDescent="0.25">
      <c r="AA195" s="29">
        <v>192</v>
      </c>
      <c r="AB195" s="30" t="s">
        <v>318</v>
      </c>
      <c r="AC195" s="29" t="s">
        <v>157</v>
      </c>
      <c r="AD195" s="30" t="s">
        <v>28</v>
      </c>
      <c r="AE195" s="31">
        <v>3.5735616434583872E-4</v>
      </c>
      <c r="AF195" s="12">
        <v>1.5197221558268676</v>
      </c>
      <c r="AG195" s="38">
        <f t="shared" si="15"/>
        <v>5.4308208047767841E-4</v>
      </c>
      <c r="AH195" s="32">
        <f t="shared" si="16"/>
        <v>76.97286394226478</v>
      </c>
      <c r="AI195" s="33">
        <f t="shared" si="17"/>
        <v>4.1802583090090432E-2</v>
      </c>
      <c r="AJ195" s="34">
        <f t="shared" si="18"/>
        <v>4.2626771721322202E-3</v>
      </c>
      <c r="AK195" s="35" t="s">
        <v>920</v>
      </c>
      <c r="AL195" s="32">
        <v>0.15079644736800002</v>
      </c>
      <c r="AM195" s="32">
        <v>1.5197221558268676</v>
      </c>
      <c r="AN195" s="36">
        <v>0.23</v>
      </c>
    </row>
    <row r="196" spans="27:40" x14ac:dyDescent="0.25">
      <c r="AA196" s="29">
        <v>193</v>
      </c>
      <c r="AB196" s="30" t="s">
        <v>319</v>
      </c>
      <c r="AC196" s="29" t="s">
        <v>150</v>
      </c>
      <c r="AD196" s="30" t="s">
        <v>9</v>
      </c>
      <c r="AE196" s="31">
        <v>7.8799999999999999E-3</v>
      </c>
      <c r="AF196" s="12">
        <v>6.4</v>
      </c>
      <c r="AG196" s="38">
        <f t="shared" si="15"/>
        <v>5.0432000000000005E-2</v>
      </c>
      <c r="AH196" s="32">
        <f t="shared" si="16"/>
        <v>76.97286394226478</v>
      </c>
      <c r="AI196" s="33">
        <f t="shared" si="17"/>
        <v>3.8818954743362979</v>
      </c>
      <c r="AJ196" s="34">
        <f t="shared" si="18"/>
        <v>0.39584317522663681</v>
      </c>
      <c r="AK196" s="35" t="s">
        <v>33</v>
      </c>
      <c r="AL196" s="32">
        <v>1.988</v>
      </c>
      <c r="AM196" s="32">
        <v>6.4</v>
      </c>
      <c r="AN196" s="36">
        <v>12.72</v>
      </c>
    </row>
    <row r="197" spans="27:40" x14ac:dyDescent="0.25">
      <c r="AA197" s="29">
        <v>194</v>
      </c>
      <c r="AB197" s="30" t="s">
        <v>90</v>
      </c>
      <c r="AC197" s="29" t="s">
        <v>150</v>
      </c>
      <c r="AD197" s="30" t="s">
        <v>9</v>
      </c>
      <c r="AE197" s="31">
        <v>7.8799999999999999E-3</v>
      </c>
      <c r="AF197" s="12">
        <v>6.4</v>
      </c>
      <c r="AG197" s="38">
        <f t="shared" ref="AG197:AG260" si="19">IF(AA197="","",AE197*AF197)</f>
        <v>5.0432000000000005E-2</v>
      </c>
      <c r="AH197" s="32">
        <f t="shared" ref="AH197:AH260" si="20">IF(AA197="","",IFERROR(VLOOKUP(AD197,$A$4:$E$20,3,FALSE),VLOOKUP(AD197,$A$25:$E$30,3,FALSE)))</f>
        <v>76.97286394226478</v>
      </c>
      <c r="AI197" s="33">
        <f t="shared" ref="AI197:AI260" si="21">IF(AA197="","",AG197*AH197)</f>
        <v>3.8818954743362979</v>
      </c>
      <c r="AJ197" s="34">
        <f t="shared" ref="AJ197:AJ260" si="22">IF(AA197="","",AI197/9.80665)</f>
        <v>0.39584317522663681</v>
      </c>
      <c r="AK197" s="35" t="s">
        <v>33</v>
      </c>
      <c r="AL197" s="32">
        <v>1.988</v>
      </c>
      <c r="AM197" s="32">
        <v>6.4</v>
      </c>
      <c r="AN197" s="36">
        <v>12.72</v>
      </c>
    </row>
    <row r="198" spans="27:40" x14ac:dyDescent="0.25">
      <c r="AA198" s="29">
        <v>195</v>
      </c>
      <c r="AB198" s="30" t="s">
        <v>320</v>
      </c>
      <c r="AC198" s="29" t="s">
        <v>158</v>
      </c>
      <c r="AD198" s="30" t="s">
        <v>28</v>
      </c>
      <c r="AE198" s="31">
        <v>2.1362830044410596E-3</v>
      </c>
      <c r="AF198" s="12">
        <v>3.1790368674891925</v>
      </c>
      <c r="AG198" s="38">
        <f t="shared" si="19"/>
        <v>6.7913224305087066E-3</v>
      </c>
      <c r="AH198" s="32">
        <f t="shared" si="20"/>
        <v>76.97286394226478</v>
      </c>
      <c r="AI198" s="33">
        <f t="shared" si="21"/>
        <v>0.52274753743159763</v>
      </c>
      <c r="AJ198" s="34">
        <f t="shared" si="22"/>
        <v>5.3305413921328655E-2</v>
      </c>
      <c r="AK198" s="35" t="s">
        <v>920</v>
      </c>
      <c r="AL198" s="32">
        <v>0.44296456414349994</v>
      </c>
      <c r="AM198" s="32">
        <v>3.1790368674891925</v>
      </c>
      <c r="AN198" s="36">
        <v>1.41</v>
      </c>
    </row>
    <row r="199" spans="27:40" x14ac:dyDescent="0.25">
      <c r="AA199" s="29">
        <v>196</v>
      </c>
      <c r="AB199" s="30" t="s">
        <v>91</v>
      </c>
      <c r="AC199" s="29" t="s">
        <v>158</v>
      </c>
      <c r="AD199" s="30" t="s">
        <v>28</v>
      </c>
      <c r="AE199" s="31">
        <v>2.1362830044410596E-3</v>
      </c>
      <c r="AF199" s="12">
        <v>3.1790368753621117</v>
      </c>
      <c r="AG199" s="38">
        <f t="shared" si="19"/>
        <v>6.79132244732749E-3</v>
      </c>
      <c r="AH199" s="32">
        <f t="shared" si="20"/>
        <v>76.97286394226478</v>
      </c>
      <c r="AI199" s="33">
        <f t="shared" si="21"/>
        <v>0.52274753872618751</v>
      </c>
      <c r="AJ199" s="34">
        <f t="shared" si="22"/>
        <v>5.3305414053340085E-2</v>
      </c>
      <c r="AK199" s="35" t="s">
        <v>920</v>
      </c>
      <c r="AL199" s="32">
        <v>0.44296456414349994</v>
      </c>
      <c r="AM199" s="32">
        <v>3.1790368753621117</v>
      </c>
      <c r="AN199" s="36">
        <v>1.41</v>
      </c>
    </row>
    <row r="200" spans="27:40" x14ac:dyDescent="0.25">
      <c r="AA200" s="29">
        <v>197</v>
      </c>
      <c r="AB200" s="30" t="s">
        <v>321</v>
      </c>
      <c r="AC200" s="29" t="s">
        <v>156</v>
      </c>
      <c r="AD200" s="30" t="s">
        <v>28</v>
      </c>
      <c r="AE200" s="31">
        <v>1.3823007675795071E-3</v>
      </c>
      <c r="AF200" s="12">
        <v>2.0807051797441103</v>
      </c>
      <c r="AG200" s="38">
        <f t="shared" si="19"/>
        <v>2.8761603670669398E-3</v>
      </c>
      <c r="AH200" s="32">
        <f t="shared" si="20"/>
        <v>76.97286394226478</v>
      </c>
      <c r="AI200" s="33">
        <f t="shared" si="21"/>
        <v>0.2213863006103779</v>
      </c>
      <c r="AJ200" s="34">
        <f t="shared" si="22"/>
        <v>2.2575120006360777E-2</v>
      </c>
      <c r="AK200" s="35" t="s">
        <v>920</v>
      </c>
      <c r="AL200" s="32">
        <v>0.35814156249900003</v>
      </c>
      <c r="AM200" s="32">
        <v>2.0807051797441103</v>
      </c>
      <c r="AN200" s="36">
        <v>0.75</v>
      </c>
    </row>
    <row r="201" spans="27:40" x14ac:dyDescent="0.25">
      <c r="AA201" s="29">
        <v>198</v>
      </c>
      <c r="AB201" s="30" t="s">
        <v>92</v>
      </c>
      <c r="AC201" s="29" t="s">
        <v>156</v>
      </c>
      <c r="AD201" s="30" t="s">
        <v>28</v>
      </c>
      <c r="AE201" s="31">
        <v>1.3823007675795071E-3</v>
      </c>
      <c r="AF201" s="12">
        <v>2.0807051797462806</v>
      </c>
      <c r="AG201" s="38">
        <f t="shared" si="19"/>
        <v>2.87616036706994E-3</v>
      </c>
      <c r="AH201" s="32">
        <f t="shared" si="20"/>
        <v>76.97286394226478</v>
      </c>
      <c r="AI201" s="33">
        <f t="shared" si="21"/>
        <v>0.22138630061060882</v>
      </c>
      <c r="AJ201" s="34">
        <f t="shared" si="22"/>
        <v>2.2575120006384324E-2</v>
      </c>
      <c r="AK201" s="35" t="s">
        <v>920</v>
      </c>
      <c r="AL201" s="32">
        <v>0.35814156249900003</v>
      </c>
      <c r="AM201" s="32">
        <v>2.0807051797462806</v>
      </c>
      <c r="AN201" s="36">
        <v>0.75</v>
      </c>
    </row>
    <row r="202" spans="27:40" x14ac:dyDescent="0.25">
      <c r="AA202" s="29">
        <v>199</v>
      </c>
      <c r="AB202" s="30" t="s">
        <v>322</v>
      </c>
      <c r="AC202" s="29" t="s">
        <v>156</v>
      </c>
      <c r="AD202" s="30" t="s">
        <v>28</v>
      </c>
      <c r="AE202" s="31">
        <v>1.3823007675795071E-3</v>
      </c>
      <c r="AF202" s="12">
        <v>2.0807051797469542</v>
      </c>
      <c r="AG202" s="38">
        <f t="shared" si="19"/>
        <v>2.8761603670708711E-3</v>
      </c>
      <c r="AH202" s="32">
        <f t="shared" si="20"/>
        <v>76.97286394226478</v>
      </c>
      <c r="AI202" s="33">
        <f t="shared" si="21"/>
        <v>0.22138630061068049</v>
      </c>
      <c r="AJ202" s="34">
        <f t="shared" si="22"/>
        <v>2.2575120006391631E-2</v>
      </c>
      <c r="AK202" s="35" t="s">
        <v>920</v>
      </c>
      <c r="AL202" s="32">
        <v>0.35814156249900003</v>
      </c>
      <c r="AM202" s="32">
        <v>2.0807051797469542</v>
      </c>
      <c r="AN202" s="36">
        <v>0.75</v>
      </c>
    </row>
    <row r="203" spans="27:40" x14ac:dyDescent="0.25">
      <c r="AA203" s="29">
        <v>200</v>
      </c>
      <c r="AB203" s="30" t="s">
        <v>93</v>
      </c>
      <c r="AC203" s="29" t="s">
        <v>156</v>
      </c>
      <c r="AD203" s="30" t="s">
        <v>28</v>
      </c>
      <c r="AE203" s="31">
        <v>1.3823007675795071E-3</v>
      </c>
      <c r="AF203" s="12">
        <v>2.0807051797451113</v>
      </c>
      <c r="AG203" s="38">
        <f t="shared" si="19"/>
        <v>2.8761603670683237E-3</v>
      </c>
      <c r="AH203" s="32">
        <f t="shared" si="20"/>
        <v>76.97286394226478</v>
      </c>
      <c r="AI203" s="33">
        <f t="shared" si="21"/>
        <v>0.22138630061048439</v>
      </c>
      <c r="AJ203" s="34">
        <f t="shared" si="22"/>
        <v>2.2575120006371636E-2</v>
      </c>
      <c r="AK203" s="35" t="s">
        <v>920</v>
      </c>
      <c r="AL203" s="32">
        <v>0.35814156249900003</v>
      </c>
      <c r="AM203" s="32">
        <v>2.0807051797451113</v>
      </c>
      <c r="AN203" s="36">
        <v>0.75</v>
      </c>
    </row>
    <row r="204" spans="27:40" x14ac:dyDescent="0.25">
      <c r="AA204" s="29">
        <v>201</v>
      </c>
      <c r="AB204" s="30" t="s">
        <v>323</v>
      </c>
      <c r="AC204" s="29" t="s">
        <v>156</v>
      </c>
      <c r="AD204" s="30" t="s">
        <v>28</v>
      </c>
      <c r="AE204" s="31">
        <v>1.3823007675795071E-3</v>
      </c>
      <c r="AF204" s="12">
        <v>2.0807051797444625</v>
      </c>
      <c r="AG204" s="38">
        <f t="shared" si="19"/>
        <v>2.8761603670674268E-3</v>
      </c>
      <c r="AH204" s="32">
        <f t="shared" si="20"/>
        <v>76.97286394226478</v>
      </c>
      <c r="AI204" s="33">
        <f t="shared" si="21"/>
        <v>0.22138630061041537</v>
      </c>
      <c r="AJ204" s="34">
        <f t="shared" si="22"/>
        <v>2.2575120006364597E-2</v>
      </c>
      <c r="AK204" s="35" t="s">
        <v>920</v>
      </c>
      <c r="AL204" s="32">
        <v>0.35814156249900003</v>
      </c>
      <c r="AM204" s="32">
        <v>2.0807051797444625</v>
      </c>
      <c r="AN204" s="36">
        <v>0.75</v>
      </c>
    </row>
    <row r="205" spans="27:40" x14ac:dyDescent="0.25">
      <c r="AA205" s="29">
        <v>202</v>
      </c>
      <c r="AB205" s="30" t="s">
        <v>94</v>
      </c>
      <c r="AC205" s="29" t="s">
        <v>156</v>
      </c>
      <c r="AD205" s="30" t="s">
        <v>28</v>
      </c>
      <c r="AE205" s="31">
        <v>1.3823007675795071E-3</v>
      </c>
      <c r="AF205" s="12">
        <v>2.0807051797468379</v>
      </c>
      <c r="AG205" s="38">
        <f t="shared" si="19"/>
        <v>2.8761603670707102E-3</v>
      </c>
      <c r="AH205" s="32">
        <f t="shared" si="20"/>
        <v>76.97286394226478</v>
      </c>
      <c r="AI205" s="33">
        <f t="shared" si="21"/>
        <v>0.22138630061066811</v>
      </c>
      <c r="AJ205" s="34">
        <f t="shared" si="22"/>
        <v>2.2575120006390371E-2</v>
      </c>
      <c r="AK205" s="35" t="s">
        <v>920</v>
      </c>
      <c r="AL205" s="32">
        <v>0.35814156249900003</v>
      </c>
      <c r="AM205" s="32">
        <v>2.0807051797468379</v>
      </c>
      <c r="AN205" s="36">
        <v>0.75</v>
      </c>
    </row>
    <row r="206" spans="27:40" x14ac:dyDescent="0.25">
      <c r="AA206" s="29">
        <v>203</v>
      </c>
      <c r="AB206" s="30" t="s">
        <v>324</v>
      </c>
      <c r="AC206" s="29" t="s">
        <v>156</v>
      </c>
      <c r="AD206" s="30" t="s">
        <v>28</v>
      </c>
      <c r="AE206" s="31">
        <v>1.3823007675795071E-3</v>
      </c>
      <c r="AF206" s="12">
        <v>2.0807051797433171</v>
      </c>
      <c r="AG206" s="38">
        <f t="shared" si="19"/>
        <v>2.8761603670658434E-3</v>
      </c>
      <c r="AH206" s="32">
        <f t="shared" si="20"/>
        <v>76.97286394226478</v>
      </c>
      <c r="AI206" s="33">
        <f t="shared" si="21"/>
        <v>0.22138630061029349</v>
      </c>
      <c r="AJ206" s="34">
        <f t="shared" si="22"/>
        <v>2.2575120006352169E-2</v>
      </c>
      <c r="AK206" s="35" t="s">
        <v>920</v>
      </c>
      <c r="AL206" s="32">
        <v>0.35814156249900003</v>
      </c>
      <c r="AM206" s="32">
        <v>2.0807051797433171</v>
      </c>
      <c r="AN206" s="36">
        <v>0.75</v>
      </c>
    </row>
    <row r="207" spans="27:40" x14ac:dyDescent="0.25">
      <c r="AA207" s="29">
        <v>204</v>
      </c>
      <c r="AB207" s="30" t="s">
        <v>95</v>
      </c>
      <c r="AC207" s="29" t="s">
        <v>156</v>
      </c>
      <c r="AD207" s="30" t="s">
        <v>28</v>
      </c>
      <c r="AE207" s="31">
        <v>1.3823007675795071E-3</v>
      </c>
      <c r="AF207" s="12">
        <v>2.0807051797459848</v>
      </c>
      <c r="AG207" s="38">
        <f t="shared" si="19"/>
        <v>2.876160367069531E-3</v>
      </c>
      <c r="AH207" s="32">
        <f t="shared" si="20"/>
        <v>76.97286394226478</v>
      </c>
      <c r="AI207" s="33">
        <f t="shared" si="21"/>
        <v>0.22138630061057735</v>
      </c>
      <c r="AJ207" s="34">
        <f t="shared" si="22"/>
        <v>2.2575120006381115E-2</v>
      </c>
      <c r="AK207" s="35" t="s">
        <v>920</v>
      </c>
      <c r="AL207" s="32">
        <v>0.35814156249900003</v>
      </c>
      <c r="AM207" s="32">
        <v>2.0807051797459848</v>
      </c>
      <c r="AN207" s="36">
        <v>0.75</v>
      </c>
    </row>
    <row r="208" spans="27:40" x14ac:dyDescent="0.25">
      <c r="AA208" s="29">
        <v>205</v>
      </c>
      <c r="AB208" s="30" t="s">
        <v>325</v>
      </c>
      <c r="AC208" s="29" t="s">
        <v>156</v>
      </c>
      <c r="AD208" s="30" t="s">
        <v>28</v>
      </c>
      <c r="AE208" s="31">
        <v>1.3823007675795071E-3</v>
      </c>
      <c r="AF208" s="12">
        <v>2.0807051797455443</v>
      </c>
      <c r="AG208" s="38">
        <f t="shared" si="19"/>
        <v>2.8761603670689221E-3</v>
      </c>
      <c r="AH208" s="32">
        <f t="shared" si="20"/>
        <v>76.97286394226478</v>
      </c>
      <c r="AI208" s="33">
        <f t="shared" si="21"/>
        <v>0.22138630061053047</v>
      </c>
      <c r="AJ208" s="34">
        <f t="shared" si="22"/>
        <v>2.2575120006376334E-2</v>
      </c>
      <c r="AK208" s="35" t="s">
        <v>920</v>
      </c>
      <c r="AL208" s="32">
        <v>0.35814156249900003</v>
      </c>
      <c r="AM208" s="32">
        <v>2.0807051797455443</v>
      </c>
      <c r="AN208" s="36">
        <v>0.75</v>
      </c>
    </row>
    <row r="209" spans="27:40" x14ac:dyDescent="0.25">
      <c r="AA209" s="29">
        <v>206</v>
      </c>
      <c r="AB209" s="30" t="s">
        <v>326</v>
      </c>
      <c r="AC209" s="29" t="s">
        <v>156</v>
      </c>
      <c r="AD209" s="30" t="s">
        <v>28</v>
      </c>
      <c r="AE209" s="31">
        <v>1.3823007675795071E-3</v>
      </c>
      <c r="AF209" s="12">
        <v>2.0807051797457792</v>
      </c>
      <c r="AG209" s="38">
        <f t="shared" si="19"/>
        <v>2.8761603670692465E-3</v>
      </c>
      <c r="AH209" s="32">
        <f t="shared" si="20"/>
        <v>76.97286394226478</v>
      </c>
      <c r="AI209" s="33">
        <f t="shared" si="21"/>
        <v>0.22138630061055545</v>
      </c>
      <c r="AJ209" s="34">
        <f t="shared" si="22"/>
        <v>2.2575120006378881E-2</v>
      </c>
      <c r="AK209" s="35" t="s">
        <v>920</v>
      </c>
      <c r="AL209" s="32">
        <v>0.35814156249900003</v>
      </c>
      <c r="AM209" s="32">
        <v>2.0807051797457792</v>
      </c>
      <c r="AN209" s="36">
        <v>0.75</v>
      </c>
    </row>
    <row r="210" spans="27:40" x14ac:dyDescent="0.25">
      <c r="AA210" s="29">
        <v>207</v>
      </c>
      <c r="AB210" s="30" t="s">
        <v>327</v>
      </c>
      <c r="AC210" s="29" t="s">
        <v>156</v>
      </c>
      <c r="AD210" s="30" t="s">
        <v>28</v>
      </c>
      <c r="AE210" s="31">
        <v>1.3823007675795071E-3</v>
      </c>
      <c r="AF210" s="12">
        <v>2.0807051797433846</v>
      </c>
      <c r="AG210" s="38">
        <f t="shared" si="19"/>
        <v>2.8761603670659367E-3</v>
      </c>
      <c r="AH210" s="32">
        <f t="shared" si="20"/>
        <v>76.97286394226478</v>
      </c>
      <c r="AI210" s="33">
        <f t="shared" si="21"/>
        <v>0.22138630061030068</v>
      </c>
      <c r="AJ210" s="34">
        <f t="shared" si="22"/>
        <v>2.2575120006352901E-2</v>
      </c>
      <c r="AK210" s="35" t="s">
        <v>920</v>
      </c>
      <c r="AL210" s="32">
        <v>0.35814156249900003</v>
      </c>
      <c r="AM210" s="32">
        <v>2.0807051797433846</v>
      </c>
      <c r="AN210" s="36">
        <v>0.75</v>
      </c>
    </row>
    <row r="211" spans="27:40" x14ac:dyDescent="0.25">
      <c r="AA211" s="29">
        <v>208</v>
      </c>
      <c r="AB211" s="30" t="s">
        <v>328</v>
      </c>
      <c r="AC211" s="29" t="s">
        <v>156</v>
      </c>
      <c r="AD211" s="30" t="s">
        <v>28</v>
      </c>
      <c r="AE211" s="31">
        <v>1.3823007675795071E-3</v>
      </c>
      <c r="AF211" s="12">
        <v>2.0807051797462073</v>
      </c>
      <c r="AG211" s="38">
        <f t="shared" si="19"/>
        <v>2.8761603670698385E-3</v>
      </c>
      <c r="AH211" s="32">
        <f t="shared" si="20"/>
        <v>76.97286394226478</v>
      </c>
      <c r="AI211" s="33">
        <f t="shared" si="21"/>
        <v>0.22138630061060099</v>
      </c>
      <c r="AJ211" s="34">
        <f t="shared" si="22"/>
        <v>2.2575120006383526E-2</v>
      </c>
      <c r="AK211" s="35" t="s">
        <v>920</v>
      </c>
      <c r="AL211" s="32">
        <v>0.35814156249900003</v>
      </c>
      <c r="AM211" s="32">
        <v>2.0807051797462073</v>
      </c>
      <c r="AN211" s="36">
        <v>0.75</v>
      </c>
    </row>
    <row r="212" spans="27:40" x14ac:dyDescent="0.25">
      <c r="AA212" s="29">
        <v>209</v>
      </c>
      <c r="AB212" s="30" t="s">
        <v>329</v>
      </c>
      <c r="AC212" s="29" t="s">
        <v>156</v>
      </c>
      <c r="AD212" s="30" t="s">
        <v>28</v>
      </c>
      <c r="AE212" s="31">
        <v>1.3823007675795071E-3</v>
      </c>
      <c r="AF212" s="12">
        <v>2.0807051797430582</v>
      </c>
      <c r="AG212" s="38">
        <f t="shared" si="19"/>
        <v>2.8761603670654856E-3</v>
      </c>
      <c r="AH212" s="32">
        <f t="shared" si="20"/>
        <v>76.97286394226478</v>
      </c>
      <c r="AI212" s="33">
        <f t="shared" si="21"/>
        <v>0.22138630061026596</v>
      </c>
      <c r="AJ212" s="34">
        <f t="shared" si="22"/>
        <v>2.2575120006349363E-2</v>
      </c>
      <c r="AK212" s="35" t="s">
        <v>920</v>
      </c>
      <c r="AL212" s="32">
        <v>0.35814156249900003</v>
      </c>
      <c r="AM212" s="32">
        <v>2.0807051797430582</v>
      </c>
      <c r="AN212" s="36">
        <v>0.75</v>
      </c>
    </row>
    <row r="213" spans="27:40" x14ac:dyDescent="0.25">
      <c r="AA213" s="29">
        <v>210</v>
      </c>
      <c r="AB213" s="30" t="s">
        <v>330</v>
      </c>
      <c r="AC213" s="29" t="s">
        <v>156</v>
      </c>
      <c r="AD213" s="30" t="s">
        <v>28</v>
      </c>
      <c r="AE213" s="31">
        <v>1.3823007675795071E-3</v>
      </c>
      <c r="AF213" s="12">
        <v>2.0807051797482585</v>
      </c>
      <c r="AG213" s="38">
        <f t="shared" si="19"/>
        <v>2.8761603670726739E-3</v>
      </c>
      <c r="AH213" s="32">
        <f t="shared" si="20"/>
        <v>76.97286394226478</v>
      </c>
      <c r="AI213" s="33">
        <f t="shared" si="21"/>
        <v>0.22138630061081926</v>
      </c>
      <c r="AJ213" s="34">
        <f t="shared" si="22"/>
        <v>2.2575120006405783E-2</v>
      </c>
      <c r="AK213" s="35" t="s">
        <v>920</v>
      </c>
      <c r="AL213" s="32">
        <v>0.35814156249900003</v>
      </c>
      <c r="AM213" s="32">
        <v>2.0807051797482585</v>
      </c>
      <c r="AN213" s="36">
        <v>0.75</v>
      </c>
    </row>
    <row r="214" spans="27:40" x14ac:dyDescent="0.25">
      <c r="AA214" s="29">
        <v>211</v>
      </c>
      <c r="AB214" s="30" t="s">
        <v>331</v>
      </c>
      <c r="AC214" s="29" t="s">
        <v>156</v>
      </c>
      <c r="AD214" s="30" t="s">
        <v>28</v>
      </c>
      <c r="AE214" s="31">
        <v>1.3823007675795071E-3</v>
      </c>
      <c r="AF214" s="12">
        <v>2.08070517974528</v>
      </c>
      <c r="AG214" s="38">
        <f t="shared" si="19"/>
        <v>2.876160367068557E-3</v>
      </c>
      <c r="AH214" s="32">
        <f t="shared" si="20"/>
        <v>76.97286394226478</v>
      </c>
      <c r="AI214" s="33">
        <f t="shared" si="21"/>
        <v>0.22138630061050235</v>
      </c>
      <c r="AJ214" s="34">
        <f t="shared" si="22"/>
        <v>2.2575120006373468E-2</v>
      </c>
      <c r="AK214" s="35" t="s">
        <v>920</v>
      </c>
      <c r="AL214" s="32">
        <v>0.35814156249900003</v>
      </c>
      <c r="AM214" s="32">
        <v>2.08070517974528</v>
      </c>
      <c r="AN214" s="36">
        <v>0.75</v>
      </c>
    </row>
    <row r="215" spans="27:40" x14ac:dyDescent="0.25">
      <c r="AA215" s="29">
        <v>212</v>
      </c>
      <c r="AB215" s="30" t="s">
        <v>332</v>
      </c>
      <c r="AC215" s="29" t="s">
        <v>156</v>
      </c>
      <c r="AD215" s="30" t="s">
        <v>28</v>
      </c>
      <c r="AE215" s="31">
        <v>1.3823007675795071E-3</v>
      </c>
      <c r="AF215" s="12">
        <v>2.0807051797458058</v>
      </c>
      <c r="AG215" s="38">
        <f t="shared" si="19"/>
        <v>2.8761603670692834E-3</v>
      </c>
      <c r="AH215" s="32">
        <f t="shared" si="20"/>
        <v>76.97286394226478</v>
      </c>
      <c r="AI215" s="33">
        <f t="shared" si="21"/>
        <v>0.22138630061055828</v>
      </c>
      <c r="AJ215" s="34">
        <f t="shared" si="22"/>
        <v>2.2575120006379172E-2</v>
      </c>
      <c r="AK215" s="35" t="s">
        <v>920</v>
      </c>
      <c r="AL215" s="32">
        <v>0.35814156249900003</v>
      </c>
      <c r="AM215" s="32">
        <v>2.0807051797458058</v>
      </c>
      <c r="AN215" s="36">
        <v>0.75</v>
      </c>
    </row>
    <row r="216" spans="27:40" x14ac:dyDescent="0.25">
      <c r="AA216" s="29">
        <v>213</v>
      </c>
      <c r="AB216" s="30" t="s">
        <v>333</v>
      </c>
      <c r="AC216" s="29" t="s">
        <v>157</v>
      </c>
      <c r="AD216" s="30" t="s">
        <v>28</v>
      </c>
      <c r="AE216" s="31">
        <v>3.5735616434583872E-4</v>
      </c>
      <c r="AF216" s="12">
        <v>1.519722155826867</v>
      </c>
      <c r="AG216" s="38">
        <f t="shared" si="19"/>
        <v>5.4308208047767819E-4</v>
      </c>
      <c r="AH216" s="32">
        <f t="shared" si="20"/>
        <v>76.97286394226478</v>
      </c>
      <c r="AI216" s="33">
        <f t="shared" si="21"/>
        <v>4.1802583090090419E-2</v>
      </c>
      <c r="AJ216" s="34">
        <f t="shared" si="22"/>
        <v>4.2626771721322185E-3</v>
      </c>
      <c r="AK216" s="35" t="s">
        <v>920</v>
      </c>
      <c r="AL216" s="32">
        <v>0.15079644736800002</v>
      </c>
      <c r="AM216" s="32">
        <v>1.519722155826867</v>
      </c>
      <c r="AN216" s="36">
        <v>0.23</v>
      </c>
    </row>
    <row r="217" spans="27:40" x14ac:dyDescent="0.25">
      <c r="AA217" s="29">
        <v>214</v>
      </c>
      <c r="AB217" s="30" t="s">
        <v>334</v>
      </c>
      <c r="AC217" s="29" t="s">
        <v>153</v>
      </c>
      <c r="AD217" s="30" t="s">
        <v>28</v>
      </c>
      <c r="AE217" s="31">
        <v>8.2938046054770545E-4</v>
      </c>
      <c r="AF217" s="12">
        <v>1.519722147473572</v>
      </c>
      <c r="AG217" s="38">
        <f t="shared" si="19"/>
        <v>1.2604278545761791E-3</v>
      </c>
      <c r="AH217" s="32">
        <f t="shared" si="20"/>
        <v>76.97286394226478</v>
      </c>
      <c r="AI217" s="33">
        <f t="shared" si="21"/>
        <v>9.7018741759332935E-2</v>
      </c>
      <c r="AJ217" s="34">
        <f t="shared" si="22"/>
        <v>9.8931583934710569E-3</v>
      </c>
      <c r="AK217" s="35" t="s">
        <v>920</v>
      </c>
      <c r="AL217" s="32">
        <v>0.21991148574500002</v>
      </c>
      <c r="AM217" s="32">
        <v>1.519722147473572</v>
      </c>
      <c r="AN217" s="36">
        <v>0.33</v>
      </c>
    </row>
    <row r="218" spans="27:40" x14ac:dyDescent="0.25">
      <c r="AA218" s="29">
        <v>215</v>
      </c>
      <c r="AB218" s="30" t="s">
        <v>335</v>
      </c>
      <c r="AC218" s="29" t="s">
        <v>153</v>
      </c>
      <c r="AD218" s="30" t="s">
        <v>28</v>
      </c>
      <c r="AE218" s="31">
        <v>8.2938046054770545E-4</v>
      </c>
      <c r="AF218" s="12">
        <v>1.5197221502906733</v>
      </c>
      <c r="AG218" s="38">
        <f t="shared" si="19"/>
        <v>1.2604278569126278E-3</v>
      </c>
      <c r="AH218" s="32">
        <f t="shared" si="20"/>
        <v>76.97286394226478</v>
      </c>
      <c r="AI218" s="33">
        <f t="shared" si="21"/>
        <v>9.7018741939176076E-2</v>
      </c>
      <c r="AJ218" s="34">
        <f t="shared" si="22"/>
        <v>9.8931584118099533E-3</v>
      </c>
      <c r="AK218" s="35" t="s">
        <v>920</v>
      </c>
      <c r="AL218" s="32">
        <v>0.21991148574500002</v>
      </c>
      <c r="AM218" s="32">
        <v>1.5197221502906733</v>
      </c>
      <c r="AN218" s="36">
        <v>0.33</v>
      </c>
    </row>
    <row r="219" spans="27:40" x14ac:dyDescent="0.25">
      <c r="AA219" s="29">
        <v>216</v>
      </c>
      <c r="AB219" s="30" t="s">
        <v>336</v>
      </c>
      <c r="AC219" s="29" t="s">
        <v>153</v>
      </c>
      <c r="AD219" s="30" t="s">
        <v>28</v>
      </c>
      <c r="AE219" s="31">
        <v>8.2938046054770545E-4</v>
      </c>
      <c r="AF219" s="12">
        <v>1.5197221502894127</v>
      </c>
      <c r="AG219" s="38">
        <f t="shared" si="19"/>
        <v>1.2604278569115824E-3</v>
      </c>
      <c r="AH219" s="32">
        <f t="shared" si="20"/>
        <v>76.97286394226478</v>
      </c>
      <c r="AI219" s="33">
        <f t="shared" si="21"/>
        <v>9.7018741939095612E-2</v>
      </c>
      <c r="AJ219" s="34">
        <f t="shared" si="22"/>
        <v>9.8931584118017481E-3</v>
      </c>
      <c r="AK219" s="35" t="s">
        <v>920</v>
      </c>
      <c r="AL219" s="32">
        <v>0.21991148574500002</v>
      </c>
      <c r="AM219" s="32">
        <v>1.5197221502894127</v>
      </c>
      <c r="AN219" s="36">
        <v>0.33</v>
      </c>
    </row>
    <row r="220" spans="27:40" x14ac:dyDescent="0.25">
      <c r="AA220" s="29">
        <v>217</v>
      </c>
      <c r="AB220" s="30" t="s">
        <v>337</v>
      </c>
      <c r="AC220" s="29" t="s">
        <v>153</v>
      </c>
      <c r="AD220" s="30" t="s">
        <v>28</v>
      </c>
      <c r="AE220" s="31">
        <v>8.2938046054770545E-4</v>
      </c>
      <c r="AF220" s="12">
        <v>1.5197221502913931</v>
      </c>
      <c r="AG220" s="38">
        <f t="shared" si="19"/>
        <v>1.2604278569132248E-3</v>
      </c>
      <c r="AH220" s="32">
        <f t="shared" si="20"/>
        <v>76.97286394226478</v>
      </c>
      <c r="AI220" s="33">
        <f t="shared" si="21"/>
        <v>9.7018741939222025E-2</v>
      </c>
      <c r="AJ220" s="34">
        <f t="shared" si="22"/>
        <v>9.8931584118146388E-3</v>
      </c>
      <c r="AK220" s="35" t="s">
        <v>920</v>
      </c>
      <c r="AL220" s="32">
        <v>0.21991148574500002</v>
      </c>
      <c r="AM220" s="32">
        <v>1.5197221502913931</v>
      </c>
      <c r="AN220" s="36">
        <v>0.33</v>
      </c>
    </row>
    <row r="221" spans="27:40" x14ac:dyDescent="0.25">
      <c r="AA221" s="29">
        <v>218</v>
      </c>
      <c r="AB221" s="30" t="s">
        <v>338</v>
      </c>
      <c r="AC221" s="29" t="s">
        <v>157</v>
      </c>
      <c r="AD221" s="30" t="s">
        <v>28</v>
      </c>
      <c r="AE221" s="31">
        <v>3.5735616434583872E-4</v>
      </c>
      <c r="AF221" s="12">
        <v>1.5197221502905753</v>
      </c>
      <c r="AG221" s="38">
        <f t="shared" si="19"/>
        <v>5.4308207849925025E-4</v>
      </c>
      <c r="AH221" s="32">
        <f t="shared" si="20"/>
        <v>76.97286394226478</v>
      </c>
      <c r="AI221" s="33">
        <f t="shared" si="21"/>
        <v>4.1802582937805151E-2</v>
      </c>
      <c r="AJ221" s="34">
        <f t="shared" si="22"/>
        <v>4.2626771566034432E-3</v>
      </c>
      <c r="AK221" s="35" t="s">
        <v>920</v>
      </c>
      <c r="AL221" s="32">
        <v>0.15079644736800002</v>
      </c>
      <c r="AM221" s="32">
        <v>1.5197221502905753</v>
      </c>
      <c r="AN221" s="36">
        <v>0.23</v>
      </c>
    </row>
    <row r="222" spans="27:40" x14ac:dyDescent="0.25">
      <c r="AA222" s="29">
        <v>219</v>
      </c>
      <c r="AB222" s="30" t="s">
        <v>339</v>
      </c>
      <c r="AC222" s="29" t="s">
        <v>157</v>
      </c>
      <c r="AD222" s="30" t="s">
        <v>28</v>
      </c>
      <c r="AE222" s="31">
        <v>3.5735616434583872E-4</v>
      </c>
      <c r="AF222" s="12">
        <v>1.5197221502888516</v>
      </c>
      <c r="AG222" s="38">
        <f t="shared" si="19"/>
        <v>5.4308207849863431E-4</v>
      </c>
      <c r="AH222" s="32">
        <f t="shared" si="20"/>
        <v>76.97286394226478</v>
      </c>
      <c r="AI222" s="33">
        <f t="shared" si="21"/>
        <v>4.1802582937757737E-2</v>
      </c>
      <c r="AJ222" s="34">
        <f t="shared" si="22"/>
        <v>4.2626771565986077E-3</v>
      </c>
      <c r="AK222" s="35" t="s">
        <v>920</v>
      </c>
      <c r="AL222" s="32">
        <v>0.15079644736800002</v>
      </c>
      <c r="AM222" s="32">
        <v>1.5197221502888516</v>
      </c>
      <c r="AN222" s="36">
        <v>0.23</v>
      </c>
    </row>
    <row r="223" spans="27:40" x14ac:dyDescent="0.25">
      <c r="AA223" s="29">
        <v>220</v>
      </c>
      <c r="AB223" s="30" t="s">
        <v>340</v>
      </c>
      <c r="AC223" s="29" t="s">
        <v>157</v>
      </c>
      <c r="AD223" s="30" t="s">
        <v>28</v>
      </c>
      <c r="AE223" s="31">
        <v>3.5735616434583872E-4</v>
      </c>
      <c r="AF223" s="12">
        <v>1.5197221502900096</v>
      </c>
      <c r="AG223" s="38">
        <f t="shared" si="19"/>
        <v>5.4308207849904804E-4</v>
      </c>
      <c r="AH223" s="32">
        <f t="shared" si="20"/>
        <v>76.97286394226478</v>
      </c>
      <c r="AI223" s="33">
        <f t="shared" si="21"/>
        <v>4.1802582937789587E-2</v>
      </c>
      <c r="AJ223" s="34">
        <f t="shared" si="22"/>
        <v>4.2626771566018559E-3</v>
      </c>
      <c r="AK223" s="35" t="s">
        <v>920</v>
      </c>
      <c r="AL223" s="32">
        <v>0.15079644736800002</v>
      </c>
      <c r="AM223" s="32">
        <v>1.5197221502900096</v>
      </c>
      <c r="AN223" s="36">
        <v>0.23</v>
      </c>
    </row>
    <row r="224" spans="27:40" x14ac:dyDescent="0.25">
      <c r="AA224" s="29">
        <v>221</v>
      </c>
      <c r="AB224" s="30" t="s">
        <v>341</v>
      </c>
      <c r="AC224" s="29" t="s">
        <v>157</v>
      </c>
      <c r="AD224" s="30" t="s">
        <v>28</v>
      </c>
      <c r="AE224" s="31">
        <v>3.5735616434583872E-4</v>
      </c>
      <c r="AF224" s="12">
        <v>1.5197221502908995</v>
      </c>
      <c r="AG224" s="38">
        <f t="shared" si="19"/>
        <v>5.4308207849936615E-4</v>
      </c>
      <c r="AH224" s="32">
        <f t="shared" si="20"/>
        <v>76.97286394226478</v>
      </c>
      <c r="AI224" s="33">
        <f t="shared" si="21"/>
        <v>4.1802582937814074E-2</v>
      </c>
      <c r="AJ224" s="34">
        <f t="shared" si="22"/>
        <v>4.2626771566043531E-3</v>
      </c>
      <c r="AK224" s="35" t="s">
        <v>920</v>
      </c>
      <c r="AL224" s="32">
        <v>0.15079644736800002</v>
      </c>
      <c r="AM224" s="32">
        <v>1.5197221502908995</v>
      </c>
      <c r="AN224" s="36">
        <v>0.23</v>
      </c>
    </row>
    <row r="225" spans="27:40" x14ac:dyDescent="0.25">
      <c r="AA225" s="29">
        <v>222</v>
      </c>
      <c r="AB225" s="30" t="s">
        <v>342</v>
      </c>
      <c r="AC225" s="29" t="s">
        <v>157</v>
      </c>
      <c r="AD225" s="30" t="s">
        <v>28</v>
      </c>
      <c r="AE225" s="31">
        <v>3.5735616434583872E-4</v>
      </c>
      <c r="AF225" s="12">
        <v>1.5197221502893745</v>
      </c>
      <c r="AG225" s="38">
        <f t="shared" si="19"/>
        <v>5.4308207849882112E-4</v>
      </c>
      <c r="AH225" s="32">
        <f t="shared" si="20"/>
        <v>76.97286394226478</v>
      </c>
      <c r="AI225" s="33">
        <f t="shared" si="21"/>
        <v>4.1802582937772122E-2</v>
      </c>
      <c r="AJ225" s="34">
        <f t="shared" si="22"/>
        <v>4.2626771566000752E-3</v>
      </c>
      <c r="AK225" s="35" t="s">
        <v>920</v>
      </c>
      <c r="AL225" s="32">
        <v>0.15079644736800002</v>
      </c>
      <c r="AM225" s="32">
        <v>1.5197221502893745</v>
      </c>
      <c r="AN225" s="36">
        <v>0.23</v>
      </c>
    </row>
    <row r="226" spans="27:40" x14ac:dyDescent="0.25">
      <c r="AA226" s="29">
        <v>223</v>
      </c>
      <c r="AB226" s="30" t="s">
        <v>343</v>
      </c>
      <c r="AC226" s="29" t="s">
        <v>157</v>
      </c>
      <c r="AD226" s="30" t="s">
        <v>28</v>
      </c>
      <c r="AE226" s="31">
        <v>3.5735616434583872E-4</v>
      </c>
      <c r="AF226" s="12">
        <v>1.5197221502896916</v>
      </c>
      <c r="AG226" s="38">
        <f t="shared" si="19"/>
        <v>5.4308207849893442E-4</v>
      </c>
      <c r="AH226" s="32">
        <f t="shared" si="20"/>
        <v>76.97286394226478</v>
      </c>
      <c r="AI226" s="33">
        <f t="shared" si="21"/>
        <v>4.1802582937780837E-2</v>
      </c>
      <c r="AJ226" s="34">
        <f t="shared" si="22"/>
        <v>4.2626771566009634E-3</v>
      </c>
      <c r="AK226" s="35" t="s">
        <v>920</v>
      </c>
      <c r="AL226" s="32">
        <v>0.15079644736800002</v>
      </c>
      <c r="AM226" s="32">
        <v>1.5197221502896916</v>
      </c>
      <c r="AN226" s="36">
        <v>0.23</v>
      </c>
    </row>
    <row r="227" spans="27:40" x14ac:dyDescent="0.25">
      <c r="AA227" s="29">
        <v>224</v>
      </c>
      <c r="AB227" s="30" t="s">
        <v>344</v>
      </c>
      <c r="AC227" s="29" t="s">
        <v>157</v>
      </c>
      <c r="AD227" s="30" t="s">
        <v>28</v>
      </c>
      <c r="AE227" s="31">
        <v>3.5735616434583872E-4</v>
      </c>
      <c r="AF227" s="12">
        <v>1.5197221502918832</v>
      </c>
      <c r="AG227" s="38">
        <f t="shared" si="19"/>
        <v>5.4308207849971765E-4</v>
      </c>
      <c r="AH227" s="32">
        <f t="shared" si="20"/>
        <v>76.97286394226478</v>
      </c>
      <c r="AI227" s="33">
        <f t="shared" si="21"/>
        <v>4.1802582937841129E-2</v>
      </c>
      <c r="AJ227" s="34">
        <f t="shared" si="22"/>
        <v>4.2626771566071113E-3</v>
      </c>
      <c r="AK227" s="35" t="s">
        <v>920</v>
      </c>
      <c r="AL227" s="32">
        <v>0.15079644736800002</v>
      </c>
      <c r="AM227" s="32">
        <v>1.5197221502918832</v>
      </c>
      <c r="AN227" s="36">
        <v>0.23</v>
      </c>
    </row>
    <row r="228" spans="27:40" x14ac:dyDescent="0.25">
      <c r="AA228" s="29">
        <v>225</v>
      </c>
      <c r="AB228" s="30" t="s">
        <v>345</v>
      </c>
      <c r="AC228" s="29" t="s">
        <v>157</v>
      </c>
      <c r="AD228" s="30" t="s">
        <v>28</v>
      </c>
      <c r="AE228" s="31">
        <v>3.5735616434583872E-4</v>
      </c>
      <c r="AF228" s="12">
        <v>1.5197221502888834</v>
      </c>
      <c r="AG228" s="38">
        <f t="shared" si="19"/>
        <v>5.4308207849864559E-4</v>
      </c>
      <c r="AH228" s="32">
        <f t="shared" si="20"/>
        <v>76.97286394226478</v>
      </c>
      <c r="AI228" s="33">
        <f t="shared" si="21"/>
        <v>4.1802582937758605E-2</v>
      </c>
      <c r="AJ228" s="34">
        <f t="shared" si="22"/>
        <v>4.2626771565986961E-3</v>
      </c>
      <c r="AK228" s="35" t="s">
        <v>920</v>
      </c>
      <c r="AL228" s="32">
        <v>0.15079644736800002</v>
      </c>
      <c r="AM228" s="32">
        <v>1.5197221502888834</v>
      </c>
      <c r="AN228" s="36">
        <v>0.23</v>
      </c>
    </row>
    <row r="229" spans="27:40" x14ac:dyDescent="0.25">
      <c r="AA229" s="29">
        <v>226</v>
      </c>
      <c r="AB229" s="30" t="s">
        <v>346</v>
      </c>
      <c r="AC229" s="29" t="s">
        <v>157</v>
      </c>
      <c r="AD229" s="30" t="s">
        <v>28</v>
      </c>
      <c r="AE229" s="31">
        <v>3.5735616434583872E-4</v>
      </c>
      <c r="AF229" s="12">
        <v>1.5197221502908715</v>
      </c>
      <c r="AG229" s="38">
        <f t="shared" si="19"/>
        <v>5.4308207849935607E-4</v>
      </c>
      <c r="AH229" s="32">
        <f t="shared" si="20"/>
        <v>76.97286394226478</v>
      </c>
      <c r="AI229" s="33">
        <f t="shared" si="21"/>
        <v>4.1802582937813297E-2</v>
      </c>
      <c r="AJ229" s="34">
        <f t="shared" si="22"/>
        <v>4.2626771566042733E-3</v>
      </c>
      <c r="AK229" s="35" t="s">
        <v>920</v>
      </c>
      <c r="AL229" s="32">
        <v>0.15079644736800002</v>
      </c>
      <c r="AM229" s="32">
        <v>1.5197221502908715</v>
      </c>
      <c r="AN229" s="36">
        <v>0.23</v>
      </c>
    </row>
    <row r="230" spans="27:40" x14ac:dyDescent="0.25">
      <c r="AA230" s="29">
        <v>227</v>
      </c>
      <c r="AB230" s="30" t="s">
        <v>347</v>
      </c>
      <c r="AC230" s="29" t="s">
        <v>157</v>
      </c>
      <c r="AD230" s="30" t="s">
        <v>28</v>
      </c>
      <c r="AE230" s="31">
        <v>3.5735616434583872E-4</v>
      </c>
      <c r="AF230" s="12">
        <v>1.5197221502895877</v>
      </c>
      <c r="AG230" s="38">
        <f t="shared" si="19"/>
        <v>5.4308207849889734E-4</v>
      </c>
      <c r="AH230" s="32">
        <f t="shared" si="20"/>
        <v>76.97286394226478</v>
      </c>
      <c r="AI230" s="33">
        <f t="shared" si="21"/>
        <v>4.1802582937777985E-2</v>
      </c>
      <c r="AJ230" s="34">
        <f t="shared" si="22"/>
        <v>4.2626771566006728E-3</v>
      </c>
      <c r="AK230" s="35" t="s">
        <v>920</v>
      </c>
      <c r="AL230" s="32">
        <v>0.15079644736800002</v>
      </c>
      <c r="AM230" s="32">
        <v>1.5197221502895877</v>
      </c>
      <c r="AN230" s="36">
        <v>0.23</v>
      </c>
    </row>
    <row r="231" spans="27:40" x14ac:dyDescent="0.25">
      <c r="AA231" s="29">
        <v>228</v>
      </c>
      <c r="AB231" s="30" t="s">
        <v>348</v>
      </c>
      <c r="AC231" s="29" t="s">
        <v>157</v>
      </c>
      <c r="AD231" s="30" t="s">
        <v>28</v>
      </c>
      <c r="AE231" s="31">
        <v>3.5735616434583872E-4</v>
      </c>
      <c r="AF231" s="12">
        <v>1.5197221502907208</v>
      </c>
      <c r="AG231" s="38">
        <f t="shared" si="19"/>
        <v>5.4308207849930218E-4</v>
      </c>
      <c r="AH231" s="32">
        <f t="shared" si="20"/>
        <v>76.97286394226478</v>
      </c>
      <c r="AI231" s="33">
        <f t="shared" si="21"/>
        <v>4.1802582937809148E-2</v>
      </c>
      <c r="AJ231" s="34">
        <f t="shared" si="22"/>
        <v>4.2626771566038509E-3</v>
      </c>
      <c r="AK231" s="35" t="s">
        <v>920</v>
      </c>
      <c r="AL231" s="32">
        <v>0.15079644736800002</v>
      </c>
      <c r="AM231" s="32">
        <v>1.5197221502907208</v>
      </c>
      <c r="AN231" s="36">
        <v>0.23</v>
      </c>
    </row>
    <row r="232" spans="27:40" x14ac:dyDescent="0.25">
      <c r="AA232" s="29">
        <v>229</v>
      </c>
      <c r="AB232" s="30" t="s">
        <v>349</v>
      </c>
      <c r="AC232" s="29" t="s">
        <v>157</v>
      </c>
      <c r="AD232" s="30" t="s">
        <v>28</v>
      </c>
      <c r="AE232" s="31">
        <v>3.5735616434583872E-4</v>
      </c>
      <c r="AF232" s="12">
        <v>1.5197221502899976</v>
      </c>
      <c r="AG232" s="38">
        <f t="shared" si="19"/>
        <v>5.4308207849904382E-4</v>
      </c>
      <c r="AH232" s="32">
        <f t="shared" si="20"/>
        <v>76.97286394226478</v>
      </c>
      <c r="AI232" s="33">
        <f t="shared" si="21"/>
        <v>4.1802582937789261E-2</v>
      </c>
      <c r="AJ232" s="34">
        <f t="shared" si="22"/>
        <v>4.262677156601823E-3</v>
      </c>
      <c r="AK232" s="35" t="s">
        <v>920</v>
      </c>
      <c r="AL232" s="32">
        <v>0.15079644736800002</v>
      </c>
      <c r="AM232" s="32">
        <v>1.5197221502899976</v>
      </c>
      <c r="AN232" s="36">
        <v>0.23</v>
      </c>
    </row>
    <row r="233" spans="27:40" x14ac:dyDescent="0.25">
      <c r="AA233" s="29">
        <v>230</v>
      </c>
      <c r="AB233" s="30" t="s">
        <v>350</v>
      </c>
      <c r="AC233" s="29" t="s">
        <v>157</v>
      </c>
      <c r="AD233" s="30" t="s">
        <v>28</v>
      </c>
      <c r="AE233" s="31">
        <v>3.5735616434583872E-4</v>
      </c>
      <c r="AF233" s="12">
        <v>1.5197221502903375</v>
      </c>
      <c r="AG233" s="38">
        <f t="shared" si="19"/>
        <v>5.4308207849916525E-4</v>
      </c>
      <c r="AH233" s="32">
        <f t="shared" si="20"/>
        <v>76.97286394226478</v>
      </c>
      <c r="AI233" s="33">
        <f t="shared" si="21"/>
        <v>4.1802582937798607E-2</v>
      </c>
      <c r="AJ233" s="34">
        <f t="shared" si="22"/>
        <v>4.2626771566027753E-3</v>
      </c>
      <c r="AK233" s="35" t="s">
        <v>920</v>
      </c>
      <c r="AL233" s="32">
        <v>0.15079644736800002</v>
      </c>
      <c r="AM233" s="32">
        <v>1.5197221502903375</v>
      </c>
      <c r="AN233" s="36">
        <v>0.23</v>
      </c>
    </row>
    <row r="234" spans="27:40" x14ac:dyDescent="0.25">
      <c r="AA234" s="29">
        <v>231</v>
      </c>
      <c r="AB234" s="30" t="s">
        <v>351</v>
      </c>
      <c r="AC234" s="29" t="s">
        <v>157</v>
      </c>
      <c r="AD234" s="30" t="s">
        <v>28</v>
      </c>
      <c r="AE234" s="31">
        <v>3.5735616434583872E-4</v>
      </c>
      <c r="AF234" s="12">
        <v>1.5197221502884424</v>
      </c>
      <c r="AG234" s="38">
        <f t="shared" si="19"/>
        <v>5.4308207849848805E-4</v>
      </c>
      <c r="AH234" s="32">
        <f t="shared" si="20"/>
        <v>76.97286394226478</v>
      </c>
      <c r="AI234" s="33">
        <f t="shared" si="21"/>
        <v>4.1802582937746482E-2</v>
      </c>
      <c r="AJ234" s="34">
        <f t="shared" si="22"/>
        <v>4.2626771565974601E-3</v>
      </c>
      <c r="AK234" s="35" t="s">
        <v>920</v>
      </c>
      <c r="AL234" s="32">
        <v>0.15079644736800002</v>
      </c>
      <c r="AM234" s="32">
        <v>1.5197221502884424</v>
      </c>
      <c r="AN234" s="36">
        <v>0.23</v>
      </c>
    </row>
    <row r="235" spans="27:40" x14ac:dyDescent="0.25">
      <c r="AA235" s="29">
        <v>232</v>
      </c>
      <c r="AB235" s="30" t="s">
        <v>352</v>
      </c>
      <c r="AC235" s="29" t="s">
        <v>157</v>
      </c>
      <c r="AD235" s="30" t="s">
        <v>28</v>
      </c>
      <c r="AE235" s="31">
        <v>3.5735616434583872E-4</v>
      </c>
      <c r="AF235" s="12">
        <v>1.5197221502911953</v>
      </c>
      <c r="AG235" s="38">
        <f t="shared" si="19"/>
        <v>5.4308207849947175E-4</v>
      </c>
      <c r="AH235" s="32">
        <f t="shared" si="20"/>
        <v>76.97286394226478</v>
      </c>
      <c r="AI235" s="33">
        <f t="shared" si="21"/>
        <v>4.18025829378222E-2</v>
      </c>
      <c r="AJ235" s="34">
        <f t="shared" si="22"/>
        <v>4.2626771566051814E-3</v>
      </c>
      <c r="AK235" s="35" t="s">
        <v>920</v>
      </c>
      <c r="AL235" s="32">
        <v>0.15079644736800002</v>
      </c>
      <c r="AM235" s="32">
        <v>1.5197221502911953</v>
      </c>
      <c r="AN235" s="36">
        <v>0.23</v>
      </c>
    </row>
    <row r="236" spans="27:40" x14ac:dyDescent="0.25">
      <c r="AA236" s="29">
        <v>233</v>
      </c>
      <c r="AB236" s="30" t="s">
        <v>353</v>
      </c>
      <c r="AC236" s="29" t="s">
        <v>157</v>
      </c>
      <c r="AD236" s="30" t="s">
        <v>28</v>
      </c>
      <c r="AE236" s="31">
        <v>3.5735616434583872E-4</v>
      </c>
      <c r="AF236" s="12">
        <v>1.5197221502901306</v>
      </c>
      <c r="AG236" s="38">
        <f t="shared" si="19"/>
        <v>5.430820784990913E-4</v>
      </c>
      <c r="AH236" s="32">
        <f t="shared" si="20"/>
        <v>76.97286394226478</v>
      </c>
      <c r="AI236" s="33">
        <f t="shared" si="21"/>
        <v>4.1802582937792918E-2</v>
      </c>
      <c r="AJ236" s="34">
        <f t="shared" si="22"/>
        <v>4.2626771566021951E-3</v>
      </c>
      <c r="AK236" s="35" t="s">
        <v>920</v>
      </c>
      <c r="AL236" s="32">
        <v>0.15079644736800002</v>
      </c>
      <c r="AM236" s="32">
        <v>1.5197221502901306</v>
      </c>
      <c r="AN236" s="36">
        <v>0.23</v>
      </c>
    </row>
    <row r="237" spans="27:40" x14ac:dyDescent="0.25">
      <c r="AA237" s="29">
        <v>234</v>
      </c>
      <c r="AB237" s="30" t="s">
        <v>354</v>
      </c>
      <c r="AC237" s="29" t="s">
        <v>157</v>
      </c>
      <c r="AD237" s="30" t="s">
        <v>28</v>
      </c>
      <c r="AE237" s="31">
        <v>3.5735616434583872E-4</v>
      </c>
      <c r="AF237" s="12">
        <v>1.5197221502903198</v>
      </c>
      <c r="AG237" s="38">
        <f t="shared" si="19"/>
        <v>5.4308207849915896E-4</v>
      </c>
      <c r="AH237" s="32">
        <f t="shared" si="20"/>
        <v>76.97286394226478</v>
      </c>
      <c r="AI237" s="33">
        <f t="shared" si="21"/>
        <v>4.1802582937798122E-2</v>
      </c>
      <c r="AJ237" s="34">
        <f t="shared" si="22"/>
        <v>4.2626771566027259E-3</v>
      </c>
      <c r="AK237" s="35" t="s">
        <v>920</v>
      </c>
      <c r="AL237" s="32">
        <v>0.15079644736800002</v>
      </c>
      <c r="AM237" s="32">
        <v>1.5197221502903198</v>
      </c>
      <c r="AN237" s="36">
        <v>0.23</v>
      </c>
    </row>
    <row r="238" spans="27:40" x14ac:dyDescent="0.25">
      <c r="AA238" s="29">
        <v>235</v>
      </c>
      <c r="AB238" s="30" t="s">
        <v>355</v>
      </c>
      <c r="AC238" s="29" t="s">
        <v>157</v>
      </c>
      <c r="AD238" s="30" t="s">
        <v>28</v>
      </c>
      <c r="AE238" s="31">
        <v>3.5735616434583872E-4</v>
      </c>
      <c r="AF238" s="12">
        <v>1.5197221502894194</v>
      </c>
      <c r="AG238" s="38">
        <f t="shared" si="19"/>
        <v>5.4308207849883717E-4</v>
      </c>
      <c r="AH238" s="32">
        <f t="shared" si="20"/>
        <v>76.97286394226478</v>
      </c>
      <c r="AI238" s="33">
        <f t="shared" si="21"/>
        <v>4.1802582937773357E-2</v>
      </c>
      <c r="AJ238" s="34">
        <f t="shared" si="22"/>
        <v>4.262677156600201E-3</v>
      </c>
      <c r="AK238" s="35" t="s">
        <v>920</v>
      </c>
      <c r="AL238" s="32">
        <v>0.15079644736800002</v>
      </c>
      <c r="AM238" s="32">
        <v>1.5197221502894194</v>
      </c>
      <c r="AN238" s="36">
        <v>0.23</v>
      </c>
    </row>
    <row r="239" spans="27:40" x14ac:dyDescent="0.25">
      <c r="AA239" s="29">
        <v>236</v>
      </c>
      <c r="AB239" s="30" t="s">
        <v>356</v>
      </c>
      <c r="AC239" s="29" t="s">
        <v>157</v>
      </c>
      <c r="AD239" s="30" t="s">
        <v>28</v>
      </c>
      <c r="AE239" s="31">
        <v>3.5735616434583872E-4</v>
      </c>
      <c r="AF239" s="12">
        <v>1.5197221502892622</v>
      </c>
      <c r="AG239" s="38">
        <f t="shared" si="19"/>
        <v>5.43082078498781E-4</v>
      </c>
      <c r="AH239" s="32">
        <f t="shared" si="20"/>
        <v>76.97286394226478</v>
      </c>
      <c r="AI239" s="33">
        <f t="shared" si="21"/>
        <v>4.1802582937769034E-2</v>
      </c>
      <c r="AJ239" s="34">
        <f t="shared" si="22"/>
        <v>4.2626771565997604E-3</v>
      </c>
      <c r="AK239" s="35" t="s">
        <v>920</v>
      </c>
      <c r="AL239" s="32">
        <v>0.15079644736800002</v>
      </c>
      <c r="AM239" s="32">
        <v>1.5197221502892622</v>
      </c>
      <c r="AN239" s="36">
        <v>0.23</v>
      </c>
    </row>
    <row r="240" spans="27:40" x14ac:dyDescent="0.25">
      <c r="AA240" s="29">
        <v>237</v>
      </c>
      <c r="AB240" s="30" t="s">
        <v>357</v>
      </c>
      <c r="AC240" s="29" t="s">
        <v>157</v>
      </c>
      <c r="AD240" s="30" t="s">
        <v>28</v>
      </c>
      <c r="AE240" s="31">
        <v>3.5735616434583872E-4</v>
      </c>
      <c r="AF240" s="12">
        <v>1.519722150291644</v>
      </c>
      <c r="AG240" s="38">
        <f t="shared" si="19"/>
        <v>5.4308207849963221E-4</v>
      </c>
      <c r="AH240" s="32">
        <f t="shared" si="20"/>
        <v>76.97286394226478</v>
      </c>
      <c r="AI240" s="33">
        <f t="shared" si="21"/>
        <v>4.1802582937834551E-2</v>
      </c>
      <c r="AJ240" s="34">
        <f t="shared" si="22"/>
        <v>4.2626771566064408E-3</v>
      </c>
      <c r="AK240" s="35" t="s">
        <v>920</v>
      </c>
      <c r="AL240" s="32">
        <v>0.15079644736800002</v>
      </c>
      <c r="AM240" s="32">
        <v>1.519722150291644</v>
      </c>
      <c r="AN240" s="36">
        <v>0.23</v>
      </c>
    </row>
    <row r="241" spans="27:40" x14ac:dyDescent="0.25">
      <c r="AA241" s="29">
        <v>238</v>
      </c>
      <c r="AB241" s="30" t="s">
        <v>358</v>
      </c>
      <c r="AC241" s="29" t="s">
        <v>153</v>
      </c>
      <c r="AD241" s="30" t="s">
        <v>28</v>
      </c>
      <c r="AE241" s="31">
        <v>8.2938046054770545E-4</v>
      </c>
      <c r="AF241" s="12">
        <v>1.5197221502907379</v>
      </c>
      <c r="AG241" s="38">
        <f t="shared" si="19"/>
        <v>1.2604278569126814E-3</v>
      </c>
      <c r="AH241" s="32">
        <f t="shared" si="20"/>
        <v>76.97286394226478</v>
      </c>
      <c r="AI241" s="33">
        <f t="shared" si="21"/>
        <v>9.7018741939180211E-2</v>
      </c>
      <c r="AJ241" s="34">
        <f t="shared" si="22"/>
        <v>9.8931584118103748E-3</v>
      </c>
      <c r="AK241" s="35" t="s">
        <v>920</v>
      </c>
      <c r="AL241" s="32">
        <v>0.21991148574500002</v>
      </c>
      <c r="AM241" s="32">
        <v>1.5197221502907379</v>
      </c>
      <c r="AN241" s="36">
        <v>0.33</v>
      </c>
    </row>
    <row r="242" spans="27:40" x14ac:dyDescent="0.25">
      <c r="AA242" s="29">
        <v>239</v>
      </c>
      <c r="AB242" s="30" t="s">
        <v>359</v>
      </c>
      <c r="AC242" s="29" t="s">
        <v>153</v>
      </c>
      <c r="AD242" s="30" t="s">
        <v>28</v>
      </c>
      <c r="AE242" s="31">
        <v>8.2938046054770545E-4</v>
      </c>
      <c r="AF242" s="12">
        <v>1.5197221502913925</v>
      </c>
      <c r="AG242" s="38">
        <f t="shared" si="19"/>
        <v>1.2604278569132244E-3</v>
      </c>
      <c r="AH242" s="32">
        <f t="shared" si="20"/>
        <v>76.97286394226478</v>
      </c>
      <c r="AI242" s="33">
        <f t="shared" si="21"/>
        <v>9.7018741939221997E-2</v>
      </c>
      <c r="AJ242" s="34">
        <f t="shared" si="22"/>
        <v>9.8931584118146371E-3</v>
      </c>
      <c r="AK242" s="35" t="s">
        <v>920</v>
      </c>
      <c r="AL242" s="32">
        <v>0.21991148574500002</v>
      </c>
      <c r="AM242" s="32">
        <v>1.5197221502913925</v>
      </c>
      <c r="AN242" s="36">
        <v>0.33</v>
      </c>
    </row>
    <row r="243" spans="27:40" x14ac:dyDescent="0.25">
      <c r="AA243" s="29">
        <v>240</v>
      </c>
      <c r="AB243" s="30" t="s">
        <v>360</v>
      </c>
      <c r="AC243" s="29" t="s">
        <v>153</v>
      </c>
      <c r="AD243" s="30" t="s">
        <v>28</v>
      </c>
      <c r="AE243" s="31">
        <v>8.2938046054770545E-4</v>
      </c>
      <c r="AF243" s="12">
        <v>1.5197221502894143</v>
      </c>
      <c r="AG243" s="38">
        <f t="shared" si="19"/>
        <v>1.2604278569115837E-3</v>
      </c>
      <c r="AH243" s="32">
        <f t="shared" si="20"/>
        <v>76.97286394226478</v>
      </c>
      <c r="AI243" s="33">
        <f t="shared" si="21"/>
        <v>9.701874193909571E-2</v>
      </c>
      <c r="AJ243" s="34">
        <f t="shared" si="22"/>
        <v>9.8931584118017585E-3</v>
      </c>
      <c r="AK243" s="35" t="s">
        <v>920</v>
      </c>
      <c r="AL243" s="32">
        <v>0.21991148574500002</v>
      </c>
      <c r="AM243" s="32">
        <v>1.5197221502894143</v>
      </c>
      <c r="AN243" s="36">
        <v>0.33</v>
      </c>
    </row>
    <row r="244" spans="27:40" x14ac:dyDescent="0.25">
      <c r="AA244" s="29">
        <v>241</v>
      </c>
      <c r="AB244" s="30" t="s">
        <v>361</v>
      </c>
      <c r="AC244" s="29" t="s">
        <v>153</v>
      </c>
      <c r="AD244" s="30" t="s">
        <v>28</v>
      </c>
      <c r="AE244" s="31">
        <v>8.2938046054770545E-4</v>
      </c>
      <c r="AF244" s="12">
        <v>1.5197221502915461</v>
      </c>
      <c r="AG244" s="38">
        <f t="shared" si="19"/>
        <v>1.2604278569133519E-3</v>
      </c>
      <c r="AH244" s="32">
        <f t="shared" si="20"/>
        <v>76.97286394226478</v>
      </c>
      <c r="AI244" s="33">
        <f t="shared" si="21"/>
        <v>9.7018741939231809E-2</v>
      </c>
      <c r="AJ244" s="34">
        <f t="shared" si="22"/>
        <v>9.8931584118156363E-3</v>
      </c>
      <c r="AK244" s="35" t="s">
        <v>920</v>
      </c>
      <c r="AL244" s="32">
        <v>0.21991148574500002</v>
      </c>
      <c r="AM244" s="32">
        <v>1.5197221502915461</v>
      </c>
      <c r="AN244" s="36">
        <v>0.33</v>
      </c>
    </row>
    <row r="245" spans="27:40" x14ac:dyDescent="0.25">
      <c r="AA245" s="29">
        <v>242</v>
      </c>
      <c r="AB245" s="30" t="s">
        <v>362</v>
      </c>
      <c r="AC245" s="29" t="s">
        <v>153</v>
      </c>
      <c r="AD245" s="30" t="s">
        <v>28</v>
      </c>
      <c r="AE245" s="31">
        <v>8.2938046054770545E-4</v>
      </c>
      <c r="AF245" s="12">
        <v>1.5197221474731262</v>
      </c>
      <c r="AG245" s="38">
        <f t="shared" si="19"/>
        <v>1.2604278545758094E-3</v>
      </c>
      <c r="AH245" s="32">
        <f t="shared" si="20"/>
        <v>76.97286394226478</v>
      </c>
      <c r="AI245" s="33">
        <f t="shared" si="21"/>
        <v>9.7018741759304472E-2</v>
      </c>
      <c r="AJ245" s="34">
        <f t="shared" si="22"/>
        <v>9.8931583934681547E-3</v>
      </c>
      <c r="AK245" s="35" t="s">
        <v>920</v>
      </c>
      <c r="AL245" s="32">
        <v>0.21991148574500002</v>
      </c>
      <c r="AM245" s="32">
        <v>1.5197221474731262</v>
      </c>
      <c r="AN245" s="36">
        <v>0.33</v>
      </c>
    </row>
    <row r="246" spans="27:40" x14ac:dyDescent="0.25">
      <c r="AA246" s="29">
        <v>243</v>
      </c>
      <c r="AB246" s="30" t="s">
        <v>363</v>
      </c>
      <c r="AC246" s="29" t="s">
        <v>157</v>
      </c>
      <c r="AD246" s="30" t="s">
        <v>28</v>
      </c>
      <c r="AE246" s="31">
        <v>3.5735616434583872E-4</v>
      </c>
      <c r="AF246" s="12">
        <v>1.5197221558262051</v>
      </c>
      <c r="AG246" s="38">
        <f t="shared" si="19"/>
        <v>5.4308208047744162E-4</v>
      </c>
      <c r="AH246" s="32">
        <f t="shared" si="20"/>
        <v>76.97286394226478</v>
      </c>
      <c r="AI246" s="33">
        <f t="shared" si="21"/>
        <v>4.1802583090072204E-2</v>
      </c>
      <c r="AJ246" s="34">
        <f t="shared" si="22"/>
        <v>4.2626771721303615E-3</v>
      </c>
      <c r="AK246" s="35" t="s">
        <v>920</v>
      </c>
      <c r="AL246" s="32">
        <v>0.15079644736800002</v>
      </c>
      <c r="AM246" s="32">
        <v>1.5197221558262051</v>
      </c>
      <c r="AN246" s="36">
        <v>0.23</v>
      </c>
    </row>
    <row r="247" spans="27:40" x14ac:dyDescent="0.25">
      <c r="AA247" s="29">
        <v>244</v>
      </c>
      <c r="AB247" s="30" t="s">
        <v>364</v>
      </c>
      <c r="AC247" s="29" t="s">
        <v>154</v>
      </c>
      <c r="AD247" s="30" t="s">
        <v>28</v>
      </c>
      <c r="AE247" s="31">
        <v>2.8902652413026117E-4</v>
      </c>
      <c r="AF247" s="12">
        <v>1</v>
      </c>
      <c r="AG247" s="38">
        <f t="shared" si="19"/>
        <v>2.8902652413026117E-4</v>
      </c>
      <c r="AH247" s="32">
        <f t="shared" si="20"/>
        <v>76.97286394226478</v>
      </c>
      <c r="AI247" s="33">
        <f t="shared" si="21"/>
        <v>2.2247199317584301E-2</v>
      </c>
      <c r="AJ247" s="34">
        <f t="shared" si="22"/>
        <v>2.2685829837492213E-3</v>
      </c>
      <c r="AK247" s="35" t="s">
        <v>920</v>
      </c>
      <c r="AL247" s="32">
        <v>0.15079644736800002</v>
      </c>
      <c r="AM247" s="32">
        <v>1</v>
      </c>
      <c r="AN247" s="36">
        <v>0.15</v>
      </c>
    </row>
    <row r="248" spans="27:40" x14ac:dyDescent="0.25">
      <c r="AA248" s="29">
        <v>245</v>
      </c>
      <c r="AB248" s="30" t="s">
        <v>96</v>
      </c>
      <c r="AC248" s="29" t="s">
        <v>154</v>
      </c>
      <c r="AD248" s="30" t="s">
        <v>28</v>
      </c>
      <c r="AE248" s="31">
        <v>2.8902652413026117E-4</v>
      </c>
      <c r="AF248" s="12">
        <v>1</v>
      </c>
      <c r="AG248" s="38">
        <f t="shared" si="19"/>
        <v>2.8902652413026117E-4</v>
      </c>
      <c r="AH248" s="32">
        <f t="shared" si="20"/>
        <v>76.97286394226478</v>
      </c>
      <c r="AI248" s="33">
        <f t="shared" si="21"/>
        <v>2.2247199317584301E-2</v>
      </c>
      <c r="AJ248" s="34">
        <f t="shared" si="22"/>
        <v>2.2685829837492213E-3</v>
      </c>
      <c r="AK248" s="35" t="s">
        <v>920</v>
      </c>
      <c r="AL248" s="32">
        <v>0.15079644736800002</v>
      </c>
      <c r="AM248" s="32">
        <v>1</v>
      </c>
      <c r="AN248" s="36">
        <v>0.15</v>
      </c>
    </row>
    <row r="249" spans="27:40" x14ac:dyDescent="0.25">
      <c r="AA249" s="29">
        <v>246</v>
      </c>
      <c r="AB249" s="30" t="s">
        <v>97</v>
      </c>
      <c r="AC249" s="29" t="s">
        <v>154</v>
      </c>
      <c r="AD249" s="30" t="s">
        <v>28</v>
      </c>
      <c r="AE249" s="31">
        <v>2.8902652413026117E-4</v>
      </c>
      <c r="AF249" s="12">
        <v>1</v>
      </c>
      <c r="AG249" s="38">
        <f t="shared" si="19"/>
        <v>2.8902652413026117E-4</v>
      </c>
      <c r="AH249" s="32">
        <f t="shared" si="20"/>
        <v>76.97286394226478</v>
      </c>
      <c r="AI249" s="33">
        <f t="shared" si="21"/>
        <v>2.2247199317584301E-2</v>
      </c>
      <c r="AJ249" s="34">
        <f t="shared" si="22"/>
        <v>2.2685829837492213E-3</v>
      </c>
      <c r="AK249" s="35" t="s">
        <v>920</v>
      </c>
      <c r="AL249" s="32">
        <v>0.15079644736800002</v>
      </c>
      <c r="AM249" s="32">
        <v>1</v>
      </c>
      <c r="AN249" s="36">
        <v>0.15</v>
      </c>
    </row>
    <row r="250" spans="27:40" x14ac:dyDescent="0.25">
      <c r="AA250" s="29">
        <v>247</v>
      </c>
      <c r="AB250" s="30" t="s">
        <v>98</v>
      </c>
      <c r="AC250" s="29" t="s">
        <v>154</v>
      </c>
      <c r="AD250" s="30" t="s">
        <v>28</v>
      </c>
      <c r="AE250" s="31">
        <v>2.8902652413026117E-4</v>
      </c>
      <c r="AF250" s="12">
        <v>1</v>
      </c>
      <c r="AG250" s="38">
        <f t="shared" si="19"/>
        <v>2.8902652413026117E-4</v>
      </c>
      <c r="AH250" s="32">
        <f t="shared" si="20"/>
        <v>76.97286394226478</v>
      </c>
      <c r="AI250" s="33">
        <f t="shared" si="21"/>
        <v>2.2247199317584301E-2</v>
      </c>
      <c r="AJ250" s="34">
        <f t="shared" si="22"/>
        <v>2.2685829837492213E-3</v>
      </c>
      <c r="AK250" s="35" t="s">
        <v>920</v>
      </c>
      <c r="AL250" s="32">
        <v>0.15079644736800002</v>
      </c>
      <c r="AM250" s="32">
        <v>1</v>
      </c>
      <c r="AN250" s="36">
        <v>0.15</v>
      </c>
    </row>
    <row r="251" spans="27:40" x14ac:dyDescent="0.25">
      <c r="AA251" s="29">
        <v>248</v>
      </c>
      <c r="AB251" s="30" t="s">
        <v>99</v>
      </c>
      <c r="AC251" s="29" t="s">
        <v>154</v>
      </c>
      <c r="AD251" s="30" t="s">
        <v>28</v>
      </c>
      <c r="AE251" s="31">
        <v>2.8902652413026117E-4</v>
      </c>
      <c r="AF251" s="12">
        <v>1</v>
      </c>
      <c r="AG251" s="38">
        <f t="shared" si="19"/>
        <v>2.8902652413026117E-4</v>
      </c>
      <c r="AH251" s="32">
        <f t="shared" si="20"/>
        <v>76.97286394226478</v>
      </c>
      <c r="AI251" s="33">
        <f t="shared" si="21"/>
        <v>2.2247199317584301E-2</v>
      </c>
      <c r="AJ251" s="34">
        <f t="shared" si="22"/>
        <v>2.2685829837492213E-3</v>
      </c>
      <c r="AK251" s="35" t="s">
        <v>920</v>
      </c>
      <c r="AL251" s="32">
        <v>0.15079644736800002</v>
      </c>
      <c r="AM251" s="32">
        <v>1</v>
      </c>
      <c r="AN251" s="36">
        <v>0.15</v>
      </c>
    </row>
    <row r="252" spans="27:40" x14ac:dyDescent="0.25">
      <c r="AA252" s="29">
        <v>249</v>
      </c>
      <c r="AB252" s="30" t="s">
        <v>365</v>
      </c>
      <c r="AC252" s="29" t="s">
        <v>154</v>
      </c>
      <c r="AD252" s="30" t="s">
        <v>28</v>
      </c>
      <c r="AE252" s="31">
        <v>2.8902652413026117E-4</v>
      </c>
      <c r="AF252" s="12">
        <v>1</v>
      </c>
      <c r="AG252" s="38">
        <f t="shared" si="19"/>
        <v>2.8902652413026117E-4</v>
      </c>
      <c r="AH252" s="32">
        <f t="shared" si="20"/>
        <v>76.97286394226478</v>
      </c>
      <c r="AI252" s="33">
        <f t="shared" si="21"/>
        <v>2.2247199317584301E-2</v>
      </c>
      <c r="AJ252" s="34">
        <f t="shared" si="22"/>
        <v>2.2685829837492213E-3</v>
      </c>
      <c r="AK252" s="35" t="s">
        <v>920</v>
      </c>
      <c r="AL252" s="32">
        <v>0.15079644736800002</v>
      </c>
      <c r="AM252" s="32">
        <v>1</v>
      </c>
      <c r="AN252" s="36">
        <v>0.15</v>
      </c>
    </row>
    <row r="253" spans="27:40" x14ac:dyDescent="0.25">
      <c r="AA253" s="29">
        <v>250</v>
      </c>
      <c r="AB253" s="30" t="s">
        <v>366</v>
      </c>
      <c r="AC253" s="29" t="s">
        <v>154</v>
      </c>
      <c r="AD253" s="30" t="s">
        <v>28</v>
      </c>
      <c r="AE253" s="31">
        <v>2.8902652413026117E-4</v>
      </c>
      <c r="AF253" s="12">
        <v>1</v>
      </c>
      <c r="AG253" s="38">
        <f t="shared" si="19"/>
        <v>2.8902652413026117E-4</v>
      </c>
      <c r="AH253" s="32">
        <f t="shared" si="20"/>
        <v>76.97286394226478</v>
      </c>
      <c r="AI253" s="33">
        <f t="shared" si="21"/>
        <v>2.2247199317584301E-2</v>
      </c>
      <c r="AJ253" s="34">
        <f t="shared" si="22"/>
        <v>2.2685829837492213E-3</v>
      </c>
      <c r="AK253" s="35" t="s">
        <v>920</v>
      </c>
      <c r="AL253" s="32">
        <v>0.15079644736800002</v>
      </c>
      <c r="AM253" s="32">
        <v>1</v>
      </c>
      <c r="AN253" s="36">
        <v>0.15</v>
      </c>
    </row>
    <row r="254" spans="27:40" x14ac:dyDescent="0.25">
      <c r="AA254" s="29">
        <v>251</v>
      </c>
      <c r="AB254" s="30" t="s">
        <v>367</v>
      </c>
      <c r="AC254" s="29" t="s">
        <v>154</v>
      </c>
      <c r="AD254" s="30" t="s">
        <v>28</v>
      </c>
      <c r="AE254" s="31">
        <v>2.8902652413026117E-4</v>
      </c>
      <c r="AF254" s="12">
        <v>1</v>
      </c>
      <c r="AG254" s="38">
        <f t="shared" si="19"/>
        <v>2.8902652413026117E-4</v>
      </c>
      <c r="AH254" s="32">
        <f t="shared" si="20"/>
        <v>76.97286394226478</v>
      </c>
      <c r="AI254" s="33">
        <f t="shared" si="21"/>
        <v>2.2247199317584301E-2</v>
      </c>
      <c r="AJ254" s="34">
        <f t="shared" si="22"/>
        <v>2.2685829837492213E-3</v>
      </c>
      <c r="AK254" s="35" t="s">
        <v>920</v>
      </c>
      <c r="AL254" s="32">
        <v>0.15079644736800002</v>
      </c>
      <c r="AM254" s="32">
        <v>1</v>
      </c>
      <c r="AN254" s="36">
        <v>0.15</v>
      </c>
    </row>
    <row r="255" spans="27:40" x14ac:dyDescent="0.25">
      <c r="AA255" s="29">
        <v>252</v>
      </c>
      <c r="AB255" s="30" t="s">
        <v>368</v>
      </c>
      <c r="AC255" s="29" t="s">
        <v>154</v>
      </c>
      <c r="AD255" s="30" t="s">
        <v>28</v>
      </c>
      <c r="AE255" s="31">
        <v>2.8902652413026117E-4</v>
      </c>
      <c r="AF255" s="12">
        <v>1</v>
      </c>
      <c r="AG255" s="38">
        <f t="shared" si="19"/>
        <v>2.8902652413026117E-4</v>
      </c>
      <c r="AH255" s="32">
        <f t="shared" si="20"/>
        <v>76.97286394226478</v>
      </c>
      <c r="AI255" s="33">
        <f t="shared" si="21"/>
        <v>2.2247199317584301E-2</v>
      </c>
      <c r="AJ255" s="34">
        <f t="shared" si="22"/>
        <v>2.2685829837492213E-3</v>
      </c>
      <c r="AK255" s="35" t="s">
        <v>920</v>
      </c>
      <c r="AL255" s="32">
        <v>0.15079644736800002</v>
      </c>
      <c r="AM255" s="32">
        <v>1</v>
      </c>
      <c r="AN255" s="36">
        <v>0.15</v>
      </c>
    </row>
    <row r="256" spans="27:40" x14ac:dyDescent="0.25">
      <c r="AA256" s="29">
        <v>253</v>
      </c>
      <c r="AB256" s="30" t="s">
        <v>369</v>
      </c>
      <c r="AC256" s="29" t="s">
        <v>154</v>
      </c>
      <c r="AD256" s="30" t="s">
        <v>28</v>
      </c>
      <c r="AE256" s="31">
        <v>2.8902652413026117E-4</v>
      </c>
      <c r="AF256" s="12">
        <v>1</v>
      </c>
      <c r="AG256" s="38">
        <f t="shared" si="19"/>
        <v>2.8902652413026117E-4</v>
      </c>
      <c r="AH256" s="32">
        <f t="shared" si="20"/>
        <v>76.97286394226478</v>
      </c>
      <c r="AI256" s="33">
        <f t="shared" si="21"/>
        <v>2.2247199317584301E-2</v>
      </c>
      <c r="AJ256" s="34">
        <f t="shared" si="22"/>
        <v>2.2685829837492213E-3</v>
      </c>
      <c r="AK256" s="35" t="s">
        <v>920</v>
      </c>
      <c r="AL256" s="32">
        <v>0.15079644736800002</v>
      </c>
      <c r="AM256" s="32">
        <v>1</v>
      </c>
      <c r="AN256" s="36">
        <v>0.15</v>
      </c>
    </row>
    <row r="257" spans="27:40" x14ac:dyDescent="0.25">
      <c r="AA257" s="29">
        <v>254</v>
      </c>
      <c r="AB257" s="30" t="s">
        <v>370</v>
      </c>
      <c r="AC257" s="29" t="s">
        <v>154</v>
      </c>
      <c r="AD257" s="30" t="s">
        <v>28</v>
      </c>
      <c r="AE257" s="31">
        <v>2.8902652413026117E-4</v>
      </c>
      <c r="AF257" s="12">
        <v>1</v>
      </c>
      <c r="AG257" s="38">
        <f t="shared" si="19"/>
        <v>2.8902652413026117E-4</v>
      </c>
      <c r="AH257" s="32">
        <f t="shared" si="20"/>
        <v>76.97286394226478</v>
      </c>
      <c r="AI257" s="33">
        <f t="shared" si="21"/>
        <v>2.2247199317584301E-2</v>
      </c>
      <c r="AJ257" s="34">
        <f t="shared" si="22"/>
        <v>2.2685829837492213E-3</v>
      </c>
      <c r="AK257" s="35" t="s">
        <v>920</v>
      </c>
      <c r="AL257" s="32">
        <v>0.15079644736800002</v>
      </c>
      <c r="AM257" s="32">
        <v>1</v>
      </c>
      <c r="AN257" s="36">
        <v>0.15</v>
      </c>
    </row>
    <row r="258" spans="27:40" x14ac:dyDescent="0.25">
      <c r="AA258" s="29">
        <v>255</v>
      </c>
      <c r="AB258" s="30" t="s">
        <v>100</v>
      </c>
      <c r="AC258" s="29" t="s">
        <v>154</v>
      </c>
      <c r="AD258" s="30" t="s">
        <v>28</v>
      </c>
      <c r="AE258" s="31">
        <v>2.8902652413026117E-4</v>
      </c>
      <c r="AF258" s="12">
        <v>1</v>
      </c>
      <c r="AG258" s="38">
        <f t="shared" si="19"/>
        <v>2.8902652413026117E-4</v>
      </c>
      <c r="AH258" s="32">
        <f t="shared" si="20"/>
        <v>76.97286394226478</v>
      </c>
      <c r="AI258" s="33">
        <f t="shared" si="21"/>
        <v>2.2247199317584301E-2</v>
      </c>
      <c r="AJ258" s="34">
        <f t="shared" si="22"/>
        <v>2.2685829837492213E-3</v>
      </c>
      <c r="AK258" s="35" t="s">
        <v>920</v>
      </c>
      <c r="AL258" s="32">
        <v>0.15079644736800002</v>
      </c>
      <c r="AM258" s="32">
        <v>1</v>
      </c>
      <c r="AN258" s="36">
        <v>0.15</v>
      </c>
    </row>
    <row r="259" spans="27:40" x14ac:dyDescent="0.25">
      <c r="AA259" s="29">
        <v>256</v>
      </c>
      <c r="AB259" s="30" t="s">
        <v>101</v>
      </c>
      <c r="AC259" s="29" t="s">
        <v>154</v>
      </c>
      <c r="AD259" s="30" t="s">
        <v>28</v>
      </c>
      <c r="AE259" s="31">
        <v>2.8902652413026117E-4</v>
      </c>
      <c r="AF259" s="12">
        <v>1</v>
      </c>
      <c r="AG259" s="38">
        <f t="shared" si="19"/>
        <v>2.8902652413026117E-4</v>
      </c>
      <c r="AH259" s="32">
        <f t="shared" si="20"/>
        <v>76.97286394226478</v>
      </c>
      <c r="AI259" s="33">
        <f t="shared" si="21"/>
        <v>2.2247199317584301E-2</v>
      </c>
      <c r="AJ259" s="34">
        <f t="shared" si="22"/>
        <v>2.2685829837492213E-3</v>
      </c>
      <c r="AK259" s="35" t="s">
        <v>920</v>
      </c>
      <c r="AL259" s="32">
        <v>0.15079644736800002</v>
      </c>
      <c r="AM259" s="32">
        <v>1</v>
      </c>
      <c r="AN259" s="36">
        <v>0.15</v>
      </c>
    </row>
    <row r="260" spans="27:40" x14ac:dyDescent="0.25">
      <c r="AA260" s="29">
        <v>257</v>
      </c>
      <c r="AB260" s="30" t="s">
        <v>102</v>
      </c>
      <c r="AC260" s="29" t="s">
        <v>154</v>
      </c>
      <c r="AD260" s="30" t="s">
        <v>28</v>
      </c>
      <c r="AE260" s="31">
        <v>2.8902652413026117E-4</v>
      </c>
      <c r="AF260" s="12">
        <v>1</v>
      </c>
      <c r="AG260" s="38">
        <f t="shared" si="19"/>
        <v>2.8902652413026117E-4</v>
      </c>
      <c r="AH260" s="32">
        <f t="shared" si="20"/>
        <v>76.97286394226478</v>
      </c>
      <c r="AI260" s="33">
        <f t="shared" si="21"/>
        <v>2.2247199317584301E-2</v>
      </c>
      <c r="AJ260" s="34">
        <f t="shared" si="22"/>
        <v>2.2685829837492213E-3</v>
      </c>
      <c r="AK260" s="35" t="s">
        <v>920</v>
      </c>
      <c r="AL260" s="32">
        <v>0.15079644736800002</v>
      </c>
      <c r="AM260" s="32">
        <v>1</v>
      </c>
      <c r="AN260" s="36">
        <v>0.15</v>
      </c>
    </row>
    <row r="261" spans="27:40" x14ac:dyDescent="0.25">
      <c r="AA261" s="29">
        <v>258</v>
      </c>
      <c r="AB261" s="30" t="s">
        <v>103</v>
      </c>
      <c r="AC261" s="29" t="s">
        <v>154</v>
      </c>
      <c r="AD261" s="30" t="s">
        <v>28</v>
      </c>
      <c r="AE261" s="31">
        <v>2.8902652413026117E-4</v>
      </c>
      <c r="AF261" s="12">
        <v>1</v>
      </c>
      <c r="AG261" s="38">
        <f t="shared" ref="AG261:AG324" si="23">IF(AA261="","",AE261*AF261)</f>
        <v>2.8902652413026117E-4</v>
      </c>
      <c r="AH261" s="32">
        <f t="shared" ref="AH261:AH324" si="24">IF(AA261="","",IFERROR(VLOOKUP(AD261,$A$4:$E$20,3,FALSE),VLOOKUP(AD261,$A$25:$E$30,3,FALSE)))</f>
        <v>76.97286394226478</v>
      </c>
      <c r="AI261" s="33">
        <f t="shared" ref="AI261:AI324" si="25">IF(AA261="","",AG261*AH261)</f>
        <v>2.2247199317584301E-2</v>
      </c>
      <c r="AJ261" s="34">
        <f t="shared" ref="AJ261:AJ324" si="26">IF(AA261="","",AI261/9.80665)</f>
        <v>2.2685829837492213E-3</v>
      </c>
      <c r="AK261" s="35" t="s">
        <v>920</v>
      </c>
      <c r="AL261" s="32">
        <v>0.15079644736800002</v>
      </c>
      <c r="AM261" s="32">
        <v>1</v>
      </c>
      <c r="AN261" s="36">
        <v>0.15</v>
      </c>
    </row>
    <row r="262" spans="27:40" x14ac:dyDescent="0.25">
      <c r="AA262" s="29">
        <v>259</v>
      </c>
      <c r="AB262" s="30" t="s">
        <v>105</v>
      </c>
      <c r="AC262" s="29" t="s">
        <v>156</v>
      </c>
      <c r="AD262" s="30" t="s">
        <v>28</v>
      </c>
      <c r="AE262" s="31">
        <v>1.3823007675795071E-3</v>
      </c>
      <c r="AF262" s="12">
        <v>2.0807051797441103</v>
      </c>
      <c r="AG262" s="38">
        <f t="shared" si="23"/>
        <v>2.8761603670669398E-3</v>
      </c>
      <c r="AH262" s="32">
        <f t="shared" si="24"/>
        <v>76.97286394226478</v>
      </c>
      <c r="AI262" s="33">
        <f t="shared" si="25"/>
        <v>0.2213863006103779</v>
      </c>
      <c r="AJ262" s="34">
        <f t="shared" si="26"/>
        <v>2.2575120006360777E-2</v>
      </c>
      <c r="AK262" s="35" t="s">
        <v>920</v>
      </c>
      <c r="AL262" s="32">
        <v>0.35814156249900003</v>
      </c>
      <c r="AM262" s="32">
        <v>2.0807051797441103</v>
      </c>
      <c r="AN262" s="36">
        <v>0.75</v>
      </c>
    </row>
    <row r="263" spans="27:40" x14ac:dyDescent="0.25">
      <c r="AA263" s="29">
        <v>260</v>
      </c>
      <c r="AB263" s="30" t="s">
        <v>371</v>
      </c>
      <c r="AC263" s="29" t="s">
        <v>156</v>
      </c>
      <c r="AD263" s="30" t="s">
        <v>28</v>
      </c>
      <c r="AE263" s="31">
        <v>1.3823007675795071E-3</v>
      </c>
      <c r="AF263" s="12">
        <v>2.0807051797462806</v>
      </c>
      <c r="AG263" s="38">
        <f t="shared" si="23"/>
        <v>2.87616036706994E-3</v>
      </c>
      <c r="AH263" s="32">
        <f t="shared" si="24"/>
        <v>76.97286394226478</v>
      </c>
      <c r="AI263" s="33">
        <f t="shared" si="25"/>
        <v>0.22138630061060882</v>
      </c>
      <c r="AJ263" s="34">
        <f t="shared" si="26"/>
        <v>2.2575120006384324E-2</v>
      </c>
      <c r="AK263" s="35" t="s">
        <v>920</v>
      </c>
      <c r="AL263" s="32">
        <v>0.35814156249900003</v>
      </c>
      <c r="AM263" s="32">
        <v>2.0807051797462806</v>
      </c>
      <c r="AN263" s="36">
        <v>0.75</v>
      </c>
    </row>
    <row r="264" spans="27:40" x14ac:dyDescent="0.25">
      <c r="AA264" s="29">
        <v>261</v>
      </c>
      <c r="AB264" s="30" t="s">
        <v>372</v>
      </c>
      <c r="AC264" s="29" t="s">
        <v>156</v>
      </c>
      <c r="AD264" s="30" t="s">
        <v>28</v>
      </c>
      <c r="AE264" s="31">
        <v>1.3823007675795071E-3</v>
      </c>
      <c r="AF264" s="12">
        <v>2.0807051797469542</v>
      </c>
      <c r="AG264" s="38">
        <f t="shared" si="23"/>
        <v>2.8761603670708711E-3</v>
      </c>
      <c r="AH264" s="32">
        <f t="shared" si="24"/>
        <v>76.97286394226478</v>
      </c>
      <c r="AI264" s="33">
        <f t="shared" si="25"/>
        <v>0.22138630061068049</v>
      </c>
      <c r="AJ264" s="34">
        <f t="shared" si="26"/>
        <v>2.2575120006391631E-2</v>
      </c>
      <c r="AK264" s="35" t="s">
        <v>920</v>
      </c>
      <c r="AL264" s="32">
        <v>0.35814156249900003</v>
      </c>
      <c r="AM264" s="32">
        <v>2.0807051797469542</v>
      </c>
      <c r="AN264" s="36">
        <v>0.75</v>
      </c>
    </row>
    <row r="265" spans="27:40" x14ac:dyDescent="0.25">
      <c r="AA265" s="29">
        <v>262</v>
      </c>
      <c r="AB265" s="30" t="s">
        <v>373</v>
      </c>
      <c r="AC265" s="29" t="s">
        <v>156</v>
      </c>
      <c r="AD265" s="30" t="s">
        <v>28</v>
      </c>
      <c r="AE265" s="31">
        <v>1.3823007675795071E-3</v>
      </c>
      <c r="AF265" s="12">
        <v>2.0807051797451113</v>
      </c>
      <c r="AG265" s="38">
        <f t="shared" si="23"/>
        <v>2.8761603670683237E-3</v>
      </c>
      <c r="AH265" s="32">
        <f t="shared" si="24"/>
        <v>76.97286394226478</v>
      </c>
      <c r="AI265" s="33">
        <f t="shared" si="25"/>
        <v>0.22138630061048439</v>
      </c>
      <c r="AJ265" s="34">
        <f t="shared" si="26"/>
        <v>2.2575120006371636E-2</v>
      </c>
      <c r="AK265" s="35" t="s">
        <v>920</v>
      </c>
      <c r="AL265" s="32">
        <v>0.35814156249900003</v>
      </c>
      <c r="AM265" s="32">
        <v>2.0807051797451113</v>
      </c>
      <c r="AN265" s="36">
        <v>0.75</v>
      </c>
    </row>
    <row r="266" spans="27:40" x14ac:dyDescent="0.25">
      <c r="AA266" s="29">
        <v>263</v>
      </c>
      <c r="AB266" s="30" t="s">
        <v>374</v>
      </c>
      <c r="AC266" s="29" t="s">
        <v>156</v>
      </c>
      <c r="AD266" s="30" t="s">
        <v>28</v>
      </c>
      <c r="AE266" s="31">
        <v>1.3823007675795071E-3</v>
      </c>
      <c r="AF266" s="12">
        <v>2.0807051797444625</v>
      </c>
      <c r="AG266" s="38">
        <f t="shared" si="23"/>
        <v>2.8761603670674268E-3</v>
      </c>
      <c r="AH266" s="32">
        <f t="shared" si="24"/>
        <v>76.97286394226478</v>
      </c>
      <c r="AI266" s="33">
        <f t="shared" si="25"/>
        <v>0.22138630061041537</v>
      </c>
      <c r="AJ266" s="34">
        <f t="shared" si="26"/>
        <v>2.2575120006364597E-2</v>
      </c>
      <c r="AK266" s="35" t="s">
        <v>920</v>
      </c>
      <c r="AL266" s="32">
        <v>0.35814156249900003</v>
      </c>
      <c r="AM266" s="32">
        <v>2.0807051797444625</v>
      </c>
      <c r="AN266" s="36">
        <v>0.75</v>
      </c>
    </row>
    <row r="267" spans="27:40" x14ac:dyDescent="0.25">
      <c r="AA267" s="29">
        <v>264</v>
      </c>
      <c r="AB267" s="30" t="s">
        <v>375</v>
      </c>
      <c r="AC267" s="29" t="s">
        <v>156</v>
      </c>
      <c r="AD267" s="30" t="s">
        <v>28</v>
      </c>
      <c r="AE267" s="31">
        <v>1.3823007675795071E-3</v>
      </c>
      <c r="AF267" s="12">
        <v>2.0807051797468379</v>
      </c>
      <c r="AG267" s="38">
        <f t="shared" si="23"/>
        <v>2.8761603670707102E-3</v>
      </c>
      <c r="AH267" s="32">
        <f t="shared" si="24"/>
        <v>76.97286394226478</v>
      </c>
      <c r="AI267" s="33">
        <f t="shared" si="25"/>
        <v>0.22138630061066811</v>
      </c>
      <c r="AJ267" s="34">
        <f t="shared" si="26"/>
        <v>2.2575120006390371E-2</v>
      </c>
      <c r="AK267" s="35" t="s">
        <v>920</v>
      </c>
      <c r="AL267" s="32">
        <v>0.35814156249900003</v>
      </c>
      <c r="AM267" s="32">
        <v>2.0807051797468379</v>
      </c>
      <c r="AN267" s="36">
        <v>0.75</v>
      </c>
    </row>
    <row r="268" spans="27:40" x14ac:dyDescent="0.25">
      <c r="AA268" s="29">
        <v>265</v>
      </c>
      <c r="AB268" s="30" t="s">
        <v>376</v>
      </c>
      <c r="AC268" s="29" t="s">
        <v>156</v>
      </c>
      <c r="AD268" s="30" t="s">
        <v>28</v>
      </c>
      <c r="AE268" s="31">
        <v>1.3823007675795071E-3</v>
      </c>
      <c r="AF268" s="12">
        <v>2.0807051797433171</v>
      </c>
      <c r="AG268" s="38">
        <f t="shared" si="23"/>
        <v>2.8761603670658434E-3</v>
      </c>
      <c r="AH268" s="32">
        <f t="shared" si="24"/>
        <v>76.97286394226478</v>
      </c>
      <c r="AI268" s="33">
        <f t="shared" si="25"/>
        <v>0.22138630061029349</v>
      </c>
      <c r="AJ268" s="34">
        <f t="shared" si="26"/>
        <v>2.2575120006352169E-2</v>
      </c>
      <c r="AK268" s="35" t="s">
        <v>920</v>
      </c>
      <c r="AL268" s="32">
        <v>0.35814156249900003</v>
      </c>
      <c r="AM268" s="32">
        <v>2.0807051797433171</v>
      </c>
      <c r="AN268" s="36">
        <v>0.75</v>
      </c>
    </row>
    <row r="269" spans="27:40" x14ac:dyDescent="0.25">
      <c r="AA269" s="29">
        <v>266</v>
      </c>
      <c r="AB269" s="30" t="s">
        <v>377</v>
      </c>
      <c r="AC269" s="29" t="s">
        <v>156</v>
      </c>
      <c r="AD269" s="30" t="s">
        <v>28</v>
      </c>
      <c r="AE269" s="31">
        <v>1.3823007675795071E-3</v>
      </c>
      <c r="AF269" s="12">
        <v>2.0807051797459848</v>
      </c>
      <c r="AG269" s="38">
        <f t="shared" si="23"/>
        <v>2.876160367069531E-3</v>
      </c>
      <c r="AH269" s="32">
        <f t="shared" si="24"/>
        <v>76.97286394226478</v>
      </c>
      <c r="AI269" s="33">
        <f t="shared" si="25"/>
        <v>0.22138630061057735</v>
      </c>
      <c r="AJ269" s="34">
        <f t="shared" si="26"/>
        <v>2.2575120006381115E-2</v>
      </c>
      <c r="AK269" s="35" t="s">
        <v>920</v>
      </c>
      <c r="AL269" s="32">
        <v>0.35814156249900003</v>
      </c>
      <c r="AM269" s="32">
        <v>2.0807051797459848</v>
      </c>
      <c r="AN269" s="36">
        <v>0.75</v>
      </c>
    </row>
    <row r="270" spans="27:40" x14ac:dyDescent="0.25">
      <c r="AA270" s="29">
        <v>267</v>
      </c>
      <c r="AB270" s="30" t="s">
        <v>378</v>
      </c>
      <c r="AC270" s="29" t="s">
        <v>156</v>
      </c>
      <c r="AD270" s="30" t="s">
        <v>28</v>
      </c>
      <c r="AE270" s="31">
        <v>1.3823007675795071E-3</v>
      </c>
      <c r="AF270" s="12">
        <v>2.0807051797455443</v>
      </c>
      <c r="AG270" s="38">
        <f t="shared" si="23"/>
        <v>2.8761603670689221E-3</v>
      </c>
      <c r="AH270" s="32">
        <f t="shared" si="24"/>
        <v>76.97286394226478</v>
      </c>
      <c r="AI270" s="33">
        <f t="shared" si="25"/>
        <v>0.22138630061053047</v>
      </c>
      <c r="AJ270" s="34">
        <f t="shared" si="26"/>
        <v>2.2575120006376334E-2</v>
      </c>
      <c r="AK270" s="35" t="s">
        <v>920</v>
      </c>
      <c r="AL270" s="32">
        <v>0.35814156249900003</v>
      </c>
      <c r="AM270" s="32">
        <v>2.0807051797455443</v>
      </c>
      <c r="AN270" s="36">
        <v>0.75</v>
      </c>
    </row>
    <row r="271" spans="27:40" x14ac:dyDescent="0.25">
      <c r="AA271" s="29">
        <v>268</v>
      </c>
      <c r="AB271" s="30" t="s">
        <v>379</v>
      </c>
      <c r="AC271" s="29" t="s">
        <v>156</v>
      </c>
      <c r="AD271" s="30" t="s">
        <v>28</v>
      </c>
      <c r="AE271" s="31">
        <v>1.3823007675795071E-3</v>
      </c>
      <c r="AF271" s="12">
        <v>2.0807051797457792</v>
      </c>
      <c r="AG271" s="38">
        <f t="shared" si="23"/>
        <v>2.8761603670692465E-3</v>
      </c>
      <c r="AH271" s="32">
        <f t="shared" si="24"/>
        <v>76.97286394226478</v>
      </c>
      <c r="AI271" s="33">
        <f t="shared" si="25"/>
        <v>0.22138630061055545</v>
      </c>
      <c r="AJ271" s="34">
        <f t="shared" si="26"/>
        <v>2.2575120006378881E-2</v>
      </c>
      <c r="AK271" s="35" t="s">
        <v>920</v>
      </c>
      <c r="AL271" s="32">
        <v>0.35814156249900003</v>
      </c>
      <c r="AM271" s="32">
        <v>2.0807051797457792</v>
      </c>
      <c r="AN271" s="36">
        <v>0.75</v>
      </c>
    </row>
    <row r="272" spans="27:40" x14ac:dyDescent="0.25">
      <c r="AA272" s="29">
        <v>269</v>
      </c>
      <c r="AB272" s="30" t="s">
        <v>380</v>
      </c>
      <c r="AC272" s="29" t="s">
        <v>156</v>
      </c>
      <c r="AD272" s="30" t="s">
        <v>28</v>
      </c>
      <c r="AE272" s="31">
        <v>1.3823007675795071E-3</v>
      </c>
      <c r="AF272" s="12">
        <v>2.0807051797433846</v>
      </c>
      <c r="AG272" s="38">
        <f t="shared" si="23"/>
        <v>2.8761603670659367E-3</v>
      </c>
      <c r="AH272" s="32">
        <f t="shared" si="24"/>
        <v>76.97286394226478</v>
      </c>
      <c r="AI272" s="33">
        <f t="shared" si="25"/>
        <v>0.22138630061030068</v>
      </c>
      <c r="AJ272" s="34">
        <f t="shared" si="26"/>
        <v>2.2575120006352901E-2</v>
      </c>
      <c r="AK272" s="35" t="s">
        <v>920</v>
      </c>
      <c r="AL272" s="32">
        <v>0.35814156249900003</v>
      </c>
      <c r="AM272" s="32">
        <v>2.0807051797433846</v>
      </c>
      <c r="AN272" s="36">
        <v>0.75</v>
      </c>
    </row>
    <row r="273" spans="27:40" x14ac:dyDescent="0.25">
      <c r="AA273" s="29">
        <v>270</v>
      </c>
      <c r="AB273" s="30" t="s">
        <v>381</v>
      </c>
      <c r="AC273" s="29" t="s">
        <v>156</v>
      </c>
      <c r="AD273" s="30" t="s">
        <v>28</v>
      </c>
      <c r="AE273" s="31">
        <v>1.3823007675795071E-3</v>
      </c>
      <c r="AF273" s="12">
        <v>2.0807051797462073</v>
      </c>
      <c r="AG273" s="38">
        <f t="shared" si="23"/>
        <v>2.8761603670698385E-3</v>
      </c>
      <c r="AH273" s="32">
        <f t="shared" si="24"/>
        <v>76.97286394226478</v>
      </c>
      <c r="AI273" s="33">
        <f t="shared" si="25"/>
        <v>0.22138630061060099</v>
      </c>
      <c r="AJ273" s="34">
        <f t="shared" si="26"/>
        <v>2.2575120006383526E-2</v>
      </c>
      <c r="AK273" s="35" t="s">
        <v>920</v>
      </c>
      <c r="AL273" s="32">
        <v>0.35814156249900003</v>
      </c>
      <c r="AM273" s="32">
        <v>2.0807051797462073</v>
      </c>
      <c r="AN273" s="36">
        <v>0.75</v>
      </c>
    </row>
    <row r="274" spans="27:40" x14ac:dyDescent="0.25">
      <c r="AA274" s="29">
        <v>271</v>
      </c>
      <c r="AB274" s="30" t="s">
        <v>382</v>
      </c>
      <c r="AC274" s="29" t="s">
        <v>156</v>
      </c>
      <c r="AD274" s="30" t="s">
        <v>28</v>
      </c>
      <c r="AE274" s="31">
        <v>1.3823007675795071E-3</v>
      </c>
      <c r="AF274" s="12">
        <v>2.0807051797430582</v>
      </c>
      <c r="AG274" s="38">
        <f t="shared" si="23"/>
        <v>2.8761603670654856E-3</v>
      </c>
      <c r="AH274" s="32">
        <f t="shared" si="24"/>
        <v>76.97286394226478</v>
      </c>
      <c r="AI274" s="33">
        <f t="shared" si="25"/>
        <v>0.22138630061026596</v>
      </c>
      <c r="AJ274" s="34">
        <f t="shared" si="26"/>
        <v>2.2575120006349363E-2</v>
      </c>
      <c r="AK274" s="35" t="s">
        <v>920</v>
      </c>
      <c r="AL274" s="32">
        <v>0.35814156249900003</v>
      </c>
      <c r="AM274" s="32">
        <v>2.0807051797430582</v>
      </c>
      <c r="AN274" s="36">
        <v>0.75</v>
      </c>
    </row>
    <row r="275" spans="27:40" x14ac:dyDescent="0.25">
      <c r="AA275" s="29">
        <v>272</v>
      </c>
      <c r="AB275" s="30" t="s">
        <v>383</v>
      </c>
      <c r="AC275" s="29" t="s">
        <v>156</v>
      </c>
      <c r="AD275" s="30" t="s">
        <v>28</v>
      </c>
      <c r="AE275" s="31">
        <v>1.3823007675795071E-3</v>
      </c>
      <c r="AF275" s="12">
        <v>2.0807051797482585</v>
      </c>
      <c r="AG275" s="38">
        <f t="shared" si="23"/>
        <v>2.8761603670726739E-3</v>
      </c>
      <c r="AH275" s="32">
        <f t="shared" si="24"/>
        <v>76.97286394226478</v>
      </c>
      <c r="AI275" s="33">
        <f t="shared" si="25"/>
        <v>0.22138630061081926</v>
      </c>
      <c r="AJ275" s="34">
        <f t="shared" si="26"/>
        <v>2.2575120006405783E-2</v>
      </c>
      <c r="AK275" s="35" t="s">
        <v>920</v>
      </c>
      <c r="AL275" s="32">
        <v>0.35814156249900003</v>
      </c>
      <c r="AM275" s="32">
        <v>2.0807051797482585</v>
      </c>
      <c r="AN275" s="36">
        <v>0.75</v>
      </c>
    </row>
    <row r="276" spans="27:40" x14ac:dyDescent="0.25">
      <c r="AA276" s="29">
        <v>273</v>
      </c>
      <c r="AB276" s="30" t="s">
        <v>384</v>
      </c>
      <c r="AC276" s="29" t="s">
        <v>156</v>
      </c>
      <c r="AD276" s="30" t="s">
        <v>28</v>
      </c>
      <c r="AE276" s="31">
        <v>1.3823007675795071E-3</v>
      </c>
      <c r="AF276" s="12">
        <v>2.08070517974528</v>
      </c>
      <c r="AG276" s="38">
        <f t="shared" si="23"/>
        <v>2.876160367068557E-3</v>
      </c>
      <c r="AH276" s="32">
        <f t="shared" si="24"/>
        <v>76.97286394226478</v>
      </c>
      <c r="AI276" s="33">
        <f t="shared" si="25"/>
        <v>0.22138630061050235</v>
      </c>
      <c r="AJ276" s="34">
        <f t="shared" si="26"/>
        <v>2.2575120006373468E-2</v>
      </c>
      <c r="AK276" s="35" t="s">
        <v>920</v>
      </c>
      <c r="AL276" s="32">
        <v>0.35814156249900003</v>
      </c>
      <c r="AM276" s="32">
        <v>2.08070517974528</v>
      </c>
      <c r="AN276" s="36">
        <v>0.75</v>
      </c>
    </row>
    <row r="277" spans="27:40" x14ac:dyDescent="0.25">
      <c r="AA277" s="29">
        <v>274</v>
      </c>
      <c r="AB277" s="30" t="s">
        <v>385</v>
      </c>
      <c r="AC277" s="29" t="s">
        <v>156</v>
      </c>
      <c r="AD277" s="30" t="s">
        <v>28</v>
      </c>
      <c r="AE277" s="31">
        <v>1.3823007675795071E-3</v>
      </c>
      <c r="AF277" s="12">
        <v>2.0807051797458058</v>
      </c>
      <c r="AG277" s="38">
        <f t="shared" si="23"/>
        <v>2.8761603670692834E-3</v>
      </c>
      <c r="AH277" s="32">
        <f t="shared" si="24"/>
        <v>76.97286394226478</v>
      </c>
      <c r="AI277" s="33">
        <f t="shared" si="25"/>
        <v>0.22138630061055828</v>
      </c>
      <c r="AJ277" s="34">
        <f t="shared" si="26"/>
        <v>2.2575120006379172E-2</v>
      </c>
      <c r="AK277" s="35" t="s">
        <v>920</v>
      </c>
      <c r="AL277" s="32">
        <v>0.35814156249900003</v>
      </c>
      <c r="AM277" s="32">
        <v>2.0807051797458058</v>
      </c>
      <c r="AN277" s="36">
        <v>0.75</v>
      </c>
    </row>
    <row r="278" spans="27:40" x14ac:dyDescent="0.25">
      <c r="AA278" s="29">
        <v>275</v>
      </c>
      <c r="AB278" s="30" t="s">
        <v>106</v>
      </c>
      <c r="AC278" s="29" t="s">
        <v>151</v>
      </c>
      <c r="AD278" s="30" t="s">
        <v>28</v>
      </c>
      <c r="AE278" s="31">
        <v>2.1362830044410596E-3</v>
      </c>
      <c r="AF278" s="12">
        <v>2.036669085140697</v>
      </c>
      <c r="AG278" s="38">
        <f t="shared" si="23"/>
        <v>4.3509015522565928E-3</v>
      </c>
      <c r="AH278" s="32">
        <f t="shared" si="24"/>
        <v>76.97286394226478</v>
      </c>
      <c r="AI278" s="33">
        <f t="shared" si="25"/>
        <v>0.33490135320803538</v>
      </c>
      <c r="AJ278" s="34">
        <f t="shared" si="26"/>
        <v>3.4150433961448137E-2</v>
      </c>
      <c r="AK278" s="35" t="s">
        <v>920</v>
      </c>
      <c r="AL278" s="32">
        <v>0.44296456414349994</v>
      </c>
      <c r="AM278" s="32">
        <v>2.036669085140697</v>
      </c>
      <c r="AN278" s="36">
        <v>0.9</v>
      </c>
    </row>
    <row r="279" spans="27:40" x14ac:dyDescent="0.25">
      <c r="AA279" s="29">
        <v>276</v>
      </c>
      <c r="AB279" s="30" t="s">
        <v>107</v>
      </c>
      <c r="AC279" s="29" t="s">
        <v>151</v>
      </c>
      <c r="AD279" s="30" t="s">
        <v>28</v>
      </c>
      <c r="AE279" s="31">
        <v>2.1362830044410596E-3</v>
      </c>
      <c r="AF279" s="12">
        <v>2.0366690912858165</v>
      </c>
      <c r="AG279" s="38">
        <f t="shared" si="23"/>
        <v>4.350901565384307E-3</v>
      </c>
      <c r="AH279" s="32">
        <f t="shared" si="24"/>
        <v>76.97286394226478</v>
      </c>
      <c r="AI279" s="33">
        <f t="shared" si="25"/>
        <v>0.33490135421851314</v>
      </c>
      <c r="AJ279" s="34">
        <f t="shared" si="26"/>
        <v>3.4150434064488193E-2</v>
      </c>
      <c r="AK279" s="35" t="s">
        <v>920</v>
      </c>
      <c r="AL279" s="32">
        <v>0.44296456414349994</v>
      </c>
      <c r="AM279" s="32">
        <v>2.0366690912858165</v>
      </c>
      <c r="AN279" s="36">
        <v>0.9</v>
      </c>
    </row>
    <row r="280" spans="27:40" x14ac:dyDescent="0.25">
      <c r="AA280" s="29">
        <v>277</v>
      </c>
      <c r="AB280" s="30" t="s">
        <v>108</v>
      </c>
      <c r="AC280" s="29" t="s">
        <v>151</v>
      </c>
      <c r="AD280" s="30" t="s">
        <v>28</v>
      </c>
      <c r="AE280" s="31">
        <v>2.1362830044410596E-3</v>
      </c>
      <c r="AF280" s="12">
        <v>2.0366690912859586</v>
      </c>
      <c r="AG280" s="38">
        <f t="shared" si="23"/>
        <v>4.3509015653846106E-3</v>
      </c>
      <c r="AH280" s="32">
        <f t="shared" si="24"/>
        <v>76.97286394226478</v>
      </c>
      <c r="AI280" s="33">
        <f t="shared" si="25"/>
        <v>0.33490135421853645</v>
      </c>
      <c r="AJ280" s="34">
        <f t="shared" si="26"/>
        <v>3.4150434064490573E-2</v>
      </c>
      <c r="AK280" s="35" t="s">
        <v>920</v>
      </c>
      <c r="AL280" s="32">
        <v>0.44296456414349994</v>
      </c>
      <c r="AM280" s="32">
        <v>2.0366690912859586</v>
      </c>
      <c r="AN280" s="36">
        <v>0.9</v>
      </c>
    </row>
    <row r="281" spans="27:40" x14ac:dyDescent="0.25">
      <c r="AA281" s="29">
        <v>278</v>
      </c>
      <c r="AB281" s="30" t="s">
        <v>109</v>
      </c>
      <c r="AC281" s="29" t="s">
        <v>151</v>
      </c>
      <c r="AD281" s="30" t="s">
        <v>28</v>
      </c>
      <c r="AE281" s="31">
        <v>2.1362830044410596E-3</v>
      </c>
      <c r="AF281" s="12">
        <v>2.036669091282715</v>
      </c>
      <c r="AG281" s="38">
        <f t="shared" si="23"/>
        <v>4.3509015653776812E-3</v>
      </c>
      <c r="AH281" s="32">
        <f t="shared" si="24"/>
        <v>76.97286394226478</v>
      </c>
      <c r="AI281" s="33">
        <f t="shared" si="25"/>
        <v>0.3349013542180031</v>
      </c>
      <c r="AJ281" s="34">
        <f t="shared" si="26"/>
        <v>3.4150434064436186E-2</v>
      </c>
      <c r="AK281" s="35" t="s">
        <v>920</v>
      </c>
      <c r="AL281" s="32">
        <v>0.44296456414349994</v>
      </c>
      <c r="AM281" s="32">
        <v>2.036669091282715</v>
      </c>
      <c r="AN281" s="36">
        <v>0.9</v>
      </c>
    </row>
    <row r="282" spans="27:40" x14ac:dyDescent="0.25">
      <c r="AA282" s="29">
        <v>279</v>
      </c>
      <c r="AB282" s="30" t="s">
        <v>110</v>
      </c>
      <c r="AC282" s="29" t="s">
        <v>151</v>
      </c>
      <c r="AD282" s="30" t="s">
        <v>28</v>
      </c>
      <c r="AE282" s="31">
        <v>2.1362830044410596E-3</v>
      </c>
      <c r="AF282" s="12">
        <v>2.0366690912853036</v>
      </c>
      <c r="AG282" s="38">
        <f t="shared" si="23"/>
        <v>4.3509015653832106E-3</v>
      </c>
      <c r="AH282" s="32">
        <f t="shared" si="24"/>
        <v>76.97286394226478</v>
      </c>
      <c r="AI282" s="33">
        <f t="shared" si="25"/>
        <v>0.3349013542184287</v>
      </c>
      <c r="AJ282" s="34">
        <f t="shared" si="26"/>
        <v>3.4150434064479582E-2</v>
      </c>
      <c r="AK282" s="35" t="s">
        <v>920</v>
      </c>
      <c r="AL282" s="32">
        <v>0.44296456414349994</v>
      </c>
      <c r="AM282" s="32">
        <v>2.0366690912853036</v>
      </c>
      <c r="AN282" s="36">
        <v>0.9</v>
      </c>
    </row>
    <row r="283" spans="27:40" x14ac:dyDescent="0.25">
      <c r="AA283" s="29">
        <v>280</v>
      </c>
      <c r="AB283" s="30" t="s">
        <v>386</v>
      </c>
      <c r="AC283" s="29" t="s">
        <v>151</v>
      </c>
      <c r="AD283" s="30" t="s">
        <v>28</v>
      </c>
      <c r="AE283" s="31">
        <v>2.1362830044410596E-3</v>
      </c>
      <c r="AF283" s="12">
        <v>2.036669091286528</v>
      </c>
      <c r="AG283" s="38">
        <f t="shared" si="23"/>
        <v>4.3509015653858266E-3</v>
      </c>
      <c r="AH283" s="32">
        <f t="shared" si="24"/>
        <v>76.97286394226478</v>
      </c>
      <c r="AI283" s="33">
        <f t="shared" si="25"/>
        <v>0.3349013542186301</v>
      </c>
      <c r="AJ283" s="34">
        <f t="shared" si="26"/>
        <v>3.4150434064500121E-2</v>
      </c>
      <c r="AK283" s="35" t="s">
        <v>920</v>
      </c>
      <c r="AL283" s="32">
        <v>0.44296456414349994</v>
      </c>
      <c r="AM283" s="32">
        <v>2.036669091286528</v>
      </c>
      <c r="AN283" s="36">
        <v>0.9</v>
      </c>
    </row>
    <row r="284" spans="27:40" x14ac:dyDescent="0.25">
      <c r="AA284" s="29">
        <v>281</v>
      </c>
      <c r="AB284" s="30" t="s">
        <v>387</v>
      </c>
      <c r="AC284" s="29" t="s">
        <v>151</v>
      </c>
      <c r="AD284" s="30" t="s">
        <v>28</v>
      </c>
      <c r="AE284" s="31">
        <v>2.1362830044410596E-3</v>
      </c>
      <c r="AF284" s="12">
        <v>2.0366690912842809</v>
      </c>
      <c r="AG284" s="38">
        <f t="shared" si="23"/>
        <v>4.3509015653810266E-3</v>
      </c>
      <c r="AH284" s="32">
        <f t="shared" si="24"/>
        <v>76.97286394226478</v>
      </c>
      <c r="AI284" s="33">
        <f t="shared" si="25"/>
        <v>0.33490135421826062</v>
      </c>
      <c r="AJ284" s="34">
        <f t="shared" si="26"/>
        <v>3.4150434064462443E-2</v>
      </c>
      <c r="AK284" s="35" t="s">
        <v>920</v>
      </c>
      <c r="AL284" s="32">
        <v>0.44296456414349994</v>
      </c>
      <c r="AM284" s="32">
        <v>2.0366690912842809</v>
      </c>
      <c r="AN284" s="36">
        <v>0.9</v>
      </c>
    </row>
    <row r="285" spans="27:40" x14ac:dyDescent="0.25">
      <c r="AA285" s="29">
        <v>282</v>
      </c>
      <c r="AB285" s="30" t="s">
        <v>388</v>
      </c>
      <c r="AC285" s="29" t="s">
        <v>151</v>
      </c>
      <c r="AD285" s="30" t="s">
        <v>28</v>
      </c>
      <c r="AE285" s="31">
        <v>2.1362830044410596E-3</v>
      </c>
      <c r="AF285" s="12">
        <v>2.0366690912851304</v>
      </c>
      <c r="AG285" s="38">
        <f t="shared" si="23"/>
        <v>4.3509015653828411E-3</v>
      </c>
      <c r="AH285" s="32">
        <f t="shared" si="24"/>
        <v>76.97286394226478</v>
      </c>
      <c r="AI285" s="33">
        <f t="shared" si="25"/>
        <v>0.33490135421840028</v>
      </c>
      <c r="AJ285" s="34">
        <f t="shared" si="26"/>
        <v>3.4150434064476688E-2</v>
      </c>
      <c r="AK285" s="35" t="s">
        <v>920</v>
      </c>
      <c r="AL285" s="32">
        <v>0.44296456414349994</v>
      </c>
      <c r="AM285" s="32">
        <v>2.0366690912851304</v>
      </c>
      <c r="AN285" s="36">
        <v>0.9</v>
      </c>
    </row>
    <row r="286" spans="27:40" x14ac:dyDescent="0.25">
      <c r="AA286" s="29">
        <v>283</v>
      </c>
      <c r="AB286" s="30" t="s">
        <v>389</v>
      </c>
      <c r="AC286" s="29" t="s">
        <v>151</v>
      </c>
      <c r="AD286" s="30" t="s">
        <v>28</v>
      </c>
      <c r="AE286" s="31">
        <v>2.1362830044410596E-3</v>
      </c>
      <c r="AF286" s="12">
        <v>2.0366690912853014</v>
      </c>
      <c r="AG286" s="38">
        <f t="shared" si="23"/>
        <v>4.3509015653832063E-3</v>
      </c>
      <c r="AH286" s="32">
        <f t="shared" si="24"/>
        <v>76.97286394226478</v>
      </c>
      <c r="AI286" s="33">
        <f t="shared" si="25"/>
        <v>0.33490135421842837</v>
      </c>
      <c r="AJ286" s="34">
        <f t="shared" si="26"/>
        <v>3.4150434064479554E-2</v>
      </c>
      <c r="AK286" s="35" t="s">
        <v>920</v>
      </c>
      <c r="AL286" s="32">
        <v>0.44296456414349994</v>
      </c>
      <c r="AM286" s="32">
        <v>2.0366690912853014</v>
      </c>
      <c r="AN286" s="36">
        <v>0.9</v>
      </c>
    </row>
    <row r="287" spans="27:40" x14ac:dyDescent="0.25">
      <c r="AA287" s="29">
        <v>284</v>
      </c>
      <c r="AB287" s="30" t="s">
        <v>390</v>
      </c>
      <c r="AC287" s="29" t="s">
        <v>151</v>
      </c>
      <c r="AD287" s="30" t="s">
        <v>28</v>
      </c>
      <c r="AE287" s="31">
        <v>2.1362830044410596E-3</v>
      </c>
      <c r="AF287" s="12">
        <v>2.0366690912842667</v>
      </c>
      <c r="AG287" s="38">
        <f t="shared" si="23"/>
        <v>4.3509015653809963E-3</v>
      </c>
      <c r="AH287" s="32">
        <f t="shared" si="24"/>
        <v>76.97286394226478</v>
      </c>
      <c r="AI287" s="33">
        <f t="shared" si="25"/>
        <v>0.33490135421825828</v>
      </c>
      <c r="AJ287" s="34">
        <f t="shared" si="26"/>
        <v>3.4150434064462207E-2</v>
      </c>
      <c r="AK287" s="35" t="s">
        <v>920</v>
      </c>
      <c r="AL287" s="32">
        <v>0.44296456414349994</v>
      </c>
      <c r="AM287" s="32">
        <v>2.0366690912842667</v>
      </c>
      <c r="AN287" s="36">
        <v>0.9</v>
      </c>
    </row>
    <row r="288" spans="27:40" x14ac:dyDescent="0.25">
      <c r="AA288" s="29">
        <v>285</v>
      </c>
      <c r="AB288" s="30" t="s">
        <v>391</v>
      </c>
      <c r="AC288" s="29" t="s">
        <v>151</v>
      </c>
      <c r="AD288" s="30" t="s">
        <v>28</v>
      </c>
      <c r="AE288" s="31">
        <v>2.1362830044410596E-3</v>
      </c>
      <c r="AF288" s="12">
        <v>2.0366690912853036</v>
      </c>
      <c r="AG288" s="38">
        <f t="shared" si="23"/>
        <v>4.3509015653832106E-3</v>
      </c>
      <c r="AH288" s="32">
        <f t="shared" si="24"/>
        <v>76.97286394226478</v>
      </c>
      <c r="AI288" s="33">
        <f t="shared" si="25"/>
        <v>0.3349013542184287</v>
      </c>
      <c r="AJ288" s="34">
        <f t="shared" si="26"/>
        <v>3.4150434064479582E-2</v>
      </c>
      <c r="AK288" s="35" t="s">
        <v>920</v>
      </c>
      <c r="AL288" s="32">
        <v>0.44296456414349994</v>
      </c>
      <c r="AM288" s="32">
        <v>2.0366690912853036</v>
      </c>
      <c r="AN288" s="36">
        <v>0.9</v>
      </c>
    </row>
    <row r="289" spans="27:40" x14ac:dyDescent="0.25">
      <c r="AA289" s="29">
        <v>286</v>
      </c>
      <c r="AB289" s="30" t="s">
        <v>392</v>
      </c>
      <c r="AC289" s="29" t="s">
        <v>151</v>
      </c>
      <c r="AD289" s="30" t="s">
        <v>28</v>
      </c>
      <c r="AE289" s="31">
        <v>2.1362830044410596E-3</v>
      </c>
      <c r="AF289" s="12">
        <v>2.0366690912827115</v>
      </c>
      <c r="AG289" s="38">
        <f t="shared" si="23"/>
        <v>4.3509015653776734E-3</v>
      </c>
      <c r="AH289" s="32">
        <f t="shared" si="24"/>
        <v>76.97286394226478</v>
      </c>
      <c r="AI289" s="33">
        <f t="shared" si="25"/>
        <v>0.33490135421800249</v>
      </c>
      <c r="AJ289" s="34">
        <f t="shared" si="26"/>
        <v>3.4150434064436123E-2</v>
      </c>
      <c r="AK289" s="35" t="s">
        <v>920</v>
      </c>
      <c r="AL289" s="32">
        <v>0.44296456414349994</v>
      </c>
      <c r="AM289" s="32">
        <v>2.0366690912827115</v>
      </c>
      <c r="AN289" s="36">
        <v>0.9</v>
      </c>
    </row>
    <row r="290" spans="27:40" x14ac:dyDescent="0.25">
      <c r="AA290" s="29">
        <v>287</v>
      </c>
      <c r="AB290" s="30" t="s">
        <v>393</v>
      </c>
      <c r="AC290" s="29" t="s">
        <v>151</v>
      </c>
      <c r="AD290" s="30" t="s">
        <v>28</v>
      </c>
      <c r="AE290" s="31">
        <v>2.1362830044410596E-3</v>
      </c>
      <c r="AF290" s="12">
        <v>2.0366690912859542</v>
      </c>
      <c r="AG290" s="38">
        <f t="shared" si="23"/>
        <v>4.350901565384601E-3</v>
      </c>
      <c r="AH290" s="32">
        <f t="shared" si="24"/>
        <v>76.97286394226478</v>
      </c>
      <c r="AI290" s="33">
        <f t="shared" si="25"/>
        <v>0.33490135421853573</v>
      </c>
      <c r="AJ290" s="34">
        <f t="shared" si="26"/>
        <v>3.4150434064490497E-2</v>
      </c>
      <c r="AK290" s="35" t="s">
        <v>920</v>
      </c>
      <c r="AL290" s="32">
        <v>0.44296456414349994</v>
      </c>
      <c r="AM290" s="32">
        <v>2.0366690912859542</v>
      </c>
      <c r="AN290" s="36">
        <v>0.9</v>
      </c>
    </row>
    <row r="291" spans="27:40" x14ac:dyDescent="0.25">
      <c r="AA291" s="29">
        <v>288</v>
      </c>
      <c r="AB291" s="30" t="s">
        <v>394</v>
      </c>
      <c r="AC291" s="29" t="s">
        <v>151</v>
      </c>
      <c r="AD291" s="30" t="s">
        <v>28</v>
      </c>
      <c r="AE291" s="31">
        <v>2.1362830044410596E-3</v>
      </c>
      <c r="AF291" s="12">
        <v>2.0366690912858196</v>
      </c>
      <c r="AG291" s="38">
        <f t="shared" si="23"/>
        <v>4.3509015653843131E-3</v>
      </c>
      <c r="AH291" s="32">
        <f t="shared" si="24"/>
        <v>76.97286394226478</v>
      </c>
      <c r="AI291" s="33">
        <f t="shared" si="25"/>
        <v>0.33490135421851358</v>
      </c>
      <c r="AJ291" s="34">
        <f t="shared" si="26"/>
        <v>3.4150434064488241E-2</v>
      </c>
      <c r="AK291" s="35" t="s">
        <v>920</v>
      </c>
      <c r="AL291" s="32">
        <v>0.44296456414349994</v>
      </c>
      <c r="AM291" s="32">
        <v>2.0366690912858196</v>
      </c>
      <c r="AN291" s="36">
        <v>0.9</v>
      </c>
    </row>
    <row r="292" spans="27:40" x14ac:dyDescent="0.25">
      <c r="AA292" s="29">
        <v>289</v>
      </c>
      <c r="AB292" s="30" t="s">
        <v>395</v>
      </c>
      <c r="AC292" s="29" t="s">
        <v>151</v>
      </c>
      <c r="AD292" s="30" t="s">
        <v>28</v>
      </c>
      <c r="AE292" s="31">
        <v>2.1362830044410596E-3</v>
      </c>
      <c r="AF292" s="12">
        <v>2.0366690851407134</v>
      </c>
      <c r="AG292" s="38">
        <f t="shared" si="23"/>
        <v>4.3509015522566275E-3</v>
      </c>
      <c r="AH292" s="32">
        <f t="shared" si="24"/>
        <v>76.97286394226478</v>
      </c>
      <c r="AI292" s="33">
        <f t="shared" si="25"/>
        <v>0.33490135320803804</v>
      </c>
      <c r="AJ292" s="34">
        <f t="shared" si="26"/>
        <v>3.4150433961448415E-2</v>
      </c>
      <c r="AK292" s="35" t="s">
        <v>920</v>
      </c>
      <c r="AL292" s="32">
        <v>0.44296456414349994</v>
      </c>
      <c r="AM292" s="32">
        <v>2.0366690851407134</v>
      </c>
      <c r="AN292" s="36">
        <v>0.9</v>
      </c>
    </row>
    <row r="293" spans="27:40" x14ac:dyDescent="0.25">
      <c r="AA293" s="29">
        <v>290</v>
      </c>
      <c r="AB293" s="30" t="s">
        <v>396</v>
      </c>
      <c r="AC293" s="29" t="s">
        <v>157</v>
      </c>
      <c r="AD293" s="30" t="s">
        <v>28</v>
      </c>
      <c r="AE293" s="31">
        <v>3.5735616434583872E-4</v>
      </c>
      <c r="AF293" s="12">
        <v>1.5197221558262051</v>
      </c>
      <c r="AG293" s="38">
        <f t="shared" si="23"/>
        <v>5.4308208047744162E-4</v>
      </c>
      <c r="AH293" s="32">
        <f t="shared" si="24"/>
        <v>76.97286394226478</v>
      </c>
      <c r="AI293" s="33">
        <f t="shared" si="25"/>
        <v>4.1802583090072204E-2</v>
      </c>
      <c r="AJ293" s="34">
        <f t="shared" si="26"/>
        <v>4.2626771721303615E-3</v>
      </c>
      <c r="AK293" s="35" t="s">
        <v>920</v>
      </c>
      <c r="AL293" s="32">
        <v>0.15079644736800002</v>
      </c>
      <c r="AM293" s="32">
        <v>1.5197221558262051</v>
      </c>
      <c r="AN293" s="36">
        <v>0.23</v>
      </c>
    </row>
    <row r="294" spans="27:40" x14ac:dyDescent="0.25">
      <c r="AA294" s="29">
        <v>291</v>
      </c>
      <c r="AB294" s="30" t="s">
        <v>397</v>
      </c>
      <c r="AC294" s="29" t="s">
        <v>153</v>
      </c>
      <c r="AD294" s="30" t="s">
        <v>28</v>
      </c>
      <c r="AE294" s="31">
        <v>8.2938046054770545E-4</v>
      </c>
      <c r="AF294" s="12">
        <v>1.5197221474731262</v>
      </c>
      <c r="AG294" s="38">
        <f t="shared" si="23"/>
        <v>1.2604278545758094E-3</v>
      </c>
      <c r="AH294" s="32">
        <f t="shared" si="24"/>
        <v>76.97286394226478</v>
      </c>
      <c r="AI294" s="33">
        <f t="shared" si="25"/>
        <v>9.7018741759304472E-2</v>
      </c>
      <c r="AJ294" s="34">
        <f t="shared" si="26"/>
        <v>9.8931583934681547E-3</v>
      </c>
      <c r="AK294" s="35" t="s">
        <v>920</v>
      </c>
      <c r="AL294" s="32">
        <v>0.21991148574500002</v>
      </c>
      <c r="AM294" s="32">
        <v>1.5197221474731262</v>
      </c>
      <c r="AN294" s="36">
        <v>0.33</v>
      </c>
    </row>
    <row r="295" spans="27:40" x14ac:dyDescent="0.25">
      <c r="AA295" s="29">
        <v>292</v>
      </c>
      <c r="AB295" s="30" t="s">
        <v>398</v>
      </c>
      <c r="AC295" s="29" t="s">
        <v>153</v>
      </c>
      <c r="AD295" s="30" t="s">
        <v>28</v>
      </c>
      <c r="AE295" s="31">
        <v>8.2938046054770545E-4</v>
      </c>
      <c r="AF295" s="12">
        <v>1.5197221502915461</v>
      </c>
      <c r="AG295" s="38">
        <f t="shared" si="23"/>
        <v>1.2604278569133519E-3</v>
      </c>
      <c r="AH295" s="32">
        <f t="shared" si="24"/>
        <v>76.97286394226478</v>
      </c>
      <c r="AI295" s="33">
        <f t="shared" si="25"/>
        <v>9.7018741939231809E-2</v>
      </c>
      <c r="AJ295" s="34">
        <f t="shared" si="26"/>
        <v>9.8931584118156363E-3</v>
      </c>
      <c r="AK295" s="35" t="s">
        <v>920</v>
      </c>
      <c r="AL295" s="32">
        <v>0.21991148574500002</v>
      </c>
      <c r="AM295" s="32">
        <v>1.5197221502915461</v>
      </c>
      <c r="AN295" s="36">
        <v>0.33</v>
      </c>
    </row>
    <row r="296" spans="27:40" x14ac:dyDescent="0.25">
      <c r="AA296" s="29">
        <v>293</v>
      </c>
      <c r="AB296" s="30" t="s">
        <v>399</v>
      </c>
      <c r="AC296" s="29" t="s">
        <v>153</v>
      </c>
      <c r="AD296" s="30" t="s">
        <v>28</v>
      </c>
      <c r="AE296" s="31">
        <v>8.2938046054770545E-4</v>
      </c>
      <c r="AF296" s="12">
        <v>1.5197221502894147</v>
      </c>
      <c r="AG296" s="38">
        <f t="shared" si="23"/>
        <v>1.260427856911584E-3</v>
      </c>
      <c r="AH296" s="32">
        <f t="shared" si="24"/>
        <v>76.97286394226478</v>
      </c>
      <c r="AI296" s="33">
        <f t="shared" si="25"/>
        <v>9.7018741939095737E-2</v>
      </c>
      <c r="AJ296" s="34">
        <f t="shared" si="26"/>
        <v>9.8931584118017619E-3</v>
      </c>
      <c r="AK296" s="35" t="s">
        <v>920</v>
      </c>
      <c r="AL296" s="32">
        <v>0.21991148574500002</v>
      </c>
      <c r="AM296" s="32">
        <v>1.5197221502894147</v>
      </c>
      <c r="AN296" s="36">
        <v>0.33</v>
      </c>
    </row>
    <row r="297" spans="27:40" x14ac:dyDescent="0.25">
      <c r="AA297" s="29">
        <v>294</v>
      </c>
      <c r="AB297" s="30" t="s">
        <v>400</v>
      </c>
      <c r="AC297" s="29" t="s">
        <v>153</v>
      </c>
      <c r="AD297" s="30" t="s">
        <v>28</v>
      </c>
      <c r="AE297" s="31">
        <v>8.2938046054770545E-4</v>
      </c>
      <c r="AF297" s="12">
        <v>1.5197221502913925</v>
      </c>
      <c r="AG297" s="38">
        <f t="shared" si="23"/>
        <v>1.2604278569132244E-3</v>
      </c>
      <c r="AH297" s="32">
        <f t="shared" si="24"/>
        <v>76.97286394226478</v>
      </c>
      <c r="AI297" s="33">
        <f t="shared" si="25"/>
        <v>9.7018741939221997E-2</v>
      </c>
      <c r="AJ297" s="34">
        <f t="shared" si="26"/>
        <v>9.8931584118146371E-3</v>
      </c>
      <c r="AK297" s="35" t="s">
        <v>920</v>
      </c>
      <c r="AL297" s="32">
        <v>0.21991148574500002</v>
      </c>
      <c r="AM297" s="32">
        <v>1.5197221502913925</v>
      </c>
      <c r="AN297" s="36">
        <v>0.33</v>
      </c>
    </row>
    <row r="298" spans="27:40" x14ac:dyDescent="0.25">
      <c r="AA298" s="29">
        <v>295</v>
      </c>
      <c r="AB298" s="30" t="s">
        <v>111</v>
      </c>
      <c r="AC298" s="29" t="s">
        <v>153</v>
      </c>
      <c r="AD298" s="30" t="s">
        <v>28</v>
      </c>
      <c r="AE298" s="31">
        <v>8.2938046054770545E-4</v>
      </c>
      <c r="AF298" s="12">
        <v>1.5197221502907379</v>
      </c>
      <c r="AG298" s="38">
        <f t="shared" si="23"/>
        <v>1.2604278569126814E-3</v>
      </c>
      <c r="AH298" s="32">
        <f t="shared" si="24"/>
        <v>76.97286394226478</v>
      </c>
      <c r="AI298" s="33">
        <f t="shared" si="25"/>
        <v>9.7018741939180211E-2</v>
      </c>
      <c r="AJ298" s="34">
        <f t="shared" si="26"/>
        <v>9.8931584118103748E-3</v>
      </c>
      <c r="AK298" s="35" t="s">
        <v>920</v>
      </c>
      <c r="AL298" s="32">
        <v>0.21991148574500002</v>
      </c>
      <c r="AM298" s="32">
        <v>1.5197221502907379</v>
      </c>
      <c r="AN298" s="36">
        <v>0.33</v>
      </c>
    </row>
    <row r="299" spans="27:40" x14ac:dyDescent="0.25">
      <c r="AA299" s="29">
        <v>296</v>
      </c>
      <c r="AB299" s="30" t="s">
        <v>112</v>
      </c>
      <c r="AC299" s="29" t="s">
        <v>157</v>
      </c>
      <c r="AD299" s="30" t="s">
        <v>28</v>
      </c>
      <c r="AE299" s="31">
        <v>3.5735616434583872E-4</v>
      </c>
      <c r="AF299" s="12">
        <v>1.5197221502916449</v>
      </c>
      <c r="AG299" s="38">
        <f t="shared" si="23"/>
        <v>5.4308207849963243E-4</v>
      </c>
      <c r="AH299" s="32">
        <f t="shared" si="24"/>
        <v>76.97286394226478</v>
      </c>
      <c r="AI299" s="33">
        <f t="shared" si="25"/>
        <v>4.1802582937834565E-2</v>
      </c>
      <c r="AJ299" s="34">
        <f t="shared" si="26"/>
        <v>4.2626771566064425E-3</v>
      </c>
      <c r="AK299" s="35" t="s">
        <v>920</v>
      </c>
      <c r="AL299" s="32">
        <v>0.15079644736800002</v>
      </c>
      <c r="AM299" s="32">
        <v>1.5197221502916449</v>
      </c>
      <c r="AN299" s="36">
        <v>0.23</v>
      </c>
    </row>
    <row r="300" spans="27:40" x14ac:dyDescent="0.25">
      <c r="AA300" s="29">
        <v>297</v>
      </c>
      <c r="AB300" s="30" t="s">
        <v>113</v>
      </c>
      <c r="AC300" s="29" t="s">
        <v>157</v>
      </c>
      <c r="AD300" s="30" t="s">
        <v>28</v>
      </c>
      <c r="AE300" s="31">
        <v>3.5735616434583872E-4</v>
      </c>
      <c r="AF300" s="12">
        <v>1.5197221502892631</v>
      </c>
      <c r="AG300" s="38">
        <f t="shared" si="23"/>
        <v>5.4308207849878133E-4</v>
      </c>
      <c r="AH300" s="32">
        <f t="shared" si="24"/>
        <v>76.97286394226478</v>
      </c>
      <c r="AI300" s="33">
        <f t="shared" si="25"/>
        <v>4.1802582937769055E-2</v>
      </c>
      <c r="AJ300" s="34">
        <f t="shared" si="26"/>
        <v>4.2626771565997621E-3</v>
      </c>
      <c r="AK300" s="35" t="s">
        <v>920</v>
      </c>
      <c r="AL300" s="32">
        <v>0.15079644736800002</v>
      </c>
      <c r="AM300" s="32">
        <v>1.5197221502892631</v>
      </c>
      <c r="AN300" s="36">
        <v>0.23</v>
      </c>
    </row>
    <row r="301" spans="27:40" x14ac:dyDescent="0.25">
      <c r="AA301" s="29">
        <v>298</v>
      </c>
      <c r="AB301" s="30" t="s">
        <v>114</v>
      </c>
      <c r="AC301" s="29" t="s">
        <v>157</v>
      </c>
      <c r="AD301" s="30" t="s">
        <v>28</v>
      </c>
      <c r="AE301" s="31">
        <v>3.5735616434583872E-4</v>
      </c>
      <c r="AF301" s="12">
        <v>1.5197221502894194</v>
      </c>
      <c r="AG301" s="38">
        <f t="shared" si="23"/>
        <v>5.4308207849883717E-4</v>
      </c>
      <c r="AH301" s="32">
        <f t="shared" si="24"/>
        <v>76.97286394226478</v>
      </c>
      <c r="AI301" s="33">
        <f t="shared" si="25"/>
        <v>4.1802582937773357E-2</v>
      </c>
      <c r="AJ301" s="34">
        <f t="shared" si="26"/>
        <v>4.262677156600201E-3</v>
      </c>
      <c r="AK301" s="35" t="s">
        <v>920</v>
      </c>
      <c r="AL301" s="32">
        <v>0.15079644736800002</v>
      </c>
      <c r="AM301" s="32">
        <v>1.5197221502894194</v>
      </c>
      <c r="AN301" s="36">
        <v>0.23</v>
      </c>
    </row>
    <row r="302" spans="27:40" x14ac:dyDescent="0.25">
      <c r="AA302" s="29">
        <v>299</v>
      </c>
      <c r="AB302" s="30" t="s">
        <v>115</v>
      </c>
      <c r="AC302" s="29" t="s">
        <v>157</v>
      </c>
      <c r="AD302" s="30" t="s">
        <v>28</v>
      </c>
      <c r="AE302" s="31">
        <v>3.5735616434583872E-4</v>
      </c>
      <c r="AF302" s="12">
        <v>1.5197221502903198</v>
      </c>
      <c r="AG302" s="38">
        <f t="shared" si="23"/>
        <v>5.4308207849915896E-4</v>
      </c>
      <c r="AH302" s="32">
        <f t="shared" si="24"/>
        <v>76.97286394226478</v>
      </c>
      <c r="AI302" s="33">
        <f t="shared" si="25"/>
        <v>4.1802582937798122E-2</v>
      </c>
      <c r="AJ302" s="34">
        <f t="shared" si="26"/>
        <v>4.2626771566027259E-3</v>
      </c>
      <c r="AK302" s="35" t="s">
        <v>920</v>
      </c>
      <c r="AL302" s="32">
        <v>0.15079644736800002</v>
      </c>
      <c r="AM302" s="32">
        <v>1.5197221502903198</v>
      </c>
      <c r="AN302" s="36">
        <v>0.23</v>
      </c>
    </row>
    <row r="303" spans="27:40" x14ac:dyDescent="0.25">
      <c r="AA303" s="29">
        <v>300</v>
      </c>
      <c r="AB303" s="30" t="s">
        <v>116</v>
      </c>
      <c r="AC303" s="29" t="s">
        <v>157</v>
      </c>
      <c r="AD303" s="30" t="s">
        <v>28</v>
      </c>
      <c r="AE303" s="31">
        <v>3.5735616434583872E-4</v>
      </c>
      <c r="AF303" s="12">
        <v>1.5197221502901306</v>
      </c>
      <c r="AG303" s="38">
        <f t="shared" si="23"/>
        <v>5.430820784990913E-4</v>
      </c>
      <c r="AH303" s="32">
        <f t="shared" si="24"/>
        <v>76.97286394226478</v>
      </c>
      <c r="AI303" s="33">
        <f t="shared" si="25"/>
        <v>4.1802582937792918E-2</v>
      </c>
      <c r="AJ303" s="34">
        <f t="shared" si="26"/>
        <v>4.2626771566021951E-3</v>
      </c>
      <c r="AK303" s="35" t="s">
        <v>920</v>
      </c>
      <c r="AL303" s="32">
        <v>0.15079644736800002</v>
      </c>
      <c r="AM303" s="32">
        <v>1.5197221502901306</v>
      </c>
      <c r="AN303" s="36">
        <v>0.23</v>
      </c>
    </row>
    <row r="304" spans="27:40" x14ac:dyDescent="0.25">
      <c r="AA304" s="29">
        <v>301</v>
      </c>
      <c r="AB304" s="30" t="s">
        <v>401</v>
      </c>
      <c r="AC304" s="29" t="s">
        <v>157</v>
      </c>
      <c r="AD304" s="30" t="s">
        <v>28</v>
      </c>
      <c r="AE304" s="31">
        <v>3.5735616434583872E-4</v>
      </c>
      <c r="AF304" s="12">
        <v>1.5197221502911953</v>
      </c>
      <c r="AG304" s="38">
        <f t="shared" si="23"/>
        <v>5.4308207849947175E-4</v>
      </c>
      <c r="AH304" s="32">
        <f t="shared" si="24"/>
        <v>76.97286394226478</v>
      </c>
      <c r="AI304" s="33">
        <f t="shared" si="25"/>
        <v>4.18025829378222E-2</v>
      </c>
      <c r="AJ304" s="34">
        <f t="shared" si="26"/>
        <v>4.2626771566051814E-3</v>
      </c>
      <c r="AK304" s="35" t="s">
        <v>920</v>
      </c>
      <c r="AL304" s="32">
        <v>0.15079644736800002</v>
      </c>
      <c r="AM304" s="32">
        <v>1.5197221502911953</v>
      </c>
      <c r="AN304" s="36">
        <v>0.23</v>
      </c>
    </row>
    <row r="305" spans="27:40" x14ac:dyDescent="0.25">
      <c r="AA305" s="29">
        <v>302</v>
      </c>
      <c r="AB305" s="30" t="s">
        <v>402</v>
      </c>
      <c r="AC305" s="29" t="s">
        <v>157</v>
      </c>
      <c r="AD305" s="30" t="s">
        <v>28</v>
      </c>
      <c r="AE305" s="31">
        <v>3.5735616434583872E-4</v>
      </c>
      <c r="AF305" s="12">
        <v>1.5197221502884424</v>
      </c>
      <c r="AG305" s="38">
        <f t="shared" si="23"/>
        <v>5.4308207849848805E-4</v>
      </c>
      <c r="AH305" s="32">
        <f t="shared" si="24"/>
        <v>76.97286394226478</v>
      </c>
      <c r="AI305" s="33">
        <f t="shared" si="25"/>
        <v>4.1802582937746482E-2</v>
      </c>
      <c r="AJ305" s="34">
        <f t="shared" si="26"/>
        <v>4.2626771565974601E-3</v>
      </c>
      <c r="AK305" s="35" t="s">
        <v>920</v>
      </c>
      <c r="AL305" s="32">
        <v>0.15079644736800002</v>
      </c>
      <c r="AM305" s="32">
        <v>1.5197221502884424</v>
      </c>
      <c r="AN305" s="36">
        <v>0.23</v>
      </c>
    </row>
    <row r="306" spans="27:40" x14ac:dyDescent="0.25">
      <c r="AA306" s="29">
        <v>303</v>
      </c>
      <c r="AB306" s="30" t="s">
        <v>403</v>
      </c>
      <c r="AC306" s="29" t="s">
        <v>157</v>
      </c>
      <c r="AD306" s="30" t="s">
        <v>28</v>
      </c>
      <c r="AE306" s="31">
        <v>3.5735616434583872E-4</v>
      </c>
      <c r="AF306" s="12">
        <v>1.5197221502903375</v>
      </c>
      <c r="AG306" s="38">
        <f t="shared" si="23"/>
        <v>5.4308207849916525E-4</v>
      </c>
      <c r="AH306" s="32">
        <f t="shared" si="24"/>
        <v>76.97286394226478</v>
      </c>
      <c r="AI306" s="33">
        <f t="shared" si="25"/>
        <v>4.1802582937798607E-2</v>
      </c>
      <c r="AJ306" s="34">
        <f t="shared" si="26"/>
        <v>4.2626771566027753E-3</v>
      </c>
      <c r="AK306" s="35" t="s">
        <v>920</v>
      </c>
      <c r="AL306" s="32">
        <v>0.15079644736800002</v>
      </c>
      <c r="AM306" s="32">
        <v>1.5197221502903375</v>
      </c>
      <c r="AN306" s="36">
        <v>0.23</v>
      </c>
    </row>
    <row r="307" spans="27:40" x14ac:dyDescent="0.25">
      <c r="AA307" s="29">
        <v>304</v>
      </c>
      <c r="AB307" s="30" t="s">
        <v>404</v>
      </c>
      <c r="AC307" s="29" t="s">
        <v>157</v>
      </c>
      <c r="AD307" s="30" t="s">
        <v>28</v>
      </c>
      <c r="AE307" s="31">
        <v>3.5735616434583872E-4</v>
      </c>
      <c r="AF307" s="12">
        <v>1.5197221502899976</v>
      </c>
      <c r="AG307" s="38">
        <f t="shared" si="23"/>
        <v>5.4308207849904382E-4</v>
      </c>
      <c r="AH307" s="32">
        <f t="shared" si="24"/>
        <v>76.97286394226478</v>
      </c>
      <c r="AI307" s="33">
        <f t="shared" si="25"/>
        <v>4.1802582937789261E-2</v>
      </c>
      <c r="AJ307" s="34">
        <f t="shared" si="26"/>
        <v>4.262677156601823E-3</v>
      </c>
      <c r="AK307" s="35" t="s">
        <v>920</v>
      </c>
      <c r="AL307" s="32">
        <v>0.15079644736800002</v>
      </c>
      <c r="AM307" s="32">
        <v>1.5197221502899976</v>
      </c>
      <c r="AN307" s="36">
        <v>0.23</v>
      </c>
    </row>
    <row r="308" spans="27:40" x14ac:dyDescent="0.25">
      <c r="AA308" s="29">
        <v>305</v>
      </c>
      <c r="AB308" s="30" t="s">
        <v>405</v>
      </c>
      <c r="AC308" s="29" t="s">
        <v>157</v>
      </c>
      <c r="AD308" s="30" t="s">
        <v>28</v>
      </c>
      <c r="AE308" s="31">
        <v>3.5735616434583872E-4</v>
      </c>
      <c r="AF308" s="12">
        <v>1.5197221502907208</v>
      </c>
      <c r="AG308" s="38">
        <f t="shared" si="23"/>
        <v>5.4308207849930218E-4</v>
      </c>
      <c r="AH308" s="32">
        <f t="shared" si="24"/>
        <v>76.97286394226478</v>
      </c>
      <c r="AI308" s="33">
        <f t="shared" si="25"/>
        <v>4.1802582937809148E-2</v>
      </c>
      <c r="AJ308" s="34">
        <f t="shared" si="26"/>
        <v>4.2626771566038509E-3</v>
      </c>
      <c r="AK308" s="35" t="s">
        <v>920</v>
      </c>
      <c r="AL308" s="32">
        <v>0.15079644736800002</v>
      </c>
      <c r="AM308" s="32">
        <v>1.5197221502907208</v>
      </c>
      <c r="AN308" s="36">
        <v>0.23</v>
      </c>
    </row>
    <row r="309" spans="27:40" x14ac:dyDescent="0.25">
      <c r="AA309" s="29">
        <v>306</v>
      </c>
      <c r="AB309" s="30" t="s">
        <v>406</v>
      </c>
      <c r="AC309" s="29" t="s">
        <v>157</v>
      </c>
      <c r="AD309" s="30" t="s">
        <v>28</v>
      </c>
      <c r="AE309" s="31">
        <v>3.5735616434583872E-4</v>
      </c>
      <c r="AF309" s="12">
        <v>1.5197221502895877</v>
      </c>
      <c r="AG309" s="38">
        <f t="shared" si="23"/>
        <v>5.4308207849889734E-4</v>
      </c>
      <c r="AH309" s="32">
        <f t="shared" si="24"/>
        <v>76.97286394226478</v>
      </c>
      <c r="AI309" s="33">
        <f t="shared" si="25"/>
        <v>4.1802582937777985E-2</v>
      </c>
      <c r="AJ309" s="34">
        <f t="shared" si="26"/>
        <v>4.2626771566006728E-3</v>
      </c>
      <c r="AK309" s="35" t="s">
        <v>920</v>
      </c>
      <c r="AL309" s="32">
        <v>0.15079644736800002</v>
      </c>
      <c r="AM309" s="32">
        <v>1.5197221502895877</v>
      </c>
      <c r="AN309" s="36">
        <v>0.23</v>
      </c>
    </row>
    <row r="310" spans="27:40" x14ac:dyDescent="0.25">
      <c r="AA310" s="29">
        <v>307</v>
      </c>
      <c r="AB310" s="30" t="s">
        <v>407</v>
      </c>
      <c r="AC310" s="29" t="s">
        <v>157</v>
      </c>
      <c r="AD310" s="30" t="s">
        <v>28</v>
      </c>
      <c r="AE310" s="31">
        <v>3.5735616434583872E-4</v>
      </c>
      <c r="AF310" s="12">
        <v>1.5197221502908715</v>
      </c>
      <c r="AG310" s="38">
        <f t="shared" si="23"/>
        <v>5.4308207849935607E-4</v>
      </c>
      <c r="AH310" s="32">
        <f t="shared" si="24"/>
        <v>76.97286394226478</v>
      </c>
      <c r="AI310" s="33">
        <f t="shared" si="25"/>
        <v>4.1802582937813297E-2</v>
      </c>
      <c r="AJ310" s="34">
        <f t="shared" si="26"/>
        <v>4.2626771566042733E-3</v>
      </c>
      <c r="AK310" s="35" t="s">
        <v>920</v>
      </c>
      <c r="AL310" s="32">
        <v>0.15079644736800002</v>
      </c>
      <c r="AM310" s="32">
        <v>1.5197221502908715</v>
      </c>
      <c r="AN310" s="36">
        <v>0.23</v>
      </c>
    </row>
    <row r="311" spans="27:40" x14ac:dyDescent="0.25">
      <c r="AA311" s="29">
        <v>308</v>
      </c>
      <c r="AB311" s="30" t="s">
        <v>408</v>
      </c>
      <c r="AC311" s="29" t="s">
        <v>157</v>
      </c>
      <c r="AD311" s="30" t="s">
        <v>28</v>
      </c>
      <c r="AE311" s="31">
        <v>3.5735616434583872E-4</v>
      </c>
      <c r="AF311" s="12">
        <v>1.5197221502888831</v>
      </c>
      <c r="AG311" s="38">
        <f t="shared" si="23"/>
        <v>5.4308207849864559E-4</v>
      </c>
      <c r="AH311" s="32">
        <f t="shared" si="24"/>
        <v>76.97286394226478</v>
      </c>
      <c r="AI311" s="33">
        <f t="shared" si="25"/>
        <v>4.1802582937758605E-2</v>
      </c>
      <c r="AJ311" s="34">
        <f t="shared" si="26"/>
        <v>4.2626771565986961E-3</v>
      </c>
      <c r="AK311" s="35" t="s">
        <v>920</v>
      </c>
      <c r="AL311" s="32">
        <v>0.15079644736800002</v>
      </c>
      <c r="AM311" s="32">
        <v>1.5197221502888831</v>
      </c>
      <c r="AN311" s="36">
        <v>0.23</v>
      </c>
    </row>
    <row r="312" spans="27:40" x14ac:dyDescent="0.25">
      <c r="AA312" s="29">
        <v>309</v>
      </c>
      <c r="AB312" s="30" t="s">
        <v>409</v>
      </c>
      <c r="AC312" s="29" t="s">
        <v>157</v>
      </c>
      <c r="AD312" s="30" t="s">
        <v>28</v>
      </c>
      <c r="AE312" s="31">
        <v>3.5735616434583872E-4</v>
      </c>
      <c r="AF312" s="12">
        <v>1.5197221502918832</v>
      </c>
      <c r="AG312" s="38">
        <f t="shared" si="23"/>
        <v>5.4308207849971765E-4</v>
      </c>
      <c r="AH312" s="32">
        <f t="shared" si="24"/>
        <v>76.97286394226478</v>
      </c>
      <c r="AI312" s="33">
        <f t="shared" si="25"/>
        <v>4.1802582937841129E-2</v>
      </c>
      <c r="AJ312" s="34">
        <f t="shared" si="26"/>
        <v>4.2626771566071113E-3</v>
      </c>
      <c r="AK312" s="35" t="s">
        <v>920</v>
      </c>
      <c r="AL312" s="32">
        <v>0.15079644736800002</v>
      </c>
      <c r="AM312" s="32">
        <v>1.5197221502918832</v>
      </c>
      <c r="AN312" s="36">
        <v>0.23</v>
      </c>
    </row>
    <row r="313" spans="27:40" x14ac:dyDescent="0.25">
      <c r="AA313" s="29">
        <v>310</v>
      </c>
      <c r="AB313" s="30" t="s">
        <v>410</v>
      </c>
      <c r="AC313" s="29" t="s">
        <v>157</v>
      </c>
      <c r="AD313" s="30" t="s">
        <v>28</v>
      </c>
      <c r="AE313" s="31">
        <v>3.5735616434583872E-4</v>
      </c>
      <c r="AF313" s="12">
        <v>1.5197221502896916</v>
      </c>
      <c r="AG313" s="38">
        <f t="shared" si="23"/>
        <v>5.4308207849893442E-4</v>
      </c>
      <c r="AH313" s="32">
        <f t="shared" si="24"/>
        <v>76.97286394226478</v>
      </c>
      <c r="AI313" s="33">
        <f t="shared" si="25"/>
        <v>4.1802582937780837E-2</v>
      </c>
      <c r="AJ313" s="34">
        <f t="shared" si="26"/>
        <v>4.2626771566009634E-3</v>
      </c>
      <c r="AK313" s="35" t="s">
        <v>920</v>
      </c>
      <c r="AL313" s="32">
        <v>0.15079644736800002</v>
      </c>
      <c r="AM313" s="32">
        <v>1.5197221502896916</v>
      </c>
      <c r="AN313" s="36">
        <v>0.23</v>
      </c>
    </row>
    <row r="314" spans="27:40" x14ac:dyDescent="0.25">
      <c r="AA314" s="29">
        <v>311</v>
      </c>
      <c r="AB314" s="30" t="s">
        <v>411</v>
      </c>
      <c r="AC314" s="29" t="s">
        <v>157</v>
      </c>
      <c r="AD314" s="30" t="s">
        <v>28</v>
      </c>
      <c r="AE314" s="31">
        <v>3.5735616434583872E-4</v>
      </c>
      <c r="AF314" s="12">
        <v>1.5197221502893745</v>
      </c>
      <c r="AG314" s="38">
        <f t="shared" si="23"/>
        <v>5.4308207849882112E-4</v>
      </c>
      <c r="AH314" s="32">
        <f t="shared" si="24"/>
        <v>76.97286394226478</v>
      </c>
      <c r="AI314" s="33">
        <f t="shared" si="25"/>
        <v>4.1802582937772122E-2</v>
      </c>
      <c r="AJ314" s="34">
        <f t="shared" si="26"/>
        <v>4.2626771566000752E-3</v>
      </c>
      <c r="AK314" s="35" t="s">
        <v>920</v>
      </c>
      <c r="AL314" s="32">
        <v>0.15079644736800002</v>
      </c>
      <c r="AM314" s="32">
        <v>1.5197221502893745</v>
      </c>
      <c r="AN314" s="36">
        <v>0.23</v>
      </c>
    </row>
    <row r="315" spans="27:40" x14ac:dyDescent="0.25">
      <c r="AA315" s="29">
        <v>312</v>
      </c>
      <c r="AB315" s="30" t="s">
        <v>412</v>
      </c>
      <c r="AC315" s="29" t="s">
        <v>157</v>
      </c>
      <c r="AD315" s="30" t="s">
        <v>28</v>
      </c>
      <c r="AE315" s="31">
        <v>3.5735616434583872E-4</v>
      </c>
      <c r="AF315" s="12">
        <v>1.5197221502908995</v>
      </c>
      <c r="AG315" s="38">
        <f t="shared" si="23"/>
        <v>5.4308207849936615E-4</v>
      </c>
      <c r="AH315" s="32">
        <f t="shared" si="24"/>
        <v>76.97286394226478</v>
      </c>
      <c r="AI315" s="33">
        <f t="shared" si="25"/>
        <v>4.1802582937814074E-2</v>
      </c>
      <c r="AJ315" s="34">
        <f t="shared" si="26"/>
        <v>4.2626771566043531E-3</v>
      </c>
      <c r="AK315" s="35" t="s">
        <v>920</v>
      </c>
      <c r="AL315" s="32">
        <v>0.15079644736800002</v>
      </c>
      <c r="AM315" s="32">
        <v>1.5197221502908995</v>
      </c>
      <c r="AN315" s="36">
        <v>0.23</v>
      </c>
    </row>
    <row r="316" spans="27:40" x14ac:dyDescent="0.25">
      <c r="AA316" s="29">
        <v>313</v>
      </c>
      <c r="AB316" s="30" t="s">
        <v>413</v>
      </c>
      <c r="AC316" s="29" t="s">
        <v>157</v>
      </c>
      <c r="AD316" s="30" t="s">
        <v>28</v>
      </c>
      <c r="AE316" s="31">
        <v>3.5735616434583872E-4</v>
      </c>
      <c r="AF316" s="12">
        <v>1.5197221502900096</v>
      </c>
      <c r="AG316" s="38">
        <f t="shared" si="23"/>
        <v>5.4308207849904804E-4</v>
      </c>
      <c r="AH316" s="32">
        <f t="shared" si="24"/>
        <v>76.97286394226478</v>
      </c>
      <c r="AI316" s="33">
        <f t="shared" si="25"/>
        <v>4.1802582937789587E-2</v>
      </c>
      <c r="AJ316" s="34">
        <f t="shared" si="26"/>
        <v>4.2626771566018559E-3</v>
      </c>
      <c r="AK316" s="35" t="s">
        <v>920</v>
      </c>
      <c r="AL316" s="32">
        <v>0.15079644736800002</v>
      </c>
      <c r="AM316" s="32">
        <v>1.5197221502900096</v>
      </c>
      <c r="AN316" s="36">
        <v>0.23</v>
      </c>
    </row>
    <row r="317" spans="27:40" x14ac:dyDescent="0.25">
      <c r="AA317" s="29">
        <v>314</v>
      </c>
      <c r="AB317" s="30" t="s">
        <v>414</v>
      </c>
      <c r="AC317" s="29" t="s">
        <v>157</v>
      </c>
      <c r="AD317" s="30" t="s">
        <v>28</v>
      </c>
      <c r="AE317" s="31">
        <v>3.5735616434583872E-4</v>
      </c>
      <c r="AF317" s="12">
        <v>1.5197221502888516</v>
      </c>
      <c r="AG317" s="38">
        <f t="shared" si="23"/>
        <v>5.4308207849863431E-4</v>
      </c>
      <c r="AH317" s="32">
        <f t="shared" si="24"/>
        <v>76.97286394226478</v>
      </c>
      <c r="AI317" s="33">
        <f t="shared" si="25"/>
        <v>4.1802582937757737E-2</v>
      </c>
      <c r="AJ317" s="34">
        <f t="shared" si="26"/>
        <v>4.2626771565986077E-3</v>
      </c>
      <c r="AK317" s="35" t="s">
        <v>920</v>
      </c>
      <c r="AL317" s="32">
        <v>0.15079644736800002</v>
      </c>
      <c r="AM317" s="32">
        <v>1.5197221502888516</v>
      </c>
      <c r="AN317" s="36">
        <v>0.23</v>
      </c>
    </row>
    <row r="318" spans="27:40" x14ac:dyDescent="0.25">
      <c r="AA318" s="29">
        <v>315</v>
      </c>
      <c r="AB318" s="30" t="s">
        <v>415</v>
      </c>
      <c r="AC318" s="29" t="s">
        <v>157</v>
      </c>
      <c r="AD318" s="30" t="s">
        <v>28</v>
      </c>
      <c r="AE318" s="31">
        <v>3.5735616434583872E-4</v>
      </c>
      <c r="AF318" s="12">
        <v>1.5197221502905758</v>
      </c>
      <c r="AG318" s="38">
        <f t="shared" si="23"/>
        <v>5.4308207849925046E-4</v>
      </c>
      <c r="AH318" s="32">
        <f t="shared" si="24"/>
        <v>76.97286394226478</v>
      </c>
      <c r="AI318" s="33">
        <f t="shared" si="25"/>
        <v>4.1802582937805165E-2</v>
      </c>
      <c r="AJ318" s="34">
        <f t="shared" si="26"/>
        <v>4.2626771566034441E-3</v>
      </c>
      <c r="AK318" s="35" t="s">
        <v>920</v>
      </c>
      <c r="AL318" s="32">
        <v>0.15079644736800002</v>
      </c>
      <c r="AM318" s="32">
        <v>1.5197221502905758</v>
      </c>
      <c r="AN318" s="36">
        <v>0.23</v>
      </c>
    </row>
    <row r="319" spans="27:40" x14ac:dyDescent="0.25">
      <c r="AA319" s="29">
        <v>316</v>
      </c>
      <c r="AB319" s="30" t="s">
        <v>416</v>
      </c>
      <c r="AC319" s="29" t="s">
        <v>153</v>
      </c>
      <c r="AD319" s="30" t="s">
        <v>28</v>
      </c>
      <c r="AE319" s="31">
        <v>8.2938046054770545E-4</v>
      </c>
      <c r="AF319" s="12">
        <v>1.5197221502914207</v>
      </c>
      <c r="AG319" s="38">
        <f t="shared" si="23"/>
        <v>1.2604278569132478E-3</v>
      </c>
      <c r="AH319" s="32">
        <f t="shared" si="24"/>
        <v>76.97286394226478</v>
      </c>
      <c r="AI319" s="33">
        <f t="shared" si="25"/>
        <v>9.7018741939223802E-2</v>
      </c>
      <c r="AJ319" s="34">
        <f t="shared" si="26"/>
        <v>9.8931584118148209E-3</v>
      </c>
      <c r="AK319" s="35" t="s">
        <v>920</v>
      </c>
      <c r="AL319" s="32">
        <v>0.21991148574500002</v>
      </c>
      <c r="AM319" s="32">
        <v>1.5197221502914207</v>
      </c>
      <c r="AN319" s="36">
        <v>0.33</v>
      </c>
    </row>
    <row r="320" spans="27:40" x14ac:dyDescent="0.25">
      <c r="AA320" s="29">
        <v>317</v>
      </c>
      <c r="AB320" s="30" t="s">
        <v>417</v>
      </c>
      <c r="AC320" s="29" t="s">
        <v>153</v>
      </c>
      <c r="AD320" s="30" t="s">
        <v>28</v>
      </c>
      <c r="AE320" s="31">
        <v>8.2938046054770545E-4</v>
      </c>
      <c r="AF320" s="12">
        <v>1.5197221502913931</v>
      </c>
      <c r="AG320" s="38">
        <f t="shared" si="23"/>
        <v>1.2604278569132248E-3</v>
      </c>
      <c r="AH320" s="32">
        <f t="shared" si="24"/>
        <v>76.97286394226478</v>
      </c>
      <c r="AI320" s="33">
        <f t="shared" si="25"/>
        <v>9.7018741939222025E-2</v>
      </c>
      <c r="AJ320" s="34">
        <f t="shared" si="26"/>
        <v>9.8931584118146388E-3</v>
      </c>
      <c r="AK320" s="35" t="s">
        <v>920</v>
      </c>
      <c r="AL320" s="32">
        <v>0.21991148574500002</v>
      </c>
      <c r="AM320" s="32">
        <v>1.5197221502913931</v>
      </c>
      <c r="AN320" s="36">
        <v>0.33</v>
      </c>
    </row>
    <row r="321" spans="27:40" x14ac:dyDescent="0.25">
      <c r="AA321" s="29">
        <v>318</v>
      </c>
      <c r="AB321" s="30" t="s">
        <v>418</v>
      </c>
      <c r="AC321" s="29" t="s">
        <v>153</v>
      </c>
      <c r="AD321" s="30" t="s">
        <v>28</v>
      </c>
      <c r="AE321" s="31">
        <v>8.2938046054770545E-4</v>
      </c>
      <c r="AF321" s="12">
        <v>1.5197221502894127</v>
      </c>
      <c r="AG321" s="38">
        <f t="shared" si="23"/>
        <v>1.2604278569115824E-3</v>
      </c>
      <c r="AH321" s="32">
        <f t="shared" si="24"/>
        <v>76.97286394226478</v>
      </c>
      <c r="AI321" s="33">
        <f t="shared" si="25"/>
        <v>9.7018741939095612E-2</v>
      </c>
      <c r="AJ321" s="34">
        <f t="shared" si="26"/>
        <v>9.8931584118017481E-3</v>
      </c>
      <c r="AK321" s="35" t="s">
        <v>920</v>
      </c>
      <c r="AL321" s="32">
        <v>0.21991148574500002</v>
      </c>
      <c r="AM321" s="32">
        <v>1.5197221502894127</v>
      </c>
      <c r="AN321" s="36">
        <v>0.33</v>
      </c>
    </row>
    <row r="322" spans="27:40" x14ac:dyDescent="0.25">
      <c r="AA322" s="29">
        <v>319</v>
      </c>
      <c r="AB322" s="30" t="s">
        <v>419</v>
      </c>
      <c r="AC322" s="29" t="s">
        <v>153</v>
      </c>
      <c r="AD322" s="30" t="s">
        <v>28</v>
      </c>
      <c r="AE322" s="31">
        <v>8.2938046054770545E-4</v>
      </c>
      <c r="AF322" s="12">
        <v>1.5197221502906733</v>
      </c>
      <c r="AG322" s="38">
        <f t="shared" si="23"/>
        <v>1.2604278569126278E-3</v>
      </c>
      <c r="AH322" s="32">
        <f t="shared" si="24"/>
        <v>76.97286394226478</v>
      </c>
      <c r="AI322" s="33">
        <f t="shared" si="25"/>
        <v>9.7018741939176076E-2</v>
      </c>
      <c r="AJ322" s="34">
        <f t="shared" si="26"/>
        <v>9.8931584118099533E-3</v>
      </c>
      <c r="AK322" s="35" t="s">
        <v>920</v>
      </c>
      <c r="AL322" s="32">
        <v>0.21991148574500002</v>
      </c>
      <c r="AM322" s="32">
        <v>1.5197221502906733</v>
      </c>
      <c r="AN322" s="36">
        <v>0.33</v>
      </c>
    </row>
    <row r="323" spans="27:40" x14ac:dyDescent="0.25">
      <c r="AA323" s="29">
        <v>320</v>
      </c>
      <c r="AB323" s="30" t="s">
        <v>420</v>
      </c>
      <c r="AC323" s="29" t="s">
        <v>153</v>
      </c>
      <c r="AD323" s="30" t="s">
        <v>28</v>
      </c>
      <c r="AE323" s="31">
        <v>8.2938046054770545E-4</v>
      </c>
      <c r="AF323" s="12">
        <v>1.519722147473572</v>
      </c>
      <c r="AG323" s="38">
        <f t="shared" si="23"/>
        <v>1.2604278545761791E-3</v>
      </c>
      <c r="AH323" s="32">
        <f t="shared" si="24"/>
        <v>76.97286394226478</v>
      </c>
      <c r="AI323" s="33">
        <f t="shared" si="25"/>
        <v>9.7018741759332935E-2</v>
      </c>
      <c r="AJ323" s="34">
        <f t="shared" si="26"/>
        <v>9.8931583934710569E-3</v>
      </c>
      <c r="AK323" s="35" t="s">
        <v>920</v>
      </c>
      <c r="AL323" s="32">
        <v>0.21991148574500002</v>
      </c>
      <c r="AM323" s="32">
        <v>1.519722147473572</v>
      </c>
      <c r="AN323" s="36">
        <v>0.33</v>
      </c>
    </row>
    <row r="324" spans="27:40" x14ac:dyDescent="0.25">
      <c r="AA324" s="29">
        <v>321</v>
      </c>
      <c r="AB324" s="30" t="s">
        <v>421</v>
      </c>
      <c r="AC324" s="29" t="s">
        <v>157</v>
      </c>
      <c r="AD324" s="30" t="s">
        <v>28</v>
      </c>
      <c r="AE324" s="31">
        <v>3.5735616434583872E-4</v>
      </c>
      <c r="AF324" s="12">
        <v>1.5197221558268672</v>
      </c>
      <c r="AG324" s="38">
        <f t="shared" si="23"/>
        <v>5.430820804776783E-4</v>
      </c>
      <c r="AH324" s="32">
        <f t="shared" si="24"/>
        <v>76.97286394226478</v>
      </c>
      <c r="AI324" s="33">
        <f t="shared" si="25"/>
        <v>4.1802583090090425E-2</v>
      </c>
      <c r="AJ324" s="34">
        <f t="shared" si="26"/>
        <v>4.2626771721322194E-3</v>
      </c>
      <c r="AK324" s="35" t="s">
        <v>920</v>
      </c>
      <c r="AL324" s="32">
        <v>0.15079644736800002</v>
      </c>
      <c r="AM324" s="32">
        <v>1.5197221558268672</v>
      </c>
      <c r="AN324" s="36">
        <v>0.23</v>
      </c>
    </row>
    <row r="325" spans="27:40" x14ac:dyDescent="0.25">
      <c r="AA325" s="29">
        <v>322</v>
      </c>
      <c r="AB325" s="30" t="s">
        <v>422</v>
      </c>
      <c r="AC325" s="29" t="s">
        <v>150</v>
      </c>
      <c r="AD325" s="30" t="s">
        <v>9</v>
      </c>
      <c r="AE325" s="31">
        <v>7.8799999999999999E-3</v>
      </c>
      <c r="AF325" s="12">
        <v>6.4</v>
      </c>
      <c r="AG325" s="38">
        <f t="shared" ref="AG325:AG388" si="27">IF(AA325="","",AE325*AF325)</f>
        <v>5.0432000000000005E-2</v>
      </c>
      <c r="AH325" s="32">
        <f t="shared" ref="AH325:AH388" si="28">IF(AA325="","",IFERROR(VLOOKUP(AD325,$A$4:$E$20,3,FALSE),VLOOKUP(AD325,$A$25:$E$30,3,FALSE)))</f>
        <v>76.97286394226478</v>
      </c>
      <c r="AI325" s="33">
        <f t="shared" ref="AI325:AI388" si="29">IF(AA325="","",AG325*AH325)</f>
        <v>3.8818954743362979</v>
      </c>
      <c r="AJ325" s="34">
        <f t="shared" ref="AJ325:AJ388" si="30">IF(AA325="","",AI325/9.80665)</f>
        <v>0.39584317522663681</v>
      </c>
      <c r="AK325" s="35" t="s">
        <v>33</v>
      </c>
      <c r="AL325" s="32">
        <v>1.988</v>
      </c>
      <c r="AM325" s="32">
        <v>6.4</v>
      </c>
      <c r="AN325" s="36">
        <v>12.72</v>
      </c>
    </row>
    <row r="326" spans="27:40" x14ac:dyDescent="0.25">
      <c r="AA326" s="29">
        <v>323</v>
      </c>
      <c r="AB326" s="30" t="s">
        <v>423</v>
      </c>
      <c r="AC326" s="29" t="s">
        <v>150</v>
      </c>
      <c r="AD326" s="30" t="s">
        <v>9</v>
      </c>
      <c r="AE326" s="31">
        <v>7.8799999999999999E-3</v>
      </c>
      <c r="AF326" s="12">
        <v>6.4</v>
      </c>
      <c r="AG326" s="38">
        <f t="shared" si="27"/>
        <v>5.0432000000000005E-2</v>
      </c>
      <c r="AH326" s="32">
        <f t="shared" si="28"/>
        <v>76.97286394226478</v>
      </c>
      <c r="AI326" s="33">
        <f t="shared" si="29"/>
        <v>3.8818954743362979</v>
      </c>
      <c r="AJ326" s="34">
        <f t="shared" si="30"/>
        <v>0.39584317522663681</v>
      </c>
      <c r="AK326" s="35" t="s">
        <v>33</v>
      </c>
      <c r="AL326" s="32">
        <v>1.988</v>
      </c>
      <c r="AM326" s="32">
        <v>6.4</v>
      </c>
      <c r="AN326" s="36">
        <v>12.72</v>
      </c>
    </row>
    <row r="327" spans="27:40" x14ac:dyDescent="0.25">
      <c r="AA327" s="29">
        <v>324</v>
      </c>
      <c r="AB327" s="30" t="s">
        <v>424</v>
      </c>
      <c r="AC327" s="29" t="s">
        <v>158</v>
      </c>
      <c r="AD327" s="30" t="s">
        <v>28</v>
      </c>
      <c r="AE327" s="31">
        <v>2.1362830044410596E-3</v>
      </c>
      <c r="AF327" s="12">
        <v>3.1790368674891925</v>
      </c>
      <c r="AG327" s="38">
        <f t="shared" si="27"/>
        <v>6.7913224305087066E-3</v>
      </c>
      <c r="AH327" s="32">
        <f t="shared" si="28"/>
        <v>76.97286394226478</v>
      </c>
      <c r="AI327" s="33">
        <f t="shared" si="29"/>
        <v>0.52274753743159763</v>
      </c>
      <c r="AJ327" s="34">
        <f t="shared" si="30"/>
        <v>5.3305413921328655E-2</v>
      </c>
      <c r="AK327" s="35" t="s">
        <v>920</v>
      </c>
      <c r="AL327" s="32">
        <v>0.44296456414349994</v>
      </c>
      <c r="AM327" s="32">
        <v>3.1790368674891925</v>
      </c>
      <c r="AN327" s="36">
        <v>1.41</v>
      </c>
    </row>
    <row r="328" spans="27:40" x14ac:dyDescent="0.25">
      <c r="AA328" s="29">
        <v>325</v>
      </c>
      <c r="AB328" s="30" t="s">
        <v>425</v>
      </c>
      <c r="AC328" s="29" t="s">
        <v>158</v>
      </c>
      <c r="AD328" s="30" t="s">
        <v>28</v>
      </c>
      <c r="AE328" s="31">
        <v>2.1362830044410596E-3</v>
      </c>
      <c r="AF328" s="12">
        <v>3.1790368753621117</v>
      </c>
      <c r="AG328" s="38">
        <f t="shared" si="27"/>
        <v>6.79132244732749E-3</v>
      </c>
      <c r="AH328" s="32">
        <f t="shared" si="28"/>
        <v>76.97286394226478</v>
      </c>
      <c r="AI328" s="33">
        <f t="shared" si="29"/>
        <v>0.52274753872618751</v>
      </c>
      <c r="AJ328" s="34">
        <f t="shared" si="30"/>
        <v>5.3305414053340085E-2</v>
      </c>
      <c r="AK328" s="35" t="s">
        <v>920</v>
      </c>
      <c r="AL328" s="32">
        <v>0.44296456414349994</v>
      </c>
      <c r="AM328" s="32">
        <v>3.1790368753621117</v>
      </c>
      <c r="AN328" s="36">
        <v>1.41</v>
      </c>
    </row>
    <row r="329" spans="27:40" x14ac:dyDescent="0.25">
      <c r="AA329" s="29">
        <v>326</v>
      </c>
      <c r="AB329" s="30" t="s">
        <v>426</v>
      </c>
      <c r="AC329" s="29" t="s">
        <v>156</v>
      </c>
      <c r="AD329" s="30" t="s">
        <v>28</v>
      </c>
      <c r="AE329" s="31">
        <v>1.3823007675795071E-3</v>
      </c>
      <c r="AF329" s="12">
        <v>2.0807051797441103</v>
      </c>
      <c r="AG329" s="38">
        <f t="shared" si="27"/>
        <v>2.8761603670669398E-3</v>
      </c>
      <c r="AH329" s="32">
        <f t="shared" si="28"/>
        <v>76.97286394226478</v>
      </c>
      <c r="AI329" s="33">
        <f t="shared" si="29"/>
        <v>0.2213863006103779</v>
      </c>
      <c r="AJ329" s="34">
        <f t="shared" si="30"/>
        <v>2.2575120006360777E-2</v>
      </c>
      <c r="AK329" s="35" t="s">
        <v>920</v>
      </c>
      <c r="AL329" s="32">
        <v>0.35814156249900003</v>
      </c>
      <c r="AM329" s="32">
        <v>2.0807051797441103</v>
      </c>
      <c r="AN329" s="36">
        <v>0.75</v>
      </c>
    </row>
    <row r="330" spans="27:40" x14ac:dyDescent="0.25">
      <c r="AA330" s="29">
        <v>327</v>
      </c>
      <c r="AB330" s="30" t="s">
        <v>427</v>
      </c>
      <c r="AC330" s="29" t="s">
        <v>156</v>
      </c>
      <c r="AD330" s="30" t="s">
        <v>28</v>
      </c>
      <c r="AE330" s="31">
        <v>1.3823007675795071E-3</v>
      </c>
      <c r="AF330" s="12">
        <v>2.0807051797462806</v>
      </c>
      <c r="AG330" s="38">
        <f t="shared" si="27"/>
        <v>2.87616036706994E-3</v>
      </c>
      <c r="AH330" s="32">
        <f t="shared" si="28"/>
        <v>76.97286394226478</v>
      </c>
      <c r="AI330" s="33">
        <f t="shared" si="29"/>
        <v>0.22138630061060882</v>
      </c>
      <c r="AJ330" s="34">
        <f t="shared" si="30"/>
        <v>2.2575120006384324E-2</v>
      </c>
      <c r="AK330" s="35" t="s">
        <v>920</v>
      </c>
      <c r="AL330" s="32">
        <v>0.35814156249900003</v>
      </c>
      <c r="AM330" s="32">
        <v>2.0807051797462806</v>
      </c>
      <c r="AN330" s="36">
        <v>0.75</v>
      </c>
    </row>
    <row r="331" spans="27:40" x14ac:dyDescent="0.25">
      <c r="AA331" s="29">
        <v>328</v>
      </c>
      <c r="AB331" s="30" t="s">
        <v>428</v>
      </c>
      <c r="AC331" s="29" t="s">
        <v>156</v>
      </c>
      <c r="AD331" s="30" t="s">
        <v>28</v>
      </c>
      <c r="AE331" s="31">
        <v>1.3823007675795071E-3</v>
      </c>
      <c r="AF331" s="12">
        <v>2.0807051797469542</v>
      </c>
      <c r="AG331" s="38">
        <f t="shared" si="27"/>
        <v>2.8761603670708711E-3</v>
      </c>
      <c r="AH331" s="32">
        <f t="shared" si="28"/>
        <v>76.97286394226478</v>
      </c>
      <c r="AI331" s="33">
        <f t="shared" si="29"/>
        <v>0.22138630061068049</v>
      </c>
      <c r="AJ331" s="34">
        <f t="shared" si="30"/>
        <v>2.2575120006391631E-2</v>
      </c>
      <c r="AK331" s="35" t="s">
        <v>920</v>
      </c>
      <c r="AL331" s="32">
        <v>0.35814156249900003</v>
      </c>
      <c r="AM331" s="32">
        <v>2.0807051797469542</v>
      </c>
      <c r="AN331" s="36">
        <v>0.75</v>
      </c>
    </row>
    <row r="332" spans="27:40" x14ac:dyDescent="0.25">
      <c r="AA332" s="29">
        <v>329</v>
      </c>
      <c r="AB332" s="30" t="s">
        <v>429</v>
      </c>
      <c r="AC332" s="29" t="s">
        <v>156</v>
      </c>
      <c r="AD332" s="30" t="s">
        <v>28</v>
      </c>
      <c r="AE332" s="31">
        <v>1.3823007675795071E-3</v>
      </c>
      <c r="AF332" s="12">
        <v>2.0807051797451113</v>
      </c>
      <c r="AG332" s="38">
        <f t="shared" si="27"/>
        <v>2.8761603670683237E-3</v>
      </c>
      <c r="AH332" s="32">
        <f t="shared" si="28"/>
        <v>76.97286394226478</v>
      </c>
      <c r="AI332" s="33">
        <f t="shared" si="29"/>
        <v>0.22138630061048439</v>
      </c>
      <c r="AJ332" s="34">
        <f t="shared" si="30"/>
        <v>2.2575120006371636E-2</v>
      </c>
      <c r="AK332" s="35" t="s">
        <v>920</v>
      </c>
      <c r="AL332" s="32">
        <v>0.35814156249900003</v>
      </c>
      <c r="AM332" s="32">
        <v>2.0807051797451113</v>
      </c>
      <c r="AN332" s="36">
        <v>0.75</v>
      </c>
    </row>
    <row r="333" spans="27:40" x14ac:dyDescent="0.25">
      <c r="AA333" s="29">
        <v>330</v>
      </c>
      <c r="AB333" s="30" t="s">
        <v>430</v>
      </c>
      <c r="AC333" s="29" t="s">
        <v>156</v>
      </c>
      <c r="AD333" s="30" t="s">
        <v>28</v>
      </c>
      <c r="AE333" s="31">
        <v>1.3823007675795071E-3</v>
      </c>
      <c r="AF333" s="12">
        <v>2.0807051797444625</v>
      </c>
      <c r="AG333" s="38">
        <f t="shared" si="27"/>
        <v>2.8761603670674268E-3</v>
      </c>
      <c r="AH333" s="32">
        <f t="shared" si="28"/>
        <v>76.97286394226478</v>
      </c>
      <c r="AI333" s="33">
        <f t="shared" si="29"/>
        <v>0.22138630061041537</v>
      </c>
      <c r="AJ333" s="34">
        <f t="shared" si="30"/>
        <v>2.2575120006364597E-2</v>
      </c>
      <c r="AK333" s="35" t="s">
        <v>920</v>
      </c>
      <c r="AL333" s="32">
        <v>0.35814156249900003</v>
      </c>
      <c r="AM333" s="32">
        <v>2.0807051797444625</v>
      </c>
      <c r="AN333" s="36">
        <v>0.75</v>
      </c>
    </row>
    <row r="334" spans="27:40" x14ac:dyDescent="0.25">
      <c r="AA334" s="29">
        <v>331</v>
      </c>
      <c r="AB334" s="30" t="s">
        <v>431</v>
      </c>
      <c r="AC334" s="29" t="s">
        <v>156</v>
      </c>
      <c r="AD334" s="30" t="s">
        <v>28</v>
      </c>
      <c r="AE334" s="31">
        <v>1.3823007675795071E-3</v>
      </c>
      <c r="AF334" s="12">
        <v>2.0807051797468379</v>
      </c>
      <c r="AG334" s="38">
        <f t="shared" si="27"/>
        <v>2.8761603670707102E-3</v>
      </c>
      <c r="AH334" s="32">
        <f t="shared" si="28"/>
        <v>76.97286394226478</v>
      </c>
      <c r="AI334" s="33">
        <f t="shared" si="29"/>
        <v>0.22138630061066811</v>
      </c>
      <c r="AJ334" s="34">
        <f t="shared" si="30"/>
        <v>2.2575120006390371E-2</v>
      </c>
      <c r="AK334" s="35" t="s">
        <v>920</v>
      </c>
      <c r="AL334" s="32">
        <v>0.35814156249900003</v>
      </c>
      <c r="AM334" s="32">
        <v>2.0807051797468379</v>
      </c>
      <c r="AN334" s="36">
        <v>0.75</v>
      </c>
    </row>
    <row r="335" spans="27:40" x14ac:dyDescent="0.25">
      <c r="AA335" s="29">
        <v>332</v>
      </c>
      <c r="AB335" s="30" t="s">
        <v>432</v>
      </c>
      <c r="AC335" s="29" t="s">
        <v>156</v>
      </c>
      <c r="AD335" s="30" t="s">
        <v>28</v>
      </c>
      <c r="AE335" s="31">
        <v>1.3823007675795071E-3</v>
      </c>
      <c r="AF335" s="12">
        <v>2.0807051797433171</v>
      </c>
      <c r="AG335" s="38">
        <f t="shared" si="27"/>
        <v>2.8761603670658434E-3</v>
      </c>
      <c r="AH335" s="32">
        <f t="shared" si="28"/>
        <v>76.97286394226478</v>
      </c>
      <c r="AI335" s="33">
        <f t="shared" si="29"/>
        <v>0.22138630061029349</v>
      </c>
      <c r="AJ335" s="34">
        <f t="shared" si="30"/>
        <v>2.2575120006352169E-2</v>
      </c>
      <c r="AK335" s="35" t="s">
        <v>920</v>
      </c>
      <c r="AL335" s="32">
        <v>0.35814156249900003</v>
      </c>
      <c r="AM335" s="32">
        <v>2.0807051797433171</v>
      </c>
      <c r="AN335" s="36">
        <v>0.75</v>
      </c>
    </row>
    <row r="336" spans="27:40" x14ac:dyDescent="0.25">
      <c r="AA336" s="29">
        <v>333</v>
      </c>
      <c r="AB336" s="30" t="s">
        <v>433</v>
      </c>
      <c r="AC336" s="29" t="s">
        <v>156</v>
      </c>
      <c r="AD336" s="30" t="s">
        <v>28</v>
      </c>
      <c r="AE336" s="31">
        <v>1.3823007675795071E-3</v>
      </c>
      <c r="AF336" s="12">
        <v>2.0807051797459848</v>
      </c>
      <c r="AG336" s="38">
        <f t="shared" si="27"/>
        <v>2.876160367069531E-3</v>
      </c>
      <c r="AH336" s="32">
        <f t="shared" si="28"/>
        <v>76.97286394226478</v>
      </c>
      <c r="AI336" s="33">
        <f t="shared" si="29"/>
        <v>0.22138630061057735</v>
      </c>
      <c r="AJ336" s="34">
        <f t="shared" si="30"/>
        <v>2.2575120006381115E-2</v>
      </c>
      <c r="AK336" s="35" t="s">
        <v>920</v>
      </c>
      <c r="AL336" s="32">
        <v>0.35814156249900003</v>
      </c>
      <c r="AM336" s="32">
        <v>2.0807051797459848</v>
      </c>
      <c r="AN336" s="36">
        <v>0.75</v>
      </c>
    </row>
    <row r="337" spans="27:40" x14ac:dyDescent="0.25">
      <c r="AA337" s="29">
        <v>334</v>
      </c>
      <c r="AB337" s="30" t="s">
        <v>434</v>
      </c>
      <c r="AC337" s="29" t="s">
        <v>156</v>
      </c>
      <c r="AD337" s="30" t="s">
        <v>28</v>
      </c>
      <c r="AE337" s="31">
        <v>1.3823007675795071E-3</v>
      </c>
      <c r="AF337" s="12">
        <v>2.0807051797455443</v>
      </c>
      <c r="AG337" s="38">
        <f t="shared" si="27"/>
        <v>2.8761603670689221E-3</v>
      </c>
      <c r="AH337" s="32">
        <f t="shared" si="28"/>
        <v>76.97286394226478</v>
      </c>
      <c r="AI337" s="33">
        <f t="shared" si="29"/>
        <v>0.22138630061053047</v>
      </c>
      <c r="AJ337" s="34">
        <f t="shared" si="30"/>
        <v>2.2575120006376334E-2</v>
      </c>
      <c r="AK337" s="35" t="s">
        <v>920</v>
      </c>
      <c r="AL337" s="32">
        <v>0.35814156249900003</v>
      </c>
      <c r="AM337" s="32">
        <v>2.0807051797455443</v>
      </c>
      <c r="AN337" s="36">
        <v>0.75</v>
      </c>
    </row>
    <row r="338" spans="27:40" x14ac:dyDescent="0.25">
      <c r="AA338" s="29">
        <v>335</v>
      </c>
      <c r="AB338" s="30" t="s">
        <v>435</v>
      </c>
      <c r="AC338" s="29" t="s">
        <v>156</v>
      </c>
      <c r="AD338" s="30" t="s">
        <v>28</v>
      </c>
      <c r="AE338" s="31">
        <v>1.3823007675795071E-3</v>
      </c>
      <c r="AF338" s="12">
        <v>2.0807051797457792</v>
      </c>
      <c r="AG338" s="38">
        <f t="shared" si="27"/>
        <v>2.8761603670692465E-3</v>
      </c>
      <c r="AH338" s="32">
        <f t="shared" si="28"/>
        <v>76.97286394226478</v>
      </c>
      <c r="AI338" s="33">
        <f t="shared" si="29"/>
        <v>0.22138630061055545</v>
      </c>
      <c r="AJ338" s="34">
        <f t="shared" si="30"/>
        <v>2.2575120006378881E-2</v>
      </c>
      <c r="AK338" s="35" t="s">
        <v>920</v>
      </c>
      <c r="AL338" s="32">
        <v>0.35814156249900003</v>
      </c>
      <c r="AM338" s="32">
        <v>2.0807051797457792</v>
      </c>
      <c r="AN338" s="36">
        <v>0.75</v>
      </c>
    </row>
    <row r="339" spans="27:40" x14ac:dyDescent="0.25">
      <c r="AA339" s="29">
        <v>336</v>
      </c>
      <c r="AB339" s="30" t="s">
        <v>436</v>
      </c>
      <c r="AC339" s="29" t="s">
        <v>156</v>
      </c>
      <c r="AD339" s="30" t="s">
        <v>28</v>
      </c>
      <c r="AE339" s="31">
        <v>1.3823007675795071E-3</v>
      </c>
      <c r="AF339" s="12">
        <v>2.0807051797433846</v>
      </c>
      <c r="AG339" s="38">
        <f t="shared" si="27"/>
        <v>2.8761603670659367E-3</v>
      </c>
      <c r="AH339" s="32">
        <f t="shared" si="28"/>
        <v>76.97286394226478</v>
      </c>
      <c r="AI339" s="33">
        <f t="shared" si="29"/>
        <v>0.22138630061030068</v>
      </c>
      <c r="AJ339" s="34">
        <f t="shared" si="30"/>
        <v>2.2575120006352901E-2</v>
      </c>
      <c r="AK339" s="35" t="s">
        <v>920</v>
      </c>
      <c r="AL339" s="32">
        <v>0.35814156249900003</v>
      </c>
      <c r="AM339" s="32">
        <v>2.0807051797433846</v>
      </c>
      <c r="AN339" s="36">
        <v>0.75</v>
      </c>
    </row>
    <row r="340" spans="27:40" x14ac:dyDescent="0.25">
      <c r="AA340" s="29">
        <v>337</v>
      </c>
      <c r="AB340" s="30" t="s">
        <v>437</v>
      </c>
      <c r="AC340" s="29" t="s">
        <v>156</v>
      </c>
      <c r="AD340" s="30" t="s">
        <v>28</v>
      </c>
      <c r="AE340" s="31">
        <v>1.3823007675795071E-3</v>
      </c>
      <c r="AF340" s="12">
        <v>2.0807051797462073</v>
      </c>
      <c r="AG340" s="38">
        <f t="shared" si="27"/>
        <v>2.8761603670698385E-3</v>
      </c>
      <c r="AH340" s="32">
        <f t="shared" si="28"/>
        <v>76.97286394226478</v>
      </c>
      <c r="AI340" s="33">
        <f t="shared" si="29"/>
        <v>0.22138630061060099</v>
      </c>
      <c r="AJ340" s="34">
        <f t="shared" si="30"/>
        <v>2.2575120006383526E-2</v>
      </c>
      <c r="AK340" s="35" t="s">
        <v>920</v>
      </c>
      <c r="AL340" s="32">
        <v>0.35814156249900003</v>
      </c>
      <c r="AM340" s="32">
        <v>2.0807051797462073</v>
      </c>
      <c r="AN340" s="36">
        <v>0.75</v>
      </c>
    </row>
    <row r="341" spans="27:40" x14ac:dyDescent="0.25">
      <c r="AA341" s="29">
        <v>338</v>
      </c>
      <c r="AB341" s="30" t="s">
        <v>438</v>
      </c>
      <c r="AC341" s="29" t="s">
        <v>156</v>
      </c>
      <c r="AD341" s="30" t="s">
        <v>28</v>
      </c>
      <c r="AE341" s="31">
        <v>1.3823007675795071E-3</v>
      </c>
      <c r="AF341" s="12">
        <v>2.0807051797430582</v>
      </c>
      <c r="AG341" s="38">
        <f t="shared" si="27"/>
        <v>2.8761603670654856E-3</v>
      </c>
      <c r="AH341" s="32">
        <f t="shared" si="28"/>
        <v>76.97286394226478</v>
      </c>
      <c r="AI341" s="33">
        <f t="shared" si="29"/>
        <v>0.22138630061026596</v>
      </c>
      <c r="AJ341" s="34">
        <f t="shared" si="30"/>
        <v>2.2575120006349363E-2</v>
      </c>
      <c r="AK341" s="35" t="s">
        <v>920</v>
      </c>
      <c r="AL341" s="32">
        <v>0.35814156249900003</v>
      </c>
      <c r="AM341" s="32">
        <v>2.0807051797430582</v>
      </c>
      <c r="AN341" s="36">
        <v>0.75</v>
      </c>
    </row>
    <row r="342" spans="27:40" x14ac:dyDescent="0.25">
      <c r="AA342" s="29">
        <v>339</v>
      </c>
      <c r="AB342" s="30" t="s">
        <v>439</v>
      </c>
      <c r="AC342" s="29" t="s">
        <v>156</v>
      </c>
      <c r="AD342" s="30" t="s">
        <v>28</v>
      </c>
      <c r="AE342" s="31">
        <v>1.3823007675795071E-3</v>
      </c>
      <c r="AF342" s="12">
        <v>2.0807051797482585</v>
      </c>
      <c r="AG342" s="38">
        <f t="shared" si="27"/>
        <v>2.8761603670726739E-3</v>
      </c>
      <c r="AH342" s="32">
        <f t="shared" si="28"/>
        <v>76.97286394226478</v>
      </c>
      <c r="AI342" s="33">
        <f t="shared" si="29"/>
        <v>0.22138630061081926</v>
      </c>
      <c r="AJ342" s="34">
        <f t="shared" si="30"/>
        <v>2.2575120006405783E-2</v>
      </c>
      <c r="AK342" s="35" t="s">
        <v>920</v>
      </c>
      <c r="AL342" s="32">
        <v>0.35814156249900003</v>
      </c>
      <c r="AM342" s="32">
        <v>2.0807051797482585</v>
      </c>
      <c r="AN342" s="36">
        <v>0.75</v>
      </c>
    </row>
    <row r="343" spans="27:40" x14ac:dyDescent="0.25">
      <c r="AA343" s="29">
        <v>340</v>
      </c>
      <c r="AB343" s="30" t="s">
        <v>440</v>
      </c>
      <c r="AC343" s="29" t="s">
        <v>156</v>
      </c>
      <c r="AD343" s="30" t="s">
        <v>28</v>
      </c>
      <c r="AE343" s="31">
        <v>1.3823007675795071E-3</v>
      </c>
      <c r="AF343" s="12">
        <v>2.08070517974528</v>
      </c>
      <c r="AG343" s="38">
        <f t="shared" si="27"/>
        <v>2.876160367068557E-3</v>
      </c>
      <c r="AH343" s="32">
        <f t="shared" si="28"/>
        <v>76.97286394226478</v>
      </c>
      <c r="AI343" s="33">
        <f t="shared" si="29"/>
        <v>0.22138630061050235</v>
      </c>
      <c r="AJ343" s="34">
        <f t="shared" si="30"/>
        <v>2.2575120006373468E-2</v>
      </c>
      <c r="AK343" s="35" t="s">
        <v>920</v>
      </c>
      <c r="AL343" s="32">
        <v>0.35814156249900003</v>
      </c>
      <c r="AM343" s="32">
        <v>2.08070517974528</v>
      </c>
      <c r="AN343" s="36">
        <v>0.75</v>
      </c>
    </row>
    <row r="344" spans="27:40" x14ac:dyDescent="0.25">
      <c r="AA344" s="29">
        <v>341</v>
      </c>
      <c r="AB344" s="30" t="s">
        <v>441</v>
      </c>
      <c r="AC344" s="29" t="s">
        <v>156</v>
      </c>
      <c r="AD344" s="30" t="s">
        <v>28</v>
      </c>
      <c r="AE344" s="31">
        <v>1.3823007675795071E-3</v>
      </c>
      <c r="AF344" s="12">
        <v>2.0807051797458058</v>
      </c>
      <c r="AG344" s="38">
        <f t="shared" si="27"/>
        <v>2.8761603670692834E-3</v>
      </c>
      <c r="AH344" s="32">
        <f t="shared" si="28"/>
        <v>76.97286394226478</v>
      </c>
      <c r="AI344" s="33">
        <f t="shared" si="29"/>
        <v>0.22138630061055828</v>
      </c>
      <c r="AJ344" s="34">
        <f t="shared" si="30"/>
        <v>2.2575120006379172E-2</v>
      </c>
      <c r="AK344" s="35" t="s">
        <v>920</v>
      </c>
      <c r="AL344" s="32">
        <v>0.35814156249900003</v>
      </c>
      <c r="AM344" s="32">
        <v>2.0807051797458058</v>
      </c>
      <c r="AN344" s="36">
        <v>0.75</v>
      </c>
    </row>
    <row r="345" spans="27:40" x14ac:dyDescent="0.25">
      <c r="AA345" s="29">
        <v>342</v>
      </c>
      <c r="AB345" s="30" t="s">
        <v>442</v>
      </c>
      <c r="AC345" s="29" t="s">
        <v>157</v>
      </c>
      <c r="AD345" s="30" t="s">
        <v>28</v>
      </c>
      <c r="AE345" s="31">
        <v>3.5735616434583872E-4</v>
      </c>
      <c r="AF345" s="12">
        <v>1.5197221558268672</v>
      </c>
      <c r="AG345" s="38">
        <f t="shared" si="27"/>
        <v>5.430820804776783E-4</v>
      </c>
      <c r="AH345" s="32">
        <f t="shared" si="28"/>
        <v>76.97286394226478</v>
      </c>
      <c r="AI345" s="33">
        <f t="shared" si="29"/>
        <v>4.1802583090090425E-2</v>
      </c>
      <c r="AJ345" s="34">
        <f t="shared" si="30"/>
        <v>4.2626771721322194E-3</v>
      </c>
      <c r="AK345" s="35" t="s">
        <v>920</v>
      </c>
      <c r="AL345" s="32">
        <v>0.15079644736800002</v>
      </c>
      <c r="AM345" s="32">
        <v>1.5197221558268672</v>
      </c>
      <c r="AN345" s="36">
        <v>0.23</v>
      </c>
    </row>
    <row r="346" spans="27:40" x14ac:dyDescent="0.25">
      <c r="AA346" s="29">
        <v>343</v>
      </c>
      <c r="AB346" s="30" t="s">
        <v>443</v>
      </c>
      <c r="AC346" s="29" t="s">
        <v>153</v>
      </c>
      <c r="AD346" s="30" t="s">
        <v>28</v>
      </c>
      <c r="AE346" s="31">
        <v>8.2938046054770545E-4</v>
      </c>
      <c r="AF346" s="12">
        <v>1.519722147473572</v>
      </c>
      <c r="AG346" s="38">
        <f t="shared" si="27"/>
        <v>1.2604278545761791E-3</v>
      </c>
      <c r="AH346" s="32">
        <f t="shared" si="28"/>
        <v>76.97286394226478</v>
      </c>
      <c r="AI346" s="33">
        <f t="shared" si="29"/>
        <v>9.7018741759332935E-2</v>
      </c>
      <c r="AJ346" s="34">
        <f t="shared" si="30"/>
        <v>9.8931583934710569E-3</v>
      </c>
      <c r="AK346" s="35" t="s">
        <v>920</v>
      </c>
      <c r="AL346" s="32">
        <v>0.21991148574500002</v>
      </c>
      <c r="AM346" s="32">
        <v>1.519722147473572</v>
      </c>
      <c r="AN346" s="36">
        <v>0.33</v>
      </c>
    </row>
    <row r="347" spans="27:40" x14ac:dyDescent="0.25">
      <c r="AA347" s="29">
        <v>344</v>
      </c>
      <c r="AB347" s="30" t="s">
        <v>444</v>
      </c>
      <c r="AC347" s="29" t="s">
        <v>153</v>
      </c>
      <c r="AD347" s="30" t="s">
        <v>28</v>
      </c>
      <c r="AE347" s="31">
        <v>8.2938046054770545E-4</v>
      </c>
      <c r="AF347" s="12">
        <v>1.5197221502906733</v>
      </c>
      <c r="AG347" s="38">
        <f t="shared" si="27"/>
        <v>1.2604278569126278E-3</v>
      </c>
      <c r="AH347" s="32">
        <f t="shared" si="28"/>
        <v>76.97286394226478</v>
      </c>
      <c r="AI347" s="33">
        <f t="shared" si="29"/>
        <v>9.7018741939176076E-2</v>
      </c>
      <c r="AJ347" s="34">
        <f t="shared" si="30"/>
        <v>9.8931584118099533E-3</v>
      </c>
      <c r="AK347" s="35" t="s">
        <v>920</v>
      </c>
      <c r="AL347" s="32">
        <v>0.21991148574500002</v>
      </c>
      <c r="AM347" s="32">
        <v>1.5197221502906733</v>
      </c>
      <c r="AN347" s="36">
        <v>0.33</v>
      </c>
    </row>
    <row r="348" spans="27:40" x14ac:dyDescent="0.25">
      <c r="AA348" s="29">
        <v>345</v>
      </c>
      <c r="AB348" s="30" t="s">
        <v>445</v>
      </c>
      <c r="AC348" s="29" t="s">
        <v>153</v>
      </c>
      <c r="AD348" s="30" t="s">
        <v>28</v>
      </c>
      <c r="AE348" s="31">
        <v>8.2938046054770545E-4</v>
      </c>
      <c r="AF348" s="12">
        <v>1.5197221502894127</v>
      </c>
      <c r="AG348" s="38">
        <f t="shared" si="27"/>
        <v>1.2604278569115824E-3</v>
      </c>
      <c r="AH348" s="32">
        <f t="shared" si="28"/>
        <v>76.97286394226478</v>
      </c>
      <c r="AI348" s="33">
        <f t="shared" si="29"/>
        <v>9.7018741939095612E-2</v>
      </c>
      <c r="AJ348" s="34">
        <f t="shared" si="30"/>
        <v>9.8931584118017481E-3</v>
      </c>
      <c r="AK348" s="35" t="s">
        <v>920</v>
      </c>
      <c r="AL348" s="32">
        <v>0.21991148574500002</v>
      </c>
      <c r="AM348" s="32">
        <v>1.5197221502894127</v>
      </c>
      <c r="AN348" s="36">
        <v>0.33</v>
      </c>
    </row>
    <row r="349" spans="27:40" x14ac:dyDescent="0.25">
      <c r="AA349" s="29">
        <v>346</v>
      </c>
      <c r="AB349" s="30" t="s">
        <v>446</v>
      </c>
      <c r="AC349" s="29" t="s">
        <v>153</v>
      </c>
      <c r="AD349" s="30" t="s">
        <v>28</v>
      </c>
      <c r="AE349" s="31">
        <v>8.2938046054770545E-4</v>
      </c>
      <c r="AF349" s="12">
        <v>1.5197221502913931</v>
      </c>
      <c r="AG349" s="38">
        <f t="shared" si="27"/>
        <v>1.2604278569132248E-3</v>
      </c>
      <c r="AH349" s="32">
        <f t="shared" si="28"/>
        <v>76.97286394226478</v>
      </c>
      <c r="AI349" s="33">
        <f t="shared" si="29"/>
        <v>9.7018741939222025E-2</v>
      </c>
      <c r="AJ349" s="34">
        <f t="shared" si="30"/>
        <v>9.8931584118146388E-3</v>
      </c>
      <c r="AK349" s="35" t="s">
        <v>920</v>
      </c>
      <c r="AL349" s="32">
        <v>0.21991148574500002</v>
      </c>
      <c r="AM349" s="32">
        <v>1.5197221502913931</v>
      </c>
      <c r="AN349" s="36">
        <v>0.33</v>
      </c>
    </row>
    <row r="350" spans="27:40" x14ac:dyDescent="0.25">
      <c r="AA350" s="29">
        <v>347</v>
      </c>
      <c r="AB350" s="30" t="s">
        <v>447</v>
      </c>
      <c r="AC350" s="29" t="s">
        <v>157</v>
      </c>
      <c r="AD350" s="30" t="s">
        <v>28</v>
      </c>
      <c r="AE350" s="31">
        <v>3.5735616434583872E-4</v>
      </c>
      <c r="AF350" s="12">
        <v>1.5197221502905747</v>
      </c>
      <c r="AG350" s="38">
        <f t="shared" si="27"/>
        <v>5.4308207849925003E-4</v>
      </c>
      <c r="AH350" s="32">
        <f t="shared" si="28"/>
        <v>76.97286394226478</v>
      </c>
      <c r="AI350" s="33">
        <f t="shared" si="29"/>
        <v>4.1802582937805137E-2</v>
      </c>
      <c r="AJ350" s="34">
        <f t="shared" si="30"/>
        <v>4.2626771566034415E-3</v>
      </c>
      <c r="AK350" s="35" t="s">
        <v>920</v>
      </c>
      <c r="AL350" s="32">
        <v>0.15079644736800002</v>
      </c>
      <c r="AM350" s="32">
        <v>1.5197221502905747</v>
      </c>
      <c r="AN350" s="36">
        <v>0.23</v>
      </c>
    </row>
    <row r="351" spans="27:40" x14ac:dyDescent="0.25">
      <c r="AA351" s="29">
        <v>348</v>
      </c>
      <c r="AB351" s="30" t="s">
        <v>448</v>
      </c>
      <c r="AC351" s="29" t="s">
        <v>157</v>
      </c>
      <c r="AD351" s="30" t="s">
        <v>28</v>
      </c>
      <c r="AE351" s="31">
        <v>3.5735616434583872E-4</v>
      </c>
      <c r="AF351" s="12">
        <v>1.5197221502888516</v>
      </c>
      <c r="AG351" s="38">
        <f t="shared" si="27"/>
        <v>5.4308207849863431E-4</v>
      </c>
      <c r="AH351" s="32">
        <f t="shared" si="28"/>
        <v>76.97286394226478</v>
      </c>
      <c r="AI351" s="33">
        <f t="shared" si="29"/>
        <v>4.1802582937757737E-2</v>
      </c>
      <c r="AJ351" s="34">
        <f t="shared" si="30"/>
        <v>4.2626771565986077E-3</v>
      </c>
      <c r="AK351" s="35" t="s">
        <v>920</v>
      </c>
      <c r="AL351" s="32">
        <v>0.15079644736800002</v>
      </c>
      <c r="AM351" s="32">
        <v>1.5197221502888516</v>
      </c>
      <c r="AN351" s="36">
        <v>0.23</v>
      </c>
    </row>
    <row r="352" spans="27:40" x14ac:dyDescent="0.25">
      <c r="AA352" s="29">
        <v>349</v>
      </c>
      <c r="AB352" s="30" t="s">
        <v>449</v>
      </c>
      <c r="AC352" s="29" t="s">
        <v>157</v>
      </c>
      <c r="AD352" s="30" t="s">
        <v>28</v>
      </c>
      <c r="AE352" s="31">
        <v>3.5735616434583872E-4</v>
      </c>
      <c r="AF352" s="12">
        <v>1.5197221502900096</v>
      </c>
      <c r="AG352" s="38">
        <f t="shared" si="27"/>
        <v>5.4308207849904804E-4</v>
      </c>
      <c r="AH352" s="32">
        <f t="shared" si="28"/>
        <v>76.97286394226478</v>
      </c>
      <c r="AI352" s="33">
        <f t="shared" si="29"/>
        <v>4.1802582937789587E-2</v>
      </c>
      <c r="AJ352" s="34">
        <f t="shared" si="30"/>
        <v>4.2626771566018559E-3</v>
      </c>
      <c r="AK352" s="35" t="s">
        <v>920</v>
      </c>
      <c r="AL352" s="32">
        <v>0.15079644736800002</v>
      </c>
      <c r="AM352" s="32">
        <v>1.5197221502900096</v>
      </c>
      <c r="AN352" s="36">
        <v>0.23</v>
      </c>
    </row>
    <row r="353" spans="27:40" x14ac:dyDescent="0.25">
      <c r="AA353" s="29">
        <v>350</v>
      </c>
      <c r="AB353" s="30" t="s">
        <v>450</v>
      </c>
      <c r="AC353" s="29" t="s">
        <v>157</v>
      </c>
      <c r="AD353" s="30" t="s">
        <v>28</v>
      </c>
      <c r="AE353" s="31">
        <v>3.5735616434583872E-4</v>
      </c>
      <c r="AF353" s="12">
        <v>1.5197221502908995</v>
      </c>
      <c r="AG353" s="38">
        <f t="shared" si="27"/>
        <v>5.4308207849936615E-4</v>
      </c>
      <c r="AH353" s="32">
        <f t="shared" si="28"/>
        <v>76.97286394226478</v>
      </c>
      <c r="AI353" s="33">
        <f t="shared" si="29"/>
        <v>4.1802582937814074E-2</v>
      </c>
      <c r="AJ353" s="34">
        <f t="shared" si="30"/>
        <v>4.2626771566043531E-3</v>
      </c>
      <c r="AK353" s="35" t="s">
        <v>920</v>
      </c>
      <c r="AL353" s="32">
        <v>0.15079644736800002</v>
      </c>
      <c r="AM353" s="32">
        <v>1.5197221502908995</v>
      </c>
      <c r="AN353" s="36">
        <v>0.23</v>
      </c>
    </row>
    <row r="354" spans="27:40" x14ac:dyDescent="0.25">
      <c r="AA354" s="29">
        <v>351</v>
      </c>
      <c r="AB354" s="30" t="s">
        <v>451</v>
      </c>
      <c r="AC354" s="29" t="s">
        <v>157</v>
      </c>
      <c r="AD354" s="30" t="s">
        <v>28</v>
      </c>
      <c r="AE354" s="31">
        <v>3.5735616434583872E-4</v>
      </c>
      <c r="AF354" s="12">
        <v>1.5197221502893745</v>
      </c>
      <c r="AG354" s="38">
        <f t="shared" si="27"/>
        <v>5.4308207849882112E-4</v>
      </c>
      <c r="AH354" s="32">
        <f t="shared" si="28"/>
        <v>76.97286394226478</v>
      </c>
      <c r="AI354" s="33">
        <f t="shared" si="29"/>
        <v>4.1802582937772122E-2</v>
      </c>
      <c r="AJ354" s="34">
        <f t="shared" si="30"/>
        <v>4.2626771566000752E-3</v>
      </c>
      <c r="AK354" s="35" t="s">
        <v>920</v>
      </c>
      <c r="AL354" s="32">
        <v>0.15079644736800002</v>
      </c>
      <c r="AM354" s="32">
        <v>1.5197221502893745</v>
      </c>
      <c r="AN354" s="36">
        <v>0.23</v>
      </c>
    </row>
    <row r="355" spans="27:40" x14ac:dyDescent="0.25">
      <c r="AA355" s="29">
        <v>352</v>
      </c>
      <c r="AB355" s="30" t="s">
        <v>452</v>
      </c>
      <c r="AC355" s="29" t="s">
        <v>157</v>
      </c>
      <c r="AD355" s="30" t="s">
        <v>28</v>
      </c>
      <c r="AE355" s="31">
        <v>3.5735616434583872E-4</v>
      </c>
      <c r="AF355" s="12">
        <v>1.5197221502896916</v>
      </c>
      <c r="AG355" s="38">
        <f t="shared" si="27"/>
        <v>5.4308207849893442E-4</v>
      </c>
      <c r="AH355" s="32">
        <f t="shared" si="28"/>
        <v>76.97286394226478</v>
      </c>
      <c r="AI355" s="33">
        <f t="shared" si="29"/>
        <v>4.1802582937780837E-2</v>
      </c>
      <c r="AJ355" s="34">
        <f t="shared" si="30"/>
        <v>4.2626771566009634E-3</v>
      </c>
      <c r="AK355" s="35" t="s">
        <v>920</v>
      </c>
      <c r="AL355" s="32">
        <v>0.15079644736800002</v>
      </c>
      <c r="AM355" s="32">
        <v>1.5197221502896916</v>
      </c>
      <c r="AN355" s="36">
        <v>0.23</v>
      </c>
    </row>
    <row r="356" spans="27:40" x14ac:dyDescent="0.25">
      <c r="AA356" s="29">
        <v>353</v>
      </c>
      <c r="AB356" s="30" t="s">
        <v>453</v>
      </c>
      <c r="AC356" s="29" t="s">
        <v>157</v>
      </c>
      <c r="AD356" s="30" t="s">
        <v>28</v>
      </c>
      <c r="AE356" s="31">
        <v>3.5735616434583872E-4</v>
      </c>
      <c r="AF356" s="12">
        <v>1.5197221502918832</v>
      </c>
      <c r="AG356" s="38">
        <f t="shared" si="27"/>
        <v>5.4308207849971765E-4</v>
      </c>
      <c r="AH356" s="32">
        <f t="shared" si="28"/>
        <v>76.97286394226478</v>
      </c>
      <c r="AI356" s="33">
        <f t="shared" si="29"/>
        <v>4.1802582937841129E-2</v>
      </c>
      <c r="AJ356" s="34">
        <f t="shared" si="30"/>
        <v>4.2626771566071113E-3</v>
      </c>
      <c r="AK356" s="35" t="s">
        <v>920</v>
      </c>
      <c r="AL356" s="32">
        <v>0.15079644736800002</v>
      </c>
      <c r="AM356" s="32">
        <v>1.5197221502918832</v>
      </c>
      <c r="AN356" s="36">
        <v>0.23</v>
      </c>
    </row>
    <row r="357" spans="27:40" x14ac:dyDescent="0.25">
      <c r="AA357" s="29">
        <v>354</v>
      </c>
      <c r="AB357" s="30" t="s">
        <v>454</v>
      </c>
      <c r="AC357" s="29" t="s">
        <v>157</v>
      </c>
      <c r="AD357" s="30" t="s">
        <v>28</v>
      </c>
      <c r="AE357" s="31">
        <v>3.5735616434583872E-4</v>
      </c>
      <c r="AF357" s="12">
        <v>1.5197221502888831</v>
      </c>
      <c r="AG357" s="38">
        <f t="shared" si="27"/>
        <v>5.4308207849864559E-4</v>
      </c>
      <c r="AH357" s="32">
        <f t="shared" si="28"/>
        <v>76.97286394226478</v>
      </c>
      <c r="AI357" s="33">
        <f t="shared" si="29"/>
        <v>4.1802582937758605E-2</v>
      </c>
      <c r="AJ357" s="34">
        <f t="shared" si="30"/>
        <v>4.2626771565986961E-3</v>
      </c>
      <c r="AK357" s="35" t="s">
        <v>920</v>
      </c>
      <c r="AL357" s="32">
        <v>0.15079644736800002</v>
      </c>
      <c r="AM357" s="32">
        <v>1.5197221502888831</v>
      </c>
      <c r="AN357" s="36">
        <v>0.23</v>
      </c>
    </row>
    <row r="358" spans="27:40" x14ac:dyDescent="0.25">
      <c r="AA358" s="29">
        <v>355</v>
      </c>
      <c r="AB358" s="30" t="s">
        <v>455</v>
      </c>
      <c r="AC358" s="29" t="s">
        <v>157</v>
      </c>
      <c r="AD358" s="30" t="s">
        <v>28</v>
      </c>
      <c r="AE358" s="31">
        <v>3.5735616434583872E-4</v>
      </c>
      <c r="AF358" s="12">
        <v>1.5197221502908715</v>
      </c>
      <c r="AG358" s="38">
        <f t="shared" si="27"/>
        <v>5.4308207849935607E-4</v>
      </c>
      <c r="AH358" s="32">
        <f t="shared" si="28"/>
        <v>76.97286394226478</v>
      </c>
      <c r="AI358" s="33">
        <f t="shared" si="29"/>
        <v>4.1802582937813297E-2</v>
      </c>
      <c r="AJ358" s="34">
        <f t="shared" si="30"/>
        <v>4.2626771566042733E-3</v>
      </c>
      <c r="AK358" s="35" t="s">
        <v>920</v>
      </c>
      <c r="AL358" s="32">
        <v>0.15079644736800002</v>
      </c>
      <c r="AM358" s="32">
        <v>1.5197221502908715</v>
      </c>
      <c r="AN358" s="36">
        <v>0.23</v>
      </c>
    </row>
    <row r="359" spans="27:40" x14ac:dyDescent="0.25">
      <c r="AA359" s="29">
        <v>356</v>
      </c>
      <c r="AB359" s="30" t="s">
        <v>456</v>
      </c>
      <c r="AC359" s="29" t="s">
        <v>157</v>
      </c>
      <c r="AD359" s="30" t="s">
        <v>28</v>
      </c>
      <c r="AE359" s="31">
        <v>3.5735616434583872E-4</v>
      </c>
      <c r="AF359" s="12">
        <v>1.5197221502895877</v>
      </c>
      <c r="AG359" s="38">
        <f t="shared" si="27"/>
        <v>5.4308207849889734E-4</v>
      </c>
      <c r="AH359" s="32">
        <f t="shared" si="28"/>
        <v>76.97286394226478</v>
      </c>
      <c r="AI359" s="33">
        <f t="shared" si="29"/>
        <v>4.1802582937777985E-2</v>
      </c>
      <c r="AJ359" s="34">
        <f t="shared" si="30"/>
        <v>4.2626771566006728E-3</v>
      </c>
      <c r="AK359" s="35" t="s">
        <v>920</v>
      </c>
      <c r="AL359" s="32">
        <v>0.15079644736800002</v>
      </c>
      <c r="AM359" s="32">
        <v>1.5197221502895877</v>
      </c>
      <c r="AN359" s="36">
        <v>0.23</v>
      </c>
    </row>
    <row r="360" spans="27:40" x14ac:dyDescent="0.25">
      <c r="AA360" s="29">
        <v>357</v>
      </c>
      <c r="AB360" s="30" t="s">
        <v>457</v>
      </c>
      <c r="AC360" s="29" t="s">
        <v>157</v>
      </c>
      <c r="AD360" s="30" t="s">
        <v>28</v>
      </c>
      <c r="AE360" s="31">
        <v>3.5735616434583872E-4</v>
      </c>
      <c r="AF360" s="12">
        <v>1.5197221502907208</v>
      </c>
      <c r="AG360" s="38">
        <f t="shared" si="27"/>
        <v>5.4308207849930218E-4</v>
      </c>
      <c r="AH360" s="32">
        <f t="shared" si="28"/>
        <v>76.97286394226478</v>
      </c>
      <c r="AI360" s="33">
        <f t="shared" si="29"/>
        <v>4.1802582937809148E-2</v>
      </c>
      <c r="AJ360" s="34">
        <f t="shared" si="30"/>
        <v>4.2626771566038509E-3</v>
      </c>
      <c r="AK360" s="35" t="s">
        <v>920</v>
      </c>
      <c r="AL360" s="32">
        <v>0.15079644736800002</v>
      </c>
      <c r="AM360" s="32">
        <v>1.5197221502907208</v>
      </c>
      <c r="AN360" s="36">
        <v>0.23</v>
      </c>
    </row>
    <row r="361" spans="27:40" x14ac:dyDescent="0.25">
      <c r="AA361" s="29">
        <v>358</v>
      </c>
      <c r="AB361" s="30" t="s">
        <v>458</v>
      </c>
      <c r="AC361" s="29" t="s">
        <v>157</v>
      </c>
      <c r="AD361" s="30" t="s">
        <v>28</v>
      </c>
      <c r="AE361" s="31">
        <v>3.5735616434583872E-4</v>
      </c>
      <c r="AF361" s="12">
        <v>1.5197221502899976</v>
      </c>
      <c r="AG361" s="38">
        <f t="shared" si="27"/>
        <v>5.4308207849904382E-4</v>
      </c>
      <c r="AH361" s="32">
        <f t="shared" si="28"/>
        <v>76.97286394226478</v>
      </c>
      <c r="AI361" s="33">
        <f t="shared" si="29"/>
        <v>4.1802582937789261E-2</v>
      </c>
      <c r="AJ361" s="34">
        <f t="shared" si="30"/>
        <v>4.262677156601823E-3</v>
      </c>
      <c r="AK361" s="35" t="s">
        <v>920</v>
      </c>
      <c r="AL361" s="32">
        <v>0.15079644736800002</v>
      </c>
      <c r="AM361" s="32">
        <v>1.5197221502899976</v>
      </c>
      <c r="AN361" s="36">
        <v>0.23</v>
      </c>
    </row>
    <row r="362" spans="27:40" x14ac:dyDescent="0.25">
      <c r="AA362" s="29">
        <v>359</v>
      </c>
      <c r="AB362" s="30" t="s">
        <v>459</v>
      </c>
      <c r="AC362" s="29" t="s">
        <v>157</v>
      </c>
      <c r="AD362" s="30" t="s">
        <v>28</v>
      </c>
      <c r="AE362" s="31">
        <v>3.5735616434583872E-4</v>
      </c>
      <c r="AF362" s="12">
        <v>1.5197221502903375</v>
      </c>
      <c r="AG362" s="38">
        <f t="shared" si="27"/>
        <v>5.4308207849916525E-4</v>
      </c>
      <c r="AH362" s="32">
        <f t="shared" si="28"/>
        <v>76.97286394226478</v>
      </c>
      <c r="AI362" s="33">
        <f t="shared" si="29"/>
        <v>4.1802582937798607E-2</v>
      </c>
      <c r="AJ362" s="34">
        <f t="shared" si="30"/>
        <v>4.2626771566027753E-3</v>
      </c>
      <c r="AK362" s="35" t="s">
        <v>920</v>
      </c>
      <c r="AL362" s="32">
        <v>0.15079644736800002</v>
      </c>
      <c r="AM362" s="32">
        <v>1.5197221502903375</v>
      </c>
      <c r="AN362" s="36">
        <v>0.23</v>
      </c>
    </row>
    <row r="363" spans="27:40" x14ac:dyDescent="0.25">
      <c r="AA363" s="29">
        <v>360</v>
      </c>
      <c r="AB363" s="30" t="s">
        <v>460</v>
      </c>
      <c r="AC363" s="29" t="s">
        <v>157</v>
      </c>
      <c r="AD363" s="30" t="s">
        <v>28</v>
      </c>
      <c r="AE363" s="31">
        <v>3.5735616434583872E-4</v>
      </c>
      <c r="AF363" s="12">
        <v>1.5197221502884424</v>
      </c>
      <c r="AG363" s="38">
        <f t="shared" si="27"/>
        <v>5.4308207849848805E-4</v>
      </c>
      <c r="AH363" s="32">
        <f t="shared" si="28"/>
        <v>76.97286394226478</v>
      </c>
      <c r="AI363" s="33">
        <f t="shared" si="29"/>
        <v>4.1802582937746482E-2</v>
      </c>
      <c r="AJ363" s="34">
        <f t="shared" si="30"/>
        <v>4.2626771565974601E-3</v>
      </c>
      <c r="AK363" s="35" t="s">
        <v>920</v>
      </c>
      <c r="AL363" s="32">
        <v>0.15079644736800002</v>
      </c>
      <c r="AM363" s="32">
        <v>1.5197221502884424</v>
      </c>
      <c r="AN363" s="36">
        <v>0.23</v>
      </c>
    </row>
    <row r="364" spans="27:40" x14ac:dyDescent="0.25">
      <c r="AA364" s="29">
        <v>361</v>
      </c>
      <c r="AB364" s="30" t="s">
        <v>461</v>
      </c>
      <c r="AC364" s="29" t="s">
        <v>157</v>
      </c>
      <c r="AD364" s="30" t="s">
        <v>28</v>
      </c>
      <c r="AE364" s="31">
        <v>3.5735616434583872E-4</v>
      </c>
      <c r="AF364" s="12">
        <v>1.5197221502911953</v>
      </c>
      <c r="AG364" s="38">
        <f t="shared" si="27"/>
        <v>5.4308207849947175E-4</v>
      </c>
      <c r="AH364" s="32">
        <f t="shared" si="28"/>
        <v>76.97286394226478</v>
      </c>
      <c r="AI364" s="33">
        <f t="shared" si="29"/>
        <v>4.18025829378222E-2</v>
      </c>
      <c r="AJ364" s="34">
        <f t="shared" si="30"/>
        <v>4.2626771566051814E-3</v>
      </c>
      <c r="AK364" s="35" t="s">
        <v>920</v>
      </c>
      <c r="AL364" s="32">
        <v>0.15079644736800002</v>
      </c>
      <c r="AM364" s="32">
        <v>1.5197221502911953</v>
      </c>
      <c r="AN364" s="36">
        <v>0.23</v>
      </c>
    </row>
    <row r="365" spans="27:40" x14ac:dyDescent="0.25">
      <c r="AA365" s="29">
        <v>362</v>
      </c>
      <c r="AB365" s="30" t="s">
        <v>462</v>
      </c>
      <c r="AC365" s="29" t="s">
        <v>157</v>
      </c>
      <c r="AD365" s="30" t="s">
        <v>28</v>
      </c>
      <c r="AE365" s="31">
        <v>3.5735616434583872E-4</v>
      </c>
      <c r="AF365" s="12">
        <v>1.5197221502901306</v>
      </c>
      <c r="AG365" s="38">
        <f t="shared" si="27"/>
        <v>5.430820784990913E-4</v>
      </c>
      <c r="AH365" s="32">
        <f t="shared" si="28"/>
        <v>76.97286394226478</v>
      </c>
      <c r="AI365" s="33">
        <f t="shared" si="29"/>
        <v>4.1802582937792918E-2</v>
      </c>
      <c r="AJ365" s="34">
        <f t="shared" si="30"/>
        <v>4.2626771566021951E-3</v>
      </c>
      <c r="AK365" s="35" t="s">
        <v>920</v>
      </c>
      <c r="AL365" s="32">
        <v>0.15079644736800002</v>
      </c>
      <c r="AM365" s="32">
        <v>1.5197221502901306</v>
      </c>
      <c r="AN365" s="36">
        <v>0.23</v>
      </c>
    </row>
    <row r="366" spans="27:40" x14ac:dyDescent="0.25">
      <c r="AA366" s="29">
        <v>363</v>
      </c>
      <c r="AB366" s="30" t="s">
        <v>463</v>
      </c>
      <c r="AC366" s="29" t="s">
        <v>157</v>
      </c>
      <c r="AD366" s="30" t="s">
        <v>28</v>
      </c>
      <c r="AE366" s="31">
        <v>3.5735616434583872E-4</v>
      </c>
      <c r="AF366" s="12">
        <v>1.5197221502903198</v>
      </c>
      <c r="AG366" s="38">
        <f t="shared" si="27"/>
        <v>5.4308207849915896E-4</v>
      </c>
      <c r="AH366" s="32">
        <f t="shared" si="28"/>
        <v>76.97286394226478</v>
      </c>
      <c r="AI366" s="33">
        <f t="shared" si="29"/>
        <v>4.1802582937798122E-2</v>
      </c>
      <c r="AJ366" s="34">
        <f t="shared" si="30"/>
        <v>4.2626771566027259E-3</v>
      </c>
      <c r="AK366" s="35" t="s">
        <v>920</v>
      </c>
      <c r="AL366" s="32">
        <v>0.15079644736800002</v>
      </c>
      <c r="AM366" s="32">
        <v>1.5197221502903198</v>
      </c>
      <c r="AN366" s="36">
        <v>0.23</v>
      </c>
    </row>
    <row r="367" spans="27:40" x14ac:dyDescent="0.25">
      <c r="AA367" s="29">
        <v>364</v>
      </c>
      <c r="AB367" s="30" t="s">
        <v>464</v>
      </c>
      <c r="AC367" s="29" t="s">
        <v>157</v>
      </c>
      <c r="AD367" s="30" t="s">
        <v>28</v>
      </c>
      <c r="AE367" s="31">
        <v>3.5735616434583872E-4</v>
      </c>
      <c r="AF367" s="12">
        <v>1.5197221502894194</v>
      </c>
      <c r="AG367" s="38">
        <f t="shared" si="27"/>
        <v>5.4308207849883717E-4</v>
      </c>
      <c r="AH367" s="32">
        <f t="shared" si="28"/>
        <v>76.97286394226478</v>
      </c>
      <c r="AI367" s="33">
        <f t="shared" si="29"/>
        <v>4.1802582937773357E-2</v>
      </c>
      <c r="AJ367" s="34">
        <f t="shared" si="30"/>
        <v>4.262677156600201E-3</v>
      </c>
      <c r="AK367" s="35" t="s">
        <v>920</v>
      </c>
      <c r="AL367" s="32">
        <v>0.15079644736800002</v>
      </c>
      <c r="AM367" s="32">
        <v>1.5197221502894194</v>
      </c>
      <c r="AN367" s="36">
        <v>0.23</v>
      </c>
    </row>
    <row r="368" spans="27:40" x14ac:dyDescent="0.25">
      <c r="AA368" s="29">
        <v>365</v>
      </c>
      <c r="AB368" s="30" t="s">
        <v>465</v>
      </c>
      <c r="AC368" s="29" t="s">
        <v>157</v>
      </c>
      <c r="AD368" s="30" t="s">
        <v>28</v>
      </c>
      <c r="AE368" s="31">
        <v>3.5735616434583872E-4</v>
      </c>
      <c r="AF368" s="12">
        <v>1.5197221502892619</v>
      </c>
      <c r="AG368" s="38">
        <f t="shared" si="27"/>
        <v>5.430820784987809E-4</v>
      </c>
      <c r="AH368" s="32">
        <f t="shared" si="28"/>
        <v>76.97286394226478</v>
      </c>
      <c r="AI368" s="33">
        <f t="shared" si="29"/>
        <v>4.180258293776902E-2</v>
      </c>
      <c r="AJ368" s="34">
        <f t="shared" si="30"/>
        <v>4.2626771565997586E-3</v>
      </c>
      <c r="AK368" s="35" t="s">
        <v>920</v>
      </c>
      <c r="AL368" s="32">
        <v>0.15079644736800002</v>
      </c>
      <c r="AM368" s="32">
        <v>1.5197221502892619</v>
      </c>
      <c r="AN368" s="36">
        <v>0.23</v>
      </c>
    </row>
    <row r="369" spans="27:40" x14ac:dyDescent="0.25">
      <c r="AA369" s="29">
        <v>366</v>
      </c>
      <c r="AB369" s="30" t="s">
        <v>466</v>
      </c>
      <c r="AC369" s="29" t="s">
        <v>157</v>
      </c>
      <c r="AD369" s="30" t="s">
        <v>28</v>
      </c>
      <c r="AE369" s="31">
        <v>3.5735616434583872E-4</v>
      </c>
      <c r="AF369" s="12">
        <v>1.5197221502916438</v>
      </c>
      <c r="AG369" s="38">
        <f t="shared" si="27"/>
        <v>5.430820784996321E-4</v>
      </c>
      <c r="AH369" s="32">
        <f t="shared" si="28"/>
        <v>76.97286394226478</v>
      </c>
      <c r="AI369" s="33">
        <f t="shared" si="29"/>
        <v>4.1802582937834544E-2</v>
      </c>
      <c r="AJ369" s="34">
        <f t="shared" si="30"/>
        <v>4.2626771566064399E-3</v>
      </c>
      <c r="AK369" s="35" t="s">
        <v>920</v>
      </c>
      <c r="AL369" s="32">
        <v>0.15079644736800002</v>
      </c>
      <c r="AM369" s="32">
        <v>1.5197221502916438</v>
      </c>
      <c r="AN369" s="36">
        <v>0.23</v>
      </c>
    </row>
    <row r="370" spans="27:40" x14ac:dyDescent="0.25">
      <c r="AA370" s="29">
        <v>367</v>
      </c>
      <c r="AB370" s="30" t="s">
        <v>467</v>
      </c>
      <c r="AC370" s="29" t="s">
        <v>153</v>
      </c>
      <c r="AD370" s="30" t="s">
        <v>28</v>
      </c>
      <c r="AE370" s="31">
        <v>8.2938046054770545E-4</v>
      </c>
      <c r="AF370" s="12">
        <v>1.5197221502907379</v>
      </c>
      <c r="AG370" s="38">
        <f t="shared" si="27"/>
        <v>1.2604278569126814E-3</v>
      </c>
      <c r="AH370" s="32">
        <f t="shared" si="28"/>
        <v>76.97286394226478</v>
      </c>
      <c r="AI370" s="33">
        <f t="shared" si="29"/>
        <v>9.7018741939180211E-2</v>
      </c>
      <c r="AJ370" s="34">
        <f t="shared" si="30"/>
        <v>9.8931584118103748E-3</v>
      </c>
      <c r="AK370" s="35" t="s">
        <v>920</v>
      </c>
      <c r="AL370" s="32">
        <v>0.21991148574500002</v>
      </c>
      <c r="AM370" s="32">
        <v>1.5197221502907379</v>
      </c>
      <c r="AN370" s="36">
        <v>0.33</v>
      </c>
    </row>
    <row r="371" spans="27:40" x14ac:dyDescent="0.25">
      <c r="AA371" s="29">
        <v>368</v>
      </c>
      <c r="AB371" s="30" t="s">
        <v>468</v>
      </c>
      <c r="AC371" s="29" t="s">
        <v>153</v>
      </c>
      <c r="AD371" s="30" t="s">
        <v>28</v>
      </c>
      <c r="AE371" s="31">
        <v>8.2938046054770545E-4</v>
      </c>
      <c r="AF371" s="12">
        <v>1.5197221502913925</v>
      </c>
      <c r="AG371" s="38">
        <f t="shared" si="27"/>
        <v>1.2604278569132244E-3</v>
      </c>
      <c r="AH371" s="32">
        <f t="shared" si="28"/>
        <v>76.97286394226478</v>
      </c>
      <c r="AI371" s="33">
        <f t="shared" si="29"/>
        <v>9.7018741939221997E-2</v>
      </c>
      <c r="AJ371" s="34">
        <f t="shared" si="30"/>
        <v>9.8931584118146371E-3</v>
      </c>
      <c r="AK371" s="35" t="s">
        <v>920</v>
      </c>
      <c r="AL371" s="32">
        <v>0.21991148574500002</v>
      </c>
      <c r="AM371" s="32">
        <v>1.5197221502913925</v>
      </c>
      <c r="AN371" s="36">
        <v>0.33</v>
      </c>
    </row>
    <row r="372" spans="27:40" x14ac:dyDescent="0.25">
      <c r="AA372" s="29">
        <v>369</v>
      </c>
      <c r="AB372" s="30" t="s">
        <v>469</v>
      </c>
      <c r="AC372" s="29" t="s">
        <v>153</v>
      </c>
      <c r="AD372" s="30" t="s">
        <v>28</v>
      </c>
      <c r="AE372" s="31">
        <v>8.2938046054770545E-4</v>
      </c>
      <c r="AF372" s="12">
        <v>1.5197221502894147</v>
      </c>
      <c r="AG372" s="38">
        <f t="shared" si="27"/>
        <v>1.260427856911584E-3</v>
      </c>
      <c r="AH372" s="32">
        <f t="shared" si="28"/>
        <v>76.97286394226478</v>
      </c>
      <c r="AI372" s="33">
        <f t="shared" si="29"/>
        <v>9.7018741939095737E-2</v>
      </c>
      <c r="AJ372" s="34">
        <f t="shared" si="30"/>
        <v>9.8931584118017619E-3</v>
      </c>
      <c r="AK372" s="35" t="s">
        <v>920</v>
      </c>
      <c r="AL372" s="32">
        <v>0.21991148574500002</v>
      </c>
      <c r="AM372" s="32">
        <v>1.5197221502894147</v>
      </c>
      <c r="AN372" s="36">
        <v>0.33</v>
      </c>
    </row>
    <row r="373" spans="27:40" x14ac:dyDescent="0.25">
      <c r="AA373" s="29">
        <v>370</v>
      </c>
      <c r="AB373" s="30" t="s">
        <v>470</v>
      </c>
      <c r="AC373" s="29" t="s">
        <v>153</v>
      </c>
      <c r="AD373" s="30" t="s">
        <v>28</v>
      </c>
      <c r="AE373" s="31">
        <v>8.2938046054770545E-4</v>
      </c>
      <c r="AF373" s="12">
        <v>1.5197221502915461</v>
      </c>
      <c r="AG373" s="38">
        <f t="shared" si="27"/>
        <v>1.2604278569133519E-3</v>
      </c>
      <c r="AH373" s="32">
        <f t="shared" si="28"/>
        <v>76.97286394226478</v>
      </c>
      <c r="AI373" s="33">
        <f t="shared" si="29"/>
        <v>9.7018741939231809E-2</v>
      </c>
      <c r="AJ373" s="34">
        <f t="shared" si="30"/>
        <v>9.8931584118156363E-3</v>
      </c>
      <c r="AK373" s="35" t="s">
        <v>920</v>
      </c>
      <c r="AL373" s="32">
        <v>0.21991148574500002</v>
      </c>
      <c r="AM373" s="32">
        <v>1.5197221502915461</v>
      </c>
      <c r="AN373" s="36">
        <v>0.33</v>
      </c>
    </row>
    <row r="374" spans="27:40" x14ac:dyDescent="0.25">
      <c r="AA374" s="29">
        <v>371</v>
      </c>
      <c r="AB374" s="30" t="s">
        <v>117</v>
      </c>
      <c r="AC374" s="29" t="s">
        <v>153</v>
      </c>
      <c r="AD374" s="30" t="s">
        <v>28</v>
      </c>
      <c r="AE374" s="31">
        <v>8.2938046054770545E-4</v>
      </c>
      <c r="AF374" s="12">
        <v>1.5197221474731262</v>
      </c>
      <c r="AG374" s="38">
        <f t="shared" si="27"/>
        <v>1.2604278545758094E-3</v>
      </c>
      <c r="AH374" s="32">
        <f t="shared" si="28"/>
        <v>76.97286394226478</v>
      </c>
      <c r="AI374" s="33">
        <f t="shared" si="29"/>
        <v>9.7018741759304472E-2</v>
      </c>
      <c r="AJ374" s="34">
        <f t="shared" si="30"/>
        <v>9.8931583934681547E-3</v>
      </c>
      <c r="AK374" s="35" t="s">
        <v>920</v>
      </c>
      <c r="AL374" s="32">
        <v>0.21991148574500002</v>
      </c>
      <c r="AM374" s="32">
        <v>1.5197221474731262</v>
      </c>
      <c r="AN374" s="36">
        <v>0.33</v>
      </c>
    </row>
    <row r="375" spans="27:40" x14ac:dyDescent="0.25">
      <c r="AA375" s="29">
        <v>372</v>
      </c>
      <c r="AB375" s="30" t="s">
        <v>118</v>
      </c>
      <c r="AC375" s="29" t="s">
        <v>157</v>
      </c>
      <c r="AD375" s="30" t="s">
        <v>28</v>
      </c>
      <c r="AE375" s="31">
        <v>3.5735616434583872E-4</v>
      </c>
      <c r="AF375" s="12">
        <v>1.5197221558262051</v>
      </c>
      <c r="AG375" s="38">
        <f t="shared" si="27"/>
        <v>5.4308208047744162E-4</v>
      </c>
      <c r="AH375" s="32">
        <f t="shared" si="28"/>
        <v>76.97286394226478</v>
      </c>
      <c r="AI375" s="33">
        <f t="shared" si="29"/>
        <v>4.1802583090072204E-2</v>
      </c>
      <c r="AJ375" s="34">
        <f t="shared" si="30"/>
        <v>4.2626771721303615E-3</v>
      </c>
      <c r="AK375" s="35" t="s">
        <v>920</v>
      </c>
      <c r="AL375" s="32">
        <v>0.15079644736800002</v>
      </c>
      <c r="AM375" s="32">
        <v>1.5197221558262051</v>
      </c>
      <c r="AN375" s="36">
        <v>0.23</v>
      </c>
    </row>
    <row r="376" spans="27:40" x14ac:dyDescent="0.25">
      <c r="AA376" s="29">
        <v>373</v>
      </c>
      <c r="AB376" s="30" t="s">
        <v>119</v>
      </c>
      <c r="AC376" s="29" t="s">
        <v>154</v>
      </c>
      <c r="AD376" s="30" t="s">
        <v>28</v>
      </c>
      <c r="AE376" s="31">
        <v>2.8902652413026117E-4</v>
      </c>
      <c r="AF376" s="12">
        <v>1</v>
      </c>
      <c r="AG376" s="38">
        <f t="shared" si="27"/>
        <v>2.8902652413026117E-4</v>
      </c>
      <c r="AH376" s="32">
        <f t="shared" si="28"/>
        <v>76.97286394226478</v>
      </c>
      <c r="AI376" s="33">
        <f t="shared" si="29"/>
        <v>2.2247199317584301E-2</v>
      </c>
      <c r="AJ376" s="34">
        <f t="shared" si="30"/>
        <v>2.2685829837492213E-3</v>
      </c>
      <c r="AK376" s="35" t="s">
        <v>920</v>
      </c>
      <c r="AL376" s="32">
        <v>0.15079644736800002</v>
      </c>
      <c r="AM376" s="32">
        <v>1</v>
      </c>
      <c r="AN376" s="36">
        <v>0.15</v>
      </c>
    </row>
    <row r="377" spans="27:40" x14ac:dyDescent="0.25">
      <c r="AA377" s="29">
        <v>374</v>
      </c>
      <c r="AB377" s="30" t="s">
        <v>120</v>
      </c>
      <c r="AC377" s="29" t="s">
        <v>154</v>
      </c>
      <c r="AD377" s="30" t="s">
        <v>28</v>
      </c>
      <c r="AE377" s="31">
        <v>2.8902652413026117E-4</v>
      </c>
      <c r="AF377" s="12">
        <v>1</v>
      </c>
      <c r="AG377" s="38">
        <f t="shared" si="27"/>
        <v>2.8902652413026117E-4</v>
      </c>
      <c r="AH377" s="32">
        <f t="shared" si="28"/>
        <v>76.97286394226478</v>
      </c>
      <c r="AI377" s="33">
        <f t="shared" si="29"/>
        <v>2.2247199317584301E-2</v>
      </c>
      <c r="AJ377" s="34">
        <f t="shared" si="30"/>
        <v>2.2685829837492213E-3</v>
      </c>
      <c r="AK377" s="35" t="s">
        <v>920</v>
      </c>
      <c r="AL377" s="32">
        <v>0.15079644736800002</v>
      </c>
      <c r="AM377" s="32">
        <v>1</v>
      </c>
      <c r="AN377" s="36">
        <v>0.15</v>
      </c>
    </row>
    <row r="378" spans="27:40" x14ac:dyDescent="0.25">
      <c r="AA378" s="29">
        <v>375</v>
      </c>
      <c r="AB378" s="30" t="s">
        <v>121</v>
      </c>
      <c r="AC378" s="29" t="s">
        <v>154</v>
      </c>
      <c r="AD378" s="30" t="s">
        <v>28</v>
      </c>
      <c r="AE378" s="31">
        <v>2.8902652413026117E-4</v>
      </c>
      <c r="AF378" s="12">
        <v>1</v>
      </c>
      <c r="AG378" s="38">
        <f t="shared" si="27"/>
        <v>2.8902652413026117E-4</v>
      </c>
      <c r="AH378" s="32">
        <f t="shared" si="28"/>
        <v>76.97286394226478</v>
      </c>
      <c r="AI378" s="33">
        <f t="shared" si="29"/>
        <v>2.2247199317584301E-2</v>
      </c>
      <c r="AJ378" s="34">
        <f t="shared" si="30"/>
        <v>2.2685829837492213E-3</v>
      </c>
      <c r="AK378" s="35" t="s">
        <v>920</v>
      </c>
      <c r="AL378" s="32">
        <v>0.15079644736800002</v>
      </c>
      <c r="AM378" s="32">
        <v>1</v>
      </c>
      <c r="AN378" s="36">
        <v>0.15</v>
      </c>
    </row>
    <row r="379" spans="27:40" x14ac:dyDescent="0.25">
      <c r="AA379" s="29">
        <v>376</v>
      </c>
      <c r="AB379" s="30" t="s">
        <v>122</v>
      </c>
      <c r="AC379" s="29" t="s">
        <v>154</v>
      </c>
      <c r="AD379" s="30" t="s">
        <v>28</v>
      </c>
      <c r="AE379" s="31">
        <v>2.8902652413026117E-4</v>
      </c>
      <c r="AF379" s="12">
        <v>1</v>
      </c>
      <c r="AG379" s="38">
        <f t="shared" si="27"/>
        <v>2.8902652413026117E-4</v>
      </c>
      <c r="AH379" s="32">
        <f t="shared" si="28"/>
        <v>76.97286394226478</v>
      </c>
      <c r="AI379" s="33">
        <f t="shared" si="29"/>
        <v>2.2247199317584301E-2</v>
      </c>
      <c r="AJ379" s="34">
        <f t="shared" si="30"/>
        <v>2.2685829837492213E-3</v>
      </c>
      <c r="AK379" s="35" t="s">
        <v>920</v>
      </c>
      <c r="AL379" s="32">
        <v>0.15079644736800002</v>
      </c>
      <c r="AM379" s="32">
        <v>1</v>
      </c>
      <c r="AN379" s="36">
        <v>0.15</v>
      </c>
    </row>
    <row r="380" spans="27:40" x14ac:dyDescent="0.25">
      <c r="AA380" s="29">
        <v>377</v>
      </c>
      <c r="AB380" s="30" t="s">
        <v>123</v>
      </c>
      <c r="AC380" s="29" t="s">
        <v>154</v>
      </c>
      <c r="AD380" s="30" t="s">
        <v>28</v>
      </c>
      <c r="AE380" s="31">
        <v>2.8902652413026117E-4</v>
      </c>
      <c r="AF380" s="12">
        <v>1</v>
      </c>
      <c r="AG380" s="38">
        <f t="shared" si="27"/>
        <v>2.8902652413026117E-4</v>
      </c>
      <c r="AH380" s="32">
        <f t="shared" si="28"/>
        <v>76.97286394226478</v>
      </c>
      <c r="AI380" s="33">
        <f t="shared" si="29"/>
        <v>2.2247199317584301E-2</v>
      </c>
      <c r="AJ380" s="34">
        <f t="shared" si="30"/>
        <v>2.2685829837492213E-3</v>
      </c>
      <c r="AK380" s="35" t="s">
        <v>920</v>
      </c>
      <c r="AL380" s="32">
        <v>0.15079644736800002</v>
      </c>
      <c r="AM380" s="32">
        <v>1</v>
      </c>
      <c r="AN380" s="36">
        <v>0.15</v>
      </c>
    </row>
    <row r="381" spans="27:40" x14ac:dyDescent="0.25">
      <c r="AA381" s="29">
        <v>378</v>
      </c>
      <c r="AB381" s="30" t="s">
        <v>124</v>
      </c>
      <c r="AC381" s="29" t="s">
        <v>154</v>
      </c>
      <c r="AD381" s="30" t="s">
        <v>28</v>
      </c>
      <c r="AE381" s="31">
        <v>2.8902652413026117E-4</v>
      </c>
      <c r="AF381" s="12">
        <v>1</v>
      </c>
      <c r="AG381" s="38">
        <f t="shared" si="27"/>
        <v>2.8902652413026117E-4</v>
      </c>
      <c r="AH381" s="32">
        <f t="shared" si="28"/>
        <v>76.97286394226478</v>
      </c>
      <c r="AI381" s="33">
        <f t="shared" si="29"/>
        <v>2.2247199317584301E-2</v>
      </c>
      <c r="AJ381" s="34">
        <f t="shared" si="30"/>
        <v>2.2685829837492213E-3</v>
      </c>
      <c r="AK381" s="35" t="s">
        <v>920</v>
      </c>
      <c r="AL381" s="32">
        <v>0.15079644736800002</v>
      </c>
      <c r="AM381" s="32">
        <v>1</v>
      </c>
      <c r="AN381" s="36">
        <v>0.15</v>
      </c>
    </row>
    <row r="382" spans="27:40" x14ac:dyDescent="0.25">
      <c r="AA382" s="29">
        <v>379</v>
      </c>
      <c r="AB382" s="30" t="s">
        <v>471</v>
      </c>
      <c r="AC382" s="29" t="s">
        <v>154</v>
      </c>
      <c r="AD382" s="30" t="s">
        <v>28</v>
      </c>
      <c r="AE382" s="31">
        <v>2.8902652413026117E-4</v>
      </c>
      <c r="AF382" s="12">
        <v>1</v>
      </c>
      <c r="AG382" s="38">
        <f t="shared" si="27"/>
        <v>2.8902652413026117E-4</v>
      </c>
      <c r="AH382" s="32">
        <f t="shared" si="28"/>
        <v>76.97286394226478</v>
      </c>
      <c r="AI382" s="33">
        <f t="shared" si="29"/>
        <v>2.2247199317584301E-2</v>
      </c>
      <c r="AJ382" s="34">
        <f t="shared" si="30"/>
        <v>2.2685829837492213E-3</v>
      </c>
      <c r="AK382" s="35" t="s">
        <v>920</v>
      </c>
      <c r="AL382" s="32">
        <v>0.15079644736800002</v>
      </c>
      <c r="AM382" s="32">
        <v>1</v>
      </c>
      <c r="AN382" s="36">
        <v>0.15</v>
      </c>
    </row>
    <row r="383" spans="27:40" x14ac:dyDescent="0.25">
      <c r="AA383" s="29">
        <v>380</v>
      </c>
      <c r="AB383" s="30" t="s">
        <v>472</v>
      </c>
      <c r="AC383" s="29" t="s">
        <v>154</v>
      </c>
      <c r="AD383" s="30" t="s">
        <v>28</v>
      </c>
      <c r="AE383" s="31">
        <v>2.8902652413026117E-4</v>
      </c>
      <c r="AF383" s="12">
        <v>1</v>
      </c>
      <c r="AG383" s="38">
        <f t="shared" si="27"/>
        <v>2.8902652413026117E-4</v>
      </c>
      <c r="AH383" s="32">
        <f t="shared" si="28"/>
        <v>76.97286394226478</v>
      </c>
      <c r="AI383" s="33">
        <f t="shared" si="29"/>
        <v>2.2247199317584301E-2</v>
      </c>
      <c r="AJ383" s="34">
        <f t="shared" si="30"/>
        <v>2.2685829837492213E-3</v>
      </c>
      <c r="AK383" s="35" t="s">
        <v>920</v>
      </c>
      <c r="AL383" s="32">
        <v>0.15079644736800002</v>
      </c>
      <c r="AM383" s="32">
        <v>1</v>
      </c>
      <c r="AN383" s="36">
        <v>0.15</v>
      </c>
    </row>
    <row r="384" spans="27:40" x14ac:dyDescent="0.25">
      <c r="AA384" s="29">
        <v>381</v>
      </c>
      <c r="AB384" s="30" t="s">
        <v>473</v>
      </c>
      <c r="AC384" s="29" t="s">
        <v>154</v>
      </c>
      <c r="AD384" s="30" t="s">
        <v>28</v>
      </c>
      <c r="AE384" s="31">
        <v>2.8902652413026117E-4</v>
      </c>
      <c r="AF384" s="12">
        <v>1</v>
      </c>
      <c r="AG384" s="38">
        <f t="shared" si="27"/>
        <v>2.8902652413026117E-4</v>
      </c>
      <c r="AH384" s="32">
        <f t="shared" si="28"/>
        <v>76.97286394226478</v>
      </c>
      <c r="AI384" s="33">
        <f t="shared" si="29"/>
        <v>2.2247199317584301E-2</v>
      </c>
      <c r="AJ384" s="34">
        <f t="shared" si="30"/>
        <v>2.2685829837492213E-3</v>
      </c>
      <c r="AK384" s="35" t="s">
        <v>920</v>
      </c>
      <c r="AL384" s="32">
        <v>0.15079644736800002</v>
      </c>
      <c r="AM384" s="32">
        <v>1</v>
      </c>
      <c r="AN384" s="36">
        <v>0.15</v>
      </c>
    </row>
    <row r="385" spans="27:40" x14ac:dyDescent="0.25">
      <c r="AA385" s="29">
        <v>382</v>
      </c>
      <c r="AB385" s="30" t="s">
        <v>474</v>
      </c>
      <c r="AC385" s="29" t="s">
        <v>154</v>
      </c>
      <c r="AD385" s="30" t="s">
        <v>28</v>
      </c>
      <c r="AE385" s="31">
        <v>2.8902652413026117E-4</v>
      </c>
      <c r="AF385" s="12">
        <v>1</v>
      </c>
      <c r="AG385" s="38">
        <f t="shared" si="27"/>
        <v>2.8902652413026117E-4</v>
      </c>
      <c r="AH385" s="32">
        <f t="shared" si="28"/>
        <v>76.97286394226478</v>
      </c>
      <c r="AI385" s="33">
        <f t="shared" si="29"/>
        <v>2.2247199317584301E-2</v>
      </c>
      <c r="AJ385" s="34">
        <f t="shared" si="30"/>
        <v>2.2685829837492213E-3</v>
      </c>
      <c r="AK385" s="35" t="s">
        <v>920</v>
      </c>
      <c r="AL385" s="32">
        <v>0.15079644736800002</v>
      </c>
      <c r="AM385" s="32">
        <v>1</v>
      </c>
      <c r="AN385" s="36">
        <v>0.15</v>
      </c>
    </row>
    <row r="386" spans="27:40" x14ac:dyDescent="0.25">
      <c r="AA386" s="29">
        <v>383</v>
      </c>
      <c r="AB386" s="30" t="s">
        <v>475</v>
      </c>
      <c r="AC386" s="29" t="s">
        <v>154</v>
      </c>
      <c r="AD386" s="30" t="s">
        <v>28</v>
      </c>
      <c r="AE386" s="31">
        <v>2.8902652413026117E-4</v>
      </c>
      <c r="AF386" s="12">
        <v>1</v>
      </c>
      <c r="AG386" s="38">
        <f t="shared" si="27"/>
        <v>2.8902652413026117E-4</v>
      </c>
      <c r="AH386" s="32">
        <f t="shared" si="28"/>
        <v>76.97286394226478</v>
      </c>
      <c r="AI386" s="33">
        <f t="shared" si="29"/>
        <v>2.2247199317584301E-2</v>
      </c>
      <c r="AJ386" s="34">
        <f t="shared" si="30"/>
        <v>2.2685829837492213E-3</v>
      </c>
      <c r="AK386" s="35" t="s">
        <v>920</v>
      </c>
      <c r="AL386" s="32">
        <v>0.15079644736800002</v>
      </c>
      <c r="AM386" s="32">
        <v>1</v>
      </c>
      <c r="AN386" s="36">
        <v>0.15</v>
      </c>
    </row>
    <row r="387" spans="27:40" x14ac:dyDescent="0.25">
      <c r="AA387" s="29">
        <v>384</v>
      </c>
      <c r="AB387" s="30" t="s">
        <v>476</v>
      </c>
      <c r="AC387" s="29" t="s">
        <v>154</v>
      </c>
      <c r="AD387" s="30" t="s">
        <v>28</v>
      </c>
      <c r="AE387" s="31">
        <v>2.8902652413026117E-4</v>
      </c>
      <c r="AF387" s="12">
        <v>1</v>
      </c>
      <c r="AG387" s="38">
        <f t="shared" si="27"/>
        <v>2.8902652413026117E-4</v>
      </c>
      <c r="AH387" s="32">
        <f t="shared" si="28"/>
        <v>76.97286394226478</v>
      </c>
      <c r="AI387" s="33">
        <f t="shared" si="29"/>
        <v>2.2247199317584301E-2</v>
      </c>
      <c r="AJ387" s="34">
        <f t="shared" si="30"/>
        <v>2.2685829837492213E-3</v>
      </c>
      <c r="AK387" s="35" t="s">
        <v>920</v>
      </c>
      <c r="AL387" s="32">
        <v>0.15079644736800002</v>
      </c>
      <c r="AM387" s="32">
        <v>1</v>
      </c>
      <c r="AN387" s="36">
        <v>0.15</v>
      </c>
    </row>
    <row r="388" spans="27:40" x14ac:dyDescent="0.25">
      <c r="AA388" s="29">
        <v>385</v>
      </c>
      <c r="AB388" s="30" t="s">
        <v>477</v>
      </c>
      <c r="AC388" s="29" t="s">
        <v>154</v>
      </c>
      <c r="AD388" s="30" t="s">
        <v>28</v>
      </c>
      <c r="AE388" s="31">
        <v>2.8902652413026117E-4</v>
      </c>
      <c r="AF388" s="12">
        <v>1</v>
      </c>
      <c r="AG388" s="38">
        <f t="shared" si="27"/>
        <v>2.8902652413026117E-4</v>
      </c>
      <c r="AH388" s="32">
        <f t="shared" si="28"/>
        <v>76.97286394226478</v>
      </c>
      <c r="AI388" s="33">
        <f t="shared" si="29"/>
        <v>2.2247199317584301E-2</v>
      </c>
      <c r="AJ388" s="34">
        <f t="shared" si="30"/>
        <v>2.2685829837492213E-3</v>
      </c>
      <c r="AK388" s="35" t="s">
        <v>920</v>
      </c>
      <c r="AL388" s="32">
        <v>0.15079644736800002</v>
      </c>
      <c r="AM388" s="32">
        <v>1</v>
      </c>
      <c r="AN388" s="36">
        <v>0.15</v>
      </c>
    </row>
    <row r="389" spans="27:40" x14ac:dyDescent="0.25">
      <c r="AA389" s="29">
        <v>386</v>
      </c>
      <c r="AB389" s="30" t="s">
        <v>478</v>
      </c>
      <c r="AC389" s="29" t="s">
        <v>154</v>
      </c>
      <c r="AD389" s="30" t="s">
        <v>28</v>
      </c>
      <c r="AE389" s="31">
        <v>2.8902652413026117E-4</v>
      </c>
      <c r="AF389" s="12">
        <v>1</v>
      </c>
      <c r="AG389" s="38">
        <f t="shared" ref="AG389:AG452" si="31">IF(AA389="","",AE389*AF389)</f>
        <v>2.8902652413026117E-4</v>
      </c>
      <c r="AH389" s="32">
        <f t="shared" ref="AH389:AH452" si="32">IF(AA389="","",IFERROR(VLOOKUP(AD389,$A$4:$E$20,3,FALSE),VLOOKUP(AD389,$A$25:$E$30,3,FALSE)))</f>
        <v>76.97286394226478</v>
      </c>
      <c r="AI389" s="33">
        <f t="shared" ref="AI389:AI452" si="33">IF(AA389="","",AG389*AH389)</f>
        <v>2.2247199317584301E-2</v>
      </c>
      <c r="AJ389" s="34">
        <f t="shared" ref="AJ389:AJ452" si="34">IF(AA389="","",AI389/9.80665)</f>
        <v>2.2685829837492213E-3</v>
      </c>
      <c r="AK389" s="35" t="s">
        <v>920</v>
      </c>
      <c r="AL389" s="32">
        <v>0.15079644736800002</v>
      </c>
      <c r="AM389" s="32">
        <v>1</v>
      </c>
      <c r="AN389" s="36">
        <v>0.15</v>
      </c>
    </row>
    <row r="390" spans="27:40" x14ac:dyDescent="0.25">
      <c r="AA390" s="29">
        <v>387</v>
      </c>
      <c r="AB390" s="30" t="s">
        <v>479</v>
      </c>
      <c r="AC390" s="29" t="s">
        <v>154</v>
      </c>
      <c r="AD390" s="30" t="s">
        <v>28</v>
      </c>
      <c r="AE390" s="31">
        <v>2.8902652413026117E-4</v>
      </c>
      <c r="AF390" s="12">
        <v>1</v>
      </c>
      <c r="AG390" s="38">
        <f t="shared" si="31"/>
        <v>2.8902652413026117E-4</v>
      </c>
      <c r="AH390" s="32">
        <f t="shared" si="32"/>
        <v>76.97286394226478</v>
      </c>
      <c r="AI390" s="33">
        <f t="shared" si="33"/>
        <v>2.2247199317584301E-2</v>
      </c>
      <c r="AJ390" s="34">
        <f t="shared" si="34"/>
        <v>2.2685829837492213E-3</v>
      </c>
      <c r="AK390" s="35" t="s">
        <v>920</v>
      </c>
      <c r="AL390" s="32">
        <v>0.15079644736800002</v>
      </c>
      <c r="AM390" s="32">
        <v>1</v>
      </c>
      <c r="AN390" s="36">
        <v>0.15</v>
      </c>
    </row>
    <row r="391" spans="27:40" x14ac:dyDescent="0.25">
      <c r="AA391" s="29">
        <v>388</v>
      </c>
      <c r="AB391" s="30" t="s">
        <v>480</v>
      </c>
      <c r="AC391" s="29" t="s">
        <v>156</v>
      </c>
      <c r="AD391" s="30" t="s">
        <v>28</v>
      </c>
      <c r="AE391" s="31">
        <v>1.3823007675795071E-3</v>
      </c>
      <c r="AF391" s="12">
        <v>2.0807051797441103</v>
      </c>
      <c r="AG391" s="38">
        <f t="shared" si="31"/>
        <v>2.8761603670669398E-3</v>
      </c>
      <c r="AH391" s="32">
        <f t="shared" si="32"/>
        <v>76.97286394226478</v>
      </c>
      <c r="AI391" s="33">
        <f t="shared" si="33"/>
        <v>0.2213863006103779</v>
      </c>
      <c r="AJ391" s="34">
        <f t="shared" si="34"/>
        <v>2.2575120006360777E-2</v>
      </c>
      <c r="AK391" s="35" t="s">
        <v>920</v>
      </c>
      <c r="AL391" s="32">
        <v>0.35814156249900003</v>
      </c>
      <c r="AM391" s="32">
        <v>2.0807051797441103</v>
      </c>
      <c r="AN391" s="36">
        <v>0.75</v>
      </c>
    </row>
    <row r="392" spans="27:40" x14ac:dyDescent="0.25">
      <c r="AA392" s="29">
        <v>389</v>
      </c>
      <c r="AB392" s="30" t="s">
        <v>481</v>
      </c>
      <c r="AC392" s="29" t="s">
        <v>156</v>
      </c>
      <c r="AD392" s="30" t="s">
        <v>28</v>
      </c>
      <c r="AE392" s="31">
        <v>1.3823007675795071E-3</v>
      </c>
      <c r="AF392" s="12">
        <v>2.0807051797462806</v>
      </c>
      <c r="AG392" s="38">
        <f t="shared" si="31"/>
        <v>2.87616036706994E-3</v>
      </c>
      <c r="AH392" s="32">
        <f t="shared" si="32"/>
        <v>76.97286394226478</v>
      </c>
      <c r="AI392" s="33">
        <f t="shared" si="33"/>
        <v>0.22138630061060882</v>
      </c>
      <c r="AJ392" s="34">
        <f t="shared" si="34"/>
        <v>2.2575120006384324E-2</v>
      </c>
      <c r="AK392" s="35" t="s">
        <v>920</v>
      </c>
      <c r="AL392" s="32">
        <v>0.35814156249900003</v>
      </c>
      <c r="AM392" s="32">
        <v>2.0807051797462806</v>
      </c>
      <c r="AN392" s="36">
        <v>0.75</v>
      </c>
    </row>
    <row r="393" spans="27:40" x14ac:dyDescent="0.25">
      <c r="AA393" s="29">
        <v>390</v>
      </c>
      <c r="AB393" s="30" t="s">
        <v>482</v>
      </c>
      <c r="AC393" s="29" t="s">
        <v>156</v>
      </c>
      <c r="AD393" s="30" t="s">
        <v>28</v>
      </c>
      <c r="AE393" s="31">
        <v>1.3823007675795071E-3</v>
      </c>
      <c r="AF393" s="12">
        <v>2.0807051797469542</v>
      </c>
      <c r="AG393" s="38">
        <f t="shared" si="31"/>
        <v>2.8761603670708711E-3</v>
      </c>
      <c r="AH393" s="32">
        <f t="shared" si="32"/>
        <v>76.97286394226478</v>
      </c>
      <c r="AI393" s="33">
        <f t="shared" si="33"/>
        <v>0.22138630061068049</v>
      </c>
      <c r="AJ393" s="34">
        <f t="shared" si="34"/>
        <v>2.2575120006391631E-2</v>
      </c>
      <c r="AK393" s="35" t="s">
        <v>920</v>
      </c>
      <c r="AL393" s="32">
        <v>0.35814156249900003</v>
      </c>
      <c r="AM393" s="32">
        <v>2.0807051797469542</v>
      </c>
      <c r="AN393" s="36">
        <v>0.75</v>
      </c>
    </row>
    <row r="394" spans="27:40" x14ac:dyDescent="0.25">
      <c r="AA394" s="29">
        <v>391</v>
      </c>
      <c r="AB394" s="30" t="s">
        <v>483</v>
      </c>
      <c r="AC394" s="29" t="s">
        <v>156</v>
      </c>
      <c r="AD394" s="30" t="s">
        <v>28</v>
      </c>
      <c r="AE394" s="31">
        <v>1.3823007675795071E-3</v>
      </c>
      <c r="AF394" s="12">
        <v>2.0807051797451113</v>
      </c>
      <c r="AG394" s="38">
        <f t="shared" si="31"/>
        <v>2.8761603670683237E-3</v>
      </c>
      <c r="AH394" s="32">
        <f t="shared" si="32"/>
        <v>76.97286394226478</v>
      </c>
      <c r="AI394" s="33">
        <f t="shared" si="33"/>
        <v>0.22138630061048439</v>
      </c>
      <c r="AJ394" s="34">
        <f t="shared" si="34"/>
        <v>2.2575120006371636E-2</v>
      </c>
      <c r="AK394" s="35" t="s">
        <v>920</v>
      </c>
      <c r="AL394" s="32">
        <v>0.35814156249900003</v>
      </c>
      <c r="AM394" s="32">
        <v>2.0807051797451113</v>
      </c>
      <c r="AN394" s="36">
        <v>0.75</v>
      </c>
    </row>
    <row r="395" spans="27:40" x14ac:dyDescent="0.25">
      <c r="AA395" s="29">
        <v>392</v>
      </c>
      <c r="AB395" s="30" t="s">
        <v>484</v>
      </c>
      <c r="AC395" s="29" t="s">
        <v>156</v>
      </c>
      <c r="AD395" s="30" t="s">
        <v>28</v>
      </c>
      <c r="AE395" s="31">
        <v>1.3823007675795071E-3</v>
      </c>
      <c r="AF395" s="12">
        <v>2.0807051797444625</v>
      </c>
      <c r="AG395" s="38">
        <f t="shared" si="31"/>
        <v>2.8761603670674268E-3</v>
      </c>
      <c r="AH395" s="32">
        <f t="shared" si="32"/>
        <v>76.97286394226478</v>
      </c>
      <c r="AI395" s="33">
        <f t="shared" si="33"/>
        <v>0.22138630061041537</v>
      </c>
      <c r="AJ395" s="34">
        <f t="shared" si="34"/>
        <v>2.2575120006364597E-2</v>
      </c>
      <c r="AK395" s="35" t="s">
        <v>920</v>
      </c>
      <c r="AL395" s="32">
        <v>0.35814156249900003</v>
      </c>
      <c r="AM395" s="32">
        <v>2.0807051797444625</v>
      </c>
      <c r="AN395" s="36">
        <v>0.75</v>
      </c>
    </row>
    <row r="396" spans="27:40" x14ac:dyDescent="0.25">
      <c r="AA396" s="29">
        <v>393</v>
      </c>
      <c r="AB396" s="30" t="s">
        <v>485</v>
      </c>
      <c r="AC396" s="29" t="s">
        <v>156</v>
      </c>
      <c r="AD396" s="30" t="s">
        <v>28</v>
      </c>
      <c r="AE396" s="31">
        <v>1.3823007675795071E-3</v>
      </c>
      <c r="AF396" s="12">
        <v>2.0807051797468379</v>
      </c>
      <c r="AG396" s="38">
        <f t="shared" si="31"/>
        <v>2.8761603670707102E-3</v>
      </c>
      <c r="AH396" s="32">
        <f t="shared" si="32"/>
        <v>76.97286394226478</v>
      </c>
      <c r="AI396" s="33">
        <f t="shared" si="33"/>
        <v>0.22138630061066811</v>
      </c>
      <c r="AJ396" s="34">
        <f t="shared" si="34"/>
        <v>2.2575120006390371E-2</v>
      </c>
      <c r="AK396" s="35" t="s">
        <v>920</v>
      </c>
      <c r="AL396" s="32">
        <v>0.35814156249900003</v>
      </c>
      <c r="AM396" s="32">
        <v>2.0807051797468379</v>
      </c>
      <c r="AN396" s="36">
        <v>0.75</v>
      </c>
    </row>
    <row r="397" spans="27:40" x14ac:dyDescent="0.25">
      <c r="AA397" s="29">
        <v>394</v>
      </c>
      <c r="AB397" s="30" t="s">
        <v>486</v>
      </c>
      <c r="AC397" s="29" t="s">
        <v>156</v>
      </c>
      <c r="AD397" s="30" t="s">
        <v>28</v>
      </c>
      <c r="AE397" s="31">
        <v>1.3823007675795071E-3</v>
      </c>
      <c r="AF397" s="12">
        <v>2.0807051797433171</v>
      </c>
      <c r="AG397" s="38">
        <f t="shared" si="31"/>
        <v>2.8761603670658434E-3</v>
      </c>
      <c r="AH397" s="32">
        <f t="shared" si="32"/>
        <v>76.97286394226478</v>
      </c>
      <c r="AI397" s="33">
        <f t="shared" si="33"/>
        <v>0.22138630061029349</v>
      </c>
      <c r="AJ397" s="34">
        <f t="shared" si="34"/>
        <v>2.2575120006352169E-2</v>
      </c>
      <c r="AK397" s="35" t="s">
        <v>920</v>
      </c>
      <c r="AL397" s="32">
        <v>0.35814156249900003</v>
      </c>
      <c r="AM397" s="32">
        <v>2.0807051797433171</v>
      </c>
      <c r="AN397" s="36">
        <v>0.75</v>
      </c>
    </row>
    <row r="398" spans="27:40" x14ac:dyDescent="0.25">
      <c r="AA398" s="29">
        <v>395</v>
      </c>
      <c r="AB398" s="30" t="s">
        <v>487</v>
      </c>
      <c r="AC398" s="29" t="s">
        <v>156</v>
      </c>
      <c r="AD398" s="30" t="s">
        <v>28</v>
      </c>
      <c r="AE398" s="31">
        <v>1.3823007675795071E-3</v>
      </c>
      <c r="AF398" s="12">
        <v>2.0807051797459848</v>
      </c>
      <c r="AG398" s="38">
        <f t="shared" si="31"/>
        <v>2.876160367069531E-3</v>
      </c>
      <c r="AH398" s="32">
        <f t="shared" si="32"/>
        <v>76.97286394226478</v>
      </c>
      <c r="AI398" s="33">
        <f t="shared" si="33"/>
        <v>0.22138630061057735</v>
      </c>
      <c r="AJ398" s="34">
        <f t="shared" si="34"/>
        <v>2.2575120006381115E-2</v>
      </c>
      <c r="AK398" s="35" t="s">
        <v>920</v>
      </c>
      <c r="AL398" s="32">
        <v>0.35814156249900003</v>
      </c>
      <c r="AM398" s="32">
        <v>2.0807051797459848</v>
      </c>
      <c r="AN398" s="36">
        <v>0.75</v>
      </c>
    </row>
    <row r="399" spans="27:40" x14ac:dyDescent="0.25">
      <c r="AA399" s="29">
        <v>396</v>
      </c>
      <c r="AB399" s="30" t="s">
        <v>488</v>
      </c>
      <c r="AC399" s="29" t="s">
        <v>156</v>
      </c>
      <c r="AD399" s="30" t="s">
        <v>28</v>
      </c>
      <c r="AE399" s="31">
        <v>1.3823007675795071E-3</v>
      </c>
      <c r="AF399" s="12">
        <v>2.0807051797455443</v>
      </c>
      <c r="AG399" s="38">
        <f t="shared" si="31"/>
        <v>2.8761603670689221E-3</v>
      </c>
      <c r="AH399" s="32">
        <f t="shared" si="32"/>
        <v>76.97286394226478</v>
      </c>
      <c r="AI399" s="33">
        <f t="shared" si="33"/>
        <v>0.22138630061053047</v>
      </c>
      <c r="AJ399" s="34">
        <f t="shared" si="34"/>
        <v>2.2575120006376334E-2</v>
      </c>
      <c r="AK399" s="35" t="s">
        <v>920</v>
      </c>
      <c r="AL399" s="32">
        <v>0.35814156249900003</v>
      </c>
      <c r="AM399" s="32">
        <v>2.0807051797455443</v>
      </c>
      <c r="AN399" s="36">
        <v>0.75</v>
      </c>
    </row>
    <row r="400" spans="27:40" x14ac:dyDescent="0.25">
      <c r="AA400" s="29">
        <v>397</v>
      </c>
      <c r="AB400" s="30" t="s">
        <v>489</v>
      </c>
      <c r="AC400" s="29" t="s">
        <v>156</v>
      </c>
      <c r="AD400" s="30" t="s">
        <v>28</v>
      </c>
      <c r="AE400" s="31">
        <v>1.3823007675795071E-3</v>
      </c>
      <c r="AF400" s="12">
        <v>2.0807051797457792</v>
      </c>
      <c r="AG400" s="38">
        <f t="shared" si="31"/>
        <v>2.8761603670692465E-3</v>
      </c>
      <c r="AH400" s="32">
        <f t="shared" si="32"/>
        <v>76.97286394226478</v>
      </c>
      <c r="AI400" s="33">
        <f t="shared" si="33"/>
        <v>0.22138630061055545</v>
      </c>
      <c r="AJ400" s="34">
        <f t="shared" si="34"/>
        <v>2.2575120006378881E-2</v>
      </c>
      <c r="AK400" s="35" t="s">
        <v>920</v>
      </c>
      <c r="AL400" s="32">
        <v>0.35814156249900003</v>
      </c>
      <c r="AM400" s="32">
        <v>2.0807051797457792</v>
      </c>
      <c r="AN400" s="36">
        <v>0.75</v>
      </c>
    </row>
    <row r="401" spans="27:40" x14ac:dyDescent="0.25">
      <c r="AA401" s="29">
        <v>398</v>
      </c>
      <c r="AB401" s="30" t="s">
        <v>490</v>
      </c>
      <c r="AC401" s="29" t="s">
        <v>156</v>
      </c>
      <c r="AD401" s="30" t="s">
        <v>28</v>
      </c>
      <c r="AE401" s="31">
        <v>1.3823007675795071E-3</v>
      </c>
      <c r="AF401" s="12">
        <v>2.0807051797433846</v>
      </c>
      <c r="AG401" s="38">
        <f t="shared" si="31"/>
        <v>2.8761603670659367E-3</v>
      </c>
      <c r="AH401" s="32">
        <f t="shared" si="32"/>
        <v>76.97286394226478</v>
      </c>
      <c r="AI401" s="33">
        <f t="shared" si="33"/>
        <v>0.22138630061030068</v>
      </c>
      <c r="AJ401" s="34">
        <f t="shared" si="34"/>
        <v>2.2575120006352901E-2</v>
      </c>
      <c r="AK401" s="35" t="s">
        <v>920</v>
      </c>
      <c r="AL401" s="32">
        <v>0.35814156249900003</v>
      </c>
      <c r="AM401" s="32">
        <v>2.0807051797433846</v>
      </c>
      <c r="AN401" s="36">
        <v>0.75</v>
      </c>
    </row>
    <row r="402" spans="27:40" x14ac:dyDescent="0.25">
      <c r="AA402" s="29">
        <v>399</v>
      </c>
      <c r="AB402" s="30" t="s">
        <v>491</v>
      </c>
      <c r="AC402" s="29" t="s">
        <v>156</v>
      </c>
      <c r="AD402" s="30" t="s">
        <v>28</v>
      </c>
      <c r="AE402" s="31">
        <v>1.3823007675795071E-3</v>
      </c>
      <c r="AF402" s="12">
        <v>2.0807051797462073</v>
      </c>
      <c r="AG402" s="38">
        <f t="shared" si="31"/>
        <v>2.8761603670698385E-3</v>
      </c>
      <c r="AH402" s="32">
        <f t="shared" si="32"/>
        <v>76.97286394226478</v>
      </c>
      <c r="AI402" s="33">
        <f t="shared" si="33"/>
        <v>0.22138630061060099</v>
      </c>
      <c r="AJ402" s="34">
        <f t="shared" si="34"/>
        <v>2.2575120006383526E-2</v>
      </c>
      <c r="AK402" s="35" t="s">
        <v>920</v>
      </c>
      <c r="AL402" s="32">
        <v>0.35814156249900003</v>
      </c>
      <c r="AM402" s="32">
        <v>2.0807051797462073</v>
      </c>
      <c r="AN402" s="36">
        <v>0.75</v>
      </c>
    </row>
    <row r="403" spans="27:40" x14ac:dyDescent="0.25">
      <c r="AA403" s="29">
        <v>400</v>
      </c>
      <c r="AB403" s="30" t="s">
        <v>492</v>
      </c>
      <c r="AC403" s="29" t="s">
        <v>156</v>
      </c>
      <c r="AD403" s="30" t="s">
        <v>28</v>
      </c>
      <c r="AE403" s="31">
        <v>1.3823007675795071E-3</v>
      </c>
      <c r="AF403" s="12">
        <v>2.0807051797430582</v>
      </c>
      <c r="AG403" s="38">
        <f t="shared" si="31"/>
        <v>2.8761603670654856E-3</v>
      </c>
      <c r="AH403" s="32">
        <f t="shared" si="32"/>
        <v>76.97286394226478</v>
      </c>
      <c r="AI403" s="33">
        <f t="shared" si="33"/>
        <v>0.22138630061026596</v>
      </c>
      <c r="AJ403" s="34">
        <f t="shared" si="34"/>
        <v>2.2575120006349363E-2</v>
      </c>
      <c r="AK403" s="35" t="s">
        <v>920</v>
      </c>
      <c r="AL403" s="32">
        <v>0.35814156249900003</v>
      </c>
      <c r="AM403" s="32">
        <v>2.0807051797430582</v>
      </c>
      <c r="AN403" s="36">
        <v>0.75</v>
      </c>
    </row>
    <row r="404" spans="27:40" x14ac:dyDescent="0.25">
      <c r="AA404" s="29">
        <v>401</v>
      </c>
      <c r="AB404" s="30" t="s">
        <v>493</v>
      </c>
      <c r="AC404" s="29" t="s">
        <v>156</v>
      </c>
      <c r="AD404" s="30" t="s">
        <v>28</v>
      </c>
      <c r="AE404" s="31">
        <v>1.3823007675795071E-3</v>
      </c>
      <c r="AF404" s="12">
        <v>2.0807051797482585</v>
      </c>
      <c r="AG404" s="38">
        <f t="shared" si="31"/>
        <v>2.8761603670726739E-3</v>
      </c>
      <c r="AH404" s="32">
        <f t="shared" si="32"/>
        <v>76.97286394226478</v>
      </c>
      <c r="AI404" s="33">
        <f t="shared" si="33"/>
        <v>0.22138630061081926</v>
      </c>
      <c r="AJ404" s="34">
        <f t="shared" si="34"/>
        <v>2.2575120006405783E-2</v>
      </c>
      <c r="AK404" s="35" t="s">
        <v>920</v>
      </c>
      <c r="AL404" s="32">
        <v>0.35814156249900003</v>
      </c>
      <c r="AM404" s="32">
        <v>2.0807051797482585</v>
      </c>
      <c r="AN404" s="36">
        <v>0.75</v>
      </c>
    </row>
    <row r="405" spans="27:40" x14ac:dyDescent="0.25">
      <c r="AA405" s="29">
        <v>402</v>
      </c>
      <c r="AB405" s="30" t="s">
        <v>494</v>
      </c>
      <c r="AC405" s="29" t="s">
        <v>156</v>
      </c>
      <c r="AD405" s="30" t="s">
        <v>28</v>
      </c>
      <c r="AE405" s="31">
        <v>1.3823007675795071E-3</v>
      </c>
      <c r="AF405" s="12">
        <v>2.08070517974528</v>
      </c>
      <c r="AG405" s="38">
        <f t="shared" si="31"/>
        <v>2.876160367068557E-3</v>
      </c>
      <c r="AH405" s="32">
        <f t="shared" si="32"/>
        <v>76.97286394226478</v>
      </c>
      <c r="AI405" s="33">
        <f t="shared" si="33"/>
        <v>0.22138630061050235</v>
      </c>
      <c r="AJ405" s="34">
        <f t="shared" si="34"/>
        <v>2.2575120006373468E-2</v>
      </c>
      <c r="AK405" s="35" t="s">
        <v>920</v>
      </c>
      <c r="AL405" s="32">
        <v>0.35814156249900003</v>
      </c>
      <c r="AM405" s="32">
        <v>2.08070517974528</v>
      </c>
      <c r="AN405" s="36">
        <v>0.75</v>
      </c>
    </row>
    <row r="406" spans="27:40" x14ac:dyDescent="0.25">
      <c r="AA406" s="29">
        <v>403</v>
      </c>
      <c r="AB406" s="30" t="s">
        <v>495</v>
      </c>
      <c r="AC406" s="29" t="s">
        <v>156</v>
      </c>
      <c r="AD406" s="30" t="s">
        <v>28</v>
      </c>
      <c r="AE406" s="31">
        <v>1.3823007675795071E-3</v>
      </c>
      <c r="AF406" s="12">
        <v>2.0807051797458058</v>
      </c>
      <c r="AG406" s="38">
        <f t="shared" si="31"/>
        <v>2.8761603670692834E-3</v>
      </c>
      <c r="AH406" s="32">
        <f t="shared" si="32"/>
        <v>76.97286394226478</v>
      </c>
      <c r="AI406" s="33">
        <f t="shared" si="33"/>
        <v>0.22138630061055828</v>
      </c>
      <c r="AJ406" s="34">
        <f t="shared" si="34"/>
        <v>2.2575120006379172E-2</v>
      </c>
      <c r="AK406" s="35" t="s">
        <v>920</v>
      </c>
      <c r="AL406" s="32">
        <v>0.35814156249900003</v>
      </c>
      <c r="AM406" s="32">
        <v>2.0807051797458058</v>
      </c>
      <c r="AN406" s="36">
        <v>0.75</v>
      </c>
    </row>
    <row r="407" spans="27:40" x14ac:dyDescent="0.25">
      <c r="AA407" s="29">
        <v>404</v>
      </c>
      <c r="AB407" s="30" t="s">
        <v>496</v>
      </c>
      <c r="AC407" s="29" t="s">
        <v>151</v>
      </c>
      <c r="AD407" s="30" t="s">
        <v>28</v>
      </c>
      <c r="AE407" s="31">
        <v>2.1362830044410596E-3</v>
      </c>
      <c r="AF407" s="12">
        <v>2.036669085140697</v>
      </c>
      <c r="AG407" s="38">
        <f t="shared" si="31"/>
        <v>4.3509015522565928E-3</v>
      </c>
      <c r="AH407" s="32">
        <f t="shared" si="32"/>
        <v>76.97286394226478</v>
      </c>
      <c r="AI407" s="33">
        <f t="shared" si="33"/>
        <v>0.33490135320803538</v>
      </c>
      <c r="AJ407" s="34">
        <f t="shared" si="34"/>
        <v>3.4150433961448137E-2</v>
      </c>
      <c r="AK407" s="35" t="s">
        <v>920</v>
      </c>
      <c r="AL407" s="32">
        <v>0.44296456414349994</v>
      </c>
      <c r="AM407" s="32">
        <v>2.036669085140697</v>
      </c>
      <c r="AN407" s="36">
        <v>0.9</v>
      </c>
    </row>
    <row r="408" spans="27:40" x14ac:dyDescent="0.25">
      <c r="AA408" s="29">
        <v>405</v>
      </c>
      <c r="AB408" s="30" t="s">
        <v>497</v>
      </c>
      <c r="AC408" s="29" t="s">
        <v>151</v>
      </c>
      <c r="AD408" s="30" t="s">
        <v>28</v>
      </c>
      <c r="AE408" s="31">
        <v>2.1362830044410596E-3</v>
      </c>
      <c r="AF408" s="12">
        <v>2.0366690912858165</v>
      </c>
      <c r="AG408" s="38">
        <f t="shared" si="31"/>
        <v>4.350901565384307E-3</v>
      </c>
      <c r="AH408" s="32">
        <f t="shared" si="32"/>
        <v>76.97286394226478</v>
      </c>
      <c r="AI408" s="33">
        <f t="shared" si="33"/>
        <v>0.33490135421851314</v>
      </c>
      <c r="AJ408" s="34">
        <f t="shared" si="34"/>
        <v>3.4150434064488193E-2</v>
      </c>
      <c r="AK408" s="35" t="s">
        <v>920</v>
      </c>
      <c r="AL408" s="32">
        <v>0.44296456414349994</v>
      </c>
      <c r="AM408" s="32">
        <v>2.0366690912858165</v>
      </c>
      <c r="AN408" s="36">
        <v>0.9</v>
      </c>
    </row>
    <row r="409" spans="27:40" x14ac:dyDescent="0.25">
      <c r="AA409" s="29">
        <v>406</v>
      </c>
      <c r="AB409" s="30" t="s">
        <v>498</v>
      </c>
      <c r="AC409" s="29" t="s">
        <v>151</v>
      </c>
      <c r="AD409" s="30" t="s">
        <v>28</v>
      </c>
      <c r="AE409" s="31">
        <v>2.1362830044410596E-3</v>
      </c>
      <c r="AF409" s="12">
        <v>2.0366690912859586</v>
      </c>
      <c r="AG409" s="38">
        <f t="shared" si="31"/>
        <v>4.3509015653846106E-3</v>
      </c>
      <c r="AH409" s="32">
        <f t="shared" si="32"/>
        <v>76.97286394226478</v>
      </c>
      <c r="AI409" s="33">
        <f t="shared" si="33"/>
        <v>0.33490135421853645</v>
      </c>
      <c r="AJ409" s="34">
        <f t="shared" si="34"/>
        <v>3.4150434064490573E-2</v>
      </c>
      <c r="AK409" s="35" t="s">
        <v>920</v>
      </c>
      <c r="AL409" s="32">
        <v>0.44296456414349994</v>
      </c>
      <c r="AM409" s="32">
        <v>2.0366690912859586</v>
      </c>
      <c r="AN409" s="36">
        <v>0.9</v>
      </c>
    </row>
    <row r="410" spans="27:40" x14ac:dyDescent="0.25">
      <c r="AA410" s="29">
        <v>407</v>
      </c>
      <c r="AB410" s="30" t="s">
        <v>499</v>
      </c>
      <c r="AC410" s="29" t="s">
        <v>151</v>
      </c>
      <c r="AD410" s="30" t="s">
        <v>28</v>
      </c>
      <c r="AE410" s="31">
        <v>2.1362830044410596E-3</v>
      </c>
      <c r="AF410" s="12">
        <v>2.036669091282715</v>
      </c>
      <c r="AG410" s="38">
        <f t="shared" si="31"/>
        <v>4.3509015653776812E-3</v>
      </c>
      <c r="AH410" s="32">
        <f t="shared" si="32"/>
        <v>76.97286394226478</v>
      </c>
      <c r="AI410" s="33">
        <f t="shared" si="33"/>
        <v>0.3349013542180031</v>
      </c>
      <c r="AJ410" s="34">
        <f t="shared" si="34"/>
        <v>3.4150434064436186E-2</v>
      </c>
      <c r="AK410" s="35" t="s">
        <v>920</v>
      </c>
      <c r="AL410" s="32">
        <v>0.44296456414349994</v>
      </c>
      <c r="AM410" s="32">
        <v>2.036669091282715</v>
      </c>
      <c r="AN410" s="36">
        <v>0.9</v>
      </c>
    </row>
    <row r="411" spans="27:40" x14ac:dyDescent="0.25">
      <c r="AA411" s="29">
        <v>408</v>
      </c>
      <c r="AB411" s="30" t="s">
        <v>500</v>
      </c>
      <c r="AC411" s="29" t="s">
        <v>151</v>
      </c>
      <c r="AD411" s="30" t="s">
        <v>28</v>
      </c>
      <c r="AE411" s="31">
        <v>2.1362830044410596E-3</v>
      </c>
      <c r="AF411" s="12">
        <v>2.0366690912853036</v>
      </c>
      <c r="AG411" s="38">
        <f t="shared" si="31"/>
        <v>4.3509015653832106E-3</v>
      </c>
      <c r="AH411" s="32">
        <f t="shared" si="32"/>
        <v>76.97286394226478</v>
      </c>
      <c r="AI411" s="33">
        <f t="shared" si="33"/>
        <v>0.3349013542184287</v>
      </c>
      <c r="AJ411" s="34">
        <f t="shared" si="34"/>
        <v>3.4150434064479582E-2</v>
      </c>
      <c r="AK411" s="35" t="s">
        <v>920</v>
      </c>
      <c r="AL411" s="32">
        <v>0.44296456414349994</v>
      </c>
      <c r="AM411" s="32">
        <v>2.0366690912853036</v>
      </c>
      <c r="AN411" s="36">
        <v>0.9</v>
      </c>
    </row>
    <row r="412" spans="27:40" x14ac:dyDescent="0.25">
      <c r="AA412" s="29">
        <v>409</v>
      </c>
      <c r="AB412" s="30" t="s">
        <v>501</v>
      </c>
      <c r="AC412" s="29" t="s">
        <v>151</v>
      </c>
      <c r="AD412" s="30" t="s">
        <v>28</v>
      </c>
      <c r="AE412" s="31">
        <v>2.1362830044410596E-3</v>
      </c>
      <c r="AF412" s="12">
        <v>2.036669091286528</v>
      </c>
      <c r="AG412" s="38">
        <f t="shared" si="31"/>
        <v>4.3509015653858266E-3</v>
      </c>
      <c r="AH412" s="32">
        <f t="shared" si="32"/>
        <v>76.97286394226478</v>
      </c>
      <c r="AI412" s="33">
        <f t="shared" si="33"/>
        <v>0.3349013542186301</v>
      </c>
      <c r="AJ412" s="34">
        <f t="shared" si="34"/>
        <v>3.4150434064500121E-2</v>
      </c>
      <c r="AK412" s="35" t="s">
        <v>920</v>
      </c>
      <c r="AL412" s="32">
        <v>0.44296456414349994</v>
      </c>
      <c r="AM412" s="32">
        <v>2.036669091286528</v>
      </c>
      <c r="AN412" s="36">
        <v>0.9</v>
      </c>
    </row>
    <row r="413" spans="27:40" x14ac:dyDescent="0.25">
      <c r="AA413" s="29">
        <v>410</v>
      </c>
      <c r="AB413" s="30" t="s">
        <v>502</v>
      </c>
      <c r="AC413" s="29" t="s">
        <v>151</v>
      </c>
      <c r="AD413" s="30" t="s">
        <v>28</v>
      </c>
      <c r="AE413" s="31">
        <v>2.1362830044410596E-3</v>
      </c>
      <c r="AF413" s="12">
        <v>2.0366690912842809</v>
      </c>
      <c r="AG413" s="38">
        <f t="shared" si="31"/>
        <v>4.3509015653810266E-3</v>
      </c>
      <c r="AH413" s="32">
        <f t="shared" si="32"/>
        <v>76.97286394226478</v>
      </c>
      <c r="AI413" s="33">
        <f t="shared" si="33"/>
        <v>0.33490135421826062</v>
      </c>
      <c r="AJ413" s="34">
        <f t="shared" si="34"/>
        <v>3.4150434064462443E-2</v>
      </c>
      <c r="AK413" s="35" t="s">
        <v>920</v>
      </c>
      <c r="AL413" s="32">
        <v>0.44296456414349994</v>
      </c>
      <c r="AM413" s="32">
        <v>2.0366690912842809</v>
      </c>
      <c r="AN413" s="36">
        <v>0.9</v>
      </c>
    </row>
    <row r="414" spans="27:40" x14ac:dyDescent="0.25">
      <c r="AA414" s="29">
        <v>411</v>
      </c>
      <c r="AB414" s="30" t="s">
        <v>503</v>
      </c>
      <c r="AC414" s="29" t="s">
        <v>151</v>
      </c>
      <c r="AD414" s="30" t="s">
        <v>28</v>
      </c>
      <c r="AE414" s="31">
        <v>2.1362830044410596E-3</v>
      </c>
      <c r="AF414" s="12">
        <v>2.0366690912851304</v>
      </c>
      <c r="AG414" s="38">
        <f t="shared" si="31"/>
        <v>4.3509015653828411E-3</v>
      </c>
      <c r="AH414" s="32">
        <f t="shared" si="32"/>
        <v>76.97286394226478</v>
      </c>
      <c r="AI414" s="33">
        <f t="shared" si="33"/>
        <v>0.33490135421840028</v>
      </c>
      <c r="AJ414" s="34">
        <f t="shared" si="34"/>
        <v>3.4150434064476688E-2</v>
      </c>
      <c r="AK414" s="35" t="s">
        <v>920</v>
      </c>
      <c r="AL414" s="32">
        <v>0.44296456414349994</v>
      </c>
      <c r="AM414" s="32">
        <v>2.0366690912851304</v>
      </c>
      <c r="AN414" s="36">
        <v>0.9</v>
      </c>
    </row>
    <row r="415" spans="27:40" x14ac:dyDescent="0.25">
      <c r="AA415" s="29">
        <v>412</v>
      </c>
      <c r="AB415" s="30" t="s">
        <v>504</v>
      </c>
      <c r="AC415" s="29" t="s">
        <v>151</v>
      </c>
      <c r="AD415" s="30" t="s">
        <v>28</v>
      </c>
      <c r="AE415" s="31">
        <v>2.1362830044410596E-3</v>
      </c>
      <c r="AF415" s="12">
        <v>2.0366690912853014</v>
      </c>
      <c r="AG415" s="38">
        <f t="shared" si="31"/>
        <v>4.3509015653832063E-3</v>
      </c>
      <c r="AH415" s="32">
        <f t="shared" si="32"/>
        <v>76.97286394226478</v>
      </c>
      <c r="AI415" s="33">
        <f t="shared" si="33"/>
        <v>0.33490135421842837</v>
      </c>
      <c r="AJ415" s="34">
        <f t="shared" si="34"/>
        <v>3.4150434064479554E-2</v>
      </c>
      <c r="AK415" s="35" t="s">
        <v>920</v>
      </c>
      <c r="AL415" s="32">
        <v>0.44296456414349994</v>
      </c>
      <c r="AM415" s="32">
        <v>2.0366690912853014</v>
      </c>
      <c r="AN415" s="36">
        <v>0.9</v>
      </c>
    </row>
    <row r="416" spans="27:40" x14ac:dyDescent="0.25">
      <c r="AA416" s="29">
        <v>413</v>
      </c>
      <c r="AB416" s="30" t="s">
        <v>505</v>
      </c>
      <c r="AC416" s="29" t="s">
        <v>151</v>
      </c>
      <c r="AD416" s="30" t="s">
        <v>28</v>
      </c>
      <c r="AE416" s="31">
        <v>2.1362830044410596E-3</v>
      </c>
      <c r="AF416" s="12">
        <v>2.0366690912842667</v>
      </c>
      <c r="AG416" s="38">
        <f t="shared" si="31"/>
        <v>4.3509015653809963E-3</v>
      </c>
      <c r="AH416" s="32">
        <f t="shared" si="32"/>
        <v>76.97286394226478</v>
      </c>
      <c r="AI416" s="33">
        <f t="shared" si="33"/>
        <v>0.33490135421825828</v>
      </c>
      <c r="AJ416" s="34">
        <f t="shared" si="34"/>
        <v>3.4150434064462207E-2</v>
      </c>
      <c r="AK416" s="35" t="s">
        <v>920</v>
      </c>
      <c r="AL416" s="32">
        <v>0.44296456414349994</v>
      </c>
      <c r="AM416" s="32">
        <v>2.0366690912842667</v>
      </c>
      <c r="AN416" s="36">
        <v>0.9</v>
      </c>
    </row>
    <row r="417" spans="27:40" x14ac:dyDescent="0.25">
      <c r="AA417" s="29">
        <v>414</v>
      </c>
      <c r="AB417" s="30" t="s">
        <v>506</v>
      </c>
      <c r="AC417" s="29" t="s">
        <v>151</v>
      </c>
      <c r="AD417" s="30" t="s">
        <v>28</v>
      </c>
      <c r="AE417" s="31">
        <v>2.1362830044410596E-3</v>
      </c>
      <c r="AF417" s="12">
        <v>2.0366690912853036</v>
      </c>
      <c r="AG417" s="38">
        <f t="shared" si="31"/>
        <v>4.3509015653832106E-3</v>
      </c>
      <c r="AH417" s="32">
        <f t="shared" si="32"/>
        <v>76.97286394226478</v>
      </c>
      <c r="AI417" s="33">
        <f t="shared" si="33"/>
        <v>0.3349013542184287</v>
      </c>
      <c r="AJ417" s="34">
        <f t="shared" si="34"/>
        <v>3.4150434064479582E-2</v>
      </c>
      <c r="AK417" s="35" t="s">
        <v>920</v>
      </c>
      <c r="AL417" s="32">
        <v>0.44296456414349994</v>
      </c>
      <c r="AM417" s="32">
        <v>2.0366690912853036</v>
      </c>
      <c r="AN417" s="36">
        <v>0.9</v>
      </c>
    </row>
    <row r="418" spans="27:40" x14ac:dyDescent="0.25">
      <c r="AA418" s="29">
        <v>415</v>
      </c>
      <c r="AB418" s="30" t="s">
        <v>507</v>
      </c>
      <c r="AC418" s="29" t="s">
        <v>151</v>
      </c>
      <c r="AD418" s="30" t="s">
        <v>28</v>
      </c>
      <c r="AE418" s="31">
        <v>2.1362830044410596E-3</v>
      </c>
      <c r="AF418" s="12">
        <v>2.0366690912827115</v>
      </c>
      <c r="AG418" s="38">
        <f t="shared" si="31"/>
        <v>4.3509015653776734E-3</v>
      </c>
      <c r="AH418" s="32">
        <f t="shared" si="32"/>
        <v>76.97286394226478</v>
      </c>
      <c r="AI418" s="33">
        <f t="shared" si="33"/>
        <v>0.33490135421800249</v>
      </c>
      <c r="AJ418" s="34">
        <f t="shared" si="34"/>
        <v>3.4150434064436123E-2</v>
      </c>
      <c r="AK418" s="35" t="s">
        <v>920</v>
      </c>
      <c r="AL418" s="32">
        <v>0.44296456414349994</v>
      </c>
      <c r="AM418" s="32">
        <v>2.0366690912827115</v>
      </c>
      <c r="AN418" s="36">
        <v>0.9</v>
      </c>
    </row>
    <row r="419" spans="27:40" x14ac:dyDescent="0.25">
      <c r="AA419" s="29">
        <v>416</v>
      </c>
      <c r="AB419" s="30" t="s">
        <v>508</v>
      </c>
      <c r="AC419" s="29" t="s">
        <v>151</v>
      </c>
      <c r="AD419" s="30" t="s">
        <v>28</v>
      </c>
      <c r="AE419" s="31">
        <v>2.1362830044410596E-3</v>
      </c>
      <c r="AF419" s="12">
        <v>2.0366690912859542</v>
      </c>
      <c r="AG419" s="38">
        <f t="shared" si="31"/>
        <v>4.350901565384601E-3</v>
      </c>
      <c r="AH419" s="32">
        <f t="shared" si="32"/>
        <v>76.97286394226478</v>
      </c>
      <c r="AI419" s="33">
        <f t="shared" si="33"/>
        <v>0.33490135421853573</v>
      </c>
      <c r="AJ419" s="34">
        <f t="shared" si="34"/>
        <v>3.4150434064490497E-2</v>
      </c>
      <c r="AK419" s="35" t="s">
        <v>920</v>
      </c>
      <c r="AL419" s="32">
        <v>0.44296456414349994</v>
      </c>
      <c r="AM419" s="32">
        <v>2.0366690912859542</v>
      </c>
      <c r="AN419" s="36">
        <v>0.9</v>
      </c>
    </row>
    <row r="420" spans="27:40" x14ac:dyDescent="0.25">
      <c r="AA420" s="29">
        <v>417</v>
      </c>
      <c r="AB420" s="30" t="s">
        <v>509</v>
      </c>
      <c r="AC420" s="29" t="s">
        <v>151</v>
      </c>
      <c r="AD420" s="30" t="s">
        <v>28</v>
      </c>
      <c r="AE420" s="31">
        <v>2.1362830044410596E-3</v>
      </c>
      <c r="AF420" s="12">
        <v>2.0366690912858196</v>
      </c>
      <c r="AG420" s="38">
        <f t="shared" si="31"/>
        <v>4.3509015653843131E-3</v>
      </c>
      <c r="AH420" s="32">
        <f t="shared" si="32"/>
        <v>76.97286394226478</v>
      </c>
      <c r="AI420" s="33">
        <f t="shared" si="33"/>
        <v>0.33490135421851358</v>
      </c>
      <c r="AJ420" s="34">
        <f t="shared" si="34"/>
        <v>3.4150434064488241E-2</v>
      </c>
      <c r="AK420" s="35" t="s">
        <v>920</v>
      </c>
      <c r="AL420" s="32">
        <v>0.44296456414349994</v>
      </c>
      <c r="AM420" s="32">
        <v>2.0366690912858196</v>
      </c>
      <c r="AN420" s="36">
        <v>0.9</v>
      </c>
    </row>
    <row r="421" spans="27:40" x14ac:dyDescent="0.25">
      <c r="AA421" s="29">
        <v>418</v>
      </c>
      <c r="AB421" s="30" t="s">
        <v>510</v>
      </c>
      <c r="AC421" s="29" t="s">
        <v>151</v>
      </c>
      <c r="AD421" s="30" t="s">
        <v>28</v>
      </c>
      <c r="AE421" s="31">
        <v>2.1362830044410596E-3</v>
      </c>
      <c r="AF421" s="12">
        <v>2.0366690851407134</v>
      </c>
      <c r="AG421" s="38">
        <f t="shared" si="31"/>
        <v>4.3509015522566275E-3</v>
      </c>
      <c r="AH421" s="32">
        <f t="shared" si="32"/>
        <v>76.97286394226478</v>
      </c>
      <c r="AI421" s="33">
        <f t="shared" si="33"/>
        <v>0.33490135320803804</v>
      </c>
      <c r="AJ421" s="34">
        <f t="shared" si="34"/>
        <v>3.4150433961448415E-2</v>
      </c>
      <c r="AK421" s="35" t="s">
        <v>920</v>
      </c>
      <c r="AL421" s="32">
        <v>0.44296456414349994</v>
      </c>
      <c r="AM421" s="32">
        <v>2.0366690851407134</v>
      </c>
      <c r="AN421" s="36">
        <v>0.9</v>
      </c>
    </row>
    <row r="422" spans="27:40" x14ac:dyDescent="0.25">
      <c r="AA422" s="29">
        <v>419</v>
      </c>
      <c r="AB422" s="30" t="s">
        <v>511</v>
      </c>
      <c r="AC422" s="29" t="s">
        <v>157</v>
      </c>
      <c r="AD422" s="30" t="s">
        <v>28</v>
      </c>
      <c r="AE422" s="31">
        <v>3.5735616434583872E-4</v>
      </c>
      <c r="AF422" s="12">
        <v>1.5197221558262051</v>
      </c>
      <c r="AG422" s="38">
        <f t="shared" si="31"/>
        <v>5.4308208047744162E-4</v>
      </c>
      <c r="AH422" s="32">
        <f t="shared" si="32"/>
        <v>76.97286394226478</v>
      </c>
      <c r="AI422" s="33">
        <f t="shared" si="33"/>
        <v>4.1802583090072204E-2</v>
      </c>
      <c r="AJ422" s="34">
        <f t="shared" si="34"/>
        <v>4.2626771721303615E-3</v>
      </c>
      <c r="AK422" s="35" t="s">
        <v>920</v>
      </c>
      <c r="AL422" s="32">
        <v>0.15079644736800002</v>
      </c>
      <c r="AM422" s="32">
        <v>1.5197221558262051</v>
      </c>
      <c r="AN422" s="36">
        <v>0.23</v>
      </c>
    </row>
    <row r="423" spans="27:40" x14ac:dyDescent="0.25">
      <c r="AA423" s="29">
        <v>420</v>
      </c>
      <c r="AB423" s="30" t="s">
        <v>512</v>
      </c>
      <c r="AC423" s="29" t="s">
        <v>153</v>
      </c>
      <c r="AD423" s="30" t="s">
        <v>28</v>
      </c>
      <c r="AE423" s="31">
        <v>8.2938046054770545E-4</v>
      </c>
      <c r="AF423" s="12">
        <v>1.5197221474731262</v>
      </c>
      <c r="AG423" s="38">
        <f t="shared" si="31"/>
        <v>1.2604278545758094E-3</v>
      </c>
      <c r="AH423" s="32">
        <f t="shared" si="32"/>
        <v>76.97286394226478</v>
      </c>
      <c r="AI423" s="33">
        <f t="shared" si="33"/>
        <v>9.7018741759304472E-2</v>
      </c>
      <c r="AJ423" s="34">
        <f t="shared" si="34"/>
        <v>9.8931583934681547E-3</v>
      </c>
      <c r="AK423" s="35" t="s">
        <v>920</v>
      </c>
      <c r="AL423" s="32">
        <v>0.21991148574500002</v>
      </c>
      <c r="AM423" s="32">
        <v>1.5197221474731262</v>
      </c>
      <c r="AN423" s="36">
        <v>0.33</v>
      </c>
    </row>
    <row r="424" spans="27:40" x14ac:dyDescent="0.25">
      <c r="AA424" s="29">
        <v>421</v>
      </c>
      <c r="AB424" s="30" t="s">
        <v>513</v>
      </c>
      <c r="AC424" s="29" t="s">
        <v>153</v>
      </c>
      <c r="AD424" s="30" t="s">
        <v>28</v>
      </c>
      <c r="AE424" s="31">
        <v>8.2938046054770545E-4</v>
      </c>
      <c r="AF424" s="12">
        <v>1.5197221502915461</v>
      </c>
      <c r="AG424" s="38">
        <f t="shared" si="31"/>
        <v>1.2604278569133519E-3</v>
      </c>
      <c r="AH424" s="32">
        <f t="shared" si="32"/>
        <v>76.97286394226478</v>
      </c>
      <c r="AI424" s="33">
        <f t="shared" si="33"/>
        <v>9.7018741939231809E-2</v>
      </c>
      <c r="AJ424" s="34">
        <f t="shared" si="34"/>
        <v>9.8931584118156363E-3</v>
      </c>
      <c r="AK424" s="35" t="s">
        <v>920</v>
      </c>
      <c r="AL424" s="32">
        <v>0.21991148574500002</v>
      </c>
      <c r="AM424" s="32">
        <v>1.5197221502915461</v>
      </c>
      <c r="AN424" s="36">
        <v>0.33</v>
      </c>
    </row>
    <row r="425" spans="27:40" x14ac:dyDescent="0.25">
      <c r="AA425" s="29">
        <v>422</v>
      </c>
      <c r="AB425" s="30" t="s">
        <v>514</v>
      </c>
      <c r="AC425" s="29" t="s">
        <v>153</v>
      </c>
      <c r="AD425" s="30" t="s">
        <v>28</v>
      </c>
      <c r="AE425" s="31">
        <v>8.2938046054770545E-4</v>
      </c>
      <c r="AF425" s="12">
        <v>1.5197221502894147</v>
      </c>
      <c r="AG425" s="38">
        <f t="shared" si="31"/>
        <v>1.260427856911584E-3</v>
      </c>
      <c r="AH425" s="32">
        <f t="shared" si="32"/>
        <v>76.97286394226478</v>
      </c>
      <c r="AI425" s="33">
        <f t="shared" si="33"/>
        <v>9.7018741939095737E-2</v>
      </c>
      <c r="AJ425" s="34">
        <f t="shared" si="34"/>
        <v>9.8931584118017619E-3</v>
      </c>
      <c r="AK425" s="35" t="s">
        <v>920</v>
      </c>
      <c r="AL425" s="32">
        <v>0.21991148574500002</v>
      </c>
      <c r="AM425" s="32">
        <v>1.5197221502894147</v>
      </c>
      <c r="AN425" s="36">
        <v>0.33</v>
      </c>
    </row>
    <row r="426" spans="27:40" x14ac:dyDescent="0.25">
      <c r="AA426" s="29">
        <v>423</v>
      </c>
      <c r="AB426" s="30" t="s">
        <v>515</v>
      </c>
      <c r="AC426" s="29" t="s">
        <v>153</v>
      </c>
      <c r="AD426" s="30" t="s">
        <v>28</v>
      </c>
      <c r="AE426" s="31">
        <v>8.2938046054770545E-4</v>
      </c>
      <c r="AF426" s="12">
        <v>1.5197221502913925</v>
      </c>
      <c r="AG426" s="38">
        <f t="shared" si="31"/>
        <v>1.2604278569132244E-3</v>
      </c>
      <c r="AH426" s="32">
        <f t="shared" si="32"/>
        <v>76.97286394226478</v>
      </c>
      <c r="AI426" s="33">
        <f t="shared" si="33"/>
        <v>9.7018741939221997E-2</v>
      </c>
      <c r="AJ426" s="34">
        <f t="shared" si="34"/>
        <v>9.8931584118146371E-3</v>
      </c>
      <c r="AK426" s="35" t="s">
        <v>920</v>
      </c>
      <c r="AL426" s="32">
        <v>0.21991148574500002</v>
      </c>
      <c r="AM426" s="32">
        <v>1.5197221502913925</v>
      </c>
      <c r="AN426" s="36">
        <v>0.33</v>
      </c>
    </row>
    <row r="427" spans="27:40" x14ac:dyDescent="0.25">
      <c r="AA427" s="29">
        <v>424</v>
      </c>
      <c r="AB427" s="30" t="s">
        <v>516</v>
      </c>
      <c r="AC427" s="29" t="s">
        <v>153</v>
      </c>
      <c r="AD427" s="30" t="s">
        <v>28</v>
      </c>
      <c r="AE427" s="31">
        <v>8.2938046054770545E-4</v>
      </c>
      <c r="AF427" s="12">
        <v>1.5197221502907379</v>
      </c>
      <c r="AG427" s="38">
        <f t="shared" si="31"/>
        <v>1.2604278569126814E-3</v>
      </c>
      <c r="AH427" s="32">
        <f t="shared" si="32"/>
        <v>76.97286394226478</v>
      </c>
      <c r="AI427" s="33">
        <f t="shared" si="33"/>
        <v>9.7018741939180211E-2</v>
      </c>
      <c r="AJ427" s="34">
        <f t="shared" si="34"/>
        <v>9.8931584118103748E-3</v>
      </c>
      <c r="AK427" s="35" t="s">
        <v>920</v>
      </c>
      <c r="AL427" s="32">
        <v>0.21991148574500002</v>
      </c>
      <c r="AM427" s="32">
        <v>1.5197221502907379</v>
      </c>
      <c r="AN427" s="36">
        <v>0.33</v>
      </c>
    </row>
    <row r="428" spans="27:40" x14ac:dyDescent="0.25">
      <c r="AA428" s="29">
        <v>425</v>
      </c>
      <c r="AB428" s="30" t="s">
        <v>517</v>
      </c>
      <c r="AC428" s="29" t="s">
        <v>157</v>
      </c>
      <c r="AD428" s="30" t="s">
        <v>28</v>
      </c>
      <c r="AE428" s="31">
        <v>3.5735616434583872E-4</v>
      </c>
      <c r="AF428" s="12">
        <v>1.5197221502916445</v>
      </c>
      <c r="AG428" s="38">
        <f t="shared" si="31"/>
        <v>5.4308207849963232E-4</v>
      </c>
      <c r="AH428" s="32">
        <f t="shared" si="32"/>
        <v>76.97286394226478</v>
      </c>
      <c r="AI428" s="33">
        <f t="shared" si="33"/>
        <v>4.1802582937834558E-2</v>
      </c>
      <c r="AJ428" s="34">
        <f t="shared" si="34"/>
        <v>4.2626771566064417E-3</v>
      </c>
      <c r="AK428" s="35" t="s">
        <v>920</v>
      </c>
      <c r="AL428" s="32">
        <v>0.15079644736800002</v>
      </c>
      <c r="AM428" s="32">
        <v>1.5197221502916445</v>
      </c>
      <c r="AN428" s="36">
        <v>0.23</v>
      </c>
    </row>
    <row r="429" spans="27:40" x14ac:dyDescent="0.25">
      <c r="AA429" s="29">
        <v>426</v>
      </c>
      <c r="AB429" s="30" t="s">
        <v>518</v>
      </c>
      <c r="AC429" s="29" t="s">
        <v>157</v>
      </c>
      <c r="AD429" s="30" t="s">
        <v>28</v>
      </c>
      <c r="AE429" s="31">
        <v>3.5735616434583872E-4</v>
      </c>
      <c r="AF429" s="12">
        <v>1.5197221502892626</v>
      </c>
      <c r="AG429" s="38">
        <f t="shared" si="31"/>
        <v>5.4308207849878111E-4</v>
      </c>
      <c r="AH429" s="32">
        <f t="shared" si="32"/>
        <v>76.97286394226478</v>
      </c>
      <c r="AI429" s="33">
        <f t="shared" si="33"/>
        <v>4.1802582937769041E-2</v>
      </c>
      <c r="AJ429" s="34">
        <f t="shared" si="34"/>
        <v>4.2626771565997604E-3</v>
      </c>
      <c r="AK429" s="35" t="s">
        <v>920</v>
      </c>
      <c r="AL429" s="32">
        <v>0.15079644736800002</v>
      </c>
      <c r="AM429" s="32">
        <v>1.5197221502892626</v>
      </c>
      <c r="AN429" s="36">
        <v>0.23</v>
      </c>
    </row>
    <row r="430" spans="27:40" x14ac:dyDescent="0.25">
      <c r="AA430" s="29">
        <v>427</v>
      </c>
      <c r="AB430" s="30" t="s">
        <v>519</v>
      </c>
      <c r="AC430" s="29" t="s">
        <v>157</v>
      </c>
      <c r="AD430" s="30" t="s">
        <v>28</v>
      </c>
      <c r="AE430" s="31">
        <v>3.5735616434583872E-4</v>
      </c>
      <c r="AF430" s="12">
        <v>1.5197221502894194</v>
      </c>
      <c r="AG430" s="38">
        <f t="shared" si="31"/>
        <v>5.4308207849883717E-4</v>
      </c>
      <c r="AH430" s="32">
        <f t="shared" si="32"/>
        <v>76.97286394226478</v>
      </c>
      <c r="AI430" s="33">
        <f t="shared" si="33"/>
        <v>4.1802582937773357E-2</v>
      </c>
      <c r="AJ430" s="34">
        <f t="shared" si="34"/>
        <v>4.262677156600201E-3</v>
      </c>
      <c r="AK430" s="35" t="s">
        <v>920</v>
      </c>
      <c r="AL430" s="32">
        <v>0.15079644736800002</v>
      </c>
      <c r="AM430" s="32">
        <v>1.5197221502894194</v>
      </c>
      <c r="AN430" s="36">
        <v>0.23</v>
      </c>
    </row>
    <row r="431" spans="27:40" x14ac:dyDescent="0.25">
      <c r="AA431" s="29">
        <v>428</v>
      </c>
      <c r="AB431" s="30" t="s">
        <v>520</v>
      </c>
      <c r="AC431" s="29" t="s">
        <v>157</v>
      </c>
      <c r="AD431" s="30" t="s">
        <v>28</v>
      </c>
      <c r="AE431" s="31">
        <v>3.5735616434583872E-4</v>
      </c>
      <c r="AF431" s="12">
        <v>1.5197221502903198</v>
      </c>
      <c r="AG431" s="38">
        <f t="shared" si="31"/>
        <v>5.4308207849915896E-4</v>
      </c>
      <c r="AH431" s="32">
        <f t="shared" si="32"/>
        <v>76.97286394226478</v>
      </c>
      <c r="AI431" s="33">
        <f t="shared" si="33"/>
        <v>4.1802582937798122E-2</v>
      </c>
      <c r="AJ431" s="34">
        <f t="shared" si="34"/>
        <v>4.2626771566027259E-3</v>
      </c>
      <c r="AK431" s="35" t="s">
        <v>920</v>
      </c>
      <c r="AL431" s="32">
        <v>0.15079644736800002</v>
      </c>
      <c r="AM431" s="32">
        <v>1.5197221502903198</v>
      </c>
      <c r="AN431" s="36">
        <v>0.23</v>
      </c>
    </row>
    <row r="432" spans="27:40" x14ac:dyDescent="0.25">
      <c r="AA432" s="29">
        <v>429</v>
      </c>
      <c r="AB432" s="30" t="s">
        <v>521</v>
      </c>
      <c r="AC432" s="29" t="s">
        <v>157</v>
      </c>
      <c r="AD432" s="30" t="s">
        <v>28</v>
      </c>
      <c r="AE432" s="31">
        <v>3.5735616434583872E-4</v>
      </c>
      <c r="AF432" s="12">
        <v>1.5197221502901306</v>
      </c>
      <c r="AG432" s="38">
        <f t="shared" si="31"/>
        <v>5.430820784990913E-4</v>
      </c>
      <c r="AH432" s="32">
        <f t="shared" si="32"/>
        <v>76.97286394226478</v>
      </c>
      <c r="AI432" s="33">
        <f t="shared" si="33"/>
        <v>4.1802582937792918E-2</v>
      </c>
      <c r="AJ432" s="34">
        <f t="shared" si="34"/>
        <v>4.2626771566021951E-3</v>
      </c>
      <c r="AK432" s="35" t="s">
        <v>920</v>
      </c>
      <c r="AL432" s="32">
        <v>0.15079644736800002</v>
      </c>
      <c r="AM432" s="32">
        <v>1.5197221502901306</v>
      </c>
      <c r="AN432" s="36">
        <v>0.23</v>
      </c>
    </row>
    <row r="433" spans="27:40" x14ac:dyDescent="0.25">
      <c r="AA433" s="29">
        <v>430</v>
      </c>
      <c r="AB433" s="30" t="s">
        <v>522</v>
      </c>
      <c r="AC433" s="29" t="s">
        <v>157</v>
      </c>
      <c r="AD433" s="30" t="s">
        <v>28</v>
      </c>
      <c r="AE433" s="31">
        <v>3.5735616434583872E-4</v>
      </c>
      <c r="AF433" s="12">
        <v>1.5197221502911953</v>
      </c>
      <c r="AG433" s="38">
        <f t="shared" si="31"/>
        <v>5.4308207849947175E-4</v>
      </c>
      <c r="AH433" s="32">
        <f t="shared" si="32"/>
        <v>76.97286394226478</v>
      </c>
      <c r="AI433" s="33">
        <f t="shared" si="33"/>
        <v>4.18025829378222E-2</v>
      </c>
      <c r="AJ433" s="34">
        <f t="shared" si="34"/>
        <v>4.2626771566051814E-3</v>
      </c>
      <c r="AK433" s="35" t="s">
        <v>920</v>
      </c>
      <c r="AL433" s="32">
        <v>0.15079644736800002</v>
      </c>
      <c r="AM433" s="32">
        <v>1.5197221502911953</v>
      </c>
      <c r="AN433" s="36">
        <v>0.23</v>
      </c>
    </row>
    <row r="434" spans="27:40" x14ac:dyDescent="0.25">
      <c r="AA434" s="29">
        <v>431</v>
      </c>
      <c r="AB434" s="30" t="s">
        <v>523</v>
      </c>
      <c r="AC434" s="29" t="s">
        <v>157</v>
      </c>
      <c r="AD434" s="30" t="s">
        <v>28</v>
      </c>
      <c r="AE434" s="31">
        <v>3.5735616434583872E-4</v>
      </c>
      <c r="AF434" s="12">
        <v>1.5197221502884424</v>
      </c>
      <c r="AG434" s="38">
        <f t="shared" si="31"/>
        <v>5.4308207849848805E-4</v>
      </c>
      <c r="AH434" s="32">
        <f t="shared" si="32"/>
        <v>76.97286394226478</v>
      </c>
      <c r="AI434" s="33">
        <f t="shared" si="33"/>
        <v>4.1802582937746482E-2</v>
      </c>
      <c r="AJ434" s="34">
        <f t="shared" si="34"/>
        <v>4.2626771565974601E-3</v>
      </c>
      <c r="AK434" s="35" t="s">
        <v>920</v>
      </c>
      <c r="AL434" s="32">
        <v>0.15079644736800002</v>
      </c>
      <c r="AM434" s="32">
        <v>1.5197221502884424</v>
      </c>
      <c r="AN434" s="36">
        <v>0.23</v>
      </c>
    </row>
    <row r="435" spans="27:40" x14ac:dyDescent="0.25">
      <c r="AA435" s="29">
        <v>432</v>
      </c>
      <c r="AB435" s="30" t="s">
        <v>524</v>
      </c>
      <c r="AC435" s="29" t="s">
        <v>157</v>
      </c>
      <c r="AD435" s="30" t="s">
        <v>28</v>
      </c>
      <c r="AE435" s="31">
        <v>3.5735616434583872E-4</v>
      </c>
      <c r="AF435" s="12">
        <v>1.5197221502903375</v>
      </c>
      <c r="AG435" s="38">
        <f t="shared" si="31"/>
        <v>5.4308207849916525E-4</v>
      </c>
      <c r="AH435" s="32">
        <f t="shared" si="32"/>
        <v>76.97286394226478</v>
      </c>
      <c r="AI435" s="33">
        <f t="shared" si="33"/>
        <v>4.1802582937798607E-2</v>
      </c>
      <c r="AJ435" s="34">
        <f t="shared" si="34"/>
        <v>4.2626771566027753E-3</v>
      </c>
      <c r="AK435" s="35" t="s">
        <v>920</v>
      </c>
      <c r="AL435" s="32">
        <v>0.15079644736800002</v>
      </c>
      <c r="AM435" s="32">
        <v>1.5197221502903375</v>
      </c>
      <c r="AN435" s="36">
        <v>0.23</v>
      </c>
    </row>
    <row r="436" spans="27:40" x14ac:dyDescent="0.25">
      <c r="AA436" s="29">
        <v>433</v>
      </c>
      <c r="AB436" s="30" t="s">
        <v>525</v>
      </c>
      <c r="AC436" s="29" t="s">
        <v>157</v>
      </c>
      <c r="AD436" s="30" t="s">
        <v>28</v>
      </c>
      <c r="AE436" s="31">
        <v>3.5735616434583872E-4</v>
      </c>
      <c r="AF436" s="12">
        <v>1.5197221502899976</v>
      </c>
      <c r="AG436" s="38">
        <f t="shared" si="31"/>
        <v>5.4308207849904382E-4</v>
      </c>
      <c r="AH436" s="32">
        <f t="shared" si="32"/>
        <v>76.97286394226478</v>
      </c>
      <c r="AI436" s="33">
        <f t="shared" si="33"/>
        <v>4.1802582937789261E-2</v>
      </c>
      <c r="AJ436" s="34">
        <f t="shared" si="34"/>
        <v>4.262677156601823E-3</v>
      </c>
      <c r="AK436" s="35" t="s">
        <v>920</v>
      </c>
      <c r="AL436" s="32">
        <v>0.15079644736800002</v>
      </c>
      <c r="AM436" s="32">
        <v>1.5197221502899976</v>
      </c>
      <c r="AN436" s="36">
        <v>0.23</v>
      </c>
    </row>
    <row r="437" spans="27:40" x14ac:dyDescent="0.25">
      <c r="AA437" s="29">
        <v>434</v>
      </c>
      <c r="AB437" s="30" t="s">
        <v>526</v>
      </c>
      <c r="AC437" s="29" t="s">
        <v>157</v>
      </c>
      <c r="AD437" s="30" t="s">
        <v>28</v>
      </c>
      <c r="AE437" s="31">
        <v>3.5735616434583872E-4</v>
      </c>
      <c r="AF437" s="12">
        <v>1.5197221502907208</v>
      </c>
      <c r="AG437" s="38">
        <f t="shared" si="31"/>
        <v>5.4308207849930218E-4</v>
      </c>
      <c r="AH437" s="32">
        <f t="shared" si="32"/>
        <v>76.97286394226478</v>
      </c>
      <c r="AI437" s="33">
        <f t="shared" si="33"/>
        <v>4.1802582937809148E-2</v>
      </c>
      <c r="AJ437" s="34">
        <f t="shared" si="34"/>
        <v>4.2626771566038509E-3</v>
      </c>
      <c r="AK437" s="35" t="s">
        <v>920</v>
      </c>
      <c r="AL437" s="32">
        <v>0.15079644736800002</v>
      </c>
      <c r="AM437" s="32">
        <v>1.5197221502907208</v>
      </c>
      <c r="AN437" s="36">
        <v>0.23</v>
      </c>
    </row>
    <row r="438" spans="27:40" x14ac:dyDescent="0.25">
      <c r="AA438" s="29">
        <v>435</v>
      </c>
      <c r="AB438" s="30" t="s">
        <v>527</v>
      </c>
      <c r="AC438" s="29" t="s">
        <v>157</v>
      </c>
      <c r="AD438" s="30" t="s">
        <v>28</v>
      </c>
      <c r="AE438" s="31">
        <v>3.5735616434583872E-4</v>
      </c>
      <c r="AF438" s="12">
        <v>1.5197221502895877</v>
      </c>
      <c r="AG438" s="38">
        <f t="shared" si="31"/>
        <v>5.4308207849889734E-4</v>
      </c>
      <c r="AH438" s="32">
        <f t="shared" si="32"/>
        <v>76.97286394226478</v>
      </c>
      <c r="AI438" s="33">
        <f t="shared" si="33"/>
        <v>4.1802582937777985E-2</v>
      </c>
      <c r="AJ438" s="34">
        <f t="shared" si="34"/>
        <v>4.2626771566006728E-3</v>
      </c>
      <c r="AK438" s="35" t="s">
        <v>920</v>
      </c>
      <c r="AL438" s="32">
        <v>0.15079644736800002</v>
      </c>
      <c r="AM438" s="32">
        <v>1.5197221502895877</v>
      </c>
      <c r="AN438" s="36">
        <v>0.23</v>
      </c>
    </row>
    <row r="439" spans="27:40" x14ac:dyDescent="0.25">
      <c r="AA439" s="29">
        <v>436</v>
      </c>
      <c r="AB439" s="30" t="s">
        <v>528</v>
      </c>
      <c r="AC439" s="29" t="s">
        <v>157</v>
      </c>
      <c r="AD439" s="30" t="s">
        <v>28</v>
      </c>
      <c r="AE439" s="31">
        <v>3.5735616434583872E-4</v>
      </c>
      <c r="AF439" s="12">
        <v>1.5197221502908715</v>
      </c>
      <c r="AG439" s="38">
        <f t="shared" si="31"/>
        <v>5.4308207849935607E-4</v>
      </c>
      <c r="AH439" s="32">
        <f t="shared" si="32"/>
        <v>76.97286394226478</v>
      </c>
      <c r="AI439" s="33">
        <f t="shared" si="33"/>
        <v>4.1802582937813297E-2</v>
      </c>
      <c r="AJ439" s="34">
        <f t="shared" si="34"/>
        <v>4.2626771566042733E-3</v>
      </c>
      <c r="AK439" s="35" t="s">
        <v>920</v>
      </c>
      <c r="AL439" s="32">
        <v>0.15079644736800002</v>
      </c>
      <c r="AM439" s="32">
        <v>1.5197221502908715</v>
      </c>
      <c r="AN439" s="36">
        <v>0.23</v>
      </c>
    </row>
    <row r="440" spans="27:40" x14ac:dyDescent="0.25">
      <c r="AA440" s="29">
        <v>437</v>
      </c>
      <c r="AB440" s="30" t="s">
        <v>529</v>
      </c>
      <c r="AC440" s="29" t="s">
        <v>157</v>
      </c>
      <c r="AD440" s="30" t="s">
        <v>28</v>
      </c>
      <c r="AE440" s="31">
        <v>3.5735616434583872E-4</v>
      </c>
      <c r="AF440" s="12">
        <v>1.5197221502888831</v>
      </c>
      <c r="AG440" s="38">
        <f t="shared" si="31"/>
        <v>5.4308207849864559E-4</v>
      </c>
      <c r="AH440" s="32">
        <f t="shared" si="32"/>
        <v>76.97286394226478</v>
      </c>
      <c r="AI440" s="33">
        <f t="shared" si="33"/>
        <v>4.1802582937758605E-2</v>
      </c>
      <c r="AJ440" s="34">
        <f t="shared" si="34"/>
        <v>4.2626771565986961E-3</v>
      </c>
      <c r="AK440" s="35" t="s">
        <v>920</v>
      </c>
      <c r="AL440" s="32">
        <v>0.15079644736800002</v>
      </c>
      <c r="AM440" s="32">
        <v>1.5197221502888831</v>
      </c>
      <c r="AN440" s="36">
        <v>0.23</v>
      </c>
    </row>
    <row r="441" spans="27:40" x14ac:dyDescent="0.25">
      <c r="AA441" s="29">
        <v>438</v>
      </c>
      <c r="AB441" s="30" t="s">
        <v>530</v>
      </c>
      <c r="AC441" s="29" t="s">
        <v>157</v>
      </c>
      <c r="AD441" s="30" t="s">
        <v>28</v>
      </c>
      <c r="AE441" s="31">
        <v>3.5735616434583872E-4</v>
      </c>
      <c r="AF441" s="12">
        <v>1.5197221502918832</v>
      </c>
      <c r="AG441" s="38">
        <f t="shared" si="31"/>
        <v>5.4308207849971765E-4</v>
      </c>
      <c r="AH441" s="32">
        <f t="shared" si="32"/>
        <v>76.97286394226478</v>
      </c>
      <c r="AI441" s="33">
        <f t="shared" si="33"/>
        <v>4.1802582937841129E-2</v>
      </c>
      <c r="AJ441" s="34">
        <f t="shared" si="34"/>
        <v>4.2626771566071113E-3</v>
      </c>
      <c r="AK441" s="35" t="s">
        <v>920</v>
      </c>
      <c r="AL441" s="32">
        <v>0.15079644736800002</v>
      </c>
      <c r="AM441" s="32">
        <v>1.5197221502918832</v>
      </c>
      <c r="AN441" s="36">
        <v>0.23</v>
      </c>
    </row>
    <row r="442" spans="27:40" x14ac:dyDescent="0.25">
      <c r="AA442" s="29">
        <v>439</v>
      </c>
      <c r="AB442" s="30" t="s">
        <v>531</v>
      </c>
      <c r="AC442" s="29" t="s">
        <v>157</v>
      </c>
      <c r="AD442" s="30" t="s">
        <v>28</v>
      </c>
      <c r="AE442" s="31">
        <v>3.5735616434583872E-4</v>
      </c>
      <c r="AF442" s="12">
        <v>1.5197221502896916</v>
      </c>
      <c r="AG442" s="38">
        <f t="shared" si="31"/>
        <v>5.4308207849893442E-4</v>
      </c>
      <c r="AH442" s="32">
        <f t="shared" si="32"/>
        <v>76.97286394226478</v>
      </c>
      <c r="AI442" s="33">
        <f t="shared" si="33"/>
        <v>4.1802582937780837E-2</v>
      </c>
      <c r="AJ442" s="34">
        <f t="shared" si="34"/>
        <v>4.2626771566009634E-3</v>
      </c>
      <c r="AK442" s="35" t="s">
        <v>920</v>
      </c>
      <c r="AL442" s="32">
        <v>0.15079644736800002</v>
      </c>
      <c r="AM442" s="32">
        <v>1.5197221502896916</v>
      </c>
      <c r="AN442" s="36">
        <v>0.23</v>
      </c>
    </row>
    <row r="443" spans="27:40" x14ac:dyDescent="0.25">
      <c r="AA443" s="29">
        <v>440</v>
      </c>
      <c r="AB443" s="30" t="s">
        <v>532</v>
      </c>
      <c r="AC443" s="29" t="s">
        <v>157</v>
      </c>
      <c r="AD443" s="30" t="s">
        <v>28</v>
      </c>
      <c r="AE443" s="31">
        <v>3.5735616434583872E-4</v>
      </c>
      <c r="AF443" s="12">
        <v>1.5197221502893745</v>
      </c>
      <c r="AG443" s="38">
        <f t="shared" si="31"/>
        <v>5.4308207849882112E-4</v>
      </c>
      <c r="AH443" s="32">
        <f t="shared" si="32"/>
        <v>76.97286394226478</v>
      </c>
      <c r="AI443" s="33">
        <f t="shared" si="33"/>
        <v>4.1802582937772122E-2</v>
      </c>
      <c r="AJ443" s="34">
        <f t="shared" si="34"/>
        <v>4.2626771566000752E-3</v>
      </c>
      <c r="AK443" s="35" t="s">
        <v>920</v>
      </c>
      <c r="AL443" s="32">
        <v>0.15079644736800002</v>
      </c>
      <c r="AM443" s="32">
        <v>1.5197221502893745</v>
      </c>
      <c r="AN443" s="36">
        <v>0.23</v>
      </c>
    </row>
    <row r="444" spans="27:40" x14ac:dyDescent="0.25">
      <c r="AA444" s="29">
        <v>441</v>
      </c>
      <c r="AB444" s="30" t="s">
        <v>533</v>
      </c>
      <c r="AC444" s="29" t="s">
        <v>157</v>
      </c>
      <c r="AD444" s="30" t="s">
        <v>28</v>
      </c>
      <c r="AE444" s="31">
        <v>3.5735616434583872E-4</v>
      </c>
      <c r="AF444" s="12">
        <v>1.5197221502908995</v>
      </c>
      <c r="AG444" s="38">
        <f t="shared" si="31"/>
        <v>5.4308207849936615E-4</v>
      </c>
      <c r="AH444" s="32">
        <f t="shared" si="32"/>
        <v>76.97286394226478</v>
      </c>
      <c r="AI444" s="33">
        <f t="shared" si="33"/>
        <v>4.1802582937814074E-2</v>
      </c>
      <c r="AJ444" s="34">
        <f t="shared" si="34"/>
        <v>4.2626771566043531E-3</v>
      </c>
      <c r="AK444" s="35" t="s">
        <v>920</v>
      </c>
      <c r="AL444" s="32">
        <v>0.15079644736800002</v>
      </c>
      <c r="AM444" s="32">
        <v>1.5197221502908995</v>
      </c>
      <c r="AN444" s="36">
        <v>0.23</v>
      </c>
    </row>
    <row r="445" spans="27:40" x14ac:dyDescent="0.25">
      <c r="AA445" s="29">
        <v>442</v>
      </c>
      <c r="AB445" s="30" t="s">
        <v>534</v>
      </c>
      <c r="AC445" s="29" t="s">
        <v>157</v>
      </c>
      <c r="AD445" s="30" t="s">
        <v>28</v>
      </c>
      <c r="AE445" s="31">
        <v>3.5735616434583872E-4</v>
      </c>
      <c r="AF445" s="12">
        <v>1.5197221502900096</v>
      </c>
      <c r="AG445" s="38">
        <f t="shared" si="31"/>
        <v>5.4308207849904804E-4</v>
      </c>
      <c r="AH445" s="32">
        <f t="shared" si="32"/>
        <v>76.97286394226478</v>
      </c>
      <c r="AI445" s="33">
        <f t="shared" si="33"/>
        <v>4.1802582937789587E-2</v>
      </c>
      <c r="AJ445" s="34">
        <f t="shared" si="34"/>
        <v>4.2626771566018559E-3</v>
      </c>
      <c r="AK445" s="35" t="s">
        <v>920</v>
      </c>
      <c r="AL445" s="32">
        <v>0.15079644736800002</v>
      </c>
      <c r="AM445" s="32">
        <v>1.5197221502900096</v>
      </c>
      <c r="AN445" s="36">
        <v>0.23</v>
      </c>
    </row>
    <row r="446" spans="27:40" x14ac:dyDescent="0.25">
      <c r="AA446" s="29">
        <v>443</v>
      </c>
      <c r="AB446" s="30" t="s">
        <v>535</v>
      </c>
      <c r="AC446" s="29" t="s">
        <v>157</v>
      </c>
      <c r="AD446" s="30" t="s">
        <v>28</v>
      </c>
      <c r="AE446" s="31">
        <v>3.5735616434583872E-4</v>
      </c>
      <c r="AF446" s="12">
        <v>1.5197221502888516</v>
      </c>
      <c r="AG446" s="38">
        <f t="shared" si="31"/>
        <v>5.4308207849863431E-4</v>
      </c>
      <c r="AH446" s="32">
        <f t="shared" si="32"/>
        <v>76.97286394226478</v>
      </c>
      <c r="AI446" s="33">
        <f t="shared" si="33"/>
        <v>4.1802582937757737E-2</v>
      </c>
      <c r="AJ446" s="34">
        <f t="shared" si="34"/>
        <v>4.2626771565986077E-3</v>
      </c>
      <c r="AK446" s="35" t="s">
        <v>920</v>
      </c>
      <c r="AL446" s="32">
        <v>0.15079644736800002</v>
      </c>
      <c r="AM446" s="32">
        <v>1.5197221502888516</v>
      </c>
      <c r="AN446" s="36">
        <v>0.23</v>
      </c>
    </row>
    <row r="447" spans="27:40" x14ac:dyDescent="0.25">
      <c r="AA447" s="29">
        <v>444</v>
      </c>
      <c r="AB447" s="30" t="s">
        <v>536</v>
      </c>
      <c r="AC447" s="29" t="s">
        <v>157</v>
      </c>
      <c r="AD447" s="30" t="s">
        <v>28</v>
      </c>
      <c r="AE447" s="31">
        <v>3.5735616434583872E-4</v>
      </c>
      <c r="AF447" s="12">
        <v>1.5197221502905753</v>
      </c>
      <c r="AG447" s="38">
        <f t="shared" si="31"/>
        <v>5.4308207849925025E-4</v>
      </c>
      <c r="AH447" s="32">
        <f t="shared" si="32"/>
        <v>76.97286394226478</v>
      </c>
      <c r="AI447" s="33">
        <f t="shared" si="33"/>
        <v>4.1802582937805151E-2</v>
      </c>
      <c r="AJ447" s="34">
        <f t="shared" si="34"/>
        <v>4.2626771566034432E-3</v>
      </c>
      <c r="AK447" s="35" t="s">
        <v>920</v>
      </c>
      <c r="AL447" s="32">
        <v>0.15079644736800002</v>
      </c>
      <c r="AM447" s="32">
        <v>1.5197221502905753</v>
      </c>
      <c r="AN447" s="36">
        <v>0.23</v>
      </c>
    </row>
    <row r="448" spans="27:40" x14ac:dyDescent="0.25">
      <c r="AA448" s="29">
        <v>445</v>
      </c>
      <c r="AB448" s="30" t="s">
        <v>537</v>
      </c>
      <c r="AC448" s="29" t="s">
        <v>153</v>
      </c>
      <c r="AD448" s="30" t="s">
        <v>28</v>
      </c>
      <c r="AE448" s="31">
        <v>8.2938046054770545E-4</v>
      </c>
      <c r="AF448" s="12">
        <v>1.5197221502914207</v>
      </c>
      <c r="AG448" s="38">
        <f t="shared" si="31"/>
        <v>1.2604278569132478E-3</v>
      </c>
      <c r="AH448" s="32">
        <f t="shared" si="32"/>
        <v>76.97286394226478</v>
      </c>
      <c r="AI448" s="33">
        <f t="shared" si="33"/>
        <v>9.7018741939223802E-2</v>
      </c>
      <c r="AJ448" s="34">
        <f t="shared" si="34"/>
        <v>9.8931584118148209E-3</v>
      </c>
      <c r="AK448" s="35" t="s">
        <v>920</v>
      </c>
      <c r="AL448" s="32">
        <v>0.21991148574500002</v>
      </c>
      <c r="AM448" s="32">
        <v>1.5197221502914207</v>
      </c>
      <c r="AN448" s="36">
        <v>0.33</v>
      </c>
    </row>
    <row r="449" spans="27:40" x14ac:dyDescent="0.25">
      <c r="AA449" s="29">
        <v>446</v>
      </c>
      <c r="AB449" s="30" t="s">
        <v>538</v>
      </c>
      <c r="AC449" s="29" t="s">
        <v>153</v>
      </c>
      <c r="AD449" s="30" t="s">
        <v>28</v>
      </c>
      <c r="AE449" s="31">
        <v>8.2938046054770545E-4</v>
      </c>
      <c r="AF449" s="12">
        <v>1.5197221502913931</v>
      </c>
      <c r="AG449" s="38">
        <f t="shared" si="31"/>
        <v>1.2604278569132248E-3</v>
      </c>
      <c r="AH449" s="32">
        <f t="shared" si="32"/>
        <v>76.97286394226478</v>
      </c>
      <c r="AI449" s="33">
        <f t="shared" si="33"/>
        <v>9.7018741939222025E-2</v>
      </c>
      <c r="AJ449" s="34">
        <f t="shared" si="34"/>
        <v>9.8931584118146388E-3</v>
      </c>
      <c r="AK449" s="35" t="s">
        <v>920</v>
      </c>
      <c r="AL449" s="32">
        <v>0.21991148574500002</v>
      </c>
      <c r="AM449" s="32">
        <v>1.5197221502913931</v>
      </c>
      <c r="AN449" s="36">
        <v>0.33</v>
      </c>
    </row>
    <row r="450" spans="27:40" x14ac:dyDescent="0.25">
      <c r="AA450" s="29">
        <v>447</v>
      </c>
      <c r="AB450" s="30" t="s">
        <v>539</v>
      </c>
      <c r="AC450" s="29" t="s">
        <v>153</v>
      </c>
      <c r="AD450" s="30" t="s">
        <v>28</v>
      </c>
      <c r="AE450" s="31">
        <v>8.2938046054770545E-4</v>
      </c>
      <c r="AF450" s="12">
        <v>1.5197221502894127</v>
      </c>
      <c r="AG450" s="38">
        <f t="shared" si="31"/>
        <v>1.2604278569115824E-3</v>
      </c>
      <c r="AH450" s="32">
        <f t="shared" si="32"/>
        <v>76.97286394226478</v>
      </c>
      <c r="AI450" s="33">
        <f t="shared" si="33"/>
        <v>9.7018741939095612E-2</v>
      </c>
      <c r="AJ450" s="34">
        <f t="shared" si="34"/>
        <v>9.8931584118017481E-3</v>
      </c>
      <c r="AK450" s="35" t="s">
        <v>920</v>
      </c>
      <c r="AL450" s="32">
        <v>0.21991148574500002</v>
      </c>
      <c r="AM450" s="32">
        <v>1.5197221502894127</v>
      </c>
      <c r="AN450" s="36">
        <v>0.33</v>
      </c>
    </row>
    <row r="451" spans="27:40" x14ac:dyDescent="0.25">
      <c r="AA451" s="29">
        <v>448</v>
      </c>
      <c r="AB451" s="30" t="s">
        <v>540</v>
      </c>
      <c r="AC451" s="29" t="s">
        <v>153</v>
      </c>
      <c r="AD451" s="30" t="s">
        <v>28</v>
      </c>
      <c r="AE451" s="31">
        <v>8.2938046054770545E-4</v>
      </c>
      <c r="AF451" s="12">
        <v>1.5197221502906733</v>
      </c>
      <c r="AG451" s="38">
        <f t="shared" si="31"/>
        <v>1.2604278569126278E-3</v>
      </c>
      <c r="AH451" s="32">
        <f t="shared" si="32"/>
        <v>76.97286394226478</v>
      </c>
      <c r="AI451" s="33">
        <f t="shared" si="33"/>
        <v>9.7018741939176076E-2</v>
      </c>
      <c r="AJ451" s="34">
        <f t="shared" si="34"/>
        <v>9.8931584118099533E-3</v>
      </c>
      <c r="AK451" s="35" t="s">
        <v>920</v>
      </c>
      <c r="AL451" s="32">
        <v>0.21991148574500002</v>
      </c>
      <c r="AM451" s="32">
        <v>1.5197221502906733</v>
      </c>
      <c r="AN451" s="36">
        <v>0.33</v>
      </c>
    </row>
    <row r="452" spans="27:40" x14ac:dyDescent="0.25">
      <c r="AA452" s="29">
        <v>449</v>
      </c>
      <c r="AB452" s="30" t="s">
        <v>541</v>
      </c>
      <c r="AC452" s="29" t="s">
        <v>153</v>
      </c>
      <c r="AD452" s="30" t="s">
        <v>28</v>
      </c>
      <c r="AE452" s="31">
        <v>8.2938046054770545E-4</v>
      </c>
      <c r="AF452" s="12">
        <v>1.519722147473572</v>
      </c>
      <c r="AG452" s="38">
        <f t="shared" si="31"/>
        <v>1.2604278545761791E-3</v>
      </c>
      <c r="AH452" s="32">
        <f t="shared" si="32"/>
        <v>76.97286394226478</v>
      </c>
      <c r="AI452" s="33">
        <f t="shared" si="33"/>
        <v>9.7018741759332935E-2</v>
      </c>
      <c r="AJ452" s="34">
        <f t="shared" si="34"/>
        <v>9.8931583934710569E-3</v>
      </c>
      <c r="AK452" s="35" t="s">
        <v>920</v>
      </c>
      <c r="AL452" s="32">
        <v>0.21991148574500002</v>
      </c>
      <c r="AM452" s="32">
        <v>1.519722147473572</v>
      </c>
      <c r="AN452" s="36">
        <v>0.33</v>
      </c>
    </row>
    <row r="453" spans="27:40" x14ac:dyDescent="0.25">
      <c r="AA453" s="29">
        <v>450</v>
      </c>
      <c r="AB453" s="30" t="s">
        <v>542</v>
      </c>
      <c r="AC453" s="29" t="s">
        <v>157</v>
      </c>
      <c r="AD453" s="30" t="s">
        <v>28</v>
      </c>
      <c r="AE453" s="31">
        <v>3.5735616434583872E-4</v>
      </c>
      <c r="AF453" s="12">
        <v>1.5197221558268672</v>
      </c>
      <c r="AG453" s="38">
        <f t="shared" ref="AG453:AG516" si="35">IF(AA453="","",AE453*AF453)</f>
        <v>5.430820804776783E-4</v>
      </c>
      <c r="AH453" s="32">
        <f t="shared" ref="AH453:AH516" si="36">IF(AA453="","",IFERROR(VLOOKUP(AD453,$A$4:$E$20,3,FALSE),VLOOKUP(AD453,$A$25:$E$30,3,FALSE)))</f>
        <v>76.97286394226478</v>
      </c>
      <c r="AI453" s="33">
        <f t="shared" ref="AI453:AI516" si="37">IF(AA453="","",AG453*AH453)</f>
        <v>4.1802583090090425E-2</v>
      </c>
      <c r="AJ453" s="34">
        <f t="shared" ref="AJ453:AJ516" si="38">IF(AA453="","",AI453/9.80665)</f>
        <v>4.2626771721322194E-3</v>
      </c>
      <c r="AK453" s="35" t="s">
        <v>920</v>
      </c>
      <c r="AL453" s="32">
        <v>0.15079644736800002</v>
      </c>
      <c r="AM453" s="32">
        <v>1.5197221558268672</v>
      </c>
      <c r="AN453" s="36">
        <v>0.23</v>
      </c>
    </row>
    <row r="454" spans="27:40" x14ac:dyDescent="0.25">
      <c r="AA454" s="29">
        <v>451</v>
      </c>
      <c r="AB454" s="30" t="s">
        <v>543</v>
      </c>
      <c r="AC454" s="29" t="s">
        <v>150</v>
      </c>
      <c r="AD454" s="30" t="s">
        <v>9</v>
      </c>
      <c r="AE454" s="31">
        <v>7.8799999999999999E-3</v>
      </c>
      <c r="AF454" s="12">
        <v>6.4</v>
      </c>
      <c r="AG454" s="38">
        <f t="shared" si="35"/>
        <v>5.0432000000000005E-2</v>
      </c>
      <c r="AH454" s="32">
        <f t="shared" si="36"/>
        <v>76.97286394226478</v>
      </c>
      <c r="AI454" s="33">
        <f t="shared" si="37"/>
        <v>3.8818954743362979</v>
      </c>
      <c r="AJ454" s="34">
        <f t="shared" si="38"/>
        <v>0.39584317522663681</v>
      </c>
      <c r="AK454" s="35" t="s">
        <v>33</v>
      </c>
      <c r="AL454" s="32">
        <v>1.988</v>
      </c>
      <c r="AM454" s="32">
        <v>6.4</v>
      </c>
      <c r="AN454" s="36">
        <v>12.72</v>
      </c>
    </row>
    <row r="455" spans="27:40" x14ac:dyDescent="0.25">
      <c r="AA455" s="29">
        <v>452</v>
      </c>
      <c r="AB455" s="30" t="s">
        <v>544</v>
      </c>
      <c r="AC455" s="29" t="s">
        <v>150</v>
      </c>
      <c r="AD455" s="30" t="s">
        <v>9</v>
      </c>
      <c r="AE455" s="31">
        <v>7.8799999999999999E-3</v>
      </c>
      <c r="AF455" s="12">
        <v>6.4</v>
      </c>
      <c r="AG455" s="38">
        <f t="shared" si="35"/>
        <v>5.0432000000000005E-2</v>
      </c>
      <c r="AH455" s="32">
        <f t="shared" si="36"/>
        <v>76.97286394226478</v>
      </c>
      <c r="AI455" s="33">
        <f t="shared" si="37"/>
        <v>3.8818954743362979</v>
      </c>
      <c r="AJ455" s="34">
        <f t="shared" si="38"/>
        <v>0.39584317522663681</v>
      </c>
      <c r="AK455" s="35" t="s">
        <v>33</v>
      </c>
      <c r="AL455" s="32">
        <v>1.988</v>
      </c>
      <c r="AM455" s="32">
        <v>6.4</v>
      </c>
      <c r="AN455" s="36">
        <v>12.72</v>
      </c>
    </row>
    <row r="456" spans="27:40" x14ac:dyDescent="0.25">
      <c r="AA456" s="29">
        <v>453</v>
      </c>
      <c r="AB456" s="30" t="s">
        <v>545</v>
      </c>
      <c r="AC456" s="29" t="s">
        <v>158</v>
      </c>
      <c r="AD456" s="30" t="s">
        <v>28</v>
      </c>
      <c r="AE456" s="31">
        <v>2.1362830044410596E-3</v>
      </c>
      <c r="AF456" s="12">
        <v>3.1790368674891925</v>
      </c>
      <c r="AG456" s="38">
        <f t="shared" si="35"/>
        <v>6.7913224305087066E-3</v>
      </c>
      <c r="AH456" s="32">
        <f t="shared" si="36"/>
        <v>76.97286394226478</v>
      </c>
      <c r="AI456" s="33">
        <f t="shared" si="37"/>
        <v>0.52274753743159763</v>
      </c>
      <c r="AJ456" s="34">
        <f t="shared" si="38"/>
        <v>5.3305413921328655E-2</v>
      </c>
      <c r="AK456" s="35" t="s">
        <v>920</v>
      </c>
      <c r="AL456" s="32">
        <v>0.44296456414349994</v>
      </c>
      <c r="AM456" s="32">
        <v>3.1790368674891925</v>
      </c>
      <c r="AN456" s="36">
        <v>1.41</v>
      </c>
    </row>
    <row r="457" spans="27:40" x14ac:dyDescent="0.25">
      <c r="AA457" s="29">
        <v>454</v>
      </c>
      <c r="AB457" s="30" t="s">
        <v>546</v>
      </c>
      <c r="AC457" s="29" t="s">
        <v>158</v>
      </c>
      <c r="AD457" s="30" t="s">
        <v>28</v>
      </c>
      <c r="AE457" s="31">
        <v>2.1362830044410596E-3</v>
      </c>
      <c r="AF457" s="12">
        <v>3.1790368753621117</v>
      </c>
      <c r="AG457" s="38">
        <f t="shared" si="35"/>
        <v>6.79132244732749E-3</v>
      </c>
      <c r="AH457" s="32">
        <f t="shared" si="36"/>
        <v>76.97286394226478</v>
      </c>
      <c r="AI457" s="33">
        <f t="shared" si="37"/>
        <v>0.52274753872618751</v>
      </c>
      <c r="AJ457" s="34">
        <f t="shared" si="38"/>
        <v>5.3305414053340085E-2</v>
      </c>
      <c r="AK457" s="35" t="s">
        <v>920</v>
      </c>
      <c r="AL457" s="32">
        <v>0.44296456414349994</v>
      </c>
      <c r="AM457" s="32">
        <v>3.1790368753621117</v>
      </c>
      <c r="AN457" s="36">
        <v>1.41</v>
      </c>
    </row>
    <row r="458" spans="27:40" x14ac:dyDescent="0.25">
      <c r="AA458" s="29">
        <v>455</v>
      </c>
      <c r="AB458" s="30" t="s">
        <v>547</v>
      </c>
      <c r="AC458" s="29" t="s">
        <v>156</v>
      </c>
      <c r="AD458" s="30" t="s">
        <v>28</v>
      </c>
      <c r="AE458" s="31">
        <v>1.3823007675795071E-3</v>
      </c>
      <c r="AF458" s="12">
        <v>2.0807051797441103</v>
      </c>
      <c r="AG458" s="38">
        <f t="shared" si="35"/>
        <v>2.8761603670669398E-3</v>
      </c>
      <c r="AH458" s="32">
        <f t="shared" si="36"/>
        <v>76.97286394226478</v>
      </c>
      <c r="AI458" s="33">
        <f t="shared" si="37"/>
        <v>0.2213863006103779</v>
      </c>
      <c r="AJ458" s="34">
        <f t="shared" si="38"/>
        <v>2.2575120006360777E-2</v>
      </c>
      <c r="AK458" s="35" t="s">
        <v>920</v>
      </c>
      <c r="AL458" s="32">
        <v>0.35814156249900003</v>
      </c>
      <c r="AM458" s="32">
        <v>2.0807051797441103</v>
      </c>
      <c r="AN458" s="36">
        <v>0.75</v>
      </c>
    </row>
    <row r="459" spans="27:40" x14ac:dyDescent="0.25">
      <c r="AA459" s="29">
        <v>456</v>
      </c>
      <c r="AB459" s="30" t="s">
        <v>548</v>
      </c>
      <c r="AC459" s="29" t="s">
        <v>156</v>
      </c>
      <c r="AD459" s="30" t="s">
        <v>28</v>
      </c>
      <c r="AE459" s="31">
        <v>1.3823007675795071E-3</v>
      </c>
      <c r="AF459" s="12">
        <v>2.0807051797462806</v>
      </c>
      <c r="AG459" s="38">
        <f t="shared" si="35"/>
        <v>2.87616036706994E-3</v>
      </c>
      <c r="AH459" s="32">
        <f t="shared" si="36"/>
        <v>76.97286394226478</v>
      </c>
      <c r="AI459" s="33">
        <f t="shared" si="37"/>
        <v>0.22138630061060882</v>
      </c>
      <c r="AJ459" s="34">
        <f t="shared" si="38"/>
        <v>2.2575120006384324E-2</v>
      </c>
      <c r="AK459" s="35" t="s">
        <v>920</v>
      </c>
      <c r="AL459" s="32">
        <v>0.35814156249900003</v>
      </c>
      <c r="AM459" s="32">
        <v>2.0807051797462806</v>
      </c>
      <c r="AN459" s="36">
        <v>0.75</v>
      </c>
    </row>
    <row r="460" spans="27:40" x14ac:dyDescent="0.25">
      <c r="AA460" s="29">
        <v>457</v>
      </c>
      <c r="AB460" s="30" t="s">
        <v>549</v>
      </c>
      <c r="AC460" s="29" t="s">
        <v>156</v>
      </c>
      <c r="AD460" s="30" t="s">
        <v>28</v>
      </c>
      <c r="AE460" s="31">
        <v>1.3823007675795071E-3</v>
      </c>
      <c r="AF460" s="12">
        <v>2.0807051797469542</v>
      </c>
      <c r="AG460" s="38">
        <f t="shared" si="35"/>
        <v>2.8761603670708711E-3</v>
      </c>
      <c r="AH460" s="32">
        <f t="shared" si="36"/>
        <v>76.97286394226478</v>
      </c>
      <c r="AI460" s="33">
        <f t="shared" si="37"/>
        <v>0.22138630061068049</v>
      </c>
      <c r="AJ460" s="34">
        <f t="shared" si="38"/>
        <v>2.2575120006391631E-2</v>
      </c>
      <c r="AK460" s="35" t="s">
        <v>920</v>
      </c>
      <c r="AL460" s="32">
        <v>0.35814156249900003</v>
      </c>
      <c r="AM460" s="32">
        <v>2.0807051797469542</v>
      </c>
      <c r="AN460" s="36">
        <v>0.75</v>
      </c>
    </row>
    <row r="461" spans="27:40" x14ac:dyDescent="0.25">
      <c r="AA461" s="29">
        <v>458</v>
      </c>
      <c r="AB461" s="30" t="s">
        <v>550</v>
      </c>
      <c r="AC461" s="29" t="s">
        <v>156</v>
      </c>
      <c r="AD461" s="30" t="s">
        <v>28</v>
      </c>
      <c r="AE461" s="31">
        <v>1.3823007675795071E-3</v>
      </c>
      <c r="AF461" s="12">
        <v>2.0807051797451113</v>
      </c>
      <c r="AG461" s="38">
        <f t="shared" si="35"/>
        <v>2.8761603670683237E-3</v>
      </c>
      <c r="AH461" s="32">
        <f t="shared" si="36"/>
        <v>76.97286394226478</v>
      </c>
      <c r="AI461" s="33">
        <f t="shared" si="37"/>
        <v>0.22138630061048439</v>
      </c>
      <c r="AJ461" s="34">
        <f t="shared" si="38"/>
        <v>2.2575120006371636E-2</v>
      </c>
      <c r="AK461" s="35" t="s">
        <v>920</v>
      </c>
      <c r="AL461" s="32">
        <v>0.35814156249900003</v>
      </c>
      <c r="AM461" s="32">
        <v>2.0807051797451113</v>
      </c>
      <c r="AN461" s="36">
        <v>0.75</v>
      </c>
    </row>
    <row r="462" spans="27:40" x14ac:dyDescent="0.25">
      <c r="AA462" s="29">
        <v>459</v>
      </c>
      <c r="AB462" s="30" t="s">
        <v>551</v>
      </c>
      <c r="AC462" s="29" t="s">
        <v>156</v>
      </c>
      <c r="AD462" s="30" t="s">
        <v>28</v>
      </c>
      <c r="AE462" s="31">
        <v>1.3823007675795071E-3</v>
      </c>
      <c r="AF462" s="12">
        <v>2.0807051797444625</v>
      </c>
      <c r="AG462" s="38">
        <f t="shared" si="35"/>
        <v>2.8761603670674268E-3</v>
      </c>
      <c r="AH462" s="32">
        <f t="shared" si="36"/>
        <v>76.97286394226478</v>
      </c>
      <c r="AI462" s="33">
        <f t="shared" si="37"/>
        <v>0.22138630061041537</v>
      </c>
      <c r="AJ462" s="34">
        <f t="shared" si="38"/>
        <v>2.2575120006364597E-2</v>
      </c>
      <c r="AK462" s="35" t="s">
        <v>920</v>
      </c>
      <c r="AL462" s="32">
        <v>0.35814156249900003</v>
      </c>
      <c r="AM462" s="32">
        <v>2.0807051797444625</v>
      </c>
      <c r="AN462" s="36">
        <v>0.75</v>
      </c>
    </row>
    <row r="463" spans="27:40" x14ac:dyDescent="0.25">
      <c r="AA463" s="29">
        <v>460</v>
      </c>
      <c r="AB463" s="30" t="s">
        <v>552</v>
      </c>
      <c r="AC463" s="29" t="s">
        <v>156</v>
      </c>
      <c r="AD463" s="30" t="s">
        <v>28</v>
      </c>
      <c r="AE463" s="31">
        <v>1.3823007675795071E-3</v>
      </c>
      <c r="AF463" s="12">
        <v>2.0807051797468379</v>
      </c>
      <c r="AG463" s="38">
        <f t="shared" si="35"/>
        <v>2.8761603670707102E-3</v>
      </c>
      <c r="AH463" s="32">
        <f t="shared" si="36"/>
        <v>76.97286394226478</v>
      </c>
      <c r="AI463" s="33">
        <f t="shared" si="37"/>
        <v>0.22138630061066811</v>
      </c>
      <c r="AJ463" s="34">
        <f t="shared" si="38"/>
        <v>2.2575120006390371E-2</v>
      </c>
      <c r="AK463" s="35" t="s">
        <v>920</v>
      </c>
      <c r="AL463" s="32">
        <v>0.35814156249900003</v>
      </c>
      <c r="AM463" s="32">
        <v>2.0807051797468379</v>
      </c>
      <c r="AN463" s="36">
        <v>0.75</v>
      </c>
    </row>
    <row r="464" spans="27:40" x14ac:dyDescent="0.25">
      <c r="AA464" s="29">
        <v>461</v>
      </c>
      <c r="AB464" s="30" t="s">
        <v>553</v>
      </c>
      <c r="AC464" s="29" t="s">
        <v>156</v>
      </c>
      <c r="AD464" s="30" t="s">
        <v>28</v>
      </c>
      <c r="AE464" s="31">
        <v>1.3823007675795071E-3</v>
      </c>
      <c r="AF464" s="12">
        <v>2.0807051797433171</v>
      </c>
      <c r="AG464" s="38">
        <f t="shared" si="35"/>
        <v>2.8761603670658434E-3</v>
      </c>
      <c r="AH464" s="32">
        <f t="shared" si="36"/>
        <v>76.97286394226478</v>
      </c>
      <c r="AI464" s="33">
        <f t="shared" si="37"/>
        <v>0.22138630061029349</v>
      </c>
      <c r="AJ464" s="34">
        <f t="shared" si="38"/>
        <v>2.2575120006352169E-2</v>
      </c>
      <c r="AK464" s="35" t="s">
        <v>920</v>
      </c>
      <c r="AL464" s="32">
        <v>0.35814156249900003</v>
      </c>
      <c r="AM464" s="32">
        <v>2.0807051797433171</v>
      </c>
      <c r="AN464" s="36">
        <v>0.75</v>
      </c>
    </row>
    <row r="465" spans="27:40" x14ac:dyDescent="0.25">
      <c r="AA465" s="29">
        <v>462</v>
      </c>
      <c r="AB465" s="30" t="s">
        <v>554</v>
      </c>
      <c r="AC465" s="29" t="s">
        <v>156</v>
      </c>
      <c r="AD465" s="30" t="s">
        <v>28</v>
      </c>
      <c r="AE465" s="31">
        <v>1.3823007675795071E-3</v>
      </c>
      <c r="AF465" s="12">
        <v>2.0807051797459848</v>
      </c>
      <c r="AG465" s="38">
        <f t="shared" si="35"/>
        <v>2.876160367069531E-3</v>
      </c>
      <c r="AH465" s="32">
        <f t="shared" si="36"/>
        <v>76.97286394226478</v>
      </c>
      <c r="AI465" s="33">
        <f t="shared" si="37"/>
        <v>0.22138630061057735</v>
      </c>
      <c r="AJ465" s="34">
        <f t="shared" si="38"/>
        <v>2.2575120006381115E-2</v>
      </c>
      <c r="AK465" s="35" t="s">
        <v>920</v>
      </c>
      <c r="AL465" s="32">
        <v>0.35814156249900003</v>
      </c>
      <c r="AM465" s="32">
        <v>2.0807051797459848</v>
      </c>
      <c r="AN465" s="36">
        <v>0.75</v>
      </c>
    </row>
    <row r="466" spans="27:40" x14ac:dyDescent="0.25">
      <c r="AA466" s="29">
        <v>463</v>
      </c>
      <c r="AB466" s="30" t="s">
        <v>555</v>
      </c>
      <c r="AC466" s="29" t="s">
        <v>156</v>
      </c>
      <c r="AD466" s="30" t="s">
        <v>28</v>
      </c>
      <c r="AE466" s="31">
        <v>1.3823007675795071E-3</v>
      </c>
      <c r="AF466" s="12">
        <v>2.0807051797455443</v>
      </c>
      <c r="AG466" s="38">
        <f t="shared" si="35"/>
        <v>2.8761603670689221E-3</v>
      </c>
      <c r="AH466" s="32">
        <f t="shared" si="36"/>
        <v>76.97286394226478</v>
      </c>
      <c r="AI466" s="33">
        <f t="shared" si="37"/>
        <v>0.22138630061053047</v>
      </c>
      <c r="AJ466" s="34">
        <f t="shared" si="38"/>
        <v>2.2575120006376334E-2</v>
      </c>
      <c r="AK466" s="35" t="s">
        <v>920</v>
      </c>
      <c r="AL466" s="32">
        <v>0.35814156249900003</v>
      </c>
      <c r="AM466" s="32">
        <v>2.0807051797455443</v>
      </c>
      <c r="AN466" s="36">
        <v>0.75</v>
      </c>
    </row>
    <row r="467" spans="27:40" x14ac:dyDescent="0.25">
      <c r="AA467" s="29">
        <v>464</v>
      </c>
      <c r="AB467" s="30" t="s">
        <v>556</v>
      </c>
      <c r="AC467" s="29" t="s">
        <v>156</v>
      </c>
      <c r="AD467" s="30" t="s">
        <v>28</v>
      </c>
      <c r="AE467" s="31">
        <v>1.3823007675795071E-3</v>
      </c>
      <c r="AF467" s="12">
        <v>2.0807051797457792</v>
      </c>
      <c r="AG467" s="38">
        <f t="shared" si="35"/>
        <v>2.8761603670692465E-3</v>
      </c>
      <c r="AH467" s="32">
        <f t="shared" si="36"/>
        <v>76.97286394226478</v>
      </c>
      <c r="AI467" s="33">
        <f t="shared" si="37"/>
        <v>0.22138630061055545</v>
      </c>
      <c r="AJ467" s="34">
        <f t="shared" si="38"/>
        <v>2.2575120006378881E-2</v>
      </c>
      <c r="AK467" s="35" t="s">
        <v>920</v>
      </c>
      <c r="AL467" s="32">
        <v>0.35814156249900003</v>
      </c>
      <c r="AM467" s="32">
        <v>2.0807051797457792</v>
      </c>
      <c r="AN467" s="36">
        <v>0.75</v>
      </c>
    </row>
    <row r="468" spans="27:40" x14ac:dyDescent="0.25">
      <c r="AA468" s="29">
        <v>465</v>
      </c>
      <c r="AB468" s="30" t="s">
        <v>557</v>
      </c>
      <c r="AC468" s="29" t="s">
        <v>156</v>
      </c>
      <c r="AD468" s="30" t="s">
        <v>28</v>
      </c>
      <c r="AE468" s="31">
        <v>1.3823007675795071E-3</v>
      </c>
      <c r="AF468" s="12">
        <v>2.0807051797433846</v>
      </c>
      <c r="AG468" s="38">
        <f t="shared" si="35"/>
        <v>2.8761603670659367E-3</v>
      </c>
      <c r="AH468" s="32">
        <f t="shared" si="36"/>
        <v>76.97286394226478</v>
      </c>
      <c r="AI468" s="33">
        <f t="shared" si="37"/>
        <v>0.22138630061030068</v>
      </c>
      <c r="AJ468" s="34">
        <f t="shared" si="38"/>
        <v>2.2575120006352901E-2</v>
      </c>
      <c r="AK468" s="35" t="s">
        <v>920</v>
      </c>
      <c r="AL468" s="32">
        <v>0.35814156249900003</v>
      </c>
      <c r="AM468" s="32">
        <v>2.0807051797433846</v>
      </c>
      <c r="AN468" s="36">
        <v>0.75</v>
      </c>
    </row>
    <row r="469" spans="27:40" x14ac:dyDescent="0.25">
      <c r="AA469" s="29">
        <v>466</v>
      </c>
      <c r="AB469" s="30" t="s">
        <v>558</v>
      </c>
      <c r="AC469" s="29" t="s">
        <v>156</v>
      </c>
      <c r="AD469" s="30" t="s">
        <v>28</v>
      </c>
      <c r="AE469" s="31">
        <v>1.3823007675795071E-3</v>
      </c>
      <c r="AF469" s="12">
        <v>2.0807051797462073</v>
      </c>
      <c r="AG469" s="38">
        <f t="shared" si="35"/>
        <v>2.8761603670698385E-3</v>
      </c>
      <c r="AH469" s="32">
        <f t="shared" si="36"/>
        <v>76.97286394226478</v>
      </c>
      <c r="AI469" s="33">
        <f t="shared" si="37"/>
        <v>0.22138630061060099</v>
      </c>
      <c r="AJ469" s="34">
        <f t="shared" si="38"/>
        <v>2.2575120006383526E-2</v>
      </c>
      <c r="AK469" s="35" t="s">
        <v>920</v>
      </c>
      <c r="AL469" s="32">
        <v>0.35814156249900003</v>
      </c>
      <c r="AM469" s="32">
        <v>2.0807051797462073</v>
      </c>
      <c r="AN469" s="36">
        <v>0.75</v>
      </c>
    </row>
    <row r="470" spans="27:40" x14ac:dyDescent="0.25">
      <c r="AA470" s="29">
        <v>467</v>
      </c>
      <c r="AB470" s="30" t="s">
        <v>559</v>
      </c>
      <c r="AC470" s="29" t="s">
        <v>156</v>
      </c>
      <c r="AD470" s="30" t="s">
        <v>28</v>
      </c>
      <c r="AE470" s="31">
        <v>1.3823007675795071E-3</v>
      </c>
      <c r="AF470" s="12">
        <v>2.0807051797430582</v>
      </c>
      <c r="AG470" s="38">
        <f t="shared" si="35"/>
        <v>2.8761603670654856E-3</v>
      </c>
      <c r="AH470" s="32">
        <f t="shared" si="36"/>
        <v>76.97286394226478</v>
      </c>
      <c r="AI470" s="33">
        <f t="shared" si="37"/>
        <v>0.22138630061026596</v>
      </c>
      <c r="AJ470" s="34">
        <f t="shared" si="38"/>
        <v>2.2575120006349363E-2</v>
      </c>
      <c r="AK470" s="35" t="s">
        <v>920</v>
      </c>
      <c r="AL470" s="32">
        <v>0.35814156249900003</v>
      </c>
      <c r="AM470" s="32">
        <v>2.0807051797430582</v>
      </c>
      <c r="AN470" s="36">
        <v>0.75</v>
      </c>
    </row>
    <row r="471" spans="27:40" x14ac:dyDescent="0.25">
      <c r="AA471" s="29">
        <v>468</v>
      </c>
      <c r="AB471" s="30" t="s">
        <v>560</v>
      </c>
      <c r="AC471" s="29" t="s">
        <v>156</v>
      </c>
      <c r="AD471" s="30" t="s">
        <v>28</v>
      </c>
      <c r="AE471" s="31">
        <v>1.3823007675795071E-3</v>
      </c>
      <c r="AF471" s="12">
        <v>2.0807051797482585</v>
      </c>
      <c r="AG471" s="38">
        <f t="shared" si="35"/>
        <v>2.8761603670726739E-3</v>
      </c>
      <c r="AH471" s="32">
        <f t="shared" si="36"/>
        <v>76.97286394226478</v>
      </c>
      <c r="AI471" s="33">
        <f t="shared" si="37"/>
        <v>0.22138630061081926</v>
      </c>
      <c r="AJ471" s="34">
        <f t="shared" si="38"/>
        <v>2.2575120006405783E-2</v>
      </c>
      <c r="AK471" s="35" t="s">
        <v>920</v>
      </c>
      <c r="AL471" s="32">
        <v>0.35814156249900003</v>
      </c>
      <c r="AM471" s="32">
        <v>2.0807051797482585</v>
      </c>
      <c r="AN471" s="36">
        <v>0.75</v>
      </c>
    </row>
    <row r="472" spans="27:40" x14ac:dyDescent="0.25">
      <c r="AA472" s="29">
        <v>469</v>
      </c>
      <c r="AB472" s="30" t="s">
        <v>561</v>
      </c>
      <c r="AC472" s="29" t="s">
        <v>156</v>
      </c>
      <c r="AD472" s="30" t="s">
        <v>28</v>
      </c>
      <c r="AE472" s="31">
        <v>1.3823007675795071E-3</v>
      </c>
      <c r="AF472" s="12">
        <v>2.08070517974528</v>
      </c>
      <c r="AG472" s="38">
        <f t="shared" si="35"/>
        <v>2.876160367068557E-3</v>
      </c>
      <c r="AH472" s="32">
        <f t="shared" si="36"/>
        <v>76.97286394226478</v>
      </c>
      <c r="AI472" s="33">
        <f t="shared" si="37"/>
        <v>0.22138630061050235</v>
      </c>
      <c r="AJ472" s="34">
        <f t="shared" si="38"/>
        <v>2.2575120006373468E-2</v>
      </c>
      <c r="AK472" s="35" t="s">
        <v>920</v>
      </c>
      <c r="AL472" s="32">
        <v>0.35814156249900003</v>
      </c>
      <c r="AM472" s="32">
        <v>2.08070517974528</v>
      </c>
      <c r="AN472" s="36">
        <v>0.75</v>
      </c>
    </row>
    <row r="473" spans="27:40" x14ac:dyDescent="0.25">
      <c r="AA473" s="29">
        <v>470</v>
      </c>
      <c r="AB473" s="30" t="s">
        <v>562</v>
      </c>
      <c r="AC473" s="29" t="s">
        <v>156</v>
      </c>
      <c r="AD473" s="30" t="s">
        <v>28</v>
      </c>
      <c r="AE473" s="31">
        <v>1.3823007675795071E-3</v>
      </c>
      <c r="AF473" s="12">
        <v>2.0807051797458058</v>
      </c>
      <c r="AG473" s="38">
        <f t="shared" si="35"/>
        <v>2.8761603670692834E-3</v>
      </c>
      <c r="AH473" s="32">
        <f t="shared" si="36"/>
        <v>76.97286394226478</v>
      </c>
      <c r="AI473" s="33">
        <f t="shared" si="37"/>
        <v>0.22138630061055828</v>
      </c>
      <c r="AJ473" s="34">
        <f t="shared" si="38"/>
        <v>2.2575120006379172E-2</v>
      </c>
      <c r="AK473" s="35" t="s">
        <v>920</v>
      </c>
      <c r="AL473" s="32">
        <v>0.35814156249900003</v>
      </c>
      <c r="AM473" s="32">
        <v>2.0807051797458058</v>
      </c>
      <c r="AN473" s="36">
        <v>0.75</v>
      </c>
    </row>
    <row r="474" spans="27:40" x14ac:dyDescent="0.25">
      <c r="AA474" s="29">
        <v>471</v>
      </c>
      <c r="AB474" s="30" t="s">
        <v>563</v>
      </c>
      <c r="AC474" s="29" t="s">
        <v>157</v>
      </c>
      <c r="AD474" s="30" t="s">
        <v>28</v>
      </c>
      <c r="AE474" s="31">
        <v>3.5735616434583872E-4</v>
      </c>
      <c r="AF474" s="12">
        <v>1.5197221558268672</v>
      </c>
      <c r="AG474" s="38">
        <f t="shared" si="35"/>
        <v>5.430820804776783E-4</v>
      </c>
      <c r="AH474" s="32">
        <f t="shared" si="36"/>
        <v>76.97286394226478</v>
      </c>
      <c r="AI474" s="33">
        <f t="shared" si="37"/>
        <v>4.1802583090090425E-2</v>
      </c>
      <c r="AJ474" s="34">
        <f t="shared" si="38"/>
        <v>4.2626771721322194E-3</v>
      </c>
      <c r="AK474" s="35" t="s">
        <v>920</v>
      </c>
      <c r="AL474" s="32">
        <v>0.15079644736800002</v>
      </c>
      <c r="AM474" s="32">
        <v>1.5197221558268672</v>
      </c>
      <c r="AN474" s="36">
        <v>0.23</v>
      </c>
    </row>
    <row r="475" spans="27:40" x14ac:dyDescent="0.25">
      <c r="AA475" s="29">
        <v>472</v>
      </c>
      <c r="AB475" s="30" t="s">
        <v>564</v>
      </c>
      <c r="AC475" s="29" t="s">
        <v>153</v>
      </c>
      <c r="AD475" s="30" t="s">
        <v>28</v>
      </c>
      <c r="AE475" s="31">
        <v>8.2938046054770545E-4</v>
      </c>
      <c r="AF475" s="12">
        <v>1.519722147473572</v>
      </c>
      <c r="AG475" s="38">
        <f t="shared" si="35"/>
        <v>1.2604278545761791E-3</v>
      </c>
      <c r="AH475" s="32">
        <f t="shared" si="36"/>
        <v>76.97286394226478</v>
      </c>
      <c r="AI475" s="33">
        <f t="shared" si="37"/>
        <v>9.7018741759332935E-2</v>
      </c>
      <c r="AJ475" s="34">
        <f t="shared" si="38"/>
        <v>9.8931583934710569E-3</v>
      </c>
      <c r="AK475" s="35" t="s">
        <v>920</v>
      </c>
      <c r="AL475" s="32">
        <v>0.21991148574500002</v>
      </c>
      <c r="AM475" s="32">
        <v>1.519722147473572</v>
      </c>
      <c r="AN475" s="36">
        <v>0.33</v>
      </c>
    </row>
    <row r="476" spans="27:40" x14ac:dyDescent="0.25">
      <c r="AA476" s="29">
        <v>473</v>
      </c>
      <c r="AB476" s="30" t="s">
        <v>565</v>
      </c>
      <c r="AC476" s="29" t="s">
        <v>153</v>
      </c>
      <c r="AD476" s="30" t="s">
        <v>28</v>
      </c>
      <c r="AE476" s="31">
        <v>8.2938046054770545E-4</v>
      </c>
      <c r="AF476" s="12">
        <v>1.5197221502906733</v>
      </c>
      <c r="AG476" s="38">
        <f t="shared" si="35"/>
        <v>1.2604278569126278E-3</v>
      </c>
      <c r="AH476" s="32">
        <f t="shared" si="36"/>
        <v>76.97286394226478</v>
      </c>
      <c r="AI476" s="33">
        <f t="shared" si="37"/>
        <v>9.7018741939176076E-2</v>
      </c>
      <c r="AJ476" s="34">
        <f t="shared" si="38"/>
        <v>9.8931584118099533E-3</v>
      </c>
      <c r="AK476" s="35" t="s">
        <v>920</v>
      </c>
      <c r="AL476" s="32">
        <v>0.21991148574500002</v>
      </c>
      <c r="AM476" s="32">
        <v>1.5197221502906733</v>
      </c>
      <c r="AN476" s="36">
        <v>0.33</v>
      </c>
    </row>
    <row r="477" spans="27:40" x14ac:dyDescent="0.25">
      <c r="AA477" s="29">
        <v>474</v>
      </c>
      <c r="AB477" s="30" t="s">
        <v>566</v>
      </c>
      <c r="AC477" s="29" t="s">
        <v>153</v>
      </c>
      <c r="AD477" s="30" t="s">
        <v>28</v>
      </c>
      <c r="AE477" s="31">
        <v>8.2938046054770545E-4</v>
      </c>
      <c r="AF477" s="12">
        <v>1.5197221502894127</v>
      </c>
      <c r="AG477" s="38">
        <f t="shared" si="35"/>
        <v>1.2604278569115824E-3</v>
      </c>
      <c r="AH477" s="32">
        <f t="shared" si="36"/>
        <v>76.97286394226478</v>
      </c>
      <c r="AI477" s="33">
        <f t="shared" si="37"/>
        <v>9.7018741939095612E-2</v>
      </c>
      <c r="AJ477" s="34">
        <f t="shared" si="38"/>
        <v>9.8931584118017481E-3</v>
      </c>
      <c r="AK477" s="35" t="s">
        <v>920</v>
      </c>
      <c r="AL477" s="32">
        <v>0.21991148574500002</v>
      </c>
      <c r="AM477" s="32">
        <v>1.5197221502894127</v>
      </c>
      <c r="AN477" s="36">
        <v>0.33</v>
      </c>
    </row>
    <row r="478" spans="27:40" x14ac:dyDescent="0.25">
      <c r="AA478" s="29">
        <v>475</v>
      </c>
      <c r="AB478" s="30" t="s">
        <v>567</v>
      </c>
      <c r="AC478" s="29" t="s">
        <v>153</v>
      </c>
      <c r="AD478" s="30" t="s">
        <v>28</v>
      </c>
      <c r="AE478" s="31">
        <v>8.2938046054770545E-4</v>
      </c>
      <c r="AF478" s="12">
        <v>1.5197221502913931</v>
      </c>
      <c r="AG478" s="38">
        <f t="shared" si="35"/>
        <v>1.2604278569132248E-3</v>
      </c>
      <c r="AH478" s="32">
        <f t="shared" si="36"/>
        <v>76.97286394226478</v>
      </c>
      <c r="AI478" s="33">
        <f t="shared" si="37"/>
        <v>9.7018741939222025E-2</v>
      </c>
      <c r="AJ478" s="34">
        <f t="shared" si="38"/>
        <v>9.8931584118146388E-3</v>
      </c>
      <c r="AK478" s="35" t="s">
        <v>920</v>
      </c>
      <c r="AL478" s="32">
        <v>0.21991148574500002</v>
      </c>
      <c r="AM478" s="32">
        <v>1.5197221502913931</v>
      </c>
      <c r="AN478" s="36">
        <v>0.33</v>
      </c>
    </row>
    <row r="479" spans="27:40" x14ac:dyDescent="0.25">
      <c r="AA479" s="29">
        <v>476</v>
      </c>
      <c r="AB479" s="30" t="s">
        <v>568</v>
      </c>
      <c r="AC479" s="29" t="s">
        <v>157</v>
      </c>
      <c r="AD479" s="30" t="s">
        <v>28</v>
      </c>
      <c r="AE479" s="31">
        <v>3.5735616434583872E-4</v>
      </c>
      <c r="AF479" s="12">
        <v>1.5197221502905753</v>
      </c>
      <c r="AG479" s="38">
        <f t="shared" si="35"/>
        <v>5.4308207849925025E-4</v>
      </c>
      <c r="AH479" s="32">
        <f t="shared" si="36"/>
        <v>76.97286394226478</v>
      </c>
      <c r="AI479" s="33">
        <f t="shared" si="37"/>
        <v>4.1802582937805151E-2</v>
      </c>
      <c r="AJ479" s="34">
        <f t="shared" si="38"/>
        <v>4.2626771566034432E-3</v>
      </c>
      <c r="AK479" s="35" t="s">
        <v>920</v>
      </c>
      <c r="AL479" s="32">
        <v>0.15079644736800002</v>
      </c>
      <c r="AM479" s="32">
        <v>1.5197221502905753</v>
      </c>
      <c r="AN479" s="36">
        <v>0.23</v>
      </c>
    </row>
    <row r="480" spans="27:40" x14ac:dyDescent="0.25">
      <c r="AA480" s="29">
        <v>477</v>
      </c>
      <c r="AB480" s="30" t="s">
        <v>569</v>
      </c>
      <c r="AC480" s="29" t="s">
        <v>157</v>
      </c>
      <c r="AD480" s="30" t="s">
        <v>28</v>
      </c>
      <c r="AE480" s="31">
        <v>3.5735616434583872E-4</v>
      </c>
      <c r="AF480" s="12">
        <v>1.5197221502888516</v>
      </c>
      <c r="AG480" s="38">
        <f t="shared" si="35"/>
        <v>5.4308207849863431E-4</v>
      </c>
      <c r="AH480" s="32">
        <f t="shared" si="36"/>
        <v>76.97286394226478</v>
      </c>
      <c r="AI480" s="33">
        <f t="shared" si="37"/>
        <v>4.1802582937757737E-2</v>
      </c>
      <c r="AJ480" s="34">
        <f t="shared" si="38"/>
        <v>4.2626771565986077E-3</v>
      </c>
      <c r="AK480" s="35" t="s">
        <v>920</v>
      </c>
      <c r="AL480" s="32">
        <v>0.15079644736800002</v>
      </c>
      <c r="AM480" s="32">
        <v>1.5197221502888516</v>
      </c>
      <c r="AN480" s="36">
        <v>0.23</v>
      </c>
    </row>
    <row r="481" spans="27:40" x14ac:dyDescent="0.25">
      <c r="AA481" s="29">
        <v>478</v>
      </c>
      <c r="AB481" s="30" t="s">
        <v>570</v>
      </c>
      <c r="AC481" s="29" t="s">
        <v>157</v>
      </c>
      <c r="AD481" s="30" t="s">
        <v>28</v>
      </c>
      <c r="AE481" s="31">
        <v>3.5735616434583872E-4</v>
      </c>
      <c r="AF481" s="12">
        <v>1.5197221502900096</v>
      </c>
      <c r="AG481" s="38">
        <f t="shared" si="35"/>
        <v>5.4308207849904804E-4</v>
      </c>
      <c r="AH481" s="32">
        <f t="shared" si="36"/>
        <v>76.97286394226478</v>
      </c>
      <c r="AI481" s="33">
        <f t="shared" si="37"/>
        <v>4.1802582937789587E-2</v>
      </c>
      <c r="AJ481" s="34">
        <f t="shared" si="38"/>
        <v>4.2626771566018559E-3</v>
      </c>
      <c r="AK481" s="35" t="s">
        <v>920</v>
      </c>
      <c r="AL481" s="32">
        <v>0.15079644736800002</v>
      </c>
      <c r="AM481" s="32">
        <v>1.5197221502900096</v>
      </c>
      <c r="AN481" s="36">
        <v>0.23</v>
      </c>
    </row>
    <row r="482" spans="27:40" x14ac:dyDescent="0.25">
      <c r="AA482" s="29">
        <v>479</v>
      </c>
      <c r="AB482" s="30" t="s">
        <v>571</v>
      </c>
      <c r="AC482" s="29" t="s">
        <v>157</v>
      </c>
      <c r="AD482" s="30" t="s">
        <v>28</v>
      </c>
      <c r="AE482" s="31">
        <v>3.5735616434583872E-4</v>
      </c>
      <c r="AF482" s="12">
        <v>1.5197221502908995</v>
      </c>
      <c r="AG482" s="38">
        <f t="shared" si="35"/>
        <v>5.4308207849936615E-4</v>
      </c>
      <c r="AH482" s="32">
        <f t="shared" si="36"/>
        <v>76.97286394226478</v>
      </c>
      <c r="AI482" s="33">
        <f t="shared" si="37"/>
        <v>4.1802582937814074E-2</v>
      </c>
      <c r="AJ482" s="34">
        <f t="shared" si="38"/>
        <v>4.2626771566043531E-3</v>
      </c>
      <c r="AK482" s="35" t="s">
        <v>920</v>
      </c>
      <c r="AL482" s="32">
        <v>0.15079644736800002</v>
      </c>
      <c r="AM482" s="32">
        <v>1.5197221502908995</v>
      </c>
      <c r="AN482" s="36">
        <v>0.23</v>
      </c>
    </row>
    <row r="483" spans="27:40" x14ac:dyDescent="0.25">
      <c r="AA483" s="29">
        <v>480</v>
      </c>
      <c r="AB483" s="30" t="s">
        <v>572</v>
      </c>
      <c r="AC483" s="29" t="s">
        <v>157</v>
      </c>
      <c r="AD483" s="30" t="s">
        <v>28</v>
      </c>
      <c r="AE483" s="31">
        <v>3.5735616434583872E-4</v>
      </c>
      <c r="AF483" s="12">
        <v>1.5197221502893745</v>
      </c>
      <c r="AG483" s="38">
        <f t="shared" si="35"/>
        <v>5.4308207849882112E-4</v>
      </c>
      <c r="AH483" s="32">
        <f t="shared" si="36"/>
        <v>76.97286394226478</v>
      </c>
      <c r="AI483" s="33">
        <f t="shared" si="37"/>
        <v>4.1802582937772122E-2</v>
      </c>
      <c r="AJ483" s="34">
        <f t="shared" si="38"/>
        <v>4.2626771566000752E-3</v>
      </c>
      <c r="AK483" s="35" t="s">
        <v>920</v>
      </c>
      <c r="AL483" s="32">
        <v>0.15079644736800002</v>
      </c>
      <c r="AM483" s="32">
        <v>1.5197221502893745</v>
      </c>
      <c r="AN483" s="36">
        <v>0.23</v>
      </c>
    </row>
    <row r="484" spans="27:40" x14ac:dyDescent="0.25">
      <c r="AA484" s="29">
        <v>481</v>
      </c>
      <c r="AB484" s="30" t="s">
        <v>573</v>
      </c>
      <c r="AC484" s="29" t="s">
        <v>157</v>
      </c>
      <c r="AD484" s="30" t="s">
        <v>28</v>
      </c>
      <c r="AE484" s="31">
        <v>3.5735616434583872E-4</v>
      </c>
      <c r="AF484" s="12">
        <v>1.5197221502896916</v>
      </c>
      <c r="AG484" s="38">
        <f t="shared" si="35"/>
        <v>5.4308207849893442E-4</v>
      </c>
      <c r="AH484" s="32">
        <f t="shared" si="36"/>
        <v>76.97286394226478</v>
      </c>
      <c r="AI484" s="33">
        <f t="shared" si="37"/>
        <v>4.1802582937780837E-2</v>
      </c>
      <c r="AJ484" s="34">
        <f t="shared" si="38"/>
        <v>4.2626771566009634E-3</v>
      </c>
      <c r="AK484" s="35" t="s">
        <v>920</v>
      </c>
      <c r="AL484" s="32">
        <v>0.15079644736800002</v>
      </c>
      <c r="AM484" s="32">
        <v>1.5197221502896916</v>
      </c>
      <c r="AN484" s="36">
        <v>0.23</v>
      </c>
    </row>
    <row r="485" spans="27:40" x14ac:dyDescent="0.25">
      <c r="AA485" s="29">
        <v>482</v>
      </c>
      <c r="AB485" s="30" t="s">
        <v>574</v>
      </c>
      <c r="AC485" s="29" t="s">
        <v>157</v>
      </c>
      <c r="AD485" s="30" t="s">
        <v>28</v>
      </c>
      <c r="AE485" s="31">
        <v>3.5735616434583872E-4</v>
      </c>
      <c r="AF485" s="12">
        <v>1.5197221502918832</v>
      </c>
      <c r="AG485" s="38">
        <f t="shared" si="35"/>
        <v>5.4308207849971765E-4</v>
      </c>
      <c r="AH485" s="32">
        <f t="shared" si="36"/>
        <v>76.97286394226478</v>
      </c>
      <c r="AI485" s="33">
        <f t="shared" si="37"/>
        <v>4.1802582937841129E-2</v>
      </c>
      <c r="AJ485" s="34">
        <f t="shared" si="38"/>
        <v>4.2626771566071113E-3</v>
      </c>
      <c r="AK485" s="35" t="s">
        <v>920</v>
      </c>
      <c r="AL485" s="32">
        <v>0.15079644736800002</v>
      </c>
      <c r="AM485" s="32">
        <v>1.5197221502918832</v>
      </c>
      <c r="AN485" s="36">
        <v>0.23</v>
      </c>
    </row>
    <row r="486" spans="27:40" x14ac:dyDescent="0.25">
      <c r="AA486" s="29">
        <v>483</v>
      </c>
      <c r="AB486" s="30" t="s">
        <v>575</v>
      </c>
      <c r="AC486" s="29" t="s">
        <v>157</v>
      </c>
      <c r="AD486" s="30" t="s">
        <v>28</v>
      </c>
      <c r="AE486" s="31">
        <v>3.5735616434583872E-4</v>
      </c>
      <c r="AF486" s="12">
        <v>1.5197221502888831</v>
      </c>
      <c r="AG486" s="38">
        <f t="shared" si="35"/>
        <v>5.4308207849864559E-4</v>
      </c>
      <c r="AH486" s="32">
        <f t="shared" si="36"/>
        <v>76.97286394226478</v>
      </c>
      <c r="AI486" s="33">
        <f t="shared" si="37"/>
        <v>4.1802582937758605E-2</v>
      </c>
      <c r="AJ486" s="34">
        <f t="shared" si="38"/>
        <v>4.2626771565986961E-3</v>
      </c>
      <c r="AK486" s="35" t="s">
        <v>920</v>
      </c>
      <c r="AL486" s="32">
        <v>0.15079644736800002</v>
      </c>
      <c r="AM486" s="32">
        <v>1.5197221502888831</v>
      </c>
      <c r="AN486" s="36">
        <v>0.23</v>
      </c>
    </row>
    <row r="487" spans="27:40" x14ac:dyDescent="0.25">
      <c r="AA487" s="29">
        <v>484</v>
      </c>
      <c r="AB487" s="30" t="s">
        <v>576</v>
      </c>
      <c r="AC487" s="29" t="s">
        <v>157</v>
      </c>
      <c r="AD487" s="30" t="s">
        <v>28</v>
      </c>
      <c r="AE487" s="31">
        <v>3.5735616434583872E-4</v>
      </c>
      <c r="AF487" s="12">
        <v>1.5197221502908715</v>
      </c>
      <c r="AG487" s="38">
        <f t="shared" si="35"/>
        <v>5.4308207849935607E-4</v>
      </c>
      <c r="AH487" s="32">
        <f t="shared" si="36"/>
        <v>76.97286394226478</v>
      </c>
      <c r="AI487" s="33">
        <f t="shared" si="37"/>
        <v>4.1802582937813297E-2</v>
      </c>
      <c r="AJ487" s="34">
        <f t="shared" si="38"/>
        <v>4.2626771566042733E-3</v>
      </c>
      <c r="AK487" s="35" t="s">
        <v>920</v>
      </c>
      <c r="AL487" s="32">
        <v>0.15079644736800002</v>
      </c>
      <c r="AM487" s="32">
        <v>1.5197221502908715</v>
      </c>
      <c r="AN487" s="36">
        <v>0.23</v>
      </c>
    </row>
    <row r="488" spans="27:40" x14ac:dyDescent="0.25">
      <c r="AA488" s="29">
        <v>485</v>
      </c>
      <c r="AB488" s="30" t="s">
        <v>577</v>
      </c>
      <c r="AC488" s="29" t="s">
        <v>157</v>
      </c>
      <c r="AD488" s="30" t="s">
        <v>28</v>
      </c>
      <c r="AE488" s="31">
        <v>3.5735616434583872E-4</v>
      </c>
      <c r="AF488" s="12">
        <v>1.5197221502895877</v>
      </c>
      <c r="AG488" s="38">
        <f t="shared" si="35"/>
        <v>5.4308207849889734E-4</v>
      </c>
      <c r="AH488" s="32">
        <f t="shared" si="36"/>
        <v>76.97286394226478</v>
      </c>
      <c r="AI488" s="33">
        <f t="shared" si="37"/>
        <v>4.1802582937777985E-2</v>
      </c>
      <c r="AJ488" s="34">
        <f t="shared" si="38"/>
        <v>4.2626771566006728E-3</v>
      </c>
      <c r="AK488" s="35" t="s">
        <v>920</v>
      </c>
      <c r="AL488" s="32">
        <v>0.15079644736800002</v>
      </c>
      <c r="AM488" s="32">
        <v>1.5197221502895877</v>
      </c>
      <c r="AN488" s="36">
        <v>0.23</v>
      </c>
    </row>
    <row r="489" spans="27:40" x14ac:dyDescent="0.25">
      <c r="AA489" s="29">
        <v>486</v>
      </c>
      <c r="AB489" s="30" t="s">
        <v>578</v>
      </c>
      <c r="AC489" s="29" t="s">
        <v>157</v>
      </c>
      <c r="AD489" s="30" t="s">
        <v>28</v>
      </c>
      <c r="AE489" s="31">
        <v>3.5735616434583872E-4</v>
      </c>
      <c r="AF489" s="12">
        <v>1.5197221502907208</v>
      </c>
      <c r="AG489" s="38">
        <f t="shared" si="35"/>
        <v>5.4308207849930218E-4</v>
      </c>
      <c r="AH489" s="32">
        <f t="shared" si="36"/>
        <v>76.97286394226478</v>
      </c>
      <c r="AI489" s="33">
        <f t="shared" si="37"/>
        <v>4.1802582937809148E-2</v>
      </c>
      <c r="AJ489" s="34">
        <f t="shared" si="38"/>
        <v>4.2626771566038509E-3</v>
      </c>
      <c r="AK489" s="35" t="s">
        <v>920</v>
      </c>
      <c r="AL489" s="32">
        <v>0.15079644736800002</v>
      </c>
      <c r="AM489" s="32">
        <v>1.5197221502907208</v>
      </c>
      <c r="AN489" s="36">
        <v>0.23</v>
      </c>
    </row>
    <row r="490" spans="27:40" x14ac:dyDescent="0.25">
      <c r="AA490" s="29">
        <v>487</v>
      </c>
      <c r="AB490" s="30" t="s">
        <v>579</v>
      </c>
      <c r="AC490" s="29" t="s">
        <v>157</v>
      </c>
      <c r="AD490" s="30" t="s">
        <v>28</v>
      </c>
      <c r="AE490" s="31">
        <v>3.5735616434583872E-4</v>
      </c>
      <c r="AF490" s="12">
        <v>1.5197221502899976</v>
      </c>
      <c r="AG490" s="38">
        <f t="shared" si="35"/>
        <v>5.4308207849904382E-4</v>
      </c>
      <c r="AH490" s="32">
        <f t="shared" si="36"/>
        <v>76.97286394226478</v>
      </c>
      <c r="AI490" s="33">
        <f t="shared" si="37"/>
        <v>4.1802582937789261E-2</v>
      </c>
      <c r="AJ490" s="34">
        <f t="shared" si="38"/>
        <v>4.262677156601823E-3</v>
      </c>
      <c r="AK490" s="35" t="s">
        <v>920</v>
      </c>
      <c r="AL490" s="32">
        <v>0.15079644736800002</v>
      </c>
      <c r="AM490" s="32">
        <v>1.5197221502899976</v>
      </c>
      <c r="AN490" s="36">
        <v>0.23</v>
      </c>
    </row>
    <row r="491" spans="27:40" x14ac:dyDescent="0.25">
      <c r="AA491" s="29">
        <v>488</v>
      </c>
      <c r="AB491" s="30" t="s">
        <v>580</v>
      </c>
      <c r="AC491" s="29" t="s">
        <v>157</v>
      </c>
      <c r="AD491" s="30" t="s">
        <v>28</v>
      </c>
      <c r="AE491" s="31">
        <v>3.5735616434583872E-4</v>
      </c>
      <c r="AF491" s="12">
        <v>1.5197221502903375</v>
      </c>
      <c r="AG491" s="38">
        <f t="shared" si="35"/>
        <v>5.4308207849916525E-4</v>
      </c>
      <c r="AH491" s="32">
        <f t="shared" si="36"/>
        <v>76.97286394226478</v>
      </c>
      <c r="AI491" s="33">
        <f t="shared" si="37"/>
        <v>4.1802582937798607E-2</v>
      </c>
      <c r="AJ491" s="34">
        <f t="shared" si="38"/>
        <v>4.2626771566027753E-3</v>
      </c>
      <c r="AK491" s="35" t="s">
        <v>920</v>
      </c>
      <c r="AL491" s="32">
        <v>0.15079644736800002</v>
      </c>
      <c r="AM491" s="32">
        <v>1.5197221502903375</v>
      </c>
      <c r="AN491" s="36">
        <v>0.23</v>
      </c>
    </row>
    <row r="492" spans="27:40" x14ac:dyDescent="0.25">
      <c r="AA492" s="29">
        <v>489</v>
      </c>
      <c r="AB492" s="30" t="s">
        <v>581</v>
      </c>
      <c r="AC492" s="29" t="s">
        <v>157</v>
      </c>
      <c r="AD492" s="30" t="s">
        <v>28</v>
      </c>
      <c r="AE492" s="31">
        <v>3.5735616434583872E-4</v>
      </c>
      <c r="AF492" s="12">
        <v>1.5197221502884424</v>
      </c>
      <c r="AG492" s="38">
        <f t="shared" si="35"/>
        <v>5.4308207849848805E-4</v>
      </c>
      <c r="AH492" s="32">
        <f t="shared" si="36"/>
        <v>76.97286394226478</v>
      </c>
      <c r="AI492" s="33">
        <f t="shared" si="37"/>
        <v>4.1802582937746482E-2</v>
      </c>
      <c r="AJ492" s="34">
        <f t="shared" si="38"/>
        <v>4.2626771565974601E-3</v>
      </c>
      <c r="AK492" s="35" t="s">
        <v>920</v>
      </c>
      <c r="AL492" s="32">
        <v>0.15079644736800002</v>
      </c>
      <c r="AM492" s="32">
        <v>1.5197221502884424</v>
      </c>
      <c r="AN492" s="36">
        <v>0.23</v>
      </c>
    </row>
    <row r="493" spans="27:40" x14ac:dyDescent="0.25">
      <c r="AA493" s="29">
        <v>490</v>
      </c>
      <c r="AB493" s="30" t="s">
        <v>582</v>
      </c>
      <c r="AC493" s="29" t="s">
        <v>157</v>
      </c>
      <c r="AD493" s="30" t="s">
        <v>28</v>
      </c>
      <c r="AE493" s="31">
        <v>3.5735616434583872E-4</v>
      </c>
      <c r="AF493" s="12">
        <v>1.5197221502911953</v>
      </c>
      <c r="AG493" s="38">
        <f t="shared" si="35"/>
        <v>5.4308207849947175E-4</v>
      </c>
      <c r="AH493" s="32">
        <f t="shared" si="36"/>
        <v>76.97286394226478</v>
      </c>
      <c r="AI493" s="33">
        <f t="shared" si="37"/>
        <v>4.18025829378222E-2</v>
      </c>
      <c r="AJ493" s="34">
        <f t="shared" si="38"/>
        <v>4.2626771566051814E-3</v>
      </c>
      <c r="AK493" s="35" t="s">
        <v>920</v>
      </c>
      <c r="AL493" s="32">
        <v>0.15079644736800002</v>
      </c>
      <c r="AM493" s="32">
        <v>1.5197221502911953</v>
      </c>
      <c r="AN493" s="36">
        <v>0.23</v>
      </c>
    </row>
    <row r="494" spans="27:40" x14ac:dyDescent="0.25">
      <c r="AA494" s="29">
        <v>491</v>
      </c>
      <c r="AB494" s="30" t="s">
        <v>583</v>
      </c>
      <c r="AC494" s="29" t="s">
        <v>157</v>
      </c>
      <c r="AD494" s="30" t="s">
        <v>28</v>
      </c>
      <c r="AE494" s="31">
        <v>3.5735616434583872E-4</v>
      </c>
      <c r="AF494" s="12">
        <v>1.5197221502901306</v>
      </c>
      <c r="AG494" s="38">
        <f t="shared" si="35"/>
        <v>5.430820784990913E-4</v>
      </c>
      <c r="AH494" s="32">
        <f t="shared" si="36"/>
        <v>76.97286394226478</v>
      </c>
      <c r="AI494" s="33">
        <f t="shared" si="37"/>
        <v>4.1802582937792918E-2</v>
      </c>
      <c r="AJ494" s="34">
        <f t="shared" si="38"/>
        <v>4.2626771566021951E-3</v>
      </c>
      <c r="AK494" s="35" t="s">
        <v>920</v>
      </c>
      <c r="AL494" s="32">
        <v>0.15079644736800002</v>
      </c>
      <c r="AM494" s="32">
        <v>1.5197221502901306</v>
      </c>
      <c r="AN494" s="36">
        <v>0.23</v>
      </c>
    </row>
    <row r="495" spans="27:40" x14ac:dyDescent="0.25">
      <c r="AA495" s="29">
        <v>492</v>
      </c>
      <c r="AB495" s="30" t="s">
        <v>584</v>
      </c>
      <c r="AC495" s="29" t="s">
        <v>157</v>
      </c>
      <c r="AD495" s="30" t="s">
        <v>28</v>
      </c>
      <c r="AE495" s="31">
        <v>3.5735616434583872E-4</v>
      </c>
      <c r="AF495" s="12">
        <v>1.5197221502903198</v>
      </c>
      <c r="AG495" s="38">
        <f t="shared" si="35"/>
        <v>5.4308207849915896E-4</v>
      </c>
      <c r="AH495" s="32">
        <f t="shared" si="36"/>
        <v>76.97286394226478</v>
      </c>
      <c r="AI495" s="33">
        <f t="shared" si="37"/>
        <v>4.1802582937798122E-2</v>
      </c>
      <c r="AJ495" s="34">
        <f t="shared" si="38"/>
        <v>4.2626771566027259E-3</v>
      </c>
      <c r="AK495" s="35" t="s">
        <v>920</v>
      </c>
      <c r="AL495" s="32">
        <v>0.15079644736800002</v>
      </c>
      <c r="AM495" s="32">
        <v>1.5197221502903198</v>
      </c>
      <c r="AN495" s="36">
        <v>0.23</v>
      </c>
    </row>
    <row r="496" spans="27:40" x14ac:dyDescent="0.25">
      <c r="AA496" s="29">
        <v>493</v>
      </c>
      <c r="AB496" s="30" t="s">
        <v>585</v>
      </c>
      <c r="AC496" s="29" t="s">
        <v>157</v>
      </c>
      <c r="AD496" s="30" t="s">
        <v>28</v>
      </c>
      <c r="AE496" s="31">
        <v>3.5735616434583872E-4</v>
      </c>
      <c r="AF496" s="12">
        <v>1.5197221502894194</v>
      </c>
      <c r="AG496" s="38">
        <f t="shared" si="35"/>
        <v>5.4308207849883717E-4</v>
      </c>
      <c r="AH496" s="32">
        <f t="shared" si="36"/>
        <v>76.97286394226478</v>
      </c>
      <c r="AI496" s="33">
        <f t="shared" si="37"/>
        <v>4.1802582937773357E-2</v>
      </c>
      <c r="AJ496" s="34">
        <f t="shared" si="38"/>
        <v>4.262677156600201E-3</v>
      </c>
      <c r="AK496" s="35" t="s">
        <v>920</v>
      </c>
      <c r="AL496" s="32">
        <v>0.15079644736800002</v>
      </c>
      <c r="AM496" s="32">
        <v>1.5197221502894194</v>
      </c>
      <c r="AN496" s="36">
        <v>0.23</v>
      </c>
    </row>
    <row r="497" spans="27:40" x14ac:dyDescent="0.25">
      <c r="AA497" s="29">
        <v>494</v>
      </c>
      <c r="AB497" s="30" t="s">
        <v>586</v>
      </c>
      <c r="AC497" s="29" t="s">
        <v>157</v>
      </c>
      <c r="AD497" s="30" t="s">
        <v>28</v>
      </c>
      <c r="AE497" s="31">
        <v>3.5735616434583872E-4</v>
      </c>
      <c r="AF497" s="12">
        <v>1.5197221502892626</v>
      </c>
      <c r="AG497" s="38">
        <f t="shared" si="35"/>
        <v>5.4308207849878111E-4</v>
      </c>
      <c r="AH497" s="32">
        <f t="shared" si="36"/>
        <v>76.97286394226478</v>
      </c>
      <c r="AI497" s="33">
        <f t="shared" si="37"/>
        <v>4.1802582937769041E-2</v>
      </c>
      <c r="AJ497" s="34">
        <f t="shared" si="38"/>
        <v>4.2626771565997604E-3</v>
      </c>
      <c r="AK497" s="35" t="s">
        <v>920</v>
      </c>
      <c r="AL497" s="32">
        <v>0.15079644736800002</v>
      </c>
      <c r="AM497" s="32">
        <v>1.5197221502892626</v>
      </c>
      <c r="AN497" s="36">
        <v>0.23</v>
      </c>
    </row>
    <row r="498" spans="27:40" x14ac:dyDescent="0.25">
      <c r="AA498" s="29">
        <v>495</v>
      </c>
      <c r="AB498" s="30" t="s">
        <v>587</v>
      </c>
      <c r="AC498" s="29" t="s">
        <v>157</v>
      </c>
      <c r="AD498" s="30" t="s">
        <v>28</v>
      </c>
      <c r="AE498" s="31">
        <v>3.5735616434583872E-4</v>
      </c>
      <c r="AF498" s="12">
        <v>1.5197221502916445</v>
      </c>
      <c r="AG498" s="38">
        <f t="shared" si="35"/>
        <v>5.4308207849963232E-4</v>
      </c>
      <c r="AH498" s="32">
        <f t="shared" si="36"/>
        <v>76.97286394226478</v>
      </c>
      <c r="AI498" s="33">
        <f t="shared" si="37"/>
        <v>4.1802582937834558E-2</v>
      </c>
      <c r="AJ498" s="34">
        <f t="shared" si="38"/>
        <v>4.2626771566064417E-3</v>
      </c>
      <c r="AK498" s="35" t="s">
        <v>920</v>
      </c>
      <c r="AL498" s="32">
        <v>0.15079644736800002</v>
      </c>
      <c r="AM498" s="32">
        <v>1.5197221502916445</v>
      </c>
      <c r="AN498" s="36">
        <v>0.23</v>
      </c>
    </row>
    <row r="499" spans="27:40" x14ac:dyDescent="0.25">
      <c r="AA499" s="29">
        <v>496</v>
      </c>
      <c r="AB499" s="30" t="s">
        <v>588</v>
      </c>
      <c r="AC499" s="29" t="s">
        <v>153</v>
      </c>
      <c r="AD499" s="30" t="s">
        <v>28</v>
      </c>
      <c r="AE499" s="31">
        <v>8.2938046054770545E-4</v>
      </c>
      <c r="AF499" s="12">
        <v>1.5197221502907379</v>
      </c>
      <c r="AG499" s="38">
        <f t="shared" si="35"/>
        <v>1.2604278569126814E-3</v>
      </c>
      <c r="AH499" s="32">
        <f t="shared" si="36"/>
        <v>76.97286394226478</v>
      </c>
      <c r="AI499" s="33">
        <f t="shared" si="37"/>
        <v>9.7018741939180211E-2</v>
      </c>
      <c r="AJ499" s="34">
        <f t="shared" si="38"/>
        <v>9.8931584118103748E-3</v>
      </c>
      <c r="AK499" s="35" t="s">
        <v>920</v>
      </c>
      <c r="AL499" s="32">
        <v>0.21991148574500002</v>
      </c>
      <c r="AM499" s="32">
        <v>1.5197221502907379</v>
      </c>
      <c r="AN499" s="36">
        <v>0.33</v>
      </c>
    </row>
    <row r="500" spans="27:40" x14ac:dyDescent="0.25">
      <c r="AA500" s="29">
        <v>497</v>
      </c>
      <c r="AB500" s="30" t="s">
        <v>589</v>
      </c>
      <c r="AC500" s="29" t="s">
        <v>153</v>
      </c>
      <c r="AD500" s="30" t="s">
        <v>28</v>
      </c>
      <c r="AE500" s="31">
        <v>8.2938046054770545E-4</v>
      </c>
      <c r="AF500" s="12">
        <v>1.5197221502913925</v>
      </c>
      <c r="AG500" s="38">
        <f t="shared" si="35"/>
        <v>1.2604278569132244E-3</v>
      </c>
      <c r="AH500" s="32">
        <f t="shared" si="36"/>
        <v>76.97286394226478</v>
      </c>
      <c r="AI500" s="33">
        <f t="shared" si="37"/>
        <v>9.7018741939221997E-2</v>
      </c>
      <c r="AJ500" s="34">
        <f t="shared" si="38"/>
        <v>9.8931584118146371E-3</v>
      </c>
      <c r="AK500" s="35" t="s">
        <v>920</v>
      </c>
      <c r="AL500" s="32">
        <v>0.21991148574500002</v>
      </c>
      <c r="AM500" s="32">
        <v>1.5197221502913925</v>
      </c>
      <c r="AN500" s="36">
        <v>0.33</v>
      </c>
    </row>
    <row r="501" spans="27:40" x14ac:dyDescent="0.25">
      <c r="AA501" s="29">
        <v>498</v>
      </c>
      <c r="AB501" s="30" t="s">
        <v>590</v>
      </c>
      <c r="AC501" s="29" t="s">
        <v>153</v>
      </c>
      <c r="AD501" s="30" t="s">
        <v>28</v>
      </c>
      <c r="AE501" s="31">
        <v>8.2938046054770545E-4</v>
      </c>
      <c r="AF501" s="12">
        <v>1.5197221502894147</v>
      </c>
      <c r="AG501" s="38">
        <f t="shared" si="35"/>
        <v>1.260427856911584E-3</v>
      </c>
      <c r="AH501" s="32">
        <f t="shared" si="36"/>
        <v>76.97286394226478</v>
      </c>
      <c r="AI501" s="33">
        <f t="shared" si="37"/>
        <v>9.7018741939095737E-2</v>
      </c>
      <c r="AJ501" s="34">
        <f t="shared" si="38"/>
        <v>9.8931584118017619E-3</v>
      </c>
      <c r="AK501" s="35" t="s">
        <v>920</v>
      </c>
      <c r="AL501" s="32">
        <v>0.21991148574500002</v>
      </c>
      <c r="AM501" s="32">
        <v>1.5197221502894147</v>
      </c>
      <c r="AN501" s="36">
        <v>0.33</v>
      </c>
    </row>
    <row r="502" spans="27:40" x14ac:dyDescent="0.25">
      <c r="AA502" s="29">
        <v>499</v>
      </c>
      <c r="AB502" s="30" t="s">
        <v>591</v>
      </c>
      <c r="AC502" s="29" t="s">
        <v>153</v>
      </c>
      <c r="AD502" s="30" t="s">
        <v>28</v>
      </c>
      <c r="AE502" s="31">
        <v>8.2938046054770545E-4</v>
      </c>
      <c r="AF502" s="12">
        <v>1.5197221502915461</v>
      </c>
      <c r="AG502" s="38">
        <f t="shared" si="35"/>
        <v>1.2604278569133519E-3</v>
      </c>
      <c r="AH502" s="32">
        <f t="shared" si="36"/>
        <v>76.97286394226478</v>
      </c>
      <c r="AI502" s="33">
        <f t="shared" si="37"/>
        <v>9.7018741939231809E-2</v>
      </c>
      <c r="AJ502" s="34">
        <f t="shared" si="38"/>
        <v>9.8931584118156363E-3</v>
      </c>
      <c r="AK502" s="35" t="s">
        <v>920</v>
      </c>
      <c r="AL502" s="32">
        <v>0.21991148574500002</v>
      </c>
      <c r="AM502" s="32">
        <v>1.5197221502915461</v>
      </c>
      <c r="AN502" s="36">
        <v>0.33</v>
      </c>
    </row>
    <row r="503" spans="27:40" x14ac:dyDescent="0.25">
      <c r="AA503" s="29">
        <v>500</v>
      </c>
      <c r="AB503" s="30" t="s">
        <v>592</v>
      </c>
      <c r="AC503" s="29" t="s">
        <v>153</v>
      </c>
      <c r="AD503" s="30" t="s">
        <v>28</v>
      </c>
      <c r="AE503" s="31">
        <v>8.2938046054770545E-4</v>
      </c>
      <c r="AF503" s="12">
        <v>1.5197221474731262</v>
      </c>
      <c r="AG503" s="38">
        <f t="shared" si="35"/>
        <v>1.2604278545758094E-3</v>
      </c>
      <c r="AH503" s="32">
        <f t="shared" si="36"/>
        <v>76.97286394226478</v>
      </c>
      <c r="AI503" s="33">
        <f t="shared" si="37"/>
        <v>9.7018741759304472E-2</v>
      </c>
      <c r="AJ503" s="34">
        <f t="shared" si="38"/>
        <v>9.8931583934681547E-3</v>
      </c>
      <c r="AK503" s="35" t="s">
        <v>920</v>
      </c>
      <c r="AL503" s="32">
        <v>0.21991148574500002</v>
      </c>
      <c r="AM503" s="32">
        <v>1.5197221474731262</v>
      </c>
      <c r="AN503" s="36">
        <v>0.33</v>
      </c>
    </row>
    <row r="504" spans="27:40" x14ac:dyDescent="0.25">
      <c r="AA504" s="29">
        <v>501</v>
      </c>
      <c r="AB504" s="30" t="s">
        <v>593</v>
      </c>
      <c r="AC504" s="29" t="s">
        <v>157</v>
      </c>
      <c r="AD504" s="30" t="s">
        <v>28</v>
      </c>
      <c r="AE504" s="31">
        <v>3.5735616434583872E-4</v>
      </c>
      <c r="AF504" s="12">
        <v>1.5197221558262051</v>
      </c>
      <c r="AG504" s="38">
        <f t="shared" si="35"/>
        <v>5.4308208047744162E-4</v>
      </c>
      <c r="AH504" s="32">
        <f t="shared" si="36"/>
        <v>76.97286394226478</v>
      </c>
      <c r="AI504" s="33">
        <f t="shared" si="37"/>
        <v>4.1802583090072204E-2</v>
      </c>
      <c r="AJ504" s="34">
        <f t="shared" si="38"/>
        <v>4.2626771721303615E-3</v>
      </c>
      <c r="AK504" s="35" t="s">
        <v>920</v>
      </c>
      <c r="AL504" s="32">
        <v>0.15079644736800002</v>
      </c>
      <c r="AM504" s="32">
        <v>1.5197221558262051</v>
      </c>
      <c r="AN504" s="36">
        <v>0.23</v>
      </c>
    </row>
    <row r="505" spans="27:40" x14ac:dyDescent="0.25">
      <c r="AA505" s="29">
        <v>502</v>
      </c>
      <c r="AB505" s="30" t="s">
        <v>594</v>
      </c>
      <c r="AC505" s="29" t="s">
        <v>154</v>
      </c>
      <c r="AD505" s="30" t="s">
        <v>28</v>
      </c>
      <c r="AE505" s="31">
        <v>2.8902652413026117E-4</v>
      </c>
      <c r="AF505" s="12">
        <v>1</v>
      </c>
      <c r="AG505" s="38">
        <f t="shared" si="35"/>
        <v>2.8902652413026117E-4</v>
      </c>
      <c r="AH505" s="32">
        <f t="shared" si="36"/>
        <v>76.97286394226478</v>
      </c>
      <c r="AI505" s="33">
        <f t="shared" si="37"/>
        <v>2.2247199317584301E-2</v>
      </c>
      <c r="AJ505" s="34">
        <f t="shared" si="38"/>
        <v>2.2685829837492213E-3</v>
      </c>
      <c r="AK505" s="35" t="s">
        <v>920</v>
      </c>
      <c r="AL505" s="32">
        <v>0.15079644736800002</v>
      </c>
      <c r="AM505" s="32">
        <v>1</v>
      </c>
      <c r="AN505" s="36">
        <v>0.15</v>
      </c>
    </row>
    <row r="506" spans="27:40" x14ac:dyDescent="0.25">
      <c r="AA506" s="29">
        <v>503</v>
      </c>
      <c r="AB506" s="30" t="s">
        <v>595</v>
      </c>
      <c r="AC506" s="29" t="s">
        <v>154</v>
      </c>
      <c r="AD506" s="30" t="s">
        <v>28</v>
      </c>
      <c r="AE506" s="31">
        <v>2.8902652413026117E-4</v>
      </c>
      <c r="AF506" s="12">
        <v>1</v>
      </c>
      <c r="AG506" s="38">
        <f t="shared" si="35"/>
        <v>2.8902652413026117E-4</v>
      </c>
      <c r="AH506" s="32">
        <f t="shared" si="36"/>
        <v>76.97286394226478</v>
      </c>
      <c r="AI506" s="33">
        <f t="shared" si="37"/>
        <v>2.2247199317584301E-2</v>
      </c>
      <c r="AJ506" s="34">
        <f t="shared" si="38"/>
        <v>2.2685829837492213E-3</v>
      </c>
      <c r="AK506" s="35" t="s">
        <v>920</v>
      </c>
      <c r="AL506" s="32">
        <v>0.15079644736800002</v>
      </c>
      <c r="AM506" s="32">
        <v>1</v>
      </c>
      <c r="AN506" s="36">
        <v>0.15</v>
      </c>
    </row>
    <row r="507" spans="27:40" x14ac:dyDescent="0.25">
      <c r="AA507" s="29">
        <v>504</v>
      </c>
      <c r="AB507" s="30" t="s">
        <v>596</v>
      </c>
      <c r="AC507" s="29" t="s">
        <v>154</v>
      </c>
      <c r="AD507" s="30" t="s">
        <v>28</v>
      </c>
      <c r="AE507" s="31">
        <v>2.8902652413026117E-4</v>
      </c>
      <c r="AF507" s="12">
        <v>1</v>
      </c>
      <c r="AG507" s="38">
        <f t="shared" si="35"/>
        <v>2.8902652413026117E-4</v>
      </c>
      <c r="AH507" s="32">
        <f t="shared" si="36"/>
        <v>76.97286394226478</v>
      </c>
      <c r="AI507" s="33">
        <f t="shared" si="37"/>
        <v>2.2247199317584301E-2</v>
      </c>
      <c r="AJ507" s="34">
        <f t="shared" si="38"/>
        <v>2.2685829837492213E-3</v>
      </c>
      <c r="AK507" s="35" t="s">
        <v>920</v>
      </c>
      <c r="AL507" s="32">
        <v>0.15079644736800002</v>
      </c>
      <c r="AM507" s="32">
        <v>1</v>
      </c>
      <c r="AN507" s="36">
        <v>0.15</v>
      </c>
    </row>
    <row r="508" spans="27:40" x14ac:dyDescent="0.25">
      <c r="AA508" s="29">
        <v>505</v>
      </c>
      <c r="AB508" s="30" t="s">
        <v>597</v>
      </c>
      <c r="AC508" s="29" t="s">
        <v>154</v>
      </c>
      <c r="AD508" s="30" t="s">
        <v>28</v>
      </c>
      <c r="AE508" s="31">
        <v>2.8902652413026117E-4</v>
      </c>
      <c r="AF508" s="12">
        <v>1</v>
      </c>
      <c r="AG508" s="38">
        <f t="shared" si="35"/>
        <v>2.8902652413026117E-4</v>
      </c>
      <c r="AH508" s="32">
        <f t="shared" si="36"/>
        <v>76.97286394226478</v>
      </c>
      <c r="AI508" s="33">
        <f t="shared" si="37"/>
        <v>2.2247199317584301E-2</v>
      </c>
      <c r="AJ508" s="34">
        <f t="shared" si="38"/>
        <v>2.2685829837492213E-3</v>
      </c>
      <c r="AK508" s="35" t="s">
        <v>920</v>
      </c>
      <c r="AL508" s="32">
        <v>0.15079644736800002</v>
      </c>
      <c r="AM508" s="32">
        <v>1</v>
      </c>
      <c r="AN508" s="36">
        <v>0.15</v>
      </c>
    </row>
    <row r="509" spans="27:40" x14ac:dyDescent="0.25">
      <c r="AA509" s="29">
        <v>506</v>
      </c>
      <c r="AB509" s="30" t="s">
        <v>598</v>
      </c>
      <c r="AC509" s="29" t="s">
        <v>154</v>
      </c>
      <c r="AD509" s="30" t="s">
        <v>28</v>
      </c>
      <c r="AE509" s="31">
        <v>2.8902652413026117E-4</v>
      </c>
      <c r="AF509" s="12">
        <v>1</v>
      </c>
      <c r="AG509" s="38">
        <f t="shared" si="35"/>
        <v>2.8902652413026117E-4</v>
      </c>
      <c r="AH509" s="32">
        <f t="shared" si="36"/>
        <v>76.97286394226478</v>
      </c>
      <c r="AI509" s="33">
        <f t="shared" si="37"/>
        <v>2.2247199317584301E-2</v>
      </c>
      <c r="AJ509" s="34">
        <f t="shared" si="38"/>
        <v>2.2685829837492213E-3</v>
      </c>
      <c r="AK509" s="35" t="s">
        <v>920</v>
      </c>
      <c r="AL509" s="32">
        <v>0.15079644736800002</v>
      </c>
      <c r="AM509" s="32">
        <v>1</v>
      </c>
      <c r="AN509" s="36">
        <v>0.15</v>
      </c>
    </row>
    <row r="510" spans="27:40" x14ac:dyDescent="0.25">
      <c r="AA510" s="29">
        <v>507</v>
      </c>
      <c r="AB510" s="30" t="s">
        <v>599</v>
      </c>
      <c r="AC510" s="29" t="s">
        <v>154</v>
      </c>
      <c r="AD510" s="30" t="s">
        <v>28</v>
      </c>
      <c r="AE510" s="31">
        <v>2.8902652413026117E-4</v>
      </c>
      <c r="AF510" s="12">
        <v>1</v>
      </c>
      <c r="AG510" s="38">
        <f t="shared" si="35"/>
        <v>2.8902652413026117E-4</v>
      </c>
      <c r="AH510" s="32">
        <f t="shared" si="36"/>
        <v>76.97286394226478</v>
      </c>
      <c r="AI510" s="33">
        <f t="shared" si="37"/>
        <v>2.2247199317584301E-2</v>
      </c>
      <c r="AJ510" s="34">
        <f t="shared" si="38"/>
        <v>2.2685829837492213E-3</v>
      </c>
      <c r="AK510" s="35" t="s">
        <v>920</v>
      </c>
      <c r="AL510" s="32">
        <v>0.15079644736800002</v>
      </c>
      <c r="AM510" s="32">
        <v>1</v>
      </c>
      <c r="AN510" s="36">
        <v>0.15</v>
      </c>
    </row>
    <row r="511" spans="27:40" x14ac:dyDescent="0.25">
      <c r="AA511" s="29">
        <v>508</v>
      </c>
      <c r="AB511" s="30" t="s">
        <v>600</v>
      </c>
      <c r="AC511" s="29" t="s">
        <v>154</v>
      </c>
      <c r="AD511" s="30" t="s">
        <v>28</v>
      </c>
      <c r="AE511" s="31">
        <v>2.8902652413026117E-4</v>
      </c>
      <c r="AF511" s="12">
        <v>1</v>
      </c>
      <c r="AG511" s="38">
        <f t="shared" si="35"/>
        <v>2.8902652413026117E-4</v>
      </c>
      <c r="AH511" s="32">
        <f t="shared" si="36"/>
        <v>76.97286394226478</v>
      </c>
      <c r="AI511" s="33">
        <f t="shared" si="37"/>
        <v>2.2247199317584301E-2</v>
      </c>
      <c r="AJ511" s="34">
        <f t="shared" si="38"/>
        <v>2.2685829837492213E-3</v>
      </c>
      <c r="AK511" s="35" t="s">
        <v>920</v>
      </c>
      <c r="AL511" s="32">
        <v>0.15079644736800002</v>
      </c>
      <c r="AM511" s="32">
        <v>1</v>
      </c>
      <c r="AN511" s="36">
        <v>0.15</v>
      </c>
    </row>
    <row r="512" spans="27:40" x14ac:dyDescent="0.25">
      <c r="AA512" s="29">
        <v>509</v>
      </c>
      <c r="AB512" s="30" t="s">
        <v>601</v>
      </c>
      <c r="AC512" s="29" t="s">
        <v>154</v>
      </c>
      <c r="AD512" s="30" t="s">
        <v>28</v>
      </c>
      <c r="AE512" s="31">
        <v>2.8902652413026117E-4</v>
      </c>
      <c r="AF512" s="12">
        <v>1</v>
      </c>
      <c r="AG512" s="38">
        <f t="shared" si="35"/>
        <v>2.8902652413026117E-4</v>
      </c>
      <c r="AH512" s="32">
        <f t="shared" si="36"/>
        <v>76.97286394226478</v>
      </c>
      <c r="AI512" s="33">
        <f t="shared" si="37"/>
        <v>2.2247199317584301E-2</v>
      </c>
      <c r="AJ512" s="34">
        <f t="shared" si="38"/>
        <v>2.2685829837492213E-3</v>
      </c>
      <c r="AK512" s="35" t="s">
        <v>920</v>
      </c>
      <c r="AL512" s="32">
        <v>0.15079644736800002</v>
      </c>
      <c r="AM512" s="32">
        <v>1</v>
      </c>
      <c r="AN512" s="36">
        <v>0.15</v>
      </c>
    </row>
    <row r="513" spans="27:40" x14ac:dyDescent="0.25">
      <c r="AA513" s="29">
        <v>510</v>
      </c>
      <c r="AB513" s="30" t="s">
        <v>602</v>
      </c>
      <c r="AC513" s="29" t="s">
        <v>154</v>
      </c>
      <c r="AD513" s="30" t="s">
        <v>28</v>
      </c>
      <c r="AE513" s="31">
        <v>2.8902652413026117E-4</v>
      </c>
      <c r="AF513" s="12">
        <v>1</v>
      </c>
      <c r="AG513" s="38">
        <f t="shared" si="35"/>
        <v>2.8902652413026117E-4</v>
      </c>
      <c r="AH513" s="32">
        <f t="shared" si="36"/>
        <v>76.97286394226478</v>
      </c>
      <c r="AI513" s="33">
        <f t="shared" si="37"/>
        <v>2.2247199317584301E-2</v>
      </c>
      <c r="AJ513" s="34">
        <f t="shared" si="38"/>
        <v>2.2685829837492213E-3</v>
      </c>
      <c r="AK513" s="35" t="s">
        <v>920</v>
      </c>
      <c r="AL513" s="32">
        <v>0.15079644736800002</v>
      </c>
      <c r="AM513" s="32">
        <v>1</v>
      </c>
      <c r="AN513" s="36">
        <v>0.15</v>
      </c>
    </row>
    <row r="514" spans="27:40" x14ac:dyDescent="0.25">
      <c r="AA514" s="29">
        <v>511</v>
      </c>
      <c r="AB514" s="30" t="s">
        <v>603</v>
      </c>
      <c r="AC514" s="29" t="s">
        <v>154</v>
      </c>
      <c r="AD514" s="30" t="s">
        <v>28</v>
      </c>
      <c r="AE514" s="31">
        <v>2.8902652413026117E-4</v>
      </c>
      <c r="AF514" s="12">
        <v>1</v>
      </c>
      <c r="AG514" s="38">
        <f t="shared" si="35"/>
        <v>2.8902652413026117E-4</v>
      </c>
      <c r="AH514" s="32">
        <f t="shared" si="36"/>
        <v>76.97286394226478</v>
      </c>
      <c r="AI514" s="33">
        <f t="shared" si="37"/>
        <v>2.2247199317584301E-2</v>
      </c>
      <c r="AJ514" s="34">
        <f t="shared" si="38"/>
        <v>2.2685829837492213E-3</v>
      </c>
      <c r="AK514" s="35" t="s">
        <v>920</v>
      </c>
      <c r="AL514" s="32">
        <v>0.15079644736800002</v>
      </c>
      <c r="AM514" s="32">
        <v>1</v>
      </c>
      <c r="AN514" s="36">
        <v>0.15</v>
      </c>
    </row>
    <row r="515" spans="27:40" x14ac:dyDescent="0.25">
      <c r="AA515" s="29">
        <v>512</v>
      </c>
      <c r="AB515" s="30" t="s">
        <v>604</v>
      </c>
      <c r="AC515" s="29" t="s">
        <v>154</v>
      </c>
      <c r="AD515" s="30" t="s">
        <v>28</v>
      </c>
      <c r="AE515" s="31">
        <v>2.8902652413026117E-4</v>
      </c>
      <c r="AF515" s="12">
        <v>1</v>
      </c>
      <c r="AG515" s="38">
        <f t="shared" si="35"/>
        <v>2.8902652413026117E-4</v>
      </c>
      <c r="AH515" s="32">
        <f t="shared" si="36"/>
        <v>76.97286394226478</v>
      </c>
      <c r="AI515" s="33">
        <f t="shared" si="37"/>
        <v>2.2247199317584301E-2</v>
      </c>
      <c r="AJ515" s="34">
        <f t="shared" si="38"/>
        <v>2.2685829837492213E-3</v>
      </c>
      <c r="AK515" s="35" t="s">
        <v>920</v>
      </c>
      <c r="AL515" s="32">
        <v>0.15079644736800002</v>
      </c>
      <c r="AM515" s="32">
        <v>1</v>
      </c>
      <c r="AN515" s="36">
        <v>0.15</v>
      </c>
    </row>
    <row r="516" spans="27:40" x14ac:dyDescent="0.25">
      <c r="AA516" s="29">
        <v>513</v>
      </c>
      <c r="AB516" s="30" t="s">
        <v>605</v>
      </c>
      <c r="AC516" s="29" t="s">
        <v>154</v>
      </c>
      <c r="AD516" s="30" t="s">
        <v>28</v>
      </c>
      <c r="AE516" s="31">
        <v>2.8902652413026117E-4</v>
      </c>
      <c r="AF516" s="12">
        <v>1</v>
      </c>
      <c r="AG516" s="38">
        <f t="shared" si="35"/>
        <v>2.8902652413026117E-4</v>
      </c>
      <c r="AH516" s="32">
        <f t="shared" si="36"/>
        <v>76.97286394226478</v>
      </c>
      <c r="AI516" s="33">
        <f t="shared" si="37"/>
        <v>2.2247199317584301E-2</v>
      </c>
      <c r="AJ516" s="34">
        <f t="shared" si="38"/>
        <v>2.2685829837492213E-3</v>
      </c>
      <c r="AK516" s="35" t="s">
        <v>920</v>
      </c>
      <c r="AL516" s="32">
        <v>0.15079644736800002</v>
      </c>
      <c r="AM516" s="32">
        <v>1</v>
      </c>
      <c r="AN516" s="36">
        <v>0.15</v>
      </c>
    </row>
    <row r="517" spans="27:40" x14ac:dyDescent="0.25">
      <c r="AA517" s="29">
        <v>514</v>
      </c>
      <c r="AB517" s="30" t="s">
        <v>606</v>
      </c>
      <c r="AC517" s="29" t="s">
        <v>154</v>
      </c>
      <c r="AD517" s="30" t="s">
        <v>28</v>
      </c>
      <c r="AE517" s="31">
        <v>2.8902652413026117E-4</v>
      </c>
      <c r="AF517" s="12">
        <v>1</v>
      </c>
      <c r="AG517" s="38">
        <f t="shared" ref="AG517:AG580" si="39">IF(AA517="","",AE517*AF517)</f>
        <v>2.8902652413026117E-4</v>
      </c>
      <c r="AH517" s="32">
        <f t="shared" ref="AH517:AH580" si="40">IF(AA517="","",IFERROR(VLOOKUP(AD517,$A$4:$E$20,3,FALSE),VLOOKUP(AD517,$A$25:$E$30,3,FALSE)))</f>
        <v>76.97286394226478</v>
      </c>
      <c r="AI517" s="33">
        <f t="shared" ref="AI517:AI580" si="41">IF(AA517="","",AG517*AH517)</f>
        <v>2.2247199317584301E-2</v>
      </c>
      <c r="AJ517" s="34">
        <f t="shared" ref="AJ517:AJ580" si="42">IF(AA517="","",AI517/9.80665)</f>
        <v>2.2685829837492213E-3</v>
      </c>
      <c r="AK517" s="35" t="s">
        <v>920</v>
      </c>
      <c r="AL517" s="32">
        <v>0.15079644736800002</v>
      </c>
      <c r="AM517" s="32">
        <v>1</v>
      </c>
      <c r="AN517" s="36">
        <v>0.15</v>
      </c>
    </row>
    <row r="518" spans="27:40" x14ac:dyDescent="0.25">
      <c r="AA518" s="29">
        <v>515</v>
      </c>
      <c r="AB518" s="30" t="s">
        <v>607</v>
      </c>
      <c r="AC518" s="29" t="s">
        <v>154</v>
      </c>
      <c r="AD518" s="30" t="s">
        <v>28</v>
      </c>
      <c r="AE518" s="31">
        <v>2.8902652413026117E-4</v>
      </c>
      <c r="AF518" s="12">
        <v>1</v>
      </c>
      <c r="AG518" s="38">
        <f t="shared" si="39"/>
        <v>2.8902652413026117E-4</v>
      </c>
      <c r="AH518" s="32">
        <f t="shared" si="40"/>
        <v>76.97286394226478</v>
      </c>
      <c r="AI518" s="33">
        <f t="shared" si="41"/>
        <v>2.2247199317584301E-2</v>
      </c>
      <c r="AJ518" s="34">
        <f t="shared" si="42"/>
        <v>2.2685829837492213E-3</v>
      </c>
      <c r="AK518" s="35" t="s">
        <v>920</v>
      </c>
      <c r="AL518" s="32">
        <v>0.15079644736800002</v>
      </c>
      <c r="AM518" s="32">
        <v>1</v>
      </c>
      <c r="AN518" s="36">
        <v>0.15</v>
      </c>
    </row>
    <row r="519" spans="27:40" x14ac:dyDescent="0.25">
      <c r="AA519" s="29">
        <v>516</v>
      </c>
      <c r="AB519" s="30" t="s">
        <v>608</v>
      </c>
      <c r="AC519" s="29" t="s">
        <v>154</v>
      </c>
      <c r="AD519" s="30" t="s">
        <v>28</v>
      </c>
      <c r="AE519" s="31">
        <v>2.8902652413026117E-4</v>
      </c>
      <c r="AF519" s="12">
        <v>1</v>
      </c>
      <c r="AG519" s="38">
        <f t="shared" si="39"/>
        <v>2.8902652413026117E-4</v>
      </c>
      <c r="AH519" s="32">
        <f t="shared" si="40"/>
        <v>76.97286394226478</v>
      </c>
      <c r="AI519" s="33">
        <f t="shared" si="41"/>
        <v>2.2247199317584301E-2</v>
      </c>
      <c r="AJ519" s="34">
        <f t="shared" si="42"/>
        <v>2.2685829837492213E-3</v>
      </c>
      <c r="AK519" s="35" t="s">
        <v>920</v>
      </c>
      <c r="AL519" s="32">
        <v>0.15079644736800002</v>
      </c>
      <c r="AM519" s="32">
        <v>1</v>
      </c>
      <c r="AN519" s="36">
        <v>0.15</v>
      </c>
    </row>
    <row r="520" spans="27:40" x14ac:dyDescent="0.25">
      <c r="AA520" s="29">
        <v>517</v>
      </c>
      <c r="AB520" s="30" t="s">
        <v>609</v>
      </c>
      <c r="AC520" s="29" t="s">
        <v>158</v>
      </c>
      <c r="AD520" s="30" t="s">
        <v>28</v>
      </c>
      <c r="AE520" s="31">
        <v>2.1362830044410596E-3</v>
      </c>
      <c r="AF520" s="12">
        <v>2.0807051797462806</v>
      </c>
      <c r="AG520" s="38">
        <f t="shared" si="39"/>
        <v>4.444975112744459E-3</v>
      </c>
      <c r="AH520" s="32">
        <f t="shared" si="40"/>
        <v>76.97286394226478</v>
      </c>
      <c r="AI520" s="33">
        <f t="shared" si="41"/>
        <v>0.34214246458003228</v>
      </c>
      <c r="AJ520" s="34">
        <f t="shared" si="42"/>
        <v>3.4888821828048547E-2</v>
      </c>
      <c r="AK520" s="35" t="s">
        <v>920</v>
      </c>
      <c r="AL520" s="32">
        <v>0.44296456414349994</v>
      </c>
      <c r="AM520" s="32">
        <v>2.0807051797462806</v>
      </c>
      <c r="AN520" s="36">
        <v>0.92</v>
      </c>
    </row>
    <row r="521" spans="27:40" x14ac:dyDescent="0.25">
      <c r="AA521" s="29">
        <v>518</v>
      </c>
      <c r="AB521" s="30" t="s">
        <v>610</v>
      </c>
      <c r="AC521" s="29" t="s">
        <v>158</v>
      </c>
      <c r="AD521" s="30" t="s">
        <v>28</v>
      </c>
      <c r="AE521" s="31">
        <v>2.1362830044410596E-3</v>
      </c>
      <c r="AF521" s="12">
        <v>2.0807051797469542</v>
      </c>
      <c r="AG521" s="38">
        <f t="shared" si="39"/>
        <v>4.444975112745898E-3</v>
      </c>
      <c r="AH521" s="32">
        <f t="shared" si="40"/>
        <v>76.97286394226478</v>
      </c>
      <c r="AI521" s="33">
        <f t="shared" si="41"/>
        <v>0.34214246458014308</v>
      </c>
      <c r="AJ521" s="34">
        <f t="shared" si="42"/>
        <v>3.488882182805985E-2</v>
      </c>
      <c r="AK521" s="35" t="s">
        <v>920</v>
      </c>
      <c r="AL521" s="32">
        <v>0.44296456414349994</v>
      </c>
      <c r="AM521" s="32">
        <v>2.0807051797469542</v>
      </c>
      <c r="AN521" s="36">
        <v>0.92</v>
      </c>
    </row>
    <row r="522" spans="27:40" x14ac:dyDescent="0.25">
      <c r="AA522" s="29">
        <v>519</v>
      </c>
      <c r="AB522" s="30" t="s">
        <v>611</v>
      </c>
      <c r="AC522" s="29" t="s">
        <v>158</v>
      </c>
      <c r="AD522" s="30" t="s">
        <v>28</v>
      </c>
      <c r="AE522" s="31">
        <v>2.1362830044410596E-3</v>
      </c>
      <c r="AF522" s="12">
        <v>2.0807051797451113</v>
      </c>
      <c r="AG522" s="38">
        <f t="shared" si="39"/>
        <v>4.444975112741961E-3</v>
      </c>
      <c r="AH522" s="32">
        <f t="shared" si="40"/>
        <v>76.97286394226478</v>
      </c>
      <c r="AI522" s="33">
        <f t="shared" si="41"/>
        <v>0.34214246457984004</v>
      </c>
      <c r="AJ522" s="34">
        <f t="shared" si="42"/>
        <v>3.4888821828028944E-2</v>
      </c>
      <c r="AK522" s="35" t="s">
        <v>920</v>
      </c>
      <c r="AL522" s="32">
        <v>0.44296456414349994</v>
      </c>
      <c r="AM522" s="32">
        <v>2.0807051797451113</v>
      </c>
      <c r="AN522" s="36">
        <v>0.92</v>
      </c>
    </row>
    <row r="523" spans="27:40" x14ac:dyDescent="0.25">
      <c r="AA523" s="29">
        <v>520</v>
      </c>
      <c r="AB523" s="30" t="s">
        <v>612</v>
      </c>
      <c r="AC523" s="29" t="s">
        <v>158</v>
      </c>
      <c r="AD523" s="30" t="s">
        <v>28</v>
      </c>
      <c r="AE523" s="31">
        <v>2.1362830044410596E-3</v>
      </c>
      <c r="AF523" s="12">
        <v>2.0807051797444625</v>
      </c>
      <c r="AG523" s="38">
        <f t="shared" si="39"/>
        <v>4.444975112740575E-3</v>
      </c>
      <c r="AH523" s="32">
        <f t="shared" si="40"/>
        <v>76.97286394226478</v>
      </c>
      <c r="AI523" s="33">
        <f t="shared" si="41"/>
        <v>0.34214246457973335</v>
      </c>
      <c r="AJ523" s="34">
        <f t="shared" si="42"/>
        <v>3.4888821828018064E-2</v>
      </c>
      <c r="AK523" s="35" t="s">
        <v>920</v>
      </c>
      <c r="AL523" s="32">
        <v>0.44296456414349994</v>
      </c>
      <c r="AM523" s="32">
        <v>2.0807051797444625</v>
      </c>
      <c r="AN523" s="36">
        <v>0.92</v>
      </c>
    </row>
    <row r="524" spans="27:40" x14ac:dyDescent="0.25">
      <c r="AA524" s="29">
        <v>521</v>
      </c>
      <c r="AB524" s="30" t="s">
        <v>613</v>
      </c>
      <c r="AC524" s="29" t="s">
        <v>158</v>
      </c>
      <c r="AD524" s="30" t="s">
        <v>28</v>
      </c>
      <c r="AE524" s="31">
        <v>2.1362830044410596E-3</v>
      </c>
      <c r="AF524" s="12">
        <v>2.0807051797468379</v>
      </c>
      <c r="AG524" s="38">
        <f t="shared" si="39"/>
        <v>4.4449751127456499E-3</v>
      </c>
      <c r="AH524" s="32">
        <f t="shared" si="40"/>
        <v>76.97286394226478</v>
      </c>
      <c r="AI524" s="33">
        <f t="shared" si="41"/>
        <v>0.34214246458012398</v>
      </c>
      <c r="AJ524" s="34">
        <f t="shared" si="42"/>
        <v>3.48888218280579E-2</v>
      </c>
      <c r="AK524" s="35" t="s">
        <v>920</v>
      </c>
      <c r="AL524" s="32">
        <v>0.44296456414349994</v>
      </c>
      <c r="AM524" s="32">
        <v>2.0807051797468379</v>
      </c>
      <c r="AN524" s="36">
        <v>0.92</v>
      </c>
    </row>
    <row r="525" spans="27:40" x14ac:dyDescent="0.25">
      <c r="AA525" s="29">
        <v>522</v>
      </c>
      <c r="AB525" s="30" t="s">
        <v>614</v>
      </c>
      <c r="AC525" s="29" t="s">
        <v>158</v>
      </c>
      <c r="AD525" s="30" t="s">
        <v>28</v>
      </c>
      <c r="AE525" s="31">
        <v>2.1362830044410596E-3</v>
      </c>
      <c r="AF525" s="12">
        <v>2.0807051797433171</v>
      </c>
      <c r="AG525" s="38">
        <f t="shared" si="39"/>
        <v>4.4449751127381282E-3</v>
      </c>
      <c r="AH525" s="32">
        <f t="shared" si="40"/>
        <v>76.97286394226478</v>
      </c>
      <c r="AI525" s="33">
        <f t="shared" si="41"/>
        <v>0.342142464579545</v>
      </c>
      <c r="AJ525" s="34">
        <f t="shared" si="42"/>
        <v>3.4888821827998857E-2</v>
      </c>
      <c r="AK525" s="35" t="s">
        <v>920</v>
      </c>
      <c r="AL525" s="32">
        <v>0.44296456414349994</v>
      </c>
      <c r="AM525" s="32">
        <v>2.0807051797433171</v>
      </c>
      <c r="AN525" s="36">
        <v>0.92</v>
      </c>
    </row>
    <row r="526" spans="27:40" x14ac:dyDescent="0.25">
      <c r="AA526" s="29">
        <v>523</v>
      </c>
      <c r="AB526" s="30" t="s">
        <v>615</v>
      </c>
      <c r="AC526" s="29" t="s">
        <v>158</v>
      </c>
      <c r="AD526" s="30" t="s">
        <v>28</v>
      </c>
      <c r="AE526" s="31">
        <v>2.1362830044410596E-3</v>
      </c>
      <c r="AF526" s="12">
        <v>2.0807051797459848</v>
      </c>
      <c r="AG526" s="38">
        <f t="shared" si="39"/>
        <v>4.4449751127438276E-3</v>
      </c>
      <c r="AH526" s="32">
        <f t="shared" si="40"/>
        <v>76.97286394226478</v>
      </c>
      <c r="AI526" s="33">
        <f t="shared" si="41"/>
        <v>0.34214246457998371</v>
      </c>
      <c r="AJ526" s="34">
        <f t="shared" si="42"/>
        <v>3.4888821828043592E-2</v>
      </c>
      <c r="AK526" s="35" t="s">
        <v>920</v>
      </c>
      <c r="AL526" s="32">
        <v>0.44296456414349994</v>
      </c>
      <c r="AM526" s="32">
        <v>2.0807051797459848</v>
      </c>
      <c r="AN526" s="36">
        <v>0.92</v>
      </c>
    </row>
    <row r="527" spans="27:40" x14ac:dyDescent="0.25">
      <c r="AA527" s="29">
        <v>524</v>
      </c>
      <c r="AB527" s="30" t="s">
        <v>616</v>
      </c>
      <c r="AC527" s="29" t="s">
        <v>158</v>
      </c>
      <c r="AD527" s="30" t="s">
        <v>28</v>
      </c>
      <c r="AE527" s="31">
        <v>2.1362830044410596E-3</v>
      </c>
      <c r="AF527" s="12">
        <v>2.0807051797455443</v>
      </c>
      <c r="AG527" s="38">
        <f t="shared" si="39"/>
        <v>4.4449751127428865E-3</v>
      </c>
      <c r="AH527" s="32">
        <f t="shared" si="40"/>
        <v>76.97286394226478</v>
      </c>
      <c r="AI527" s="33">
        <f t="shared" si="41"/>
        <v>0.34214246457991127</v>
      </c>
      <c r="AJ527" s="34">
        <f t="shared" si="42"/>
        <v>3.4888821828036209E-2</v>
      </c>
      <c r="AK527" s="35" t="s">
        <v>920</v>
      </c>
      <c r="AL527" s="32">
        <v>0.44296456414349994</v>
      </c>
      <c r="AM527" s="32">
        <v>2.0807051797455443</v>
      </c>
      <c r="AN527" s="36">
        <v>0.92</v>
      </c>
    </row>
    <row r="528" spans="27:40" x14ac:dyDescent="0.25">
      <c r="AA528" s="29">
        <v>525</v>
      </c>
      <c r="AB528" s="30" t="s">
        <v>617</v>
      </c>
      <c r="AC528" s="29" t="s">
        <v>158</v>
      </c>
      <c r="AD528" s="30" t="s">
        <v>28</v>
      </c>
      <c r="AE528" s="31">
        <v>2.1362830044410596E-3</v>
      </c>
      <c r="AF528" s="12">
        <v>2.0807051797457792</v>
      </c>
      <c r="AG528" s="38">
        <f t="shared" si="39"/>
        <v>4.4449751127433879E-3</v>
      </c>
      <c r="AH528" s="32">
        <f t="shared" si="40"/>
        <v>76.97286394226478</v>
      </c>
      <c r="AI528" s="33">
        <f t="shared" si="41"/>
        <v>0.34214246457994985</v>
      </c>
      <c r="AJ528" s="34">
        <f t="shared" si="42"/>
        <v>3.4888821828040144E-2</v>
      </c>
      <c r="AK528" s="35" t="s">
        <v>920</v>
      </c>
      <c r="AL528" s="32">
        <v>0.44296456414349994</v>
      </c>
      <c r="AM528" s="32">
        <v>2.0807051797457792</v>
      </c>
      <c r="AN528" s="36">
        <v>0.92</v>
      </c>
    </row>
    <row r="529" spans="27:40" x14ac:dyDescent="0.25">
      <c r="AA529" s="29">
        <v>526</v>
      </c>
      <c r="AB529" s="30" t="s">
        <v>618</v>
      </c>
      <c r="AC529" s="29" t="s">
        <v>158</v>
      </c>
      <c r="AD529" s="30" t="s">
        <v>28</v>
      </c>
      <c r="AE529" s="31">
        <v>2.1362830044410596E-3</v>
      </c>
      <c r="AF529" s="12">
        <v>2.0807051797433846</v>
      </c>
      <c r="AG529" s="38">
        <f t="shared" si="39"/>
        <v>4.444975112738273E-3</v>
      </c>
      <c r="AH529" s="32">
        <f t="shared" si="40"/>
        <v>76.97286394226478</v>
      </c>
      <c r="AI529" s="33">
        <f t="shared" si="41"/>
        <v>0.34214246457955616</v>
      </c>
      <c r="AJ529" s="34">
        <f t="shared" si="42"/>
        <v>3.4888821827999995E-2</v>
      </c>
      <c r="AK529" s="35" t="s">
        <v>920</v>
      </c>
      <c r="AL529" s="32">
        <v>0.44296456414349994</v>
      </c>
      <c r="AM529" s="32">
        <v>2.0807051797433846</v>
      </c>
      <c r="AN529" s="36">
        <v>0.92</v>
      </c>
    </row>
    <row r="530" spans="27:40" x14ac:dyDescent="0.25">
      <c r="AA530" s="29">
        <v>527</v>
      </c>
      <c r="AB530" s="30" t="s">
        <v>619</v>
      </c>
      <c r="AC530" s="29" t="s">
        <v>158</v>
      </c>
      <c r="AD530" s="30" t="s">
        <v>28</v>
      </c>
      <c r="AE530" s="31">
        <v>2.1362830044410596E-3</v>
      </c>
      <c r="AF530" s="12">
        <v>2.0807051797462073</v>
      </c>
      <c r="AG530" s="38">
        <f t="shared" si="39"/>
        <v>4.4449751127443029E-3</v>
      </c>
      <c r="AH530" s="32">
        <f t="shared" si="40"/>
        <v>76.97286394226478</v>
      </c>
      <c r="AI530" s="33">
        <f t="shared" si="41"/>
        <v>0.34214246458002029</v>
      </c>
      <c r="AJ530" s="34">
        <f t="shared" si="42"/>
        <v>3.4888821828047326E-2</v>
      </c>
      <c r="AK530" s="35" t="s">
        <v>920</v>
      </c>
      <c r="AL530" s="32">
        <v>0.44296456414349994</v>
      </c>
      <c r="AM530" s="32">
        <v>2.0807051797462073</v>
      </c>
      <c r="AN530" s="36">
        <v>0.92</v>
      </c>
    </row>
    <row r="531" spans="27:40" x14ac:dyDescent="0.25">
      <c r="AA531" s="29">
        <v>528</v>
      </c>
      <c r="AB531" s="30" t="s">
        <v>620</v>
      </c>
      <c r="AC531" s="29" t="s">
        <v>158</v>
      </c>
      <c r="AD531" s="30" t="s">
        <v>28</v>
      </c>
      <c r="AE531" s="31">
        <v>2.1362830044410596E-3</v>
      </c>
      <c r="AF531" s="12">
        <v>2.0807051797430582</v>
      </c>
      <c r="AG531" s="38">
        <f t="shared" si="39"/>
        <v>4.4449751127375757E-3</v>
      </c>
      <c r="AH531" s="32">
        <f t="shared" si="40"/>
        <v>76.97286394226478</v>
      </c>
      <c r="AI531" s="33">
        <f t="shared" si="41"/>
        <v>0.34214246457950248</v>
      </c>
      <c r="AJ531" s="34">
        <f t="shared" si="42"/>
        <v>3.4888821827994528E-2</v>
      </c>
      <c r="AK531" s="35" t="s">
        <v>920</v>
      </c>
      <c r="AL531" s="32">
        <v>0.44296456414349994</v>
      </c>
      <c r="AM531" s="32">
        <v>2.0807051797430582</v>
      </c>
      <c r="AN531" s="36">
        <v>0.92</v>
      </c>
    </row>
    <row r="532" spans="27:40" x14ac:dyDescent="0.25">
      <c r="AA532" s="29">
        <v>529</v>
      </c>
      <c r="AB532" s="30" t="s">
        <v>621</v>
      </c>
      <c r="AC532" s="29" t="s">
        <v>158</v>
      </c>
      <c r="AD532" s="30" t="s">
        <v>28</v>
      </c>
      <c r="AE532" s="31">
        <v>2.1362830044410596E-3</v>
      </c>
      <c r="AF532" s="12">
        <v>2.0807051797482585</v>
      </c>
      <c r="AG532" s="38">
        <f t="shared" si="39"/>
        <v>4.4449751127486848E-3</v>
      </c>
      <c r="AH532" s="32">
        <f t="shared" si="40"/>
        <v>76.97286394226478</v>
      </c>
      <c r="AI532" s="33">
        <f t="shared" si="41"/>
        <v>0.34214246458035757</v>
      </c>
      <c r="AJ532" s="34">
        <f t="shared" si="42"/>
        <v>3.4888821828081722E-2</v>
      </c>
      <c r="AK532" s="35" t="s">
        <v>920</v>
      </c>
      <c r="AL532" s="32">
        <v>0.44296456414349994</v>
      </c>
      <c r="AM532" s="32">
        <v>2.0807051797482585</v>
      </c>
      <c r="AN532" s="36">
        <v>0.92</v>
      </c>
    </row>
    <row r="533" spans="27:40" x14ac:dyDescent="0.25">
      <c r="AA533" s="29">
        <v>530</v>
      </c>
      <c r="AB533" s="30" t="s">
        <v>622</v>
      </c>
      <c r="AC533" s="29" t="s">
        <v>158</v>
      </c>
      <c r="AD533" s="30" t="s">
        <v>28</v>
      </c>
      <c r="AE533" s="31">
        <v>2.1362830044410596E-3</v>
      </c>
      <c r="AF533" s="12">
        <v>2.08070517974528</v>
      </c>
      <c r="AG533" s="38">
        <f t="shared" si="39"/>
        <v>4.4449751127423219E-3</v>
      </c>
      <c r="AH533" s="32">
        <f t="shared" si="40"/>
        <v>76.97286394226478</v>
      </c>
      <c r="AI533" s="33">
        <f t="shared" si="41"/>
        <v>0.3421424645798678</v>
      </c>
      <c r="AJ533" s="34">
        <f t="shared" si="42"/>
        <v>3.4888821828031776E-2</v>
      </c>
      <c r="AK533" s="35" t="s">
        <v>920</v>
      </c>
      <c r="AL533" s="32">
        <v>0.44296456414349994</v>
      </c>
      <c r="AM533" s="32">
        <v>2.08070517974528</v>
      </c>
      <c r="AN533" s="36">
        <v>0.92</v>
      </c>
    </row>
    <row r="534" spans="27:40" x14ac:dyDescent="0.25">
      <c r="AA534" s="29">
        <v>531</v>
      </c>
      <c r="AB534" s="30" t="s">
        <v>623</v>
      </c>
      <c r="AC534" s="29" t="s">
        <v>158</v>
      </c>
      <c r="AD534" s="30" t="s">
        <v>28</v>
      </c>
      <c r="AE534" s="31">
        <v>2.1362830044410596E-3</v>
      </c>
      <c r="AF534" s="12">
        <v>2.0807051797458058</v>
      </c>
      <c r="AG534" s="38">
        <f t="shared" si="39"/>
        <v>4.4449751127434451E-3</v>
      </c>
      <c r="AH534" s="32">
        <f t="shared" si="40"/>
        <v>76.97286394226478</v>
      </c>
      <c r="AI534" s="33">
        <f t="shared" si="41"/>
        <v>0.34214246457995423</v>
      </c>
      <c r="AJ534" s="34">
        <f t="shared" si="42"/>
        <v>3.4888821828040588E-2</v>
      </c>
      <c r="AK534" s="35" t="s">
        <v>920</v>
      </c>
      <c r="AL534" s="32">
        <v>0.44296456414349994</v>
      </c>
      <c r="AM534" s="32">
        <v>2.0807051797458058</v>
      </c>
      <c r="AN534" s="36">
        <v>0.92</v>
      </c>
    </row>
    <row r="535" spans="27:40" x14ac:dyDescent="0.25">
      <c r="AA535" s="29">
        <v>532</v>
      </c>
      <c r="AB535" s="30" t="s">
        <v>624</v>
      </c>
      <c r="AC535" s="29" t="s">
        <v>151</v>
      </c>
      <c r="AD535" s="30" t="s">
        <v>28</v>
      </c>
      <c r="AE535" s="31">
        <v>2.1362830044410596E-3</v>
      </c>
      <c r="AF535" s="12">
        <v>2.036669085140697</v>
      </c>
      <c r="AG535" s="38">
        <f t="shared" si="39"/>
        <v>4.3509015522565928E-3</v>
      </c>
      <c r="AH535" s="32">
        <f t="shared" si="40"/>
        <v>76.97286394226478</v>
      </c>
      <c r="AI535" s="33">
        <f t="shared" si="41"/>
        <v>0.33490135320803538</v>
      </c>
      <c r="AJ535" s="34">
        <f t="shared" si="42"/>
        <v>3.4150433961448137E-2</v>
      </c>
      <c r="AK535" s="35" t="s">
        <v>920</v>
      </c>
      <c r="AL535" s="32">
        <v>0.44296456414349994</v>
      </c>
      <c r="AM535" s="32">
        <v>2.036669085140697</v>
      </c>
      <c r="AN535" s="36">
        <v>0.9</v>
      </c>
    </row>
    <row r="536" spans="27:40" x14ac:dyDescent="0.25">
      <c r="AA536" s="29">
        <v>533</v>
      </c>
      <c r="AB536" s="30" t="s">
        <v>625</v>
      </c>
      <c r="AC536" s="29" t="s">
        <v>151</v>
      </c>
      <c r="AD536" s="30" t="s">
        <v>28</v>
      </c>
      <c r="AE536" s="31">
        <v>2.1362830044410596E-3</v>
      </c>
      <c r="AF536" s="12">
        <v>2.0366690912858165</v>
      </c>
      <c r="AG536" s="38">
        <f t="shared" si="39"/>
        <v>4.350901565384307E-3</v>
      </c>
      <c r="AH536" s="32">
        <f t="shared" si="40"/>
        <v>76.97286394226478</v>
      </c>
      <c r="AI536" s="33">
        <f t="shared" si="41"/>
        <v>0.33490135421851314</v>
      </c>
      <c r="AJ536" s="34">
        <f t="shared" si="42"/>
        <v>3.4150434064488193E-2</v>
      </c>
      <c r="AK536" s="35" t="s">
        <v>920</v>
      </c>
      <c r="AL536" s="32">
        <v>0.44296456414349994</v>
      </c>
      <c r="AM536" s="32">
        <v>2.0366690912858165</v>
      </c>
      <c r="AN536" s="36">
        <v>0.9</v>
      </c>
    </row>
    <row r="537" spans="27:40" x14ac:dyDescent="0.25">
      <c r="AA537" s="29">
        <v>534</v>
      </c>
      <c r="AB537" s="30" t="s">
        <v>626</v>
      </c>
      <c r="AC537" s="29" t="s">
        <v>151</v>
      </c>
      <c r="AD537" s="30" t="s">
        <v>28</v>
      </c>
      <c r="AE537" s="31">
        <v>2.1362830044410596E-3</v>
      </c>
      <c r="AF537" s="12">
        <v>2.0366690912859586</v>
      </c>
      <c r="AG537" s="38">
        <f t="shared" si="39"/>
        <v>4.3509015653846106E-3</v>
      </c>
      <c r="AH537" s="32">
        <f t="shared" si="40"/>
        <v>76.97286394226478</v>
      </c>
      <c r="AI537" s="33">
        <f t="shared" si="41"/>
        <v>0.33490135421853645</v>
      </c>
      <c r="AJ537" s="34">
        <f t="shared" si="42"/>
        <v>3.4150434064490573E-2</v>
      </c>
      <c r="AK537" s="35" t="s">
        <v>920</v>
      </c>
      <c r="AL537" s="32">
        <v>0.44296456414349994</v>
      </c>
      <c r="AM537" s="32">
        <v>2.0366690912859586</v>
      </c>
      <c r="AN537" s="36">
        <v>0.9</v>
      </c>
    </row>
    <row r="538" spans="27:40" x14ac:dyDescent="0.25">
      <c r="AA538" s="29">
        <v>535</v>
      </c>
      <c r="AB538" s="30" t="s">
        <v>627</v>
      </c>
      <c r="AC538" s="29" t="s">
        <v>151</v>
      </c>
      <c r="AD538" s="30" t="s">
        <v>28</v>
      </c>
      <c r="AE538" s="31">
        <v>2.1362830044410596E-3</v>
      </c>
      <c r="AF538" s="12">
        <v>2.036669091282715</v>
      </c>
      <c r="AG538" s="38">
        <f t="shared" si="39"/>
        <v>4.3509015653776812E-3</v>
      </c>
      <c r="AH538" s="32">
        <f t="shared" si="40"/>
        <v>76.97286394226478</v>
      </c>
      <c r="AI538" s="33">
        <f t="shared" si="41"/>
        <v>0.3349013542180031</v>
      </c>
      <c r="AJ538" s="34">
        <f t="shared" si="42"/>
        <v>3.4150434064436186E-2</v>
      </c>
      <c r="AK538" s="35" t="s">
        <v>920</v>
      </c>
      <c r="AL538" s="32">
        <v>0.44296456414349994</v>
      </c>
      <c r="AM538" s="32">
        <v>2.036669091282715</v>
      </c>
      <c r="AN538" s="36">
        <v>0.9</v>
      </c>
    </row>
    <row r="539" spans="27:40" x14ac:dyDescent="0.25">
      <c r="AA539" s="29">
        <v>536</v>
      </c>
      <c r="AB539" s="30" t="s">
        <v>628</v>
      </c>
      <c r="AC539" s="29" t="s">
        <v>151</v>
      </c>
      <c r="AD539" s="30" t="s">
        <v>28</v>
      </c>
      <c r="AE539" s="31">
        <v>2.1362830044410596E-3</v>
      </c>
      <c r="AF539" s="12">
        <v>2.0366690912853036</v>
      </c>
      <c r="AG539" s="38">
        <f t="shared" si="39"/>
        <v>4.3509015653832106E-3</v>
      </c>
      <c r="AH539" s="32">
        <f t="shared" si="40"/>
        <v>76.97286394226478</v>
      </c>
      <c r="AI539" s="33">
        <f t="shared" si="41"/>
        <v>0.3349013542184287</v>
      </c>
      <c r="AJ539" s="34">
        <f t="shared" si="42"/>
        <v>3.4150434064479582E-2</v>
      </c>
      <c r="AK539" s="35" t="s">
        <v>920</v>
      </c>
      <c r="AL539" s="32">
        <v>0.44296456414349994</v>
      </c>
      <c r="AM539" s="32">
        <v>2.0366690912853036</v>
      </c>
      <c r="AN539" s="36">
        <v>0.9</v>
      </c>
    </row>
    <row r="540" spans="27:40" x14ac:dyDescent="0.25">
      <c r="AA540" s="29">
        <v>537</v>
      </c>
      <c r="AB540" s="30" t="s">
        <v>629</v>
      </c>
      <c r="AC540" s="29" t="s">
        <v>151</v>
      </c>
      <c r="AD540" s="30" t="s">
        <v>28</v>
      </c>
      <c r="AE540" s="31">
        <v>2.1362830044410596E-3</v>
      </c>
      <c r="AF540" s="12">
        <v>2.036669091286528</v>
      </c>
      <c r="AG540" s="38">
        <f t="shared" si="39"/>
        <v>4.3509015653858266E-3</v>
      </c>
      <c r="AH540" s="32">
        <f t="shared" si="40"/>
        <v>76.97286394226478</v>
      </c>
      <c r="AI540" s="33">
        <f t="shared" si="41"/>
        <v>0.3349013542186301</v>
      </c>
      <c r="AJ540" s="34">
        <f t="shared" si="42"/>
        <v>3.4150434064500121E-2</v>
      </c>
      <c r="AK540" s="35" t="s">
        <v>920</v>
      </c>
      <c r="AL540" s="32">
        <v>0.44296456414349994</v>
      </c>
      <c r="AM540" s="32">
        <v>2.036669091286528</v>
      </c>
      <c r="AN540" s="36">
        <v>0.9</v>
      </c>
    </row>
    <row r="541" spans="27:40" x14ac:dyDescent="0.25">
      <c r="AA541" s="29">
        <v>538</v>
      </c>
      <c r="AB541" s="30" t="s">
        <v>630</v>
      </c>
      <c r="AC541" s="29" t="s">
        <v>151</v>
      </c>
      <c r="AD541" s="30" t="s">
        <v>28</v>
      </c>
      <c r="AE541" s="31">
        <v>2.1362830044410596E-3</v>
      </c>
      <c r="AF541" s="12">
        <v>2.0366690912842809</v>
      </c>
      <c r="AG541" s="38">
        <f t="shared" si="39"/>
        <v>4.3509015653810266E-3</v>
      </c>
      <c r="AH541" s="32">
        <f t="shared" si="40"/>
        <v>76.97286394226478</v>
      </c>
      <c r="AI541" s="33">
        <f t="shared" si="41"/>
        <v>0.33490135421826062</v>
      </c>
      <c r="AJ541" s="34">
        <f t="shared" si="42"/>
        <v>3.4150434064462443E-2</v>
      </c>
      <c r="AK541" s="35" t="s">
        <v>920</v>
      </c>
      <c r="AL541" s="32">
        <v>0.44296456414349994</v>
      </c>
      <c r="AM541" s="32">
        <v>2.0366690912842809</v>
      </c>
      <c r="AN541" s="36">
        <v>0.9</v>
      </c>
    </row>
    <row r="542" spans="27:40" x14ac:dyDescent="0.25">
      <c r="AA542" s="29">
        <v>539</v>
      </c>
      <c r="AB542" s="30" t="s">
        <v>631</v>
      </c>
      <c r="AC542" s="29" t="s">
        <v>151</v>
      </c>
      <c r="AD542" s="30" t="s">
        <v>28</v>
      </c>
      <c r="AE542" s="31">
        <v>2.1362830044410596E-3</v>
      </c>
      <c r="AF542" s="12">
        <v>2.0366690912851304</v>
      </c>
      <c r="AG542" s="38">
        <f t="shared" si="39"/>
        <v>4.3509015653828411E-3</v>
      </c>
      <c r="AH542" s="32">
        <f t="shared" si="40"/>
        <v>76.97286394226478</v>
      </c>
      <c r="AI542" s="33">
        <f t="shared" si="41"/>
        <v>0.33490135421840028</v>
      </c>
      <c r="AJ542" s="34">
        <f t="shared" si="42"/>
        <v>3.4150434064476688E-2</v>
      </c>
      <c r="AK542" s="35" t="s">
        <v>920</v>
      </c>
      <c r="AL542" s="32">
        <v>0.44296456414349994</v>
      </c>
      <c r="AM542" s="32">
        <v>2.0366690912851304</v>
      </c>
      <c r="AN542" s="36">
        <v>0.9</v>
      </c>
    </row>
    <row r="543" spans="27:40" x14ac:dyDescent="0.25">
      <c r="AA543" s="29">
        <v>540</v>
      </c>
      <c r="AB543" s="30" t="s">
        <v>632</v>
      </c>
      <c r="AC543" s="29" t="s">
        <v>151</v>
      </c>
      <c r="AD543" s="30" t="s">
        <v>28</v>
      </c>
      <c r="AE543" s="31">
        <v>2.1362830044410596E-3</v>
      </c>
      <c r="AF543" s="12">
        <v>2.0366690912853014</v>
      </c>
      <c r="AG543" s="38">
        <f t="shared" si="39"/>
        <v>4.3509015653832063E-3</v>
      </c>
      <c r="AH543" s="32">
        <f t="shared" si="40"/>
        <v>76.97286394226478</v>
      </c>
      <c r="AI543" s="33">
        <f t="shared" si="41"/>
        <v>0.33490135421842837</v>
      </c>
      <c r="AJ543" s="34">
        <f t="shared" si="42"/>
        <v>3.4150434064479554E-2</v>
      </c>
      <c r="AK543" s="35" t="s">
        <v>920</v>
      </c>
      <c r="AL543" s="32">
        <v>0.44296456414349994</v>
      </c>
      <c r="AM543" s="32">
        <v>2.0366690912853014</v>
      </c>
      <c r="AN543" s="36">
        <v>0.9</v>
      </c>
    </row>
    <row r="544" spans="27:40" x14ac:dyDescent="0.25">
      <c r="AA544" s="29">
        <v>541</v>
      </c>
      <c r="AB544" s="30" t="s">
        <v>633</v>
      </c>
      <c r="AC544" s="29" t="s">
        <v>151</v>
      </c>
      <c r="AD544" s="30" t="s">
        <v>28</v>
      </c>
      <c r="AE544" s="31">
        <v>2.1362830044410596E-3</v>
      </c>
      <c r="AF544" s="12">
        <v>2.0366690912842667</v>
      </c>
      <c r="AG544" s="38">
        <f t="shared" si="39"/>
        <v>4.3509015653809963E-3</v>
      </c>
      <c r="AH544" s="32">
        <f t="shared" si="40"/>
        <v>76.97286394226478</v>
      </c>
      <c r="AI544" s="33">
        <f t="shared" si="41"/>
        <v>0.33490135421825828</v>
      </c>
      <c r="AJ544" s="34">
        <f t="shared" si="42"/>
        <v>3.4150434064462207E-2</v>
      </c>
      <c r="AK544" s="35" t="s">
        <v>920</v>
      </c>
      <c r="AL544" s="32">
        <v>0.44296456414349994</v>
      </c>
      <c r="AM544" s="32">
        <v>2.0366690912842667</v>
      </c>
      <c r="AN544" s="36">
        <v>0.9</v>
      </c>
    </row>
    <row r="545" spans="27:40" x14ac:dyDescent="0.25">
      <c r="AA545" s="29">
        <v>542</v>
      </c>
      <c r="AB545" s="30" t="s">
        <v>634</v>
      </c>
      <c r="AC545" s="29" t="s">
        <v>151</v>
      </c>
      <c r="AD545" s="30" t="s">
        <v>28</v>
      </c>
      <c r="AE545" s="31">
        <v>2.1362830044410596E-3</v>
      </c>
      <c r="AF545" s="12">
        <v>2.0366690912853036</v>
      </c>
      <c r="AG545" s="38">
        <f t="shared" si="39"/>
        <v>4.3509015653832106E-3</v>
      </c>
      <c r="AH545" s="32">
        <f t="shared" si="40"/>
        <v>76.97286394226478</v>
      </c>
      <c r="AI545" s="33">
        <f t="shared" si="41"/>
        <v>0.3349013542184287</v>
      </c>
      <c r="AJ545" s="34">
        <f t="shared" si="42"/>
        <v>3.4150434064479582E-2</v>
      </c>
      <c r="AK545" s="35" t="s">
        <v>920</v>
      </c>
      <c r="AL545" s="32">
        <v>0.44296456414349994</v>
      </c>
      <c r="AM545" s="32">
        <v>2.0366690912853036</v>
      </c>
      <c r="AN545" s="36">
        <v>0.9</v>
      </c>
    </row>
    <row r="546" spans="27:40" x14ac:dyDescent="0.25">
      <c r="AA546" s="29">
        <v>543</v>
      </c>
      <c r="AB546" s="30" t="s">
        <v>635</v>
      </c>
      <c r="AC546" s="29" t="s">
        <v>151</v>
      </c>
      <c r="AD546" s="30" t="s">
        <v>28</v>
      </c>
      <c r="AE546" s="31">
        <v>2.1362830044410596E-3</v>
      </c>
      <c r="AF546" s="12">
        <v>2.0366690912827115</v>
      </c>
      <c r="AG546" s="38">
        <f t="shared" si="39"/>
        <v>4.3509015653776734E-3</v>
      </c>
      <c r="AH546" s="32">
        <f t="shared" si="40"/>
        <v>76.97286394226478</v>
      </c>
      <c r="AI546" s="33">
        <f t="shared" si="41"/>
        <v>0.33490135421800249</v>
      </c>
      <c r="AJ546" s="34">
        <f t="shared" si="42"/>
        <v>3.4150434064436123E-2</v>
      </c>
      <c r="AK546" s="35" t="s">
        <v>920</v>
      </c>
      <c r="AL546" s="32">
        <v>0.44296456414349994</v>
      </c>
      <c r="AM546" s="32">
        <v>2.0366690912827115</v>
      </c>
      <c r="AN546" s="36">
        <v>0.9</v>
      </c>
    </row>
    <row r="547" spans="27:40" x14ac:dyDescent="0.25">
      <c r="AA547" s="29">
        <v>544</v>
      </c>
      <c r="AB547" s="30" t="s">
        <v>636</v>
      </c>
      <c r="AC547" s="29" t="s">
        <v>151</v>
      </c>
      <c r="AD547" s="30" t="s">
        <v>28</v>
      </c>
      <c r="AE547" s="31">
        <v>2.1362830044410596E-3</v>
      </c>
      <c r="AF547" s="12">
        <v>2.0366690912859542</v>
      </c>
      <c r="AG547" s="38">
        <f t="shared" si="39"/>
        <v>4.350901565384601E-3</v>
      </c>
      <c r="AH547" s="32">
        <f t="shared" si="40"/>
        <v>76.97286394226478</v>
      </c>
      <c r="AI547" s="33">
        <f t="shared" si="41"/>
        <v>0.33490135421853573</v>
      </c>
      <c r="AJ547" s="34">
        <f t="shared" si="42"/>
        <v>3.4150434064490497E-2</v>
      </c>
      <c r="AK547" s="35" t="s">
        <v>920</v>
      </c>
      <c r="AL547" s="32">
        <v>0.44296456414349994</v>
      </c>
      <c r="AM547" s="32">
        <v>2.0366690912859542</v>
      </c>
      <c r="AN547" s="36">
        <v>0.9</v>
      </c>
    </row>
    <row r="548" spans="27:40" x14ac:dyDescent="0.25">
      <c r="AA548" s="29">
        <v>545</v>
      </c>
      <c r="AB548" s="30" t="s">
        <v>637</v>
      </c>
      <c r="AC548" s="29" t="s">
        <v>151</v>
      </c>
      <c r="AD548" s="30" t="s">
        <v>28</v>
      </c>
      <c r="AE548" s="31">
        <v>2.1362830044410596E-3</v>
      </c>
      <c r="AF548" s="12">
        <v>1.509010668904551</v>
      </c>
      <c r="AG548" s="38">
        <f t="shared" si="39"/>
        <v>3.2236738455010275E-3</v>
      </c>
      <c r="AH548" s="32">
        <f t="shared" si="40"/>
        <v>76.97286394226478</v>
      </c>
      <c r="AI548" s="33">
        <f t="shared" si="41"/>
        <v>0.24813540830398809</v>
      </c>
      <c r="AJ548" s="34">
        <f t="shared" si="42"/>
        <v>2.5302769886147471E-2</v>
      </c>
      <c r="AK548" s="35" t="s">
        <v>920</v>
      </c>
      <c r="AL548" s="32">
        <v>0.44296456414349994</v>
      </c>
      <c r="AM548" s="32">
        <v>1.509010668904551</v>
      </c>
      <c r="AN548" s="36">
        <v>0.67</v>
      </c>
    </row>
    <row r="549" spans="27:40" x14ac:dyDescent="0.25">
      <c r="AA549" s="29">
        <v>546</v>
      </c>
      <c r="AB549" s="30" t="s">
        <v>638</v>
      </c>
      <c r="AC549" s="29" t="s">
        <v>153</v>
      </c>
      <c r="AD549" s="30" t="s">
        <v>28</v>
      </c>
      <c r="AE549" s="31">
        <v>8.2938046054770545E-4</v>
      </c>
      <c r="AF549" s="12">
        <v>1.9257684516603906</v>
      </c>
      <c r="AG549" s="38">
        <f t="shared" si="39"/>
        <v>1.5971947253463363E-3</v>
      </c>
      <c r="AH549" s="32">
        <f t="shared" si="40"/>
        <v>76.97286394226478</v>
      </c>
      <c r="AI549" s="33">
        <f t="shared" si="41"/>
        <v>0.12294065228338651</v>
      </c>
      <c r="AJ549" s="34">
        <f t="shared" si="42"/>
        <v>1.2536457636745118E-2</v>
      </c>
      <c r="AK549" s="35" t="s">
        <v>920</v>
      </c>
      <c r="AL549" s="32">
        <v>0.21991148574500002</v>
      </c>
      <c r="AM549" s="32">
        <v>1.9257684516603906</v>
      </c>
      <c r="AN549" s="36">
        <v>0.42</v>
      </c>
    </row>
    <row r="550" spans="27:40" x14ac:dyDescent="0.25">
      <c r="AA550" s="29">
        <v>547</v>
      </c>
      <c r="AB550" s="30" t="s">
        <v>639</v>
      </c>
      <c r="AC550" s="29" t="s">
        <v>153</v>
      </c>
      <c r="AD550" s="30" t="s">
        <v>28</v>
      </c>
      <c r="AE550" s="31">
        <v>8.2938046054770545E-4</v>
      </c>
      <c r="AF550" s="12">
        <v>1.2301679662428695</v>
      </c>
      <c r="AG550" s="38">
        <f t="shared" si="39"/>
        <v>1.0202772743935452E-3</v>
      </c>
      <c r="AH550" s="32">
        <f t="shared" si="40"/>
        <v>76.97286394226478</v>
      </c>
      <c r="AI550" s="33">
        <f t="shared" si="41"/>
        <v>7.8533663825279099E-2</v>
      </c>
      <c r="AJ550" s="34">
        <f t="shared" si="42"/>
        <v>8.008205026719532E-3</v>
      </c>
      <c r="AK550" s="35" t="s">
        <v>920</v>
      </c>
      <c r="AL550" s="32">
        <v>0.21991148574500002</v>
      </c>
      <c r="AM550" s="32">
        <v>1.2301679662428695</v>
      </c>
      <c r="AN550" s="36">
        <v>0.27</v>
      </c>
    </row>
    <row r="551" spans="27:40" x14ac:dyDescent="0.25">
      <c r="AA551" s="29">
        <v>548</v>
      </c>
      <c r="AB551" s="30" t="s">
        <v>640</v>
      </c>
      <c r="AC551" s="29" t="s">
        <v>153</v>
      </c>
      <c r="AD551" s="30" t="s">
        <v>28</v>
      </c>
      <c r="AE551" s="31">
        <v>8.2938046054770545E-4</v>
      </c>
      <c r="AF551" s="12">
        <v>1.5197221502913925</v>
      </c>
      <c r="AG551" s="38">
        <f t="shared" si="39"/>
        <v>1.2604278569132244E-3</v>
      </c>
      <c r="AH551" s="32">
        <f t="shared" si="40"/>
        <v>76.97286394226478</v>
      </c>
      <c r="AI551" s="33">
        <f t="shared" si="41"/>
        <v>9.7018741939221997E-2</v>
      </c>
      <c r="AJ551" s="34">
        <f t="shared" si="42"/>
        <v>9.8931584118146371E-3</v>
      </c>
      <c r="AK551" s="35" t="s">
        <v>920</v>
      </c>
      <c r="AL551" s="32">
        <v>0.21991148574500002</v>
      </c>
      <c r="AM551" s="32">
        <v>1.5197221502913925</v>
      </c>
      <c r="AN551" s="36">
        <v>0.33</v>
      </c>
    </row>
    <row r="552" spans="27:40" x14ac:dyDescent="0.25">
      <c r="AA552" s="29">
        <v>549</v>
      </c>
      <c r="AB552" s="30" t="s">
        <v>641</v>
      </c>
      <c r="AC552" s="29" t="s">
        <v>153</v>
      </c>
      <c r="AD552" s="30" t="s">
        <v>28</v>
      </c>
      <c r="AE552" s="31">
        <v>8.2938046054770545E-4</v>
      </c>
      <c r="AF552" s="12">
        <v>1.5197221502907379</v>
      </c>
      <c r="AG552" s="38">
        <f t="shared" si="39"/>
        <v>1.2604278569126814E-3</v>
      </c>
      <c r="AH552" s="32">
        <f t="shared" si="40"/>
        <v>76.97286394226478</v>
      </c>
      <c r="AI552" s="33">
        <f t="shared" si="41"/>
        <v>9.7018741939180211E-2</v>
      </c>
      <c r="AJ552" s="34">
        <f t="shared" si="42"/>
        <v>9.8931584118103748E-3</v>
      </c>
      <c r="AK552" s="35" t="s">
        <v>920</v>
      </c>
      <c r="AL552" s="32">
        <v>0.21991148574500002</v>
      </c>
      <c r="AM552" s="32">
        <v>1.5197221502907379</v>
      </c>
      <c r="AN552" s="36">
        <v>0.33</v>
      </c>
    </row>
    <row r="553" spans="27:40" x14ac:dyDescent="0.25">
      <c r="AA553" s="29">
        <v>550</v>
      </c>
      <c r="AB553" s="30" t="s">
        <v>642</v>
      </c>
      <c r="AC553" s="29" t="s">
        <v>153</v>
      </c>
      <c r="AD553" s="30" t="s">
        <v>28</v>
      </c>
      <c r="AE553" s="31">
        <v>8.2938046054770545E-4</v>
      </c>
      <c r="AF553" s="12">
        <v>1.5197221502916445</v>
      </c>
      <c r="AG553" s="38">
        <f t="shared" si="39"/>
        <v>1.2604278569134334E-3</v>
      </c>
      <c r="AH553" s="32">
        <f t="shared" si="40"/>
        <v>76.97286394226478</v>
      </c>
      <c r="AI553" s="33">
        <f t="shared" si="41"/>
        <v>9.7018741939238082E-2</v>
      </c>
      <c r="AJ553" s="34">
        <f t="shared" si="42"/>
        <v>9.8931584118162764E-3</v>
      </c>
      <c r="AK553" s="35" t="s">
        <v>920</v>
      </c>
      <c r="AL553" s="32">
        <v>0.21991148574500002</v>
      </c>
      <c r="AM553" s="32">
        <v>1.5197221502916445</v>
      </c>
      <c r="AN553" s="36">
        <v>0.33</v>
      </c>
    </row>
    <row r="554" spans="27:40" x14ac:dyDescent="0.25">
      <c r="AA554" s="29">
        <v>551</v>
      </c>
      <c r="AB554" s="30" t="s">
        <v>643</v>
      </c>
      <c r="AC554" s="29" t="s">
        <v>153</v>
      </c>
      <c r="AD554" s="30" t="s">
        <v>28</v>
      </c>
      <c r="AE554" s="31">
        <v>8.2938046054770545E-4</v>
      </c>
      <c r="AF554" s="12">
        <v>1.5197221502892626</v>
      </c>
      <c r="AG554" s="38">
        <f t="shared" si="39"/>
        <v>1.2604278569114578E-3</v>
      </c>
      <c r="AH554" s="32">
        <f t="shared" si="40"/>
        <v>76.97286394226478</v>
      </c>
      <c r="AI554" s="33">
        <f t="shared" si="41"/>
        <v>9.7018741939086023E-2</v>
      </c>
      <c r="AJ554" s="34">
        <f t="shared" si="42"/>
        <v>9.8931584118007714E-3</v>
      </c>
      <c r="AK554" s="35" t="s">
        <v>920</v>
      </c>
      <c r="AL554" s="32">
        <v>0.21991148574500002</v>
      </c>
      <c r="AM554" s="32">
        <v>1.5197221502892626</v>
      </c>
      <c r="AN554" s="36">
        <v>0.33</v>
      </c>
    </row>
    <row r="555" spans="27:40" x14ac:dyDescent="0.25">
      <c r="AA555" s="29">
        <v>552</v>
      </c>
      <c r="AB555" s="30" t="s">
        <v>644</v>
      </c>
      <c r="AC555" s="29" t="s">
        <v>157</v>
      </c>
      <c r="AD555" s="30" t="s">
        <v>28</v>
      </c>
      <c r="AE555" s="31">
        <v>3.5735616434583872E-4</v>
      </c>
      <c r="AF555" s="12">
        <v>1.5197221502894194</v>
      </c>
      <c r="AG555" s="38">
        <f t="shared" si="39"/>
        <v>5.4308207849883717E-4</v>
      </c>
      <c r="AH555" s="32">
        <f t="shared" si="40"/>
        <v>76.97286394226478</v>
      </c>
      <c r="AI555" s="33">
        <f t="shared" si="41"/>
        <v>4.1802582937773357E-2</v>
      </c>
      <c r="AJ555" s="34">
        <f t="shared" si="42"/>
        <v>4.262677156600201E-3</v>
      </c>
      <c r="AK555" s="35" t="s">
        <v>920</v>
      </c>
      <c r="AL555" s="32">
        <v>0.15079644736800002</v>
      </c>
      <c r="AM555" s="32">
        <v>1.5197221502894194</v>
      </c>
      <c r="AN555" s="36">
        <v>0.23</v>
      </c>
    </row>
    <row r="556" spans="27:40" x14ac:dyDescent="0.25">
      <c r="AA556" s="29">
        <v>553</v>
      </c>
      <c r="AB556" s="30" t="s">
        <v>645</v>
      </c>
      <c r="AC556" s="29" t="s">
        <v>157</v>
      </c>
      <c r="AD556" s="30" t="s">
        <v>28</v>
      </c>
      <c r="AE556" s="31">
        <v>3.5735616434583872E-4</v>
      </c>
      <c r="AF556" s="12">
        <v>1.5197221502903198</v>
      </c>
      <c r="AG556" s="38">
        <f t="shared" si="39"/>
        <v>5.4308207849915896E-4</v>
      </c>
      <c r="AH556" s="32">
        <f t="shared" si="40"/>
        <v>76.97286394226478</v>
      </c>
      <c r="AI556" s="33">
        <f t="shared" si="41"/>
        <v>4.1802582937798122E-2</v>
      </c>
      <c r="AJ556" s="34">
        <f t="shared" si="42"/>
        <v>4.2626771566027259E-3</v>
      </c>
      <c r="AK556" s="35" t="s">
        <v>920</v>
      </c>
      <c r="AL556" s="32">
        <v>0.15079644736800002</v>
      </c>
      <c r="AM556" s="32">
        <v>1.5197221502903198</v>
      </c>
      <c r="AN556" s="36">
        <v>0.23</v>
      </c>
    </row>
    <row r="557" spans="27:40" x14ac:dyDescent="0.25">
      <c r="AA557" s="29">
        <v>554</v>
      </c>
      <c r="AB557" s="30" t="s">
        <v>646</v>
      </c>
      <c r="AC557" s="29" t="s">
        <v>157</v>
      </c>
      <c r="AD557" s="30" t="s">
        <v>28</v>
      </c>
      <c r="AE557" s="31">
        <v>3.5735616434583872E-4</v>
      </c>
      <c r="AF557" s="12">
        <v>1.5197221502901306</v>
      </c>
      <c r="AG557" s="38">
        <f t="shared" si="39"/>
        <v>5.430820784990913E-4</v>
      </c>
      <c r="AH557" s="32">
        <f t="shared" si="40"/>
        <v>76.97286394226478</v>
      </c>
      <c r="AI557" s="33">
        <f t="shared" si="41"/>
        <v>4.1802582937792918E-2</v>
      </c>
      <c r="AJ557" s="34">
        <f t="shared" si="42"/>
        <v>4.2626771566021951E-3</v>
      </c>
      <c r="AK557" s="35" t="s">
        <v>920</v>
      </c>
      <c r="AL557" s="32">
        <v>0.15079644736800002</v>
      </c>
      <c r="AM557" s="32">
        <v>1.5197221502901306</v>
      </c>
      <c r="AN557" s="36">
        <v>0.23</v>
      </c>
    </row>
    <row r="558" spans="27:40" x14ac:dyDescent="0.25">
      <c r="AA558" s="29">
        <v>555</v>
      </c>
      <c r="AB558" s="30" t="s">
        <v>647</v>
      </c>
      <c r="AC558" s="29" t="s">
        <v>157</v>
      </c>
      <c r="AD558" s="30" t="s">
        <v>28</v>
      </c>
      <c r="AE558" s="31">
        <v>3.5735616434583872E-4</v>
      </c>
      <c r="AF558" s="12">
        <v>1.5197221502911953</v>
      </c>
      <c r="AG558" s="38">
        <f t="shared" si="39"/>
        <v>5.4308207849947175E-4</v>
      </c>
      <c r="AH558" s="32">
        <f t="shared" si="40"/>
        <v>76.97286394226478</v>
      </c>
      <c r="AI558" s="33">
        <f t="shared" si="41"/>
        <v>4.18025829378222E-2</v>
      </c>
      <c r="AJ558" s="34">
        <f t="shared" si="42"/>
        <v>4.2626771566051814E-3</v>
      </c>
      <c r="AK558" s="35" t="s">
        <v>920</v>
      </c>
      <c r="AL558" s="32">
        <v>0.15079644736800002</v>
      </c>
      <c r="AM558" s="32">
        <v>1.5197221502911953</v>
      </c>
      <c r="AN558" s="36">
        <v>0.23</v>
      </c>
    </row>
    <row r="559" spans="27:40" x14ac:dyDescent="0.25">
      <c r="AA559" s="29">
        <v>556</v>
      </c>
      <c r="AB559" s="30" t="s">
        <v>648</v>
      </c>
      <c r="AC559" s="29" t="s">
        <v>157</v>
      </c>
      <c r="AD559" s="30" t="s">
        <v>28</v>
      </c>
      <c r="AE559" s="31">
        <v>3.5735616434583872E-4</v>
      </c>
      <c r="AF559" s="12">
        <v>1.5197221502884424</v>
      </c>
      <c r="AG559" s="38">
        <f t="shared" si="39"/>
        <v>5.4308207849848805E-4</v>
      </c>
      <c r="AH559" s="32">
        <f t="shared" si="40"/>
        <v>76.97286394226478</v>
      </c>
      <c r="AI559" s="33">
        <f t="shared" si="41"/>
        <v>4.1802582937746482E-2</v>
      </c>
      <c r="AJ559" s="34">
        <f t="shared" si="42"/>
        <v>4.2626771565974601E-3</v>
      </c>
      <c r="AK559" s="35" t="s">
        <v>920</v>
      </c>
      <c r="AL559" s="32">
        <v>0.15079644736800002</v>
      </c>
      <c r="AM559" s="32">
        <v>1.5197221502884424</v>
      </c>
      <c r="AN559" s="36">
        <v>0.23</v>
      </c>
    </row>
    <row r="560" spans="27:40" x14ac:dyDescent="0.25">
      <c r="AA560" s="29">
        <v>557</v>
      </c>
      <c r="AB560" s="30" t="s">
        <v>649</v>
      </c>
      <c r="AC560" s="29" t="s">
        <v>157</v>
      </c>
      <c r="AD560" s="30" t="s">
        <v>28</v>
      </c>
      <c r="AE560" s="31">
        <v>3.5735616434583872E-4</v>
      </c>
      <c r="AF560" s="12">
        <v>1.5197221502903375</v>
      </c>
      <c r="AG560" s="38">
        <f t="shared" si="39"/>
        <v>5.4308207849916525E-4</v>
      </c>
      <c r="AH560" s="32">
        <f t="shared" si="40"/>
        <v>76.97286394226478</v>
      </c>
      <c r="AI560" s="33">
        <f t="shared" si="41"/>
        <v>4.1802582937798607E-2</v>
      </c>
      <c r="AJ560" s="34">
        <f t="shared" si="42"/>
        <v>4.2626771566027753E-3</v>
      </c>
      <c r="AK560" s="35" t="s">
        <v>920</v>
      </c>
      <c r="AL560" s="32">
        <v>0.15079644736800002</v>
      </c>
      <c r="AM560" s="32">
        <v>1.5197221502903375</v>
      </c>
      <c r="AN560" s="36">
        <v>0.23</v>
      </c>
    </row>
    <row r="561" spans="27:40" x14ac:dyDescent="0.25">
      <c r="AA561" s="29">
        <v>558</v>
      </c>
      <c r="AB561" s="30" t="s">
        <v>650</v>
      </c>
      <c r="AC561" s="29" t="s">
        <v>157</v>
      </c>
      <c r="AD561" s="30" t="s">
        <v>28</v>
      </c>
      <c r="AE561" s="31">
        <v>3.5735616434583872E-4</v>
      </c>
      <c r="AF561" s="12">
        <v>1.5197221502899976</v>
      </c>
      <c r="AG561" s="38">
        <f t="shared" si="39"/>
        <v>5.4308207849904382E-4</v>
      </c>
      <c r="AH561" s="32">
        <f t="shared" si="40"/>
        <v>76.97286394226478</v>
      </c>
      <c r="AI561" s="33">
        <f t="shared" si="41"/>
        <v>4.1802582937789261E-2</v>
      </c>
      <c r="AJ561" s="34">
        <f t="shared" si="42"/>
        <v>4.262677156601823E-3</v>
      </c>
      <c r="AK561" s="35" t="s">
        <v>920</v>
      </c>
      <c r="AL561" s="32">
        <v>0.15079644736800002</v>
      </c>
      <c r="AM561" s="32">
        <v>1.5197221502899976</v>
      </c>
      <c r="AN561" s="36">
        <v>0.23</v>
      </c>
    </row>
    <row r="562" spans="27:40" x14ac:dyDescent="0.25">
      <c r="AA562" s="29">
        <v>559</v>
      </c>
      <c r="AB562" s="30" t="s">
        <v>651</v>
      </c>
      <c r="AC562" s="29" t="s">
        <v>157</v>
      </c>
      <c r="AD562" s="30" t="s">
        <v>28</v>
      </c>
      <c r="AE562" s="31">
        <v>3.5735616434583872E-4</v>
      </c>
      <c r="AF562" s="12">
        <v>1.5197221502907208</v>
      </c>
      <c r="AG562" s="38">
        <f t="shared" si="39"/>
        <v>5.4308207849930218E-4</v>
      </c>
      <c r="AH562" s="32">
        <f t="shared" si="40"/>
        <v>76.97286394226478</v>
      </c>
      <c r="AI562" s="33">
        <f t="shared" si="41"/>
        <v>4.1802582937809148E-2</v>
      </c>
      <c r="AJ562" s="34">
        <f t="shared" si="42"/>
        <v>4.2626771566038509E-3</v>
      </c>
      <c r="AK562" s="35" t="s">
        <v>920</v>
      </c>
      <c r="AL562" s="32">
        <v>0.15079644736800002</v>
      </c>
      <c r="AM562" s="32">
        <v>1.5197221502907208</v>
      </c>
      <c r="AN562" s="36">
        <v>0.23</v>
      </c>
    </row>
    <row r="563" spans="27:40" x14ac:dyDescent="0.25">
      <c r="AA563" s="29">
        <v>560</v>
      </c>
      <c r="AB563" s="30" t="s">
        <v>652</v>
      </c>
      <c r="AC563" s="29" t="s">
        <v>157</v>
      </c>
      <c r="AD563" s="30" t="s">
        <v>28</v>
      </c>
      <c r="AE563" s="31">
        <v>3.5735616434583872E-4</v>
      </c>
      <c r="AF563" s="12">
        <v>1.5197221502895877</v>
      </c>
      <c r="AG563" s="38">
        <f t="shared" si="39"/>
        <v>5.4308207849889734E-4</v>
      </c>
      <c r="AH563" s="32">
        <f t="shared" si="40"/>
        <v>76.97286394226478</v>
      </c>
      <c r="AI563" s="33">
        <f t="shared" si="41"/>
        <v>4.1802582937777985E-2</v>
      </c>
      <c r="AJ563" s="34">
        <f t="shared" si="42"/>
        <v>4.2626771566006728E-3</v>
      </c>
      <c r="AK563" s="35" t="s">
        <v>920</v>
      </c>
      <c r="AL563" s="32">
        <v>0.15079644736800002</v>
      </c>
      <c r="AM563" s="32">
        <v>1.5197221502895877</v>
      </c>
      <c r="AN563" s="36">
        <v>0.23</v>
      </c>
    </row>
    <row r="564" spans="27:40" x14ac:dyDescent="0.25">
      <c r="AA564" s="29">
        <v>561</v>
      </c>
      <c r="AB564" s="30" t="s">
        <v>653</v>
      </c>
      <c r="AC564" s="29" t="s">
        <v>157</v>
      </c>
      <c r="AD564" s="30" t="s">
        <v>28</v>
      </c>
      <c r="AE564" s="31">
        <v>3.5735616434583872E-4</v>
      </c>
      <c r="AF564" s="12">
        <v>1.5197221502908715</v>
      </c>
      <c r="AG564" s="38">
        <f t="shared" si="39"/>
        <v>5.4308207849935607E-4</v>
      </c>
      <c r="AH564" s="32">
        <f t="shared" si="40"/>
        <v>76.97286394226478</v>
      </c>
      <c r="AI564" s="33">
        <f t="shared" si="41"/>
        <v>4.1802582937813297E-2</v>
      </c>
      <c r="AJ564" s="34">
        <f t="shared" si="42"/>
        <v>4.2626771566042733E-3</v>
      </c>
      <c r="AK564" s="35" t="s">
        <v>920</v>
      </c>
      <c r="AL564" s="32">
        <v>0.15079644736800002</v>
      </c>
      <c r="AM564" s="32">
        <v>1.5197221502908715</v>
      </c>
      <c r="AN564" s="36">
        <v>0.23</v>
      </c>
    </row>
    <row r="565" spans="27:40" x14ac:dyDescent="0.25">
      <c r="AA565" s="29">
        <v>562</v>
      </c>
      <c r="AB565" s="30" t="s">
        <v>654</v>
      </c>
      <c r="AC565" s="29" t="s">
        <v>157</v>
      </c>
      <c r="AD565" s="30" t="s">
        <v>28</v>
      </c>
      <c r="AE565" s="31">
        <v>3.5735616434583872E-4</v>
      </c>
      <c r="AF565" s="12">
        <v>1.5197221502888831</v>
      </c>
      <c r="AG565" s="38">
        <f t="shared" si="39"/>
        <v>5.4308207849864559E-4</v>
      </c>
      <c r="AH565" s="32">
        <f t="shared" si="40"/>
        <v>76.97286394226478</v>
      </c>
      <c r="AI565" s="33">
        <f t="shared" si="41"/>
        <v>4.1802582937758605E-2</v>
      </c>
      <c r="AJ565" s="34">
        <f t="shared" si="42"/>
        <v>4.2626771565986961E-3</v>
      </c>
      <c r="AK565" s="35" t="s">
        <v>920</v>
      </c>
      <c r="AL565" s="32">
        <v>0.15079644736800002</v>
      </c>
      <c r="AM565" s="32">
        <v>1.5197221502888831</v>
      </c>
      <c r="AN565" s="36">
        <v>0.23</v>
      </c>
    </row>
    <row r="566" spans="27:40" x14ac:dyDescent="0.25">
      <c r="AA566" s="29">
        <v>563</v>
      </c>
      <c r="AB566" s="30" t="s">
        <v>655</v>
      </c>
      <c r="AC566" s="29" t="s">
        <v>157</v>
      </c>
      <c r="AD566" s="30" t="s">
        <v>28</v>
      </c>
      <c r="AE566" s="31">
        <v>3.5735616434583872E-4</v>
      </c>
      <c r="AF566" s="12">
        <v>1.5197221502918832</v>
      </c>
      <c r="AG566" s="38">
        <f t="shared" si="39"/>
        <v>5.4308207849971765E-4</v>
      </c>
      <c r="AH566" s="32">
        <f t="shared" si="40"/>
        <v>76.97286394226478</v>
      </c>
      <c r="AI566" s="33">
        <f t="shared" si="41"/>
        <v>4.1802582937841129E-2</v>
      </c>
      <c r="AJ566" s="34">
        <f t="shared" si="42"/>
        <v>4.2626771566071113E-3</v>
      </c>
      <c r="AK566" s="35" t="s">
        <v>920</v>
      </c>
      <c r="AL566" s="32">
        <v>0.15079644736800002</v>
      </c>
      <c r="AM566" s="32">
        <v>1.5197221502918832</v>
      </c>
      <c r="AN566" s="36">
        <v>0.23</v>
      </c>
    </row>
    <row r="567" spans="27:40" x14ac:dyDescent="0.25">
      <c r="AA567" s="29">
        <v>564</v>
      </c>
      <c r="AB567" s="30" t="s">
        <v>656</v>
      </c>
      <c r="AC567" s="29" t="s">
        <v>157</v>
      </c>
      <c r="AD567" s="30" t="s">
        <v>28</v>
      </c>
      <c r="AE567" s="31">
        <v>3.5735616434583872E-4</v>
      </c>
      <c r="AF567" s="12">
        <v>1.5197221502896916</v>
      </c>
      <c r="AG567" s="38">
        <f t="shared" si="39"/>
        <v>5.4308207849893442E-4</v>
      </c>
      <c r="AH567" s="32">
        <f t="shared" si="40"/>
        <v>76.97286394226478</v>
      </c>
      <c r="AI567" s="33">
        <f t="shared" si="41"/>
        <v>4.1802582937780837E-2</v>
      </c>
      <c r="AJ567" s="34">
        <f t="shared" si="42"/>
        <v>4.2626771566009634E-3</v>
      </c>
      <c r="AK567" s="35" t="s">
        <v>920</v>
      </c>
      <c r="AL567" s="32">
        <v>0.15079644736800002</v>
      </c>
      <c r="AM567" s="32">
        <v>1.5197221502896916</v>
      </c>
      <c r="AN567" s="36">
        <v>0.23</v>
      </c>
    </row>
    <row r="568" spans="27:40" x14ac:dyDescent="0.25">
      <c r="AA568" s="29">
        <v>565</v>
      </c>
      <c r="AB568" s="30" t="s">
        <v>657</v>
      </c>
      <c r="AC568" s="29" t="s">
        <v>157</v>
      </c>
      <c r="AD568" s="30" t="s">
        <v>28</v>
      </c>
      <c r="AE568" s="31">
        <v>3.5735616434583872E-4</v>
      </c>
      <c r="AF568" s="12">
        <v>1.5197221502893745</v>
      </c>
      <c r="AG568" s="38">
        <f t="shared" si="39"/>
        <v>5.4308207849882112E-4</v>
      </c>
      <c r="AH568" s="32">
        <f t="shared" si="40"/>
        <v>76.97286394226478</v>
      </c>
      <c r="AI568" s="33">
        <f t="shared" si="41"/>
        <v>4.1802582937772122E-2</v>
      </c>
      <c r="AJ568" s="34">
        <f t="shared" si="42"/>
        <v>4.2626771566000752E-3</v>
      </c>
      <c r="AK568" s="35" t="s">
        <v>920</v>
      </c>
      <c r="AL568" s="32">
        <v>0.15079644736800002</v>
      </c>
      <c r="AM568" s="32">
        <v>1.5197221502893745</v>
      </c>
      <c r="AN568" s="36">
        <v>0.23</v>
      </c>
    </row>
    <row r="569" spans="27:40" x14ac:dyDescent="0.25">
      <c r="AA569" s="29">
        <v>566</v>
      </c>
      <c r="AB569" s="30" t="s">
        <v>658</v>
      </c>
      <c r="AC569" s="29" t="s">
        <v>157</v>
      </c>
      <c r="AD569" s="30" t="s">
        <v>28</v>
      </c>
      <c r="AE569" s="31">
        <v>3.5735616434583872E-4</v>
      </c>
      <c r="AF569" s="12">
        <v>1.5197221502908995</v>
      </c>
      <c r="AG569" s="38">
        <f t="shared" si="39"/>
        <v>5.4308207849936615E-4</v>
      </c>
      <c r="AH569" s="32">
        <f t="shared" si="40"/>
        <v>76.97286394226478</v>
      </c>
      <c r="AI569" s="33">
        <f t="shared" si="41"/>
        <v>4.1802582937814074E-2</v>
      </c>
      <c r="AJ569" s="34">
        <f t="shared" si="42"/>
        <v>4.2626771566043531E-3</v>
      </c>
      <c r="AK569" s="35" t="s">
        <v>920</v>
      </c>
      <c r="AL569" s="32">
        <v>0.15079644736800002</v>
      </c>
      <c r="AM569" s="32">
        <v>1.5197221502908995</v>
      </c>
      <c r="AN569" s="36">
        <v>0.23</v>
      </c>
    </row>
    <row r="570" spans="27:40" x14ac:dyDescent="0.25">
      <c r="AA570" s="29">
        <v>567</v>
      </c>
      <c r="AB570" s="30" t="s">
        <v>659</v>
      </c>
      <c r="AC570" s="29" t="s">
        <v>157</v>
      </c>
      <c r="AD570" s="30" t="s">
        <v>28</v>
      </c>
      <c r="AE570" s="31">
        <v>3.5735616434583872E-4</v>
      </c>
      <c r="AF570" s="12">
        <v>1.5197221502900096</v>
      </c>
      <c r="AG570" s="38">
        <f t="shared" si="39"/>
        <v>5.4308207849904804E-4</v>
      </c>
      <c r="AH570" s="32">
        <f t="shared" si="40"/>
        <v>76.97286394226478</v>
      </c>
      <c r="AI570" s="33">
        <f t="shared" si="41"/>
        <v>4.1802582937789587E-2</v>
      </c>
      <c r="AJ570" s="34">
        <f t="shared" si="42"/>
        <v>4.2626771566018559E-3</v>
      </c>
      <c r="AK570" s="35" t="s">
        <v>920</v>
      </c>
      <c r="AL570" s="32">
        <v>0.15079644736800002</v>
      </c>
      <c r="AM570" s="32">
        <v>1.5197221502900096</v>
      </c>
      <c r="AN570" s="36">
        <v>0.23</v>
      </c>
    </row>
    <row r="571" spans="27:40" x14ac:dyDescent="0.25">
      <c r="AA571" s="29">
        <v>568</v>
      </c>
      <c r="AB571" s="30" t="s">
        <v>660</v>
      </c>
      <c r="AC571" s="29" t="s">
        <v>157</v>
      </c>
      <c r="AD571" s="30" t="s">
        <v>28</v>
      </c>
      <c r="AE571" s="31">
        <v>3.5735616434583872E-4</v>
      </c>
      <c r="AF571" s="12">
        <v>1.5197221502888516</v>
      </c>
      <c r="AG571" s="38">
        <f t="shared" si="39"/>
        <v>5.4308207849863431E-4</v>
      </c>
      <c r="AH571" s="32">
        <f t="shared" si="40"/>
        <v>76.97286394226478</v>
      </c>
      <c r="AI571" s="33">
        <f t="shared" si="41"/>
        <v>4.1802582937757737E-2</v>
      </c>
      <c r="AJ571" s="34">
        <f t="shared" si="42"/>
        <v>4.2626771565986077E-3</v>
      </c>
      <c r="AK571" s="35" t="s">
        <v>920</v>
      </c>
      <c r="AL571" s="32">
        <v>0.15079644736800002</v>
      </c>
      <c r="AM571" s="32">
        <v>1.5197221502888516</v>
      </c>
      <c r="AN571" s="36">
        <v>0.23</v>
      </c>
    </row>
    <row r="572" spans="27:40" x14ac:dyDescent="0.25">
      <c r="AA572" s="29">
        <v>569</v>
      </c>
      <c r="AB572" s="30" t="s">
        <v>661</v>
      </c>
      <c r="AC572" s="29" t="s">
        <v>157</v>
      </c>
      <c r="AD572" s="30" t="s">
        <v>28</v>
      </c>
      <c r="AE572" s="31">
        <v>3.5735616434583872E-4</v>
      </c>
      <c r="AF572" s="12">
        <v>1.5197221502905753</v>
      </c>
      <c r="AG572" s="38">
        <f t="shared" si="39"/>
        <v>5.4308207849925025E-4</v>
      </c>
      <c r="AH572" s="32">
        <f t="shared" si="40"/>
        <v>76.97286394226478</v>
      </c>
      <c r="AI572" s="33">
        <f t="shared" si="41"/>
        <v>4.1802582937805151E-2</v>
      </c>
      <c r="AJ572" s="34">
        <f t="shared" si="42"/>
        <v>4.2626771566034432E-3</v>
      </c>
      <c r="AK572" s="35" t="s">
        <v>920</v>
      </c>
      <c r="AL572" s="32">
        <v>0.15079644736800002</v>
      </c>
      <c r="AM572" s="32">
        <v>1.5197221502905753</v>
      </c>
      <c r="AN572" s="36">
        <v>0.23</v>
      </c>
    </row>
    <row r="573" spans="27:40" x14ac:dyDescent="0.25">
      <c r="AA573" s="29">
        <v>570</v>
      </c>
      <c r="AB573" s="30" t="s">
        <v>662</v>
      </c>
      <c r="AC573" s="29" t="s">
        <v>153</v>
      </c>
      <c r="AD573" s="30" t="s">
        <v>28</v>
      </c>
      <c r="AE573" s="31">
        <v>8.2938046054770545E-4</v>
      </c>
      <c r="AF573" s="12">
        <v>1.5197221502914207</v>
      </c>
      <c r="AG573" s="38">
        <f t="shared" si="39"/>
        <v>1.2604278569132478E-3</v>
      </c>
      <c r="AH573" s="32">
        <f t="shared" si="40"/>
        <v>76.97286394226478</v>
      </c>
      <c r="AI573" s="33">
        <f t="shared" si="41"/>
        <v>9.7018741939223802E-2</v>
      </c>
      <c r="AJ573" s="34">
        <f t="shared" si="42"/>
        <v>9.8931584118148209E-3</v>
      </c>
      <c r="AK573" s="35" t="s">
        <v>920</v>
      </c>
      <c r="AL573" s="32">
        <v>0.21991148574500002</v>
      </c>
      <c r="AM573" s="32">
        <v>1.5197221502914207</v>
      </c>
      <c r="AN573" s="36">
        <v>0.33</v>
      </c>
    </row>
    <row r="574" spans="27:40" x14ac:dyDescent="0.25">
      <c r="AA574" s="29">
        <v>571</v>
      </c>
      <c r="AB574" s="30" t="s">
        <v>663</v>
      </c>
      <c r="AC574" s="29" t="s">
        <v>153</v>
      </c>
      <c r="AD574" s="30" t="s">
        <v>28</v>
      </c>
      <c r="AE574" s="31">
        <v>8.2938046054770545E-4</v>
      </c>
      <c r="AF574" s="12">
        <v>1.5197221502913931</v>
      </c>
      <c r="AG574" s="38">
        <f t="shared" si="39"/>
        <v>1.2604278569132248E-3</v>
      </c>
      <c r="AH574" s="32">
        <f t="shared" si="40"/>
        <v>76.97286394226478</v>
      </c>
      <c r="AI574" s="33">
        <f t="shared" si="41"/>
        <v>9.7018741939222025E-2</v>
      </c>
      <c r="AJ574" s="34">
        <f t="shared" si="42"/>
        <v>9.8931584118146388E-3</v>
      </c>
      <c r="AK574" s="35" t="s">
        <v>920</v>
      </c>
      <c r="AL574" s="32">
        <v>0.21991148574500002</v>
      </c>
      <c r="AM574" s="32">
        <v>1.5197221502913931</v>
      </c>
      <c r="AN574" s="36">
        <v>0.33</v>
      </c>
    </row>
    <row r="575" spans="27:40" x14ac:dyDescent="0.25">
      <c r="AA575" s="29">
        <v>572</v>
      </c>
      <c r="AB575" s="30" t="s">
        <v>664</v>
      </c>
      <c r="AC575" s="29" t="s">
        <v>153</v>
      </c>
      <c r="AD575" s="30" t="s">
        <v>28</v>
      </c>
      <c r="AE575" s="31">
        <v>8.2938046054770545E-4</v>
      </c>
      <c r="AF575" s="12">
        <v>1.5197221502894127</v>
      </c>
      <c r="AG575" s="38">
        <f t="shared" si="39"/>
        <v>1.2604278569115824E-3</v>
      </c>
      <c r="AH575" s="32">
        <f t="shared" si="40"/>
        <v>76.97286394226478</v>
      </c>
      <c r="AI575" s="33">
        <f t="shared" si="41"/>
        <v>9.7018741939095612E-2</v>
      </c>
      <c r="AJ575" s="34">
        <f t="shared" si="42"/>
        <v>9.8931584118017481E-3</v>
      </c>
      <c r="AK575" s="35" t="s">
        <v>920</v>
      </c>
      <c r="AL575" s="32">
        <v>0.21991148574500002</v>
      </c>
      <c r="AM575" s="32">
        <v>1.5197221502894127</v>
      </c>
      <c r="AN575" s="36">
        <v>0.33</v>
      </c>
    </row>
    <row r="576" spans="27:40" x14ac:dyDescent="0.25">
      <c r="AA576" s="29">
        <v>573</v>
      </c>
      <c r="AB576" s="30" t="s">
        <v>665</v>
      </c>
      <c r="AC576" s="29" t="s">
        <v>153</v>
      </c>
      <c r="AD576" s="30" t="s">
        <v>28</v>
      </c>
      <c r="AE576" s="31">
        <v>8.2938046054770545E-4</v>
      </c>
      <c r="AF576" s="12">
        <v>1.5197221502906733</v>
      </c>
      <c r="AG576" s="38">
        <f t="shared" si="39"/>
        <v>1.2604278569126278E-3</v>
      </c>
      <c r="AH576" s="32">
        <f t="shared" si="40"/>
        <v>76.97286394226478</v>
      </c>
      <c r="AI576" s="33">
        <f t="shared" si="41"/>
        <v>9.7018741939176076E-2</v>
      </c>
      <c r="AJ576" s="34">
        <f t="shared" si="42"/>
        <v>9.8931584118099533E-3</v>
      </c>
      <c r="AK576" s="35" t="s">
        <v>920</v>
      </c>
      <c r="AL576" s="32">
        <v>0.21991148574500002</v>
      </c>
      <c r="AM576" s="32">
        <v>1.5197221502906733</v>
      </c>
      <c r="AN576" s="36">
        <v>0.33</v>
      </c>
    </row>
    <row r="577" spans="27:40" x14ac:dyDescent="0.25">
      <c r="AA577" s="29">
        <v>574</v>
      </c>
      <c r="AB577" s="30" t="s">
        <v>666</v>
      </c>
      <c r="AC577" s="29" t="s">
        <v>153</v>
      </c>
      <c r="AD577" s="30" t="s">
        <v>28</v>
      </c>
      <c r="AE577" s="31">
        <v>8.2938046054770545E-4</v>
      </c>
      <c r="AF577" s="12">
        <v>1.519722147473572</v>
      </c>
      <c r="AG577" s="38">
        <f t="shared" si="39"/>
        <v>1.2604278545761791E-3</v>
      </c>
      <c r="AH577" s="32">
        <f t="shared" si="40"/>
        <v>76.97286394226478</v>
      </c>
      <c r="AI577" s="33">
        <f t="shared" si="41"/>
        <v>9.7018741759332935E-2</v>
      </c>
      <c r="AJ577" s="34">
        <f t="shared" si="42"/>
        <v>9.8931583934710569E-3</v>
      </c>
      <c r="AK577" s="35" t="s">
        <v>920</v>
      </c>
      <c r="AL577" s="32">
        <v>0.21991148574500002</v>
      </c>
      <c r="AM577" s="32">
        <v>1.519722147473572</v>
      </c>
      <c r="AN577" s="36">
        <v>0.33</v>
      </c>
    </row>
    <row r="578" spans="27:40" x14ac:dyDescent="0.25">
      <c r="AA578" s="29">
        <v>575</v>
      </c>
      <c r="AB578" s="30" t="s">
        <v>667</v>
      </c>
      <c r="AC578" s="29" t="s">
        <v>157</v>
      </c>
      <c r="AD578" s="30" t="s">
        <v>28</v>
      </c>
      <c r="AE578" s="31">
        <v>3.5735616434583872E-4</v>
      </c>
      <c r="AF578" s="12">
        <v>1.5197221558268672</v>
      </c>
      <c r="AG578" s="38">
        <f t="shared" si="39"/>
        <v>5.430820804776783E-4</v>
      </c>
      <c r="AH578" s="32">
        <f t="shared" si="40"/>
        <v>76.97286394226478</v>
      </c>
      <c r="AI578" s="33">
        <f t="shared" si="41"/>
        <v>4.1802583090090425E-2</v>
      </c>
      <c r="AJ578" s="34">
        <f t="shared" si="42"/>
        <v>4.2626771721322194E-3</v>
      </c>
      <c r="AK578" s="35" t="s">
        <v>920</v>
      </c>
      <c r="AL578" s="32">
        <v>0.15079644736800002</v>
      </c>
      <c r="AM578" s="32">
        <v>1.5197221558268672</v>
      </c>
      <c r="AN578" s="36">
        <v>0.23</v>
      </c>
    </row>
    <row r="579" spans="27:40" x14ac:dyDescent="0.25">
      <c r="AA579" s="29">
        <v>576</v>
      </c>
      <c r="AB579" s="30" t="s">
        <v>668</v>
      </c>
      <c r="AC579" s="29" t="s">
        <v>150</v>
      </c>
      <c r="AD579" s="30" t="s">
        <v>9</v>
      </c>
      <c r="AE579" s="31">
        <v>7.8799999999999999E-3</v>
      </c>
      <c r="AF579" s="12">
        <v>7.1557721871321194</v>
      </c>
      <c r="AG579" s="38">
        <f t="shared" si="39"/>
        <v>5.6387484834601098E-2</v>
      </c>
      <c r="AH579" s="32">
        <f t="shared" si="40"/>
        <v>76.97286394226478</v>
      </c>
      <c r="AI579" s="33">
        <f t="shared" si="41"/>
        <v>4.3403061982202686</v>
      </c>
      <c r="AJ579" s="34">
        <f t="shared" si="42"/>
        <v>0.44258805996138018</v>
      </c>
      <c r="AK579" s="35" t="s">
        <v>33</v>
      </c>
      <c r="AL579" s="32">
        <v>1.988</v>
      </c>
      <c r="AM579" s="32">
        <v>7.1557721871321194</v>
      </c>
      <c r="AN579" s="36">
        <v>14.23</v>
      </c>
    </row>
    <row r="580" spans="27:40" x14ac:dyDescent="0.25">
      <c r="AA580" s="29">
        <v>577</v>
      </c>
      <c r="AB580" s="30" t="s">
        <v>669</v>
      </c>
      <c r="AC580" s="29" t="s">
        <v>150</v>
      </c>
      <c r="AD580" s="30" t="s">
        <v>9</v>
      </c>
      <c r="AE580" s="31">
        <v>7.8799999999999999E-3</v>
      </c>
      <c r="AF580" s="12">
        <v>6.4</v>
      </c>
      <c r="AG580" s="38">
        <f t="shared" si="39"/>
        <v>5.0432000000000005E-2</v>
      </c>
      <c r="AH580" s="32">
        <f t="shared" si="40"/>
        <v>76.97286394226478</v>
      </c>
      <c r="AI580" s="33">
        <f t="shared" si="41"/>
        <v>3.8818954743362979</v>
      </c>
      <c r="AJ580" s="34">
        <f t="shared" si="42"/>
        <v>0.39584317522663681</v>
      </c>
      <c r="AK580" s="35" t="s">
        <v>33</v>
      </c>
      <c r="AL580" s="32">
        <v>1.988</v>
      </c>
      <c r="AM580" s="32">
        <v>6.4</v>
      </c>
      <c r="AN580" s="36">
        <v>12.72</v>
      </c>
    </row>
    <row r="581" spans="27:40" x14ac:dyDescent="0.25">
      <c r="AA581" s="29">
        <v>578</v>
      </c>
      <c r="AB581" s="30" t="s">
        <v>670</v>
      </c>
      <c r="AC581" s="29" t="s">
        <v>158</v>
      </c>
      <c r="AD581" s="30" t="s">
        <v>28</v>
      </c>
      <c r="AE581" s="31">
        <v>2.1362830044410596E-3</v>
      </c>
      <c r="AF581" s="12">
        <v>3.3798805322380416</v>
      </c>
      <c r="AG581" s="38">
        <f t="shared" ref="AG581:AG644" si="43">IF(AA581="","",AE581*AF581)</f>
        <v>7.2203813380613312E-3</v>
      </c>
      <c r="AH581" s="32">
        <f t="shared" ref="AH581:AH644" si="44">IF(AA581="","",IFERROR(VLOOKUP(AD581,$A$4:$E$20,3,FALSE),VLOOKUP(AD581,$A$25:$E$30,3,FALSE)))</f>
        <v>76.97286394226478</v>
      </c>
      <c r="AI581" s="33">
        <f t="shared" ref="AI581:AI644" si="45">IF(AA581="","",AG581*AH581)</f>
        <v>0.55577343034586257</v>
      </c>
      <c r="AJ581" s="34">
        <f t="shared" ref="AJ581:AJ644" si="46">IF(AA581="","",AI581/9.80665)</f>
        <v>5.667311776660354E-2</v>
      </c>
      <c r="AK581" s="35" t="s">
        <v>920</v>
      </c>
      <c r="AL581" s="32">
        <v>0.44296456414349994</v>
      </c>
      <c r="AM581" s="32">
        <v>3.3798805322380416</v>
      </c>
      <c r="AN581" s="36">
        <v>1.5</v>
      </c>
    </row>
    <row r="582" spans="27:40" x14ac:dyDescent="0.25">
      <c r="AA582" s="29">
        <v>579</v>
      </c>
      <c r="AB582" s="30" t="s">
        <v>671</v>
      </c>
      <c r="AC582" s="29" t="s">
        <v>158</v>
      </c>
      <c r="AD582" s="30" t="s">
        <v>28</v>
      </c>
      <c r="AE582" s="31">
        <v>2.1362830044410596E-3</v>
      </c>
      <c r="AF582" s="12">
        <v>3.1790368753621117</v>
      </c>
      <c r="AG582" s="38">
        <f t="shared" si="43"/>
        <v>6.79132244732749E-3</v>
      </c>
      <c r="AH582" s="32">
        <f t="shared" si="44"/>
        <v>76.97286394226478</v>
      </c>
      <c r="AI582" s="33">
        <f t="shared" si="45"/>
        <v>0.52274753872618751</v>
      </c>
      <c r="AJ582" s="34">
        <f t="shared" si="46"/>
        <v>5.3305414053340085E-2</v>
      </c>
      <c r="AK582" s="35" t="s">
        <v>920</v>
      </c>
      <c r="AL582" s="32">
        <v>0.44296456414349994</v>
      </c>
      <c r="AM582" s="32">
        <v>3.1790368753621117</v>
      </c>
      <c r="AN582" s="36">
        <v>1.41</v>
      </c>
    </row>
    <row r="583" spans="27:40" x14ac:dyDescent="0.25">
      <c r="AA583" s="29">
        <v>580</v>
      </c>
      <c r="AB583" s="30" t="s">
        <v>672</v>
      </c>
      <c r="AC583" s="29" t="s">
        <v>158</v>
      </c>
      <c r="AD583" s="30" t="s">
        <v>28</v>
      </c>
      <c r="AE583" s="31">
        <v>2.1362830044410596E-3</v>
      </c>
      <c r="AF583" s="12">
        <v>2.0807051797462806</v>
      </c>
      <c r="AG583" s="38">
        <f t="shared" si="43"/>
        <v>4.444975112744459E-3</v>
      </c>
      <c r="AH583" s="32">
        <f t="shared" si="44"/>
        <v>76.97286394226478</v>
      </c>
      <c r="AI583" s="33">
        <f t="shared" si="45"/>
        <v>0.34214246458003228</v>
      </c>
      <c r="AJ583" s="34">
        <f t="shared" si="46"/>
        <v>3.4888821828048547E-2</v>
      </c>
      <c r="AK583" s="35" t="s">
        <v>920</v>
      </c>
      <c r="AL583" s="32">
        <v>0.44296456414349994</v>
      </c>
      <c r="AM583" s="32">
        <v>2.0807051797462806</v>
      </c>
      <c r="AN583" s="36">
        <v>0.92</v>
      </c>
    </row>
    <row r="584" spans="27:40" x14ac:dyDescent="0.25">
      <c r="AA584" s="29">
        <v>581</v>
      </c>
      <c r="AB584" s="30" t="s">
        <v>673</v>
      </c>
      <c r="AC584" s="29" t="s">
        <v>158</v>
      </c>
      <c r="AD584" s="30" t="s">
        <v>28</v>
      </c>
      <c r="AE584" s="31">
        <v>2.1362830044410596E-3</v>
      </c>
      <c r="AF584" s="12">
        <v>2.0807051797469542</v>
      </c>
      <c r="AG584" s="38">
        <f t="shared" si="43"/>
        <v>4.444975112745898E-3</v>
      </c>
      <c r="AH584" s="32">
        <f t="shared" si="44"/>
        <v>76.97286394226478</v>
      </c>
      <c r="AI584" s="33">
        <f t="shared" si="45"/>
        <v>0.34214246458014308</v>
      </c>
      <c r="AJ584" s="34">
        <f t="shared" si="46"/>
        <v>3.488882182805985E-2</v>
      </c>
      <c r="AK584" s="35" t="s">
        <v>920</v>
      </c>
      <c r="AL584" s="32">
        <v>0.44296456414349994</v>
      </c>
      <c r="AM584" s="32">
        <v>2.0807051797469542</v>
      </c>
      <c r="AN584" s="36">
        <v>0.92</v>
      </c>
    </row>
    <row r="585" spans="27:40" x14ac:dyDescent="0.25">
      <c r="AA585" s="29">
        <v>582</v>
      </c>
      <c r="AB585" s="30" t="s">
        <v>674</v>
      </c>
      <c r="AC585" s="29" t="s">
        <v>158</v>
      </c>
      <c r="AD585" s="30" t="s">
        <v>28</v>
      </c>
      <c r="AE585" s="31">
        <v>2.1362830044410596E-3</v>
      </c>
      <c r="AF585" s="12">
        <v>2.0807051797451113</v>
      </c>
      <c r="AG585" s="38">
        <f t="shared" si="43"/>
        <v>4.444975112741961E-3</v>
      </c>
      <c r="AH585" s="32">
        <f t="shared" si="44"/>
        <v>76.97286394226478</v>
      </c>
      <c r="AI585" s="33">
        <f t="shared" si="45"/>
        <v>0.34214246457984004</v>
      </c>
      <c r="AJ585" s="34">
        <f t="shared" si="46"/>
        <v>3.4888821828028944E-2</v>
      </c>
      <c r="AK585" s="35" t="s">
        <v>920</v>
      </c>
      <c r="AL585" s="32">
        <v>0.44296456414349994</v>
      </c>
      <c r="AM585" s="32">
        <v>2.0807051797451113</v>
      </c>
      <c r="AN585" s="36">
        <v>0.92</v>
      </c>
    </row>
    <row r="586" spans="27:40" x14ac:dyDescent="0.25">
      <c r="AA586" s="29">
        <v>583</v>
      </c>
      <c r="AB586" s="30" t="s">
        <v>675</v>
      </c>
      <c r="AC586" s="29" t="s">
        <v>158</v>
      </c>
      <c r="AD586" s="30" t="s">
        <v>28</v>
      </c>
      <c r="AE586" s="31">
        <v>2.1362830044410596E-3</v>
      </c>
      <c r="AF586" s="12">
        <v>2.0807051797444625</v>
      </c>
      <c r="AG586" s="38">
        <f t="shared" si="43"/>
        <v>4.444975112740575E-3</v>
      </c>
      <c r="AH586" s="32">
        <f t="shared" si="44"/>
        <v>76.97286394226478</v>
      </c>
      <c r="AI586" s="33">
        <f t="shared" si="45"/>
        <v>0.34214246457973335</v>
      </c>
      <c r="AJ586" s="34">
        <f t="shared" si="46"/>
        <v>3.4888821828018064E-2</v>
      </c>
      <c r="AK586" s="35" t="s">
        <v>920</v>
      </c>
      <c r="AL586" s="32">
        <v>0.44296456414349994</v>
      </c>
      <c r="AM586" s="32">
        <v>2.0807051797444625</v>
      </c>
      <c r="AN586" s="36">
        <v>0.92</v>
      </c>
    </row>
    <row r="587" spans="27:40" x14ac:dyDescent="0.25">
      <c r="AA587" s="29">
        <v>584</v>
      </c>
      <c r="AB587" s="30" t="s">
        <v>676</v>
      </c>
      <c r="AC587" s="29" t="s">
        <v>158</v>
      </c>
      <c r="AD587" s="30" t="s">
        <v>28</v>
      </c>
      <c r="AE587" s="31">
        <v>2.1362830044410596E-3</v>
      </c>
      <c r="AF587" s="12">
        <v>2.0807051797468379</v>
      </c>
      <c r="AG587" s="38">
        <f t="shared" si="43"/>
        <v>4.4449751127456499E-3</v>
      </c>
      <c r="AH587" s="32">
        <f t="shared" si="44"/>
        <v>76.97286394226478</v>
      </c>
      <c r="AI587" s="33">
        <f t="shared" si="45"/>
        <v>0.34214246458012398</v>
      </c>
      <c r="AJ587" s="34">
        <f t="shared" si="46"/>
        <v>3.48888218280579E-2</v>
      </c>
      <c r="AK587" s="35" t="s">
        <v>920</v>
      </c>
      <c r="AL587" s="32">
        <v>0.44296456414349994</v>
      </c>
      <c r="AM587" s="32">
        <v>2.0807051797468379</v>
      </c>
      <c r="AN587" s="36">
        <v>0.92</v>
      </c>
    </row>
    <row r="588" spans="27:40" x14ac:dyDescent="0.25">
      <c r="AA588" s="29">
        <v>585</v>
      </c>
      <c r="AB588" s="30" t="s">
        <v>677</v>
      </c>
      <c r="AC588" s="29" t="s">
        <v>158</v>
      </c>
      <c r="AD588" s="30" t="s">
        <v>28</v>
      </c>
      <c r="AE588" s="31">
        <v>2.1362830044410596E-3</v>
      </c>
      <c r="AF588" s="12">
        <v>2.0807051797433171</v>
      </c>
      <c r="AG588" s="38">
        <f t="shared" si="43"/>
        <v>4.4449751127381282E-3</v>
      </c>
      <c r="AH588" s="32">
        <f t="shared" si="44"/>
        <v>76.97286394226478</v>
      </c>
      <c r="AI588" s="33">
        <f t="shared" si="45"/>
        <v>0.342142464579545</v>
      </c>
      <c r="AJ588" s="34">
        <f t="shared" si="46"/>
        <v>3.4888821827998857E-2</v>
      </c>
      <c r="AK588" s="35" t="s">
        <v>920</v>
      </c>
      <c r="AL588" s="32">
        <v>0.44296456414349994</v>
      </c>
      <c r="AM588" s="32">
        <v>2.0807051797433171</v>
      </c>
      <c r="AN588" s="36">
        <v>0.92</v>
      </c>
    </row>
    <row r="589" spans="27:40" x14ac:dyDescent="0.25">
      <c r="AA589" s="29">
        <v>586</v>
      </c>
      <c r="AB589" s="30" t="s">
        <v>678</v>
      </c>
      <c r="AC589" s="29" t="s">
        <v>158</v>
      </c>
      <c r="AD589" s="30" t="s">
        <v>28</v>
      </c>
      <c r="AE589" s="31">
        <v>2.1362830044410596E-3</v>
      </c>
      <c r="AF589" s="12">
        <v>2.0807051797459848</v>
      </c>
      <c r="AG589" s="38">
        <f t="shared" si="43"/>
        <v>4.4449751127438276E-3</v>
      </c>
      <c r="AH589" s="32">
        <f t="shared" si="44"/>
        <v>76.97286394226478</v>
      </c>
      <c r="AI589" s="33">
        <f t="shared" si="45"/>
        <v>0.34214246457998371</v>
      </c>
      <c r="AJ589" s="34">
        <f t="shared" si="46"/>
        <v>3.4888821828043592E-2</v>
      </c>
      <c r="AK589" s="35" t="s">
        <v>920</v>
      </c>
      <c r="AL589" s="32">
        <v>0.44296456414349994</v>
      </c>
      <c r="AM589" s="32">
        <v>2.0807051797459848</v>
      </c>
      <c r="AN589" s="36">
        <v>0.92</v>
      </c>
    </row>
    <row r="590" spans="27:40" x14ac:dyDescent="0.25">
      <c r="AA590" s="29">
        <v>587</v>
      </c>
      <c r="AB590" s="30" t="s">
        <v>679</v>
      </c>
      <c r="AC590" s="29" t="s">
        <v>158</v>
      </c>
      <c r="AD590" s="30" t="s">
        <v>28</v>
      </c>
      <c r="AE590" s="31">
        <v>2.1362830044410596E-3</v>
      </c>
      <c r="AF590" s="12">
        <v>2.0807051797455443</v>
      </c>
      <c r="AG590" s="38">
        <f t="shared" si="43"/>
        <v>4.4449751127428865E-3</v>
      </c>
      <c r="AH590" s="32">
        <f t="shared" si="44"/>
        <v>76.97286394226478</v>
      </c>
      <c r="AI590" s="33">
        <f t="shared" si="45"/>
        <v>0.34214246457991127</v>
      </c>
      <c r="AJ590" s="34">
        <f t="shared" si="46"/>
        <v>3.4888821828036209E-2</v>
      </c>
      <c r="AK590" s="35" t="s">
        <v>920</v>
      </c>
      <c r="AL590" s="32">
        <v>0.44296456414349994</v>
      </c>
      <c r="AM590" s="32">
        <v>2.0807051797455443</v>
      </c>
      <c r="AN590" s="36">
        <v>0.92</v>
      </c>
    </row>
    <row r="591" spans="27:40" x14ac:dyDescent="0.25">
      <c r="AA591" s="29">
        <v>588</v>
      </c>
      <c r="AB591" s="30" t="s">
        <v>680</v>
      </c>
      <c r="AC591" s="29" t="s">
        <v>158</v>
      </c>
      <c r="AD591" s="30" t="s">
        <v>28</v>
      </c>
      <c r="AE591" s="31">
        <v>2.1362830044410596E-3</v>
      </c>
      <c r="AF591" s="12">
        <v>2.0807051797457792</v>
      </c>
      <c r="AG591" s="38">
        <f t="shared" si="43"/>
        <v>4.4449751127433879E-3</v>
      </c>
      <c r="AH591" s="32">
        <f t="shared" si="44"/>
        <v>76.97286394226478</v>
      </c>
      <c r="AI591" s="33">
        <f t="shared" si="45"/>
        <v>0.34214246457994985</v>
      </c>
      <c r="AJ591" s="34">
        <f t="shared" si="46"/>
        <v>3.4888821828040144E-2</v>
      </c>
      <c r="AK591" s="35" t="s">
        <v>920</v>
      </c>
      <c r="AL591" s="32">
        <v>0.44296456414349994</v>
      </c>
      <c r="AM591" s="32">
        <v>2.0807051797457792</v>
      </c>
      <c r="AN591" s="36">
        <v>0.92</v>
      </c>
    </row>
    <row r="592" spans="27:40" x14ac:dyDescent="0.25">
      <c r="AA592" s="29">
        <v>589</v>
      </c>
      <c r="AB592" s="30" t="s">
        <v>681</v>
      </c>
      <c r="AC592" s="29" t="s">
        <v>158</v>
      </c>
      <c r="AD592" s="30" t="s">
        <v>28</v>
      </c>
      <c r="AE592" s="31">
        <v>2.1362830044410596E-3</v>
      </c>
      <c r="AF592" s="12">
        <v>2.0807051797433846</v>
      </c>
      <c r="AG592" s="38">
        <f t="shared" si="43"/>
        <v>4.444975112738273E-3</v>
      </c>
      <c r="AH592" s="32">
        <f t="shared" si="44"/>
        <v>76.97286394226478</v>
      </c>
      <c r="AI592" s="33">
        <f t="shared" si="45"/>
        <v>0.34214246457955616</v>
      </c>
      <c r="AJ592" s="34">
        <f t="shared" si="46"/>
        <v>3.4888821827999995E-2</v>
      </c>
      <c r="AK592" s="35" t="s">
        <v>920</v>
      </c>
      <c r="AL592" s="32">
        <v>0.44296456414349994</v>
      </c>
      <c r="AM592" s="32">
        <v>2.0807051797433846</v>
      </c>
      <c r="AN592" s="36">
        <v>0.92</v>
      </c>
    </row>
    <row r="593" spans="27:40" x14ac:dyDescent="0.25">
      <c r="AA593" s="29">
        <v>590</v>
      </c>
      <c r="AB593" s="30" t="s">
        <v>682</v>
      </c>
      <c r="AC593" s="29" t="s">
        <v>158</v>
      </c>
      <c r="AD593" s="30" t="s">
        <v>28</v>
      </c>
      <c r="AE593" s="31">
        <v>2.1362830044410596E-3</v>
      </c>
      <c r="AF593" s="12">
        <v>2.0807051797462073</v>
      </c>
      <c r="AG593" s="38">
        <f t="shared" si="43"/>
        <v>4.4449751127443029E-3</v>
      </c>
      <c r="AH593" s="32">
        <f t="shared" si="44"/>
        <v>76.97286394226478</v>
      </c>
      <c r="AI593" s="33">
        <f t="shared" si="45"/>
        <v>0.34214246458002029</v>
      </c>
      <c r="AJ593" s="34">
        <f t="shared" si="46"/>
        <v>3.4888821828047326E-2</v>
      </c>
      <c r="AK593" s="35" t="s">
        <v>920</v>
      </c>
      <c r="AL593" s="32">
        <v>0.44296456414349994</v>
      </c>
      <c r="AM593" s="32">
        <v>2.0807051797462073</v>
      </c>
      <c r="AN593" s="36">
        <v>0.92</v>
      </c>
    </row>
    <row r="594" spans="27:40" x14ac:dyDescent="0.25">
      <c r="AA594" s="29">
        <v>591</v>
      </c>
      <c r="AB594" s="30" t="s">
        <v>683</v>
      </c>
      <c r="AC594" s="29" t="s">
        <v>158</v>
      </c>
      <c r="AD594" s="30" t="s">
        <v>28</v>
      </c>
      <c r="AE594" s="31">
        <v>2.1362830044410596E-3</v>
      </c>
      <c r="AF594" s="12">
        <v>2.0807051797430582</v>
      </c>
      <c r="AG594" s="38">
        <f t="shared" si="43"/>
        <v>4.4449751127375757E-3</v>
      </c>
      <c r="AH594" s="32">
        <f t="shared" si="44"/>
        <v>76.97286394226478</v>
      </c>
      <c r="AI594" s="33">
        <f t="shared" si="45"/>
        <v>0.34214246457950248</v>
      </c>
      <c r="AJ594" s="34">
        <f t="shared" si="46"/>
        <v>3.4888821827994528E-2</v>
      </c>
      <c r="AK594" s="35" t="s">
        <v>920</v>
      </c>
      <c r="AL594" s="32">
        <v>0.44296456414349994</v>
      </c>
      <c r="AM594" s="32">
        <v>2.0807051797430582</v>
      </c>
      <c r="AN594" s="36">
        <v>0.92</v>
      </c>
    </row>
    <row r="595" spans="27:40" x14ac:dyDescent="0.25">
      <c r="AA595" s="29">
        <v>592</v>
      </c>
      <c r="AB595" s="30" t="s">
        <v>684</v>
      </c>
      <c r="AC595" s="29" t="s">
        <v>158</v>
      </c>
      <c r="AD595" s="30" t="s">
        <v>28</v>
      </c>
      <c r="AE595" s="31">
        <v>2.1362830044410596E-3</v>
      </c>
      <c r="AF595" s="12">
        <v>2.0807051797482585</v>
      </c>
      <c r="AG595" s="38">
        <f t="shared" si="43"/>
        <v>4.4449751127486848E-3</v>
      </c>
      <c r="AH595" s="32">
        <f t="shared" si="44"/>
        <v>76.97286394226478</v>
      </c>
      <c r="AI595" s="33">
        <f t="shared" si="45"/>
        <v>0.34214246458035757</v>
      </c>
      <c r="AJ595" s="34">
        <f t="shared" si="46"/>
        <v>3.4888821828081722E-2</v>
      </c>
      <c r="AK595" s="35" t="s">
        <v>920</v>
      </c>
      <c r="AL595" s="32">
        <v>0.44296456414349994</v>
      </c>
      <c r="AM595" s="32">
        <v>2.0807051797482585</v>
      </c>
      <c r="AN595" s="36">
        <v>0.92</v>
      </c>
    </row>
    <row r="596" spans="27:40" x14ac:dyDescent="0.25">
      <c r="AA596" s="29">
        <v>593</v>
      </c>
      <c r="AB596" s="30" t="s">
        <v>685</v>
      </c>
      <c r="AC596" s="29" t="s">
        <v>158</v>
      </c>
      <c r="AD596" s="30" t="s">
        <v>28</v>
      </c>
      <c r="AE596" s="31">
        <v>2.1362830044410596E-3</v>
      </c>
      <c r="AF596" s="12">
        <v>2.08070517974528</v>
      </c>
      <c r="AG596" s="38">
        <f t="shared" si="43"/>
        <v>4.4449751127423219E-3</v>
      </c>
      <c r="AH596" s="32">
        <f t="shared" si="44"/>
        <v>76.97286394226478</v>
      </c>
      <c r="AI596" s="33">
        <f t="shared" si="45"/>
        <v>0.3421424645798678</v>
      </c>
      <c r="AJ596" s="34">
        <f t="shared" si="46"/>
        <v>3.4888821828031776E-2</v>
      </c>
      <c r="AK596" s="35" t="s">
        <v>920</v>
      </c>
      <c r="AL596" s="32">
        <v>0.44296456414349994</v>
      </c>
      <c r="AM596" s="32">
        <v>2.08070517974528</v>
      </c>
      <c r="AN596" s="36">
        <v>0.92</v>
      </c>
    </row>
    <row r="597" spans="27:40" x14ac:dyDescent="0.25">
      <c r="AA597" s="29">
        <v>594</v>
      </c>
      <c r="AB597" s="30" t="s">
        <v>686</v>
      </c>
      <c r="AC597" s="29" t="s">
        <v>158</v>
      </c>
      <c r="AD597" s="30" t="s">
        <v>28</v>
      </c>
      <c r="AE597" s="31">
        <v>2.1362830044410596E-3</v>
      </c>
      <c r="AF597" s="12">
        <v>2.0807051797458058</v>
      </c>
      <c r="AG597" s="38">
        <f t="shared" si="43"/>
        <v>4.4449751127434451E-3</v>
      </c>
      <c r="AH597" s="32">
        <f t="shared" si="44"/>
        <v>76.97286394226478</v>
      </c>
      <c r="AI597" s="33">
        <f t="shared" si="45"/>
        <v>0.34214246457995423</v>
      </c>
      <c r="AJ597" s="34">
        <f t="shared" si="46"/>
        <v>3.4888821828040588E-2</v>
      </c>
      <c r="AK597" s="35" t="s">
        <v>920</v>
      </c>
      <c r="AL597" s="32">
        <v>0.44296456414349994</v>
      </c>
      <c r="AM597" s="32">
        <v>2.0807051797458058</v>
      </c>
      <c r="AN597" s="36">
        <v>0.92</v>
      </c>
    </row>
    <row r="598" spans="27:40" x14ac:dyDescent="0.25">
      <c r="AA598" s="29">
        <v>595</v>
      </c>
      <c r="AB598" s="30" t="s">
        <v>687</v>
      </c>
      <c r="AC598" s="29" t="s">
        <v>157</v>
      </c>
      <c r="AD598" s="30" t="s">
        <v>28</v>
      </c>
      <c r="AE598" s="31">
        <v>3.5735616434583872E-4</v>
      </c>
      <c r="AF598" s="12">
        <v>1.5197221558268672</v>
      </c>
      <c r="AG598" s="38">
        <f t="shared" si="43"/>
        <v>5.430820804776783E-4</v>
      </c>
      <c r="AH598" s="32">
        <f t="shared" si="44"/>
        <v>76.97286394226478</v>
      </c>
      <c r="AI598" s="33">
        <f t="shared" si="45"/>
        <v>4.1802583090090425E-2</v>
      </c>
      <c r="AJ598" s="34">
        <f t="shared" si="46"/>
        <v>4.2626771721322194E-3</v>
      </c>
      <c r="AK598" s="35" t="s">
        <v>920</v>
      </c>
      <c r="AL598" s="32">
        <v>0.15079644736800002</v>
      </c>
      <c r="AM598" s="32">
        <v>1.5197221558268672</v>
      </c>
      <c r="AN598" s="36">
        <v>0.23</v>
      </c>
    </row>
    <row r="599" spans="27:40" x14ac:dyDescent="0.25">
      <c r="AA599" s="29">
        <v>596</v>
      </c>
      <c r="AB599" s="30" t="s">
        <v>688</v>
      </c>
      <c r="AC599" s="29" t="s">
        <v>153</v>
      </c>
      <c r="AD599" s="30" t="s">
        <v>28</v>
      </c>
      <c r="AE599" s="31">
        <v>8.2938046054770545E-4</v>
      </c>
      <c r="AF599" s="12">
        <v>1.519722147473572</v>
      </c>
      <c r="AG599" s="38">
        <f t="shared" si="43"/>
        <v>1.2604278545761791E-3</v>
      </c>
      <c r="AH599" s="32">
        <f t="shared" si="44"/>
        <v>76.97286394226478</v>
      </c>
      <c r="AI599" s="33">
        <f t="shared" si="45"/>
        <v>9.7018741759332935E-2</v>
      </c>
      <c r="AJ599" s="34">
        <f t="shared" si="46"/>
        <v>9.8931583934710569E-3</v>
      </c>
      <c r="AK599" s="35" t="s">
        <v>920</v>
      </c>
      <c r="AL599" s="32">
        <v>0.21991148574500002</v>
      </c>
      <c r="AM599" s="32">
        <v>1.519722147473572</v>
      </c>
      <c r="AN599" s="36">
        <v>0.33</v>
      </c>
    </row>
    <row r="600" spans="27:40" x14ac:dyDescent="0.25">
      <c r="AA600" s="29">
        <v>597</v>
      </c>
      <c r="AB600" s="30" t="s">
        <v>689</v>
      </c>
      <c r="AC600" s="29" t="s">
        <v>153</v>
      </c>
      <c r="AD600" s="30" t="s">
        <v>28</v>
      </c>
      <c r="AE600" s="31">
        <v>8.2938046054770545E-4</v>
      </c>
      <c r="AF600" s="12">
        <v>1.5197221502906733</v>
      </c>
      <c r="AG600" s="38">
        <f t="shared" si="43"/>
        <v>1.2604278569126278E-3</v>
      </c>
      <c r="AH600" s="32">
        <f t="shared" si="44"/>
        <v>76.97286394226478</v>
      </c>
      <c r="AI600" s="33">
        <f t="shared" si="45"/>
        <v>9.7018741939176076E-2</v>
      </c>
      <c r="AJ600" s="34">
        <f t="shared" si="46"/>
        <v>9.8931584118099533E-3</v>
      </c>
      <c r="AK600" s="35" t="s">
        <v>920</v>
      </c>
      <c r="AL600" s="32">
        <v>0.21991148574500002</v>
      </c>
      <c r="AM600" s="32">
        <v>1.5197221502906733</v>
      </c>
      <c r="AN600" s="36">
        <v>0.33</v>
      </c>
    </row>
    <row r="601" spans="27:40" x14ac:dyDescent="0.25">
      <c r="AA601" s="29">
        <v>598</v>
      </c>
      <c r="AB601" s="30" t="s">
        <v>690</v>
      </c>
      <c r="AC601" s="29" t="s">
        <v>153</v>
      </c>
      <c r="AD601" s="30" t="s">
        <v>28</v>
      </c>
      <c r="AE601" s="31">
        <v>8.2938046054770545E-4</v>
      </c>
      <c r="AF601" s="12">
        <v>1.5197221502894127</v>
      </c>
      <c r="AG601" s="38">
        <f t="shared" si="43"/>
        <v>1.2604278569115824E-3</v>
      </c>
      <c r="AH601" s="32">
        <f t="shared" si="44"/>
        <v>76.97286394226478</v>
      </c>
      <c r="AI601" s="33">
        <f t="shared" si="45"/>
        <v>9.7018741939095612E-2</v>
      </c>
      <c r="AJ601" s="34">
        <f t="shared" si="46"/>
        <v>9.8931584118017481E-3</v>
      </c>
      <c r="AK601" s="35" t="s">
        <v>920</v>
      </c>
      <c r="AL601" s="32">
        <v>0.21991148574500002</v>
      </c>
      <c r="AM601" s="32">
        <v>1.5197221502894127</v>
      </c>
      <c r="AN601" s="36">
        <v>0.33</v>
      </c>
    </row>
    <row r="602" spans="27:40" x14ac:dyDescent="0.25">
      <c r="AA602" s="29">
        <v>599</v>
      </c>
      <c r="AB602" s="30" t="s">
        <v>691</v>
      </c>
      <c r="AC602" s="29" t="s">
        <v>153</v>
      </c>
      <c r="AD602" s="30" t="s">
        <v>28</v>
      </c>
      <c r="AE602" s="31">
        <v>8.2938046054770545E-4</v>
      </c>
      <c r="AF602" s="12">
        <v>1.5197221502913931</v>
      </c>
      <c r="AG602" s="38">
        <f t="shared" si="43"/>
        <v>1.2604278569132248E-3</v>
      </c>
      <c r="AH602" s="32">
        <f t="shared" si="44"/>
        <v>76.97286394226478</v>
      </c>
      <c r="AI602" s="33">
        <f t="shared" si="45"/>
        <v>9.7018741939222025E-2</v>
      </c>
      <c r="AJ602" s="34">
        <f t="shared" si="46"/>
        <v>9.8931584118146388E-3</v>
      </c>
      <c r="AK602" s="35" t="s">
        <v>920</v>
      </c>
      <c r="AL602" s="32">
        <v>0.21991148574500002</v>
      </c>
      <c r="AM602" s="32">
        <v>1.5197221502913931</v>
      </c>
      <c r="AN602" s="36">
        <v>0.33</v>
      </c>
    </row>
    <row r="603" spans="27:40" x14ac:dyDescent="0.25">
      <c r="AA603" s="29">
        <v>600</v>
      </c>
      <c r="AB603" s="30" t="s">
        <v>692</v>
      </c>
      <c r="AC603" s="29" t="s">
        <v>157</v>
      </c>
      <c r="AD603" s="30" t="s">
        <v>28</v>
      </c>
      <c r="AE603" s="31">
        <v>3.5735616434583872E-4</v>
      </c>
      <c r="AF603" s="12">
        <v>1.5197221502905753</v>
      </c>
      <c r="AG603" s="38">
        <f t="shared" si="43"/>
        <v>5.4308207849925025E-4</v>
      </c>
      <c r="AH603" s="32">
        <f t="shared" si="44"/>
        <v>76.97286394226478</v>
      </c>
      <c r="AI603" s="33">
        <f t="shared" si="45"/>
        <v>4.1802582937805151E-2</v>
      </c>
      <c r="AJ603" s="34">
        <f t="shared" si="46"/>
        <v>4.2626771566034432E-3</v>
      </c>
      <c r="AK603" s="35" t="s">
        <v>920</v>
      </c>
      <c r="AL603" s="32">
        <v>0.15079644736800002</v>
      </c>
      <c r="AM603" s="32">
        <v>1.5197221502905753</v>
      </c>
      <c r="AN603" s="36">
        <v>0.23</v>
      </c>
    </row>
    <row r="604" spans="27:40" x14ac:dyDescent="0.25">
      <c r="AA604" s="29">
        <v>601</v>
      </c>
      <c r="AB604" s="30" t="s">
        <v>693</v>
      </c>
      <c r="AC604" s="29" t="s">
        <v>157</v>
      </c>
      <c r="AD604" s="30" t="s">
        <v>28</v>
      </c>
      <c r="AE604" s="31">
        <v>3.5735616434583872E-4</v>
      </c>
      <c r="AF604" s="12">
        <v>1.5197221502888516</v>
      </c>
      <c r="AG604" s="38">
        <f t="shared" si="43"/>
        <v>5.4308207849863431E-4</v>
      </c>
      <c r="AH604" s="32">
        <f t="shared" si="44"/>
        <v>76.97286394226478</v>
      </c>
      <c r="AI604" s="33">
        <f t="shared" si="45"/>
        <v>4.1802582937757737E-2</v>
      </c>
      <c r="AJ604" s="34">
        <f t="shared" si="46"/>
        <v>4.2626771565986077E-3</v>
      </c>
      <c r="AK604" s="35" t="s">
        <v>920</v>
      </c>
      <c r="AL604" s="32">
        <v>0.15079644736800002</v>
      </c>
      <c r="AM604" s="32">
        <v>1.5197221502888516</v>
      </c>
      <c r="AN604" s="36">
        <v>0.23</v>
      </c>
    </row>
    <row r="605" spans="27:40" x14ac:dyDescent="0.25">
      <c r="AA605" s="29">
        <v>602</v>
      </c>
      <c r="AB605" s="30" t="s">
        <v>694</v>
      </c>
      <c r="AC605" s="29" t="s">
        <v>157</v>
      </c>
      <c r="AD605" s="30" t="s">
        <v>28</v>
      </c>
      <c r="AE605" s="31">
        <v>3.5735616434583872E-4</v>
      </c>
      <c r="AF605" s="12">
        <v>1.5197221502900096</v>
      </c>
      <c r="AG605" s="38">
        <f t="shared" si="43"/>
        <v>5.4308207849904804E-4</v>
      </c>
      <c r="AH605" s="32">
        <f t="shared" si="44"/>
        <v>76.97286394226478</v>
      </c>
      <c r="AI605" s="33">
        <f t="shared" si="45"/>
        <v>4.1802582937789587E-2</v>
      </c>
      <c r="AJ605" s="34">
        <f t="shared" si="46"/>
        <v>4.2626771566018559E-3</v>
      </c>
      <c r="AK605" s="35" t="s">
        <v>920</v>
      </c>
      <c r="AL605" s="32">
        <v>0.15079644736800002</v>
      </c>
      <c r="AM605" s="32">
        <v>1.5197221502900096</v>
      </c>
      <c r="AN605" s="36">
        <v>0.23</v>
      </c>
    </row>
    <row r="606" spans="27:40" x14ac:dyDescent="0.25">
      <c r="AA606" s="29">
        <v>603</v>
      </c>
      <c r="AB606" s="30" t="s">
        <v>695</v>
      </c>
      <c r="AC606" s="29" t="s">
        <v>157</v>
      </c>
      <c r="AD606" s="30" t="s">
        <v>28</v>
      </c>
      <c r="AE606" s="31">
        <v>3.5735616434583872E-4</v>
      </c>
      <c r="AF606" s="12">
        <v>1.5197221502908995</v>
      </c>
      <c r="AG606" s="38">
        <f t="shared" si="43"/>
        <v>5.4308207849936615E-4</v>
      </c>
      <c r="AH606" s="32">
        <f t="shared" si="44"/>
        <v>76.97286394226478</v>
      </c>
      <c r="AI606" s="33">
        <f t="shared" si="45"/>
        <v>4.1802582937814074E-2</v>
      </c>
      <c r="AJ606" s="34">
        <f t="shared" si="46"/>
        <v>4.2626771566043531E-3</v>
      </c>
      <c r="AK606" s="35" t="s">
        <v>920</v>
      </c>
      <c r="AL606" s="32">
        <v>0.15079644736800002</v>
      </c>
      <c r="AM606" s="32">
        <v>1.5197221502908995</v>
      </c>
      <c r="AN606" s="36">
        <v>0.23</v>
      </c>
    </row>
    <row r="607" spans="27:40" x14ac:dyDescent="0.25">
      <c r="AA607" s="29">
        <v>604</v>
      </c>
      <c r="AB607" s="30" t="s">
        <v>696</v>
      </c>
      <c r="AC607" s="29" t="s">
        <v>157</v>
      </c>
      <c r="AD607" s="30" t="s">
        <v>28</v>
      </c>
      <c r="AE607" s="31">
        <v>3.5735616434583872E-4</v>
      </c>
      <c r="AF607" s="12">
        <v>1.5197221502893745</v>
      </c>
      <c r="AG607" s="38">
        <f t="shared" si="43"/>
        <v>5.4308207849882112E-4</v>
      </c>
      <c r="AH607" s="32">
        <f t="shared" si="44"/>
        <v>76.97286394226478</v>
      </c>
      <c r="AI607" s="33">
        <f t="shared" si="45"/>
        <v>4.1802582937772122E-2</v>
      </c>
      <c r="AJ607" s="34">
        <f t="shared" si="46"/>
        <v>4.2626771566000752E-3</v>
      </c>
      <c r="AK607" s="35" t="s">
        <v>920</v>
      </c>
      <c r="AL607" s="32">
        <v>0.15079644736800002</v>
      </c>
      <c r="AM607" s="32">
        <v>1.5197221502893745</v>
      </c>
      <c r="AN607" s="36">
        <v>0.23</v>
      </c>
    </row>
    <row r="608" spans="27:40" x14ac:dyDescent="0.25">
      <c r="AA608" s="29">
        <v>605</v>
      </c>
      <c r="AB608" s="30" t="s">
        <v>697</v>
      </c>
      <c r="AC608" s="29" t="s">
        <v>157</v>
      </c>
      <c r="AD608" s="30" t="s">
        <v>28</v>
      </c>
      <c r="AE608" s="31">
        <v>3.5735616434583872E-4</v>
      </c>
      <c r="AF608" s="12">
        <v>1.5197221502896916</v>
      </c>
      <c r="AG608" s="38">
        <f t="shared" si="43"/>
        <v>5.4308207849893442E-4</v>
      </c>
      <c r="AH608" s="32">
        <f t="shared" si="44"/>
        <v>76.97286394226478</v>
      </c>
      <c r="AI608" s="33">
        <f t="shared" si="45"/>
        <v>4.1802582937780837E-2</v>
      </c>
      <c r="AJ608" s="34">
        <f t="shared" si="46"/>
        <v>4.2626771566009634E-3</v>
      </c>
      <c r="AK608" s="35" t="s">
        <v>920</v>
      </c>
      <c r="AL608" s="32">
        <v>0.15079644736800002</v>
      </c>
      <c r="AM608" s="32">
        <v>1.5197221502896916</v>
      </c>
      <c r="AN608" s="36">
        <v>0.23</v>
      </c>
    </row>
    <row r="609" spans="27:40" x14ac:dyDescent="0.25">
      <c r="AA609" s="29">
        <v>606</v>
      </c>
      <c r="AB609" s="30" t="s">
        <v>698</v>
      </c>
      <c r="AC609" s="29" t="s">
        <v>157</v>
      </c>
      <c r="AD609" s="30" t="s">
        <v>28</v>
      </c>
      <c r="AE609" s="31">
        <v>3.5735616434583872E-4</v>
      </c>
      <c r="AF609" s="12">
        <v>1.5197221502918832</v>
      </c>
      <c r="AG609" s="38">
        <f t="shared" si="43"/>
        <v>5.4308207849971765E-4</v>
      </c>
      <c r="AH609" s="32">
        <f t="shared" si="44"/>
        <v>76.97286394226478</v>
      </c>
      <c r="AI609" s="33">
        <f t="shared" si="45"/>
        <v>4.1802582937841129E-2</v>
      </c>
      <c r="AJ609" s="34">
        <f t="shared" si="46"/>
        <v>4.2626771566071113E-3</v>
      </c>
      <c r="AK609" s="35" t="s">
        <v>920</v>
      </c>
      <c r="AL609" s="32">
        <v>0.15079644736800002</v>
      </c>
      <c r="AM609" s="32">
        <v>1.5197221502918832</v>
      </c>
      <c r="AN609" s="36">
        <v>0.23</v>
      </c>
    </row>
    <row r="610" spans="27:40" x14ac:dyDescent="0.25">
      <c r="AA610" s="29">
        <v>607</v>
      </c>
      <c r="AB610" s="30" t="s">
        <v>699</v>
      </c>
      <c r="AC610" s="29" t="s">
        <v>157</v>
      </c>
      <c r="AD610" s="30" t="s">
        <v>28</v>
      </c>
      <c r="AE610" s="31">
        <v>3.5735616434583872E-4</v>
      </c>
      <c r="AF610" s="12">
        <v>1.5197221502888831</v>
      </c>
      <c r="AG610" s="38">
        <f t="shared" si="43"/>
        <v>5.4308207849864559E-4</v>
      </c>
      <c r="AH610" s="32">
        <f t="shared" si="44"/>
        <v>76.97286394226478</v>
      </c>
      <c r="AI610" s="33">
        <f t="shared" si="45"/>
        <v>4.1802582937758605E-2</v>
      </c>
      <c r="AJ610" s="34">
        <f t="shared" si="46"/>
        <v>4.2626771565986961E-3</v>
      </c>
      <c r="AK610" s="35" t="s">
        <v>920</v>
      </c>
      <c r="AL610" s="32">
        <v>0.15079644736800002</v>
      </c>
      <c r="AM610" s="32">
        <v>1.5197221502888831</v>
      </c>
      <c r="AN610" s="36">
        <v>0.23</v>
      </c>
    </row>
    <row r="611" spans="27:40" x14ac:dyDescent="0.25">
      <c r="AA611" s="29">
        <v>608</v>
      </c>
      <c r="AB611" s="30" t="s">
        <v>700</v>
      </c>
      <c r="AC611" s="29" t="s">
        <v>157</v>
      </c>
      <c r="AD611" s="30" t="s">
        <v>28</v>
      </c>
      <c r="AE611" s="31">
        <v>3.5735616434583872E-4</v>
      </c>
      <c r="AF611" s="12">
        <v>1.5197221502908715</v>
      </c>
      <c r="AG611" s="38">
        <f t="shared" si="43"/>
        <v>5.4308207849935607E-4</v>
      </c>
      <c r="AH611" s="32">
        <f t="shared" si="44"/>
        <v>76.97286394226478</v>
      </c>
      <c r="AI611" s="33">
        <f t="shared" si="45"/>
        <v>4.1802582937813297E-2</v>
      </c>
      <c r="AJ611" s="34">
        <f t="shared" si="46"/>
        <v>4.2626771566042733E-3</v>
      </c>
      <c r="AK611" s="35" t="s">
        <v>920</v>
      </c>
      <c r="AL611" s="32">
        <v>0.15079644736800002</v>
      </c>
      <c r="AM611" s="32">
        <v>1.5197221502908715</v>
      </c>
      <c r="AN611" s="36">
        <v>0.23</v>
      </c>
    </row>
    <row r="612" spans="27:40" x14ac:dyDescent="0.25">
      <c r="AA612" s="29">
        <v>609</v>
      </c>
      <c r="AB612" s="30" t="s">
        <v>701</v>
      </c>
      <c r="AC612" s="29" t="s">
        <v>157</v>
      </c>
      <c r="AD612" s="30" t="s">
        <v>28</v>
      </c>
      <c r="AE612" s="31">
        <v>3.5735616434583872E-4</v>
      </c>
      <c r="AF612" s="12">
        <v>1.5197221502895877</v>
      </c>
      <c r="AG612" s="38">
        <f t="shared" si="43"/>
        <v>5.4308207849889734E-4</v>
      </c>
      <c r="AH612" s="32">
        <f t="shared" si="44"/>
        <v>76.97286394226478</v>
      </c>
      <c r="AI612" s="33">
        <f t="shared" si="45"/>
        <v>4.1802582937777985E-2</v>
      </c>
      <c r="AJ612" s="34">
        <f t="shared" si="46"/>
        <v>4.2626771566006728E-3</v>
      </c>
      <c r="AK612" s="35" t="s">
        <v>920</v>
      </c>
      <c r="AL612" s="32">
        <v>0.15079644736800002</v>
      </c>
      <c r="AM612" s="32">
        <v>1.5197221502895877</v>
      </c>
      <c r="AN612" s="36">
        <v>0.23</v>
      </c>
    </row>
    <row r="613" spans="27:40" x14ac:dyDescent="0.25">
      <c r="AA613" s="29">
        <v>610</v>
      </c>
      <c r="AB613" s="30" t="s">
        <v>702</v>
      </c>
      <c r="AC613" s="29" t="s">
        <v>157</v>
      </c>
      <c r="AD613" s="30" t="s">
        <v>28</v>
      </c>
      <c r="AE613" s="31">
        <v>3.5735616434583872E-4</v>
      </c>
      <c r="AF613" s="12">
        <v>1.5197221502907208</v>
      </c>
      <c r="AG613" s="38">
        <f t="shared" si="43"/>
        <v>5.4308207849930218E-4</v>
      </c>
      <c r="AH613" s="32">
        <f t="shared" si="44"/>
        <v>76.97286394226478</v>
      </c>
      <c r="AI613" s="33">
        <f t="shared" si="45"/>
        <v>4.1802582937809148E-2</v>
      </c>
      <c r="AJ613" s="34">
        <f t="shared" si="46"/>
        <v>4.2626771566038509E-3</v>
      </c>
      <c r="AK613" s="35" t="s">
        <v>920</v>
      </c>
      <c r="AL613" s="32">
        <v>0.15079644736800002</v>
      </c>
      <c r="AM613" s="32">
        <v>1.5197221502907208</v>
      </c>
      <c r="AN613" s="36">
        <v>0.23</v>
      </c>
    </row>
    <row r="614" spans="27:40" x14ac:dyDescent="0.25">
      <c r="AA614" s="29">
        <v>611</v>
      </c>
      <c r="AB614" s="30" t="s">
        <v>703</v>
      </c>
      <c r="AC614" s="29" t="s">
        <v>157</v>
      </c>
      <c r="AD614" s="30" t="s">
        <v>28</v>
      </c>
      <c r="AE614" s="31">
        <v>3.5735616434583872E-4</v>
      </c>
      <c r="AF614" s="12">
        <v>1.5197221502899976</v>
      </c>
      <c r="AG614" s="38">
        <f t="shared" si="43"/>
        <v>5.4308207849904382E-4</v>
      </c>
      <c r="AH614" s="32">
        <f t="shared" si="44"/>
        <v>76.97286394226478</v>
      </c>
      <c r="AI614" s="33">
        <f t="shared" si="45"/>
        <v>4.1802582937789261E-2</v>
      </c>
      <c r="AJ614" s="34">
        <f t="shared" si="46"/>
        <v>4.262677156601823E-3</v>
      </c>
      <c r="AK614" s="35" t="s">
        <v>920</v>
      </c>
      <c r="AL614" s="32">
        <v>0.15079644736800002</v>
      </c>
      <c r="AM614" s="32">
        <v>1.5197221502899976</v>
      </c>
      <c r="AN614" s="36">
        <v>0.23</v>
      </c>
    </row>
    <row r="615" spans="27:40" x14ac:dyDescent="0.25">
      <c r="AA615" s="29">
        <v>612</v>
      </c>
      <c r="AB615" s="30" t="s">
        <v>704</v>
      </c>
      <c r="AC615" s="29" t="s">
        <v>157</v>
      </c>
      <c r="AD615" s="30" t="s">
        <v>28</v>
      </c>
      <c r="AE615" s="31">
        <v>3.5735616434583872E-4</v>
      </c>
      <c r="AF615" s="12">
        <v>1.5197221502903375</v>
      </c>
      <c r="AG615" s="38">
        <f t="shared" si="43"/>
        <v>5.4308207849916525E-4</v>
      </c>
      <c r="AH615" s="32">
        <f t="shared" si="44"/>
        <v>76.97286394226478</v>
      </c>
      <c r="AI615" s="33">
        <f t="shared" si="45"/>
        <v>4.1802582937798607E-2</v>
      </c>
      <c r="AJ615" s="34">
        <f t="shared" si="46"/>
        <v>4.2626771566027753E-3</v>
      </c>
      <c r="AK615" s="35" t="s">
        <v>920</v>
      </c>
      <c r="AL615" s="32">
        <v>0.15079644736800002</v>
      </c>
      <c r="AM615" s="32">
        <v>1.5197221502903375</v>
      </c>
      <c r="AN615" s="36">
        <v>0.23</v>
      </c>
    </row>
    <row r="616" spans="27:40" x14ac:dyDescent="0.25">
      <c r="AA616" s="29">
        <v>613</v>
      </c>
      <c r="AB616" s="30" t="s">
        <v>705</v>
      </c>
      <c r="AC616" s="29" t="s">
        <v>157</v>
      </c>
      <c r="AD616" s="30" t="s">
        <v>28</v>
      </c>
      <c r="AE616" s="31">
        <v>3.5735616434583872E-4</v>
      </c>
      <c r="AF616" s="12">
        <v>1.5197221502884424</v>
      </c>
      <c r="AG616" s="38">
        <f t="shared" si="43"/>
        <v>5.4308207849848805E-4</v>
      </c>
      <c r="AH616" s="32">
        <f t="shared" si="44"/>
        <v>76.97286394226478</v>
      </c>
      <c r="AI616" s="33">
        <f t="shared" si="45"/>
        <v>4.1802582937746482E-2</v>
      </c>
      <c r="AJ616" s="34">
        <f t="shared" si="46"/>
        <v>4.2626771565974601E-3</v>
      </c>
      <c r="AK616" s="35" t="s">
        <v>920</v>
      </c>
      <c r="AL616" s="32">
        <v>0.15079644736800002</v>
      </c>
      <c r="AM616" s="32">
        <v>1.5197221502884424</v>
      </c>
      <c r="AN616" s="36">
        <v>0.23</v>
      </c>
    </row>
    <row r="617" spans="27:40" x14ac:dyDescent="0.25">
      <c r="AA617" s="29">
        <v>614</v>
      </c>
      <c r="AB617" s="30" t="s">
        <v>706</v>
      </c>
      <c r="AC617" s="29" t="s">
        <v>157</v>
      </c>
      <c r="AD617" s="30" t="s">
        <v>28</v>
      </c>
      <c r="AE617" s="31">
        <v>3.5735616434583872E-4</v>
      </c>
      <c r="AF617" s="12">
        <v>1.5197221502911953</v>
      </c>
      <c r="AG617" s="38">
        <f t="shared" si="43"/>
        <v>5.4308207849947175E-4</v>
      </c>
      <c r="AH617" s="32">
        <f t="shared" si="44"/>
        <v>76.97286394226478</v>
      </c>
      <c r="AI617" s="33">
        <f t="shared" si="45"/>
        <v>4.18025829378222E-2</v>
      </c>
      <c r="AJ617" s="34">
        <f t="shared" si="46"/>
        <v>4.2626771566051814E-3</v>
      </c>
      <c r="AK617" s="35" t="s">
        <v>920</v>
      </c>
      <c r="AL617" s="32">
        <v>0.15079644736800002</v>
      </c>
      <c r="AM617" s="32">
        <v>1.5197221502911953</v>
      </c>
      <c r="AN617" s="36">
        <v>0.23</v>
      </c>
    </row>
    <row r="618" spans="27:40" x14ac:dyDescent="0.25">
      <c r="AA618" s="29">
        <v>615</v>
      </c>
      <c r="AB618" s="30" t="s">
        <v>707</v>
      </c>
      <c r="AC618" s="29" t="s">
        <v>157</v>
      </c>
      <c r="AD618" s="30" t="s">
        <v>28</v>
      </c>
      <c r="AE618" s="31">
        <v>3.5735616434583872E-4</v>
      </c>
      <c r="AF618" s="12">
        <v>1.5197221502901306</v>
      </c>
      <c r="AG618" s="38">
        <f t="shared" si="43"/>
        <v>5.430820784990913E-4</v>
      </c>
      <c r="AH618" s="32">
        <f t="shared" si="44"/>
        <v>76.97286394226478</v>
      </c>
      <c r="AI618" s="33">
        <f t="shared" si="45"/>
        <v>4.1802582937792918E-2</v>
      </c>
      <c r="AJ618" s="34">
        <f t="shared" si="46"/>
        <v>4.2626771566021951E-3</v>
      </c>
      <c r="AK618" s="35" t="s">
        <v>920</v>
      </c>
      <c r="AL618" s="32">
        <v>0.15079644736800002</v>
      </c>
      <c r="AM618" s="32">
        <v>1.5197221502901306</v>
      </c>
      <c r="AN618" s="36">
        <v>0.23</v>
      </c>
    </row>
    <row r="619" spans="27:40" x14ac:dyDescent="0.25">
      <c r="AA619" s="29">
        <v>616</v>
      </c>
      <c r="AB619" s="30" t="s">
        <v>708</v>
      </c>
      <c r="AC619" s="29" t="s">
        <v>157</v>
      </c>
      <c r="AD619" s="30" t="s">
        <v>28</v>
      </c>
      <c r="AE619" s="31">
        <v>3.5735616434583872E-4</v>
      </c>
      <c r="AF619" s="12">
        <v>1.5197221502903198</v>
      </c>
      <c r="AG619" s="38">
        <f t="shared" si="43"/>
        <v>5.4308207849915896E-4</v>
      </c>
      <c r="AH619" s="32">
        <f t="shared" si="44"/>
        <v>76.97286394226478</v>
      </c>
      <c r="AI619" s="33">
        <f t="shared" si="45"/>
        <v>4.1802582937798122E-2</v>
      </c>
      <c r="AJ619" s="34">
        <f t="shared" si="46"/>
        <v>4.2626771566027259E-3</v>
      </c>
      <c r="AK619" s="35" t="s">
        <v>920</v>
      </c>
      <c r="AL619" s="32">
        <v>0.15079644736800002</v>
      </c>
      <c r="AM619" s="32">
        <v>1.5197221502903198</v>
      </c>
      <c r="AN619" s="36">
        <v>0.23</v>
      </c>
    </row>
    <row r="620" spans="27:40" x14ac:dyDescent="0.25">
      <c r="AA620" s="29">
        <v>617</v>
      </c>
      <c r="AB620" s="30" t="s">
        <v>709</v>
      </c>
      <c r="AC620" s="29" t="s">
        <v>157</v>
      </c>
      <c r="AD620" s="30" t="s">
        <v>28</v>
      </c>
      <c r="AE620" s="31">
        <v>3.5735616434583872E-4</v>
      </c>
      <c r="AF620" s="12">
        <v>1.5197221502894194</v>
      </c>
      <c r="AG620" s="38">
        <f t="shared" si="43"/>
        <v>5.4308207849883717E-4</v>
      </c>
      <c r="AH620" s="32">
        <f t="shared" si="44"/>
        <v>76.97286394226478</v>
      </c>
      <c r="AI620" s="33">
        <f t="shared" si="45"/>
        <v>4.1802582937773357E-2</v>
      </c>
      <c r="AJ620" s="34">
        <f t="shared" si="46"/>
        <v>4.262677156600201E-3</v>
      </c>
      <c r="AK620" s="35" t="s">
        <v>920</v>
      </c>
      <c r="AL620" s="32">
        <v>0.15079644736800002</v>
      </c>
      <c r="AM620" s="32">
        <v>1.5197221502894194</v>
      </c>
      <c r="AN620" s="36">
        <v>0.23</v>
      </c>
    </row>
    <row r="621" spans="27:40" x14ac:dyDescent="0.25">
      <c r="AA621" s="29">
        <v>618</v>
      </c>
      <c r="AB621" s="30" t="s">
        <v>710</v>
      </c>
      <c r="AC621" s="29" t="s">
        <v>153</v>
      </c>
      <c r="AD621" s="30" t="s">
        <v>28</v>
      </c>
      <c r="AE621" s="31">
        <v>8.2938046054770545E-4</v>
      </c>
      <c r="AF621" s="12">
        <v>1.5197221502892626</v>
      </c>
      <c r="AG621" s="38">
        <f t="shared" si="43"/>
        <v>1.2604278569114578E-3</v>
      </c>
      <c r="AH621" s="32">
        <f t="shared" si="44"/>
        <v>76.97286394226478</v>
      </c>
      <c r="AI621" s="33">
        <f t="shared" si="45"/>
        <v>9.7018741939086023E-2</v>
      </c>
      <c r="AJ621" s="34">
        <f t="shared" si="46"/>
        <v>9.8931584118007714E-3</v>
      </c>
      <c r="AK621" s="35" t="s">
        <v>920</v>
      </c>
      <c r="AL621" s="32">
        <v>0.21991148574500002</v>
      </c>
      <c r="AM621" s="32">
        <v>1.5197221502892626</v>
      </c>
      <c r="AN621" s="36">
        <v>0.33</v>
      </c>
    </row>
    <row r="622" spans="27:40" x14ac:dyDescent="0.25">
      <c r="AA622" s="29">
        <v>619</v>
      </c>
      <c r="AB622" s="30" t="s">
        <v>711</v>
      </c>
      <c r="AC622" s="29" t="s">
        <v>153</v>
      </c>
      <c r="AD622" s="30" t="s">
        <v>28</v>
      </c>
      <c r="AE622" s="31">
        <v>8.2938046054770545E-4</v>
      </c>
      <c r="AF622" s="12">
        <v>1.5197221502916445</v>
      </c>
      <c r="AG622" s="38">
        <f t="shared" si="43"/>
        <v>1.2604278569134334E-3</v>
      </c>
      <c r="AH622" s="32">
        <f t="shared" si="44"/>
        <v>76.97286394226478</v>
      </c>
      <c r="AI622" s="33">
        <f t="shared" si="45"/>
        <v>9.7018741939238082E-2</v>
      </c>
      <c r="AJ622" s="34">
        <f t="shared" si="46"/>
        <v>9.8931584118162764E-3</v>
      </c>
      <c r="AK622" s="35" t="s">
        <v>920</v>
      </c>
      <c r="AL622" s="32">
        <v>0.21991148574500002</v>
      </c>
      <c r="AM622" s="32">
        <v>1.5197221502916445</v>
      </c>
      <c r="AN622" s="36">
        <v>0.33</v>
      </c>
    </row>
    <row r="623" spans="27:40" x14ac:dyDescent="0.25">
      <c r="AA623" s="29">
        <v>620</v>
      </c>
      <c r="AB623" s="30" t="s">
        <v>712</v>
      </c>
      <c r="AC623" s="29" t="s">
        <v>153</v>
      </c>
      <c r="AD623" s="30" t="s">
        <v>28</v>
      </c>
      <c r="AE623" s="31">
        <v>8.2938046054770545E-4</v>
      </c>
      <c r="AF623" s="12">
        <v>1.5197221502907379</v>
      </c>
      <c r="AG623" s="38">
        <f t="shared" si="43"/>
        <v>1.2604278569126814E-3</v>
      </c>
      <c r="AH623" s="32">
        <f t="shared" si="44"/>
        <v>76.97286394226478</v>
      </c>
      <c r="AI623" s="33">
        <f t="shared" si="45"/>
        <v>9.7018741939180211E-2</v>
      </c>
      <c r="AJ623" s="34">
        <f t="shared" si="46"/>
        <v>9.8931584118103748E-3</v>
      </c>
      <c r="AK623" s="35" t="s">
        <v>920</v>
      </c>
      <c r="AL623" s="32">
        <v>0.21991148574500002</v>
      </c>
      <c r="AM623" s="32">
        <v>1.5197221502907379</v>
      </c>
      <c r="AN623" s="36">
        <v>0.33</v>
      </c>
    </row>
    <row r="624" spans="27:40" x14ac:dyDescent="0.25">
      <c r="AA624" s="29">
        <v>621</v>
      </c>
      <c r="AB624" s="30" t="s">
        <v>713</v>
      </c>
      <c r="AC624" s="29" t="s">
        <v>153</v>
      </c>
      <c r="AD624" s="30" t="s">
        <v>28</v>
      </c>
      <c r="AE624" s="31">
        <v>8.2938046054770545E-4</v>
      </c>
      <c r="AF624" s="12">
        <v>1.5197221502913925</v>
      </c>
      <c r="AG624" s="38">
        <f t="shared" si="43"/>
        <v>1.2604278569132244E-3</v>
      </c>
      <c r="AH624" s="32">
        <f t="shared" si="44"/>
        <v>76.97286394226478</v>
      </c>
      <c r="AI624" s="33">
        <f t="shared" si="45"/>
        <v>9.7018741939221997E-2</v>
      </c>
      <c r="AJ624" s="34">
        <f t="shared" si="46"/>
        <v>9.8931584118146371E-3</v>
      </c>
      <c r="AK624" s="35" t="s">
        <v>920</v>
      </c>
      <c r="AL624" s="32">
        <v>0.21991148574500002</v>
      </c>
      <c r="AM624" s="32">
        <v>1.5197221502913925</v>
      </c>
      <c r="AN624" s="36">
        <v>0.33</v>
      </c>
    </row>
    <row r="625" spans="27:40" x14ac:dyDescent="0.25">
      <c r="AA625" s="29">
        <v>622</v>
      </c>
      <c r="AB625" s="30" t="s">
        <v>714</v>
      </c>
      <c r="AC625" s="29" t="s">
        <v>153</v>
      </c>
      <c r="AD625" s="30" t="s">
        <v>28</v>
      </c>
      <c r="AE625" s="31">
        <v>8.2938046054770545E-4</v>
      </c>
      <c r="AF625" s="12">
        <v>1.2301679662437186</v>
      </c>
      <c r="AG625" s="38">
        <f t="shared" si="43"/>
        <v>1.0202772743942495E-3</v>
      </c>
      <c r="AH625" s="32">
        <f t="shared" si="44"/>
        <v>76.97286394226478</v>
      </c>
      <c r="AI625" s="33">
        <f t="shared" si="45"/>
        <v>7.8533663825333319E-2</v>
      </c>
      <c r="AJ625" s="34">
        <f t="shared" si="46"/>
        <v>8.0082050267250623E-3</v>
      </c>
      <c r="AK625" s="35" t="s">
        <v>920</v>
      </c>
      <c r="AL625" s="32">
        <v>0.21991148574500002</v>
      </c>
      <c r="AM625" s="32">
        <v>1.2301679662437186</v>
      </c>
      <c r="AN625" s="36">
        <v>0.27</v>
      </c>
    </row>
    <row r="626" spans="27:40" x14ac:dyDescent="0.25">
      <c r="AA626" s="29">
        <v>623</v>
      </c>
      <c r="AB626" s="30" t="s">
        <v>715</v>
      </c>
      <c r="AC626" s="29" t="s">
        <v>153</v>
      </c>
      <c r="AD626" s="30" t="s">
        <v>28</v>
      </c>
      <c r="AE626" s="31">
        <v>8.2938046054770545E-4</v>
      </c>
      <c r="AF626" s="12">
        <v>1.925768451660933</v>
      </c>
      <c r="AG626" s="38">
        <f t="shared" si="43"/>
        <v>1.5971947253467862E-3</v>
      </c>
      <c r="AH626" s="32">
        <f t="shared" si="44"/>
        <v>76.97286394226478</v>
      </c>
      <c r="AI626" s="33">
        <f t="shared" si="45"/>
        <v>0.12294065228342115</v>
      </c>
      <c r="AJ626" s="34">
        <f t="shared" si="46"/>
        <v>1.2536457636748651E-2</v>
      </c>
      <c r="AK626" s="35" t="s">
        <v>920</v>
      </c>
      <c r="AL626" s="32">
        <v>0.21991148574500002</v>
      </c>
      <c r="AM626" s="32">
        <v>1.925768451660933</v>
      </c>
      <c r="AN626" s="36">
        <v>0.42</v>
      </c>
    </row>
    <row r="627" spans="27:40" x14ac:dyDescent="0.25">
      <c r="AA627" s="29">
        <v>624</v>
      </c>
      <c r="AB627" s="30" t="s">
        <v>716</v>
      </c>
      <c r="AC627" s="29" t="s">
        <v>154</v>
      </c>
      <c r="AD627" s="30" t="s">
        <v>28</v>
      </c>
      <c r="AE627" s="31">
        <v>2.8902652413026117E-4</v>
      </c>
      <c r="AF627" s="12">
        <v>1</v>
      </c>
      <c r="AG627" s="38">
        <f t="shared" si="43"/>
        <v>2.8902652413026117E-4</v>
      </c>
      <c r="AH627" s="32">
        <f t="shared" si="44"/>
        <v>76.97286394226478</v>
      </c>
      <c r="AI627" s="33">
        <f t="shared" si="45"/>
        <v>2.2247199317584301E-2</v>
      </c>
      <c r="AJ627" s="34">
        <f t="shared" si="46"/>
        <v>2.2685829837492213E-3</v>
      </c>
      <c r="AK627" s="35" t="s">
        <v>920</v>
      </c>
      <c r="AL627" s="32">
        <v>0.15079644736800002</v>
      </c>
      <c r="AM627" s="32">
        <v>1</v>
      </c>
      <c r="AN627" s="36">
        <v>0.15</v>
      </c>
    </row>
    <row r="628" spans="27:40" x14ac:dyDescent="0.25">
      <c r="AA628" s="29">
        <v>625</v>
      </c>
      <c r="AB628" s="30" t="s">
        <v>717</v>
      </c>
      <c r="AC628" s="29" t="s">
        <v>154</v>
      </c>
      <c r="AD628" s="30" t="s">
        <v>28</v>
      </c>
      <c r="AE628" s="31">
        <v>2.8902652413026117E-4</v>
      </c>
      <c r="AF628" s="12">
        <v>1</v>
      </c>
      <c r="AG628" s="38">
        <f t="shared" si="43"/>
        <v>2.8902652413026117E-4</v>
      </c>
      <c r="AH628" s="32">
        <f t="shared" si="44"/>
        <v>76.97286394226478</v>
      </c>
      <c r="AI628" s="33">
        <f t="shared" si="45"/>
        <v>2.2247199317584301E-2</v>
      </c>
      <c r="AJ628" s="34">
        <f t="shared" si="46"/>
        <v>2.2685829837492213E-3</v>
      </c>
      <c r="AK628" s="35" t="s">
        <v>920</v>
      </c>
      <c r="AL628" s="32">
        <v>0.15079644736800002</v>
      </c>
      <c r="AM628" s="32">
        <v>1</v>
      </c>
      <c r="AN628" s="36">
        <v>0.15</v>
      </c>
    </row>
    <row r="629" spans="27:40" x14ac:dyDescent="0.25">
      <c r="AA629" s="29">
        <v>626</v>
      </c>
      <c r="AB629" s="30" t="s">
        <v>718</v>
      </c>
      <c r="AC629" s="29" t="s">
        <v>154</v>
      </c>
      <c r="AD629" s="30" t="s">
        <v>28</v>
      </c>
      <c r="AE629" s="31">
        <v>2.8902652413026117E-4</v>
      </c>
      <c r="AF629" s="12">
        <v>1</v>
      </c>
      <c r="AG629" s="38">
        <f t="shared" si="43"/>
        <v>2.8902652413026117E-4</v>
      </c>
      <c r="AH629" s="32">
        <f t="shared" si="44"/>
        <v>76.97286394226478</v>
      </c>
      <c r="AI629" s="33">
        <f t="shared" si="45"/>
        <v>2.2247199317584301E-2</v>
      </c>
      <c r="AJ629" s="34">
        <f t="shared" si="46"/>
        <v>2.2685829837492213E-3</v>
      </c>
      <c r="AK629" s="35" t="s">
        <v>920</v>
      </c>
      <c r="AL629" s="32">
        <v>0.15079644736800002</v>
      </c>
      <c r="AM629" s="32">
        <v>1</v>
      </c>
      <c r="AN629" s="36">
        <v>0.15</v>
      </c>
    </row>
    <row r="630" spans="27:40" x14ac:dyDescent="0.25">
      <c r="AA630" s="29">
        <v>627</v>
      </c>
      <c r="AB630" s="30" t="s">
        <v>719</v>
      </c>
      <c r="AC630" s="29" t="s">
        <v>154</v>
      </c>
      <c r="AD630" s="30" t="s">
        <v>28</v>
      </c>
      <c r="AE630" s="31">
        <v>2.8902652413026117E-4</v>
      </c>
      <c r="AF630" s="12">
        <v>1</v>
      </c>
      <c r="AG630" s="38">
        <f t="shared" si="43"/>
        <v>2.8902652413026117E-4</v>
      </c>
      <c r="AH630" s="32">
        <f t="shared" si="44"/>
        <v>76.97286394226478</v>
      </c>
      <c r="AI630" s="33">
        <f t="shared" si="45"/>
        <v>2.2247199317584301E-2</v>
      </c>
      <c r="AJ630" s="34">
        <f t="shared" si="46"/>
        <v>2.2685829837492213E-3</v>
      </c>
      <c r="AK630" s="35" t="s">
        <v>920</v>
      </c>
      <c r="AL630" s="32">
        <v>0.15079644736800002</v>
      </c>
      <c r="AM630" s="32">
        <v>1</v>
      </c>
      <c r="AN630" s="36">
        <v>0.15</v>
      </c>
    </row>
    <row r="631" spans="27:40" x14ac:dyDescent="0.25">
      <c r="AA631" s="29">
        <v>628</v>
      </c>
      <c r="AB631" s="30" t="s">
        <v>720</v>
      </c>
      <c r="AC631" s="29" t="s">
        <v>154</v>
      </c>
      <c r="AD631" s="30" t="s">
        <v>28</v>
      </c>
      <c r="AE631" s="31">
        <v>2.8902652413026117E-4</v>
      </c>
      <c r="AF631" s="12">
        <v>1</v>
      </c>
      <c r="AG631" s="38">
        <f t="shared" si="43"/>
        <v>2.8902652413026117E-4</v>
      </c>
      <c r="AH631" s="32">
        <f t="shared" si="44"/>
        <v>76.97286394226478</v>
      </c>
      <c r="AI631" s="33">
        <f t="shared" si="45"/>
        <v>2.2247199317584301E-2</v>
      </c>
      <c r="AJ631" s="34">
        <f t="shared" si="46"/>
        <v>2.2685829837492213E-3</v>
      </c>
      <c r="AK631" s="35" t="s">
        <v>920</v>
      </c>
      <c r="AL631" s="32">
        <v>0.15079644736800002</v>
      </c>
      <c r="AM631" s="32">
        <v>1</v>
      </c>
      <c r="AN631" s="36">
        <v>0.15</v>
      </c>
    </row>
    <row r="632" spans="27:40" x14ac:dyDescent="0.25">
      <c r="AA632" s="29">
        <v>629</v>
      </c>
      <c r="AB632" s="30" t="s">
        <v>721</v>
      </c>
      <c r="AC632" s="29" t="s">
        <v>154</v>
      </c>
      <c r="AD632" s="30" t="s">
        <v>28</v>
      </c>
      <c r="AE632" s="31">
        <v>2.8902652413026117E-4</v>
      </c>
      <c r="AF632" s="12">
        <v>1</v>
      </c>
      <c r="AG632" s="38">
        <f t="shared" si="43"/>
        <v>2.8902652413026117E-4</v>
      </c>
      <c r="AH632" s="32">
        <f t="shared" si="44"/>
        <v>76.97286394226478</v>
      </c>
      <c r="AI632" s="33">
        <f t="shared" si="45"/>
        <v>2.2247199317584301E-2</v>
      </c>
      <c r="AJ632" s="34">
        <f t="shared" si="46"/>
        <v>2.2685829837492213E-3</v>
      </c>
      <c r="AK632" s="35" t="s">
        <v>920</v>
      </c>
      <c r="AL632" s="32">
        <v>0.15079644736800002</v>
      </c>
      <c r="AM632" s="32">
        <v>1</v>
      </c>
      <c r="AN632" s="36">
        <v>0.15</v>
      </c>
    </row>
    <row r="633" spans="27:40" x14ac:dyDescent="0.25">
      <c r="AA633" s="29">
        <v>630</v>
      </c>
      <c r="AB633" s="30" t="s">
        <v>722</v>
      </c>
      <c r="AC633" s="29" t="s">
        <v>154</v>
      </c>
      <c r="AD633" s="30" t="s">
        <v>28</v>
      </c>
      <c r="AE633" s="31">
        <v>2.8902652413026117E-4</v>
      </c>
      <c r="AF633" s="12">
        <v>1</v>
      </c>
      <c r="AG633" s="38">
        <f t="shared" si="43"/>
        <v>2.8902652413026117E-4</v>
      </c>
      <c r="AH633" s="32">
        <f t="shared" si="44"/>
        <v>76.97286394226478</v>
      </c>
      <c r="AI633" s="33">
        <f t="shared" si="45"/>
        <v>2.2247199317584301E-2</v>
      </c>
      <c r="AJ633" s="34">
        <f t="shared" si="46"/>
        <v>2.2685829837492213E-3</v>
      </c>
      <c r="AK633" s="35" t="s">
        <v>920</v>
      </c>
      <c r="AL633" s="32">
        <v>0.15079644736800002</v>
      </c>
      <c r="AM633" s="32">
        <v>1</v>
      </c>
      <c r="AN633" s="36">
        <v>0.15</v>
      </c>
    </row>
    <row r="634" spans="27:40" x14ac:dyDescent="0.25">
      <c r="AA634" s="29">
        <v>631</v>
      </c>
      <c r="AB634" s="30" t="s">
        <v>723</v>
      </c>
      <c r="AC634" s="29" t="s">
        <v>154</v>
      </c>
      <c r="AD634" s="30" t="s">
        <v>28</v>
      </c>
      <c r="AE634" s="31">
        <v>2.8902652413026117E-4</v>
      </c>
      <c r="AF634" s="12">
        <v>1</v>
      </c>
      <c r="AG634" s="38">
        <f t="shared" si="43"/>
        <v>2.8902652413026117E-4</v>
      </c>
      <c r="AH634" s="32">
        <f t="shared" si="44"/>
        <v>76.97286394226478</v>
      </c>
      <c r="AI634" s="33">
        <f t="shared" si="45"/>
        <v>2.2247199317584301E-2</v>
      </c>
      <c r="AJ634" s="34">
        <f t="shared" si="46"/>
        <v>2.2685829837492213E-3</v>
      </c>
      <c r="AK634" s="35" t="s">
        <v>920</v>
      </c>
      <c r="AL634" s="32">
        <v>0.15079644736800002</v>
      </c>
      <c r="AM634" s="32">
        <v>1</v>
      </c>
      <c r="AN634" s="36">
        <v>0.15</v>
      </c>
    </row>
    <row r="635" spans="27:40" x14ac:dyDescent="0.25">
      <c r="AA635" s="29">
        <v>632</v>
      </c>
      <c r="AB635" s="30" t="s">
        <v>724</v>
      </c>
      <c r="AC635" s="29" t="s">
        <v>154</v>
      </c>
      <c r="AD635" s="30" t="s">
        <v>28</v>
      </c>
      <c r="AE635" s="31">
        <v>2.8902652413026117E-4</v>
      </c>
      <c r="AF635" s="12">
        <v>1</v>
      </c>
      <c r="AG635" s="38">
        <f t="shared" si="43"/>
        <v>2.8902652413026117E-4</v>
      </c>
      <c r="AH635" s="32">
        <f t="shared" si="44"/>
        <v>76.97286394226478</v>
      </c>
      <c r="AI635" s="33">
        <f t="shared" si="45"/>
        <v>2.2247199317584301E-2</v>
      </c>
      <c r="AJ635" s="34">
        <f t="shared" si="46"/>
        <v>2.2685829837492213E-3</v>
      </c>
      <c r="AK635" s="35" t="s">
        <v>920</v>
      </c>
      <c r="AL635" s="32">
        <v>0.15079644736800002</v>
      </c>
      <c r="AM635" s="32">
        <v>1</v>
      </c>
      <c r="AN635" s="36">
        <v>0.15</v>
      </c>
    </row>
    <row r="636" spans="27:40" x14ac:dyDescent="0.25">
      <c r="AA636" s="29">
        <v>633</v>
      </c>
      <c r="AB636" s="30" t="s">
        <v>725</v>
      </c>
      <c r="AC636" s="29" t="s">
        <v>154</v>
      </c>
      <c r="AD636" s="30" t="s">
        <v>28</v>
      </c>
      <c r="AE636" s="31">
        <v>2.8902652413026117E-4</v>
      </c>
      <c r="AF636" s="12">
        <v>1</v>
      </c>
      <c r="AG636" s="38">
        <f t="shared" si="43"/>
        <v>2.8902652413026117E-4</v>
      </c>
      <c r="AH636" s="32">
        <f t="shared" si="44"/>
        <v>76.97286394226478</v>
      </c>
      <c r="AI636" s="33">
        <f t="shared" si="45"/>
        <v>2.2247199317584301E-2</v>
      </c>
      <c r="AJ636" s="34">
        <f t="shared" si="46"/>
        <v>2.2685829837492213E-3</v>
      </c>
      <c r="AK636" s="35" t="s">
        <v>920</v>
      </c>
      <c r="AL636" s="32">
        <v>0.15079644736800002</v>
      </c>
      <c r="AM636" s="32">
        <v>1</v>
      </c>
      <c r="AN636" s="36">
        <v>0.15</v>
      </c>
    </row>
    <row r="637" spans="27:40" x14ac:dyDescent="0.25">
      <c r="AA637" s="29">
        <v>634</v>
      </c>
      <c r="AB637" s="30" t="s">
        <v>726</v>
      </c>
      <c r="AC637" s="29" t="s">
        <v>154</v>
      </c>
      <c r="AD637" s="30" t="s">
        <v>28</v>
      </c>
      <c r="AE637" s="31">
        <v>2.8902652413026117E-4</v>
      </c>
      <c r="AF637" s="12">
        <v>1</v>
      </c>
      <c r="AG637" s="38">
        <f t="shared" si="43"/>
        <v>2.8902652413026117E-4</v>
      </c>
      <c r="AH637" s="32">
        <f t="shared" si="44"/>
        <v>76.97286394226478</v>
      </c>
      <c r="AI637" s="33">
        <f t="shared" si="45"/>
        <v>2.2247199317584301E-2</v>
      </c>
      <c r="AJ637" s="34">
        <f t="shared" si="46"/>
        <v>2.2685829837492213E-3</v>
      </c>
      <c r="AK637" s="35" t="s">
        <v>920</v>
      </c>
      <c r="AL637" s="32">
        <v>0.15079644736800002</v>
      </c>
      <c r="AM637" s="32">
        <v>1</v>
      </c>
      <c r="AN637" s="36">
        <v>0.15</v>
      </c>
    </row>
    <row r="638" spans="27:40" x14ac:dyDescent="0.25">
      <c r="AA638" s="29">
        <v>635</v>
      </c>
      <c r="AB638" s="30" t="s">
        <v>727</v>
      </c>
      <c r="AC638" s="29" t="s">
        <v>154</v>
      </c>
      <c r="AD638" s="30" t="s">
        <v>28</v>
      </c>
      <c r="AE638" s="31">
        <v>2.8902652413026117E-4</v>
      </c>
      <c r="AF638" s="12">
        <v>1</v>
      </c>
      <c r="AG638" s="38">
        <f t="shared" si="43"/>
        <v>2.8902652413026117E-4</v>
      </c>
      <c r="AH638" s="32">
        <f t="shared" si="44"/>
        <v>76.97286394226478</v>
      </c>
      <c r="AI638" s="33">
        <f t="shared" si="45"/>
        <v>2.2247199317584301E-2</v>
      </c>
      <c r="AJ638" s="34">
        <f t="shared" si="46"/>
        <v>2.2685829837492213E-3</v>
      </c>
      <c r="AK638" s="35" t="s">
        <v>920</v>
      </c>
      <c r="AL638" s="32">
        <v>0.15079644736800002</v>
      </c>
      <c r="AM638" s="32">
        <v>1</v>
      </c>
      <c r="AN638" s="36">
        <v>0.15</v>
      </c>
    </row>
    <row r="639" spans="27:40" x14ac:dyDescent="0.25">
      <c r="AA639" s="29">
        <v>636</v>
      </c>
      <c r="AB639" s="30" t="s">
        <v>728</v>
      </c>
      <c r="AC639" s="29" t="s">
        <v>154</v>
      </c>
      <c r="AD639" s="30" t="s">
        <v>28</v>
      </c>
      <c r="AE639" s="31">
        <v>2.8902652413026117E-4</v>
      </c>
      <c r="AF639" s="12">
        <v>1</v>
      </c>
      <c r="AG639" s="38">
        <f t="shared" si="43"/>
        <v>2.8902652413026117E-4</v>
      </c>
      <c r="AH639" s="32">
        <f t="shared" si="44"/>
        <v>76.97286394226478</v>
      </c>
      <c r="AI639" s="33">
        <f t="shared" si="45"/>
        <v>2.2247199317584301E-2</v>
      </c>
      <c r="AJ639" s="34">
        <f t="shared" si="46"/>
        <v>2.2685829837492213E-3</v>
      </c>
      <c r="AK639" s="35" t="s">
        <v>920</v>
      </c>
      <c r="AL639" s="32">
        <v>0.15079644736800002</v>
      </c>
      <c r="AM639" s="32">
        <v>1</v>
      </c>
      <c r="AN639" s="36">
        <v>0.15</v>
      </c>
    </row>
    <row r="640" spans="27:40" x14ac:dyDescent="0.25">
      <c r="AA640" s="29">
        <v>637</v>
      </c>
      <c r="AB640" s="30" t="s">
        <v>729</v>
      </c>
      <c r="AC640" s="29" t="s">
        <v>154</v>
      </c>
      <c r="AD640" s="30" t="s">
        <v>28</v>
      </c>
      <c r="AE640" s="31">
        <v>2.8902652413026117E-4</v>
      </c>
      <c r="AF640" s="12">
        <v>1</v>
      </c>
      <c r="AG640" s="38">
        <f t="shared" si="43"/>
        <v>2.8902652413026117E-4</v>
      </c>
      <c r="AH640" s="32">
        <f t="shared" si="44"/>
        <v>76.97286394226478</v>
      </c>
      <c r="AI640" s="33">
        <f t="shared" si="45"/>
        <v>2.2247199317584301E-2</v>
      </c>
      <c r="AJ640" s="34">
        <f t="shared" si="46"/>
        <v>2.2685829837492213E-3</v>
      </c>
      <c r="AK640" s="35" t="s">
        <v>920</v>
      </c>
      <c r="AL640" s="32">
        <v>0.15079644736800002</v>
      </c>
      <c r="AM640" s="32">
        <v>1</v>
      </c>
      <c r="AN640" s="36">
        <v>0.15</v>
      </c>
    </row>
    <row r="641" spans="27:40" x14ac:dyDescent="0.25">
      <c r="AA641" s="29">
        <v>638</v>
      </c>
      <c r="AB641" s="30" t="s">
        <v>730</v>
      </c>
      <c r="AC641" s="29" t="s">
        <v>156</v>
      </c>
      <c r="AD641" s="30" t="s">
        <v>28</v>
      </c>
      <c r="AE641" s="31">
        <v>1.3823007675795071E-3</v>
      </c>
      <c r="AF641" s="12">
        <v>2.0807051797468379</v>
      </c>
      <c r="AG641" s="38">
        <f t="shared" si="43"/>
        <v>2.8761603670707102E-3</v>
      </c>
      <c r="AH641" s="32">
        <f t="shared" si="44"/>
        <v>76.97286394226478</v>
      </c>
      <c r="AI641" s="33">
        <f t="shared" si="45"/>
        <v>0.22138630061066811</v>
      </c>
      <c r="AJ641" s="34">
        <f t="shared" si="46"/>
        <v>2.2575120006390371E-2</v>
      </c>
      <c r="AK641" s="35" t="s">
        <v>920</v>
      </c>
      <c r="AL641" s="32">
        <v>0.35814156249900003</v>
      </c>
      <c r="AM641" s="32">
        <v>2.0807051797468379</v>
      </c>
      <c r="AN641" s="36">
        <v>0.75</v>
      </c>
    </row>
    <row r="642" spans="27:40" x14ac:dyDescent="0.25">
      <c r="AA642" s="29">
        <v>639</v>
      </c>
      <c r="AB642" s="30" t="s">
        <v>731</v>
      </c>
      <c r="AC642" s="29" t="s">
        <v>156</v>
      </c>
      <c r="AD642" s="30" t="s">
        <v>28</v>
      </c>
      <c r="AE642" s="31">
        <v>1.3823007675795071E-3</v>
      </c>
      <c r="AF642" s="12">
        <v>2.0807051797433171</v>
      </c>
      <c r="AG642" s="38">
        <f t="shared" si="43"/>
        <v>2.8761603670658434E-3</v>
      </c>
      <c r="AH642" s="32">
        <f t="shared" si="44"/>
        <v>76.97286394226478</v>
      </c>
      <c r="AI642" s="33">
        <f t="shared" si="45"/>
        <v>0.22138630061029349</v>
      </c>
      <c r="AJ642" s="34">
        <f t="shared" si="46"/>
        <v>2.2575120006352169E-2</v>
      </c>
      <c r="AK642" s="35" t="s">
        <v>920</v>
      </c>
      <c r="AL642" s="32">
        <v>0.35814156249900003</v>
      </c>
      <c r="AM642" s="32">
        <v>2.0807051797433171</v>
      </c>
      <c r="AN642" s="36">
        <v>0.75</v>
      </c>
    </row>
    <row r="643" spans="27:40" x14ac:dyDescent="0.25">
      <c r="AA643" s="29">
        <v>640</v>
      </c>
      <c r="AB643" s="30" t="s">
        <v>732</v>
      </c>
      <c r="AC643" s="29" t="s">
        <v>156</v>
      </c>
      <c r="AD643" s="30" t="s">
        <v>28</v>
      </c>
      <c r="AE643" s="31">
        <v>1.3823007675795071E-3</v>
      </c>
      <c r="AF643" s="12">
        <v>2.0807051797459848</v>
      </c>
      <c r="AG643" s="38">
        <f t="shared" si="43"/>
        <v>2.876160367069531E-3</v>
      </c>
      <c r="AH643" s="32">
        <f t="shared" si="44"/>
        <v>76.97286394226478</v>
      </c>
      <c r="AI643" s="33">
        <f t="shared" si="45"/>
        <v>0.22138630061057735</v>
      </c>
      <c r="AJ643" s="34">
        <f t="shared" si="46"/>
        <v>2.2575120006381115E-2</v>
      </c>
      <c r="AK643" s="35" t="s">
        <v>920</v>
      </c>
      <c r="AL643" s="32">
        <v>0.35814156249900003</v>
      </c>
      <c r="AM643" s="32">
        <v>2.0807051797459848</v>
      </c>
      <c r="AN643" s="36">
        <v>0.75</v>
      </c>
    </row>
    <row r="644" spans="27:40" x14ac:dyDescent="0.25">
      <c r="AA644" s="29">
        <v>641</v>
      </c>
      <c r="AB644" s="30" t="s">
        <v>733</v>
      </c>
      <c r="AC644" s="29" t="s">
        <v>156</v>
      </c>
      <c r="AD644" s="30" t="s">
        <v>28</v>
      </c>
      <c r="AE644" s="31">
        <v>1.3823007675795071E-3</v>
      </c>
      <c r="AF644" s="12">
        <v>2.0807051797455443</v>
      </c>
      <c r="AG644" s="38">
        <f t="shared" si="43"/>
        <v>2.8761603670689221E-3</v>
      </c>
      <c r="AH644" s="32">
        <f t="shared" si="44"/>
        <v>76.97286394226478</v>
      </c>
      <c r="AI644" s="33">
        <f t="shared" si="45"/>
        <v>0.22138630061053047</v>
      </c>
      <c r="AJ644" s="34">
        <f t="shared" si="46"/>
        <v>2.2575120006376334E-2</v>
      </c>
      <c r="AK644" s="35" t="s">
        <v>920</v>
      </c>
      <c r="AL644" s="32">
        <v>0.35814156249900003</v>
      </c>
      <c r="AM644" s="32">
        <v>2.0807051797455443</v>
      </c>
      <c r="AN644" s="36">
        <v>0.75</v>
      </c>
    </row>
    <row r="645" spans="27:40" x14ac:dyDescent="0.25">
      <c r="AA645" s="29">
        <v>642</v>
      </c>
      <c r="AB645" s="30" t="s">
        <v>734</v>
      </c>
      <c r="AC645" s="29" t="s">
        <v>156</v>
      </c>
      <c r="AD645" s="30" t="s">
        <v>28</v>
      </c>
      <c r="AE645" s="31">
        <v>1.3823007675795071E-3</v>
      </c>
      <c r="AF645" s="12">
        <v>2.0807051797457792</v>
      </c>
      <c r="AG645" s="38">
        <f t="shared" ref="AG645:AG708" si="47">IF(AA645="","",AE645*AF645)</f>
        <v>2.8761603670692465E-3</v>
      </c>
      <c r="AH645" s="32">
        <f t="shared" ref="AH645:AH708" si="48">IF(AA645="","",IFERROR(VLOOKUP(AD645,$A$4:$E$20,3,FALSE),VLOOKUP(AD645,$A$25:$E$30,3,FALSE)))</f>
        <v>76.97286394226478</v>
      </c>
      <c r="AI645" s="33">
        <f t="shared" ref="AI645:AI708" si="49">IF(AA645="","",AG645*AH645)</f>
        <v>0.22138630061055545</v>
      </c>
      <c r="AJ645" s="34">
        <f t="shared" ref="AJ645:AJ708" si="50">IF(AA645="","",AI645/9.80665)</f>
        <v>2.2575120006378881E-2</v>
      </c>
      <c r="AK645" s="35" t="s">
        <v>920</v>
      </c>
      <c r="AL645" s="32">
        <v>0.35814156249900003</v>
      </c>
      <c r="AM645" s="32">
        <v>2.0807051797457792</v>
      </c>
      <c r="AN645" s="36">
        <v>0.75</v>
      </c>
    </row>
    <row r="646" spans="27:40" x14ac:dyDescent="0.25">
      <c r="AA646" s="29">
        <v>643</v>
      </c>
      <c r="AB646" s="30" t="s">
        <v>735</v>
      </c>
      <c r="AC646" s="29" t="s">
        <v>156</v>
      </c>
      <c r="AD646" s="30" t="s">
        <v>28</v>
      </c>
      <c r="AE646" s="31">
        <v>1.3823007675795071E-3</v>
      </c>
      <c r="AF646" s="12">
        <v>2.0807051797433846</v>
      </c>
      <c r="AG646" s="38">
        <f t="shared" si="47"/>
        <v>2.8761603670659367E-3</v>
      </c>
      <c r="AH646" s="32">
        <f t="shared" si="48"/>
        <v>76.97286394226478</v>
      </c>
      <c r="AI646" s="33">
        <f t="shared" si="49"/>
        <v>0.22138630061030068</v>
      </c>
      <c r="AJ646" s="34">
        <f t="shared" si="50"/>
        <v>2.2575120006352901E-2</v>
      </c>
      <c r="AK646" s="35" t="s">
        <v>920</v>
      </c>
      <c r="AL646" s="32">
        <v>0.35814156249900003</v>
      </c>
      <c r="AM646" s="32">
        <v>2.0807051797433846</v>
      </c>
      <c r="AN646" s="36">
        <v>0.75</v>
      </c>
    </row>
    <row r="647" spans="27:40" x14ac:dyDescent="0.25">
      <c r="AA647" s="29">
        <v>644</v>
      </c>
      <c r="AB647" s="30" t="s">
        <v>736</v>
      </c>
      <c r="AC647" s="29" t="s">
        <v>156</v>
      </c>
      <c r="AD647" s="30" t="s">
        <v>28</v>
      </c>
      <c r="AE647" s="31">
        <v>1.3823007675795071E-3</v>
      </c>
      <c r="AF647" s="12">
        <v>2.0807051797462073</v>
      </c>
      <c r="AG647" s="38">
        <f t="shared" si="47"/>
        <v>2.8761603670698385E-3</v>
      </c>
      <c r="AH647" s="32">
        <f t="shared" si="48"/>
        <v>76.97286394226478</v>
      </c>
      <c r="AI647" s="33">
        <f t="shared" si="49"/>
        <v>0.22138630061060099</v>
      </c>
      <c r="AJ647" s="34">
        <f t="shared" si="50"/>
        <v>2.2575120006383526E-2</v>
      </c>
      <c r="AK647" s="35" t="s">
        <v>920</v>
      </c>
      <c r="AL647" s="32">
        <v>0.35814156249900003</v>
      </c>
      <c r="AM647" s="32">
        <v>2.0807051797462073</v>
      </c>
      <c r="AN647" s="36">
        <v>0.75</v>
      </c>
    </row>
    <row r="648" spans="27:40" x14ac:dyDescent="0.25">
      <c r="AA648" s="29">
        <v>645</v>
      </c>
      <c r="AB648" s="30" t="s">
        <v>737</v>
      </c>
      <c r="AC648" s="29" t="s">
        <v>151</v>
      </c>
      <c r="AD648" s="30" t="s">
        <v>28</v>
      </c>
      <c r="AE648" s="31">
        <v>2.1362830044410596E-3</v>
      </c>
      <c r="AF648" s="12">
        <v>2.2084538539519127</v>
      </c>
      <c r="AG648" s="38">
        <f t="shared" si="47"/>
        <v>4.7178824342898294E-3</v>
      </c>
      <c r="AH648" s="32">
        <f t="shared" si="48"/>
        <v>76.97286394226478</v>
      </c>
      <c r="AI648" s="33">
        <f t="shared" si="49"/>
        <v>0.363148922710192</v>
      </c>
      <c r="AJ648" s="34">
        <f t="shared" si="50"/>
        <v>3.7030884421305137E-2</v>
      </c>
      <c r="AK648" s="35" t="s">
        <v>920</v>
      </c>
      <c r="AL648" s="32">
        <v>0.44296456414349994</v>
      </c>
      <c r="AM648" s="32">
        <v>2.2084538539519127</v>
      </c>
      <c r="AN648" s="36">
        <v>0.98</v>
      </c>
    </row>
    <row r="649" spans="27:40" x14ac:dyDescent="0.25">
      <c r="AA649" s="29">
        <v>646</v>
      </c>
      <c r="AB649" s="30" t="s">
        <v>738</v>
      </c>
      <c r="AC649" s="29" t="s">
        <v>151</v>
      </c>
      <c r="AD649" s="30" t="s">
        <v>28</v>
      </c>
      <c r="AE649" s="31">
        <v>2.1362830044410596E-3</v>
      </c>
      <c r="AF649" s="12">
        <v>2.036669091286528</v>
      </c>
      <c r="AG649" s="38">
        <f t="shared" si="47"/>
        <v>4.3509015653858266E-3</v>
      </c>
      <c r="AH649" s="32">
        <f t="shared" si="48"/>
        <v>76.97286394226478</v>
      </c>
      <c r="AI649" s="33">
        <f t="shared" si="49"/>
        <v>0.3349013542186301</v>
      </c>
      <c r="AJ649" s="34">
        <f t="shared" si="50"/>
        <v>3.4150434064500121E-2</v>
      </c>
      <c r="AK649" s="35" t="s">
        <v>920</v>
      </c>
      <c r="AL649" s="32">
        <v>0.44296456414349994</v>
      </c>
      <c r="AM649" s="32">
        <v>2.036669091286528</v>
      </c>
      <c r="AN649" s="36">
        <v>0.9</v>
      </c>
    </row>
    <row r="650" spans="27:40" x14ac:dyDescent="0.25">
      <c r="AA650" s="29">
        <v>647</v>
      </c>
      <c r="AB650" s="30" t="s">
        <v>739</v>
      </c>
      <c r="AC650" s="29" t="s">
        <v>151</v>
      </c>
      <c r="AD650" s="30" t="s">
        <v>28</v>
      </c>
      <c r="AE650" s="31">
        <v>2.1362830044410596E-3</v>
      </c>
      <c r="AF650" s="12">
        <v>2.0366690912842809</v>
      </c>
      <c r="AG650" s="38">
        <f t="shared" si="47"/>
        <v>4.3509015653810266E-3</v>
      </c>
      <c r="AH650" s="32">
        <f t="shared" si="48"/>
        <v>76.97286394226478</v>
      </c>
      <c r="AI650" s="33">
        <f t="shared" si="49"/>
        <v>0.33490135421826062</v>
      </c>
      <c r="AJ650" s="34">
        <f t="shared" si="50"/>
        <v>3.4150434064462443E-2</v>
      </c>
      <c r="AK650" s="35" t="s">
        <v>920</v>
      </c>
      <c r="AL650" s="32">
        <v>0.44296456414349994</v>
      </c>
      <c r="AM650" s="32">
        <v>2.0366690912842809</v>
      </c>
      <c r="AN650" s="36">
        <v>0.9</v>
      </c>
    </row>
    <row r="651" spans="27:40" x14ac:dyDescent="0.25">
      <c r="AA651" s="29">
        <v>648</v>
      </c>
      <c r="AB651" s="30" t="s">
        <v>740</v>
      </c>
      <c r="AC651" s="29" t="s">
        <v>151</v>
      </c>
      <c r="AD651" s="30" t="s">
        <v>28</v>
      </c>
      <c r="AE651" s="31">
        <v>2.1362830044410596E-3</v>
      </c>
      <c r="AF651" s="12">
        <v>2.0366690912851304</v>
      </c>
      <c r="AG651" s="38">
        <f t="shared" si="47"/>
        <v>4.3509015653828411E-3</v>
      </c>
      <c r="AH651" s="32">
        <f t="shared" si="48"/>
        <v>76.97286394226478</v>
      </c>
      <c r="AI651" s="33">
        <f t="shared" si="49"/>
        <v>0.33490135421840028</v>
      </c>
      <c r="AJ651" s="34">
        <f t="shared" si="50"/>
        <v>3.4150434064476688E-2</v>
      </c>
      <c r="AK651" s="35" t="s">
        <v>920</v>
      </c>
      <c r="AL651" s="32">
        <v>0.44296456414349994</v>
      </c>
      <c r="AM651" s="32">
        <v>2.0366690912851304</v>
      </c>
      <c r="AN651" s="36">
        <v>0.9</v>
      </c>
    </row>
    <row r="652" spans="27:40" x14ac:dyDescent="0.25">
      <c r="AA652" s="29">
        <v>649</v>
      </c>
      <c r="AB652" s="30" t="s">
        <v>741</v>
      </c>
      <c r="AC652" s="29" t="s">
        <v>151</v>
      </c>
      <c r="AD652" s="30" t="s">
        <v>28</v>
      </c>
      <c r="AE652" s="31">
        <v>2.1362830044410596E-3</v>
      </c>
      <c r="AF652" s="12">
        <v>2.0366690912853014</v>
      </c>
      <c r="AG652" s="38">
        <f t="shared" si="47"/>
        <v>4.3509015653832063E-3</v>
      </c>
      <c r="AH652" s="32">
        <f t="shared" si="48"/>
        <v>76.97286394226478</v>
      </c>
      <c r="AI652" s="33">
        <f t="shared" si="49"/>
        <v>0.33490135421842837</v>
      </c>
      <c r="AJ652" s="34">
        <f t="shared" si="50"/>
        <v>3.4150434064479554E-2</v>
      </c>
      <c r="AK652" s="35" t="s">
        <v>920</v>
      </c>
      <c r="AL652" s="32">
        <v>0.44296456414349994</v>
      </c>
      <c r="AM652" s="32">
        <v>2.0366690912853014</v>
      </c>
      <c r="AN652" s="36">
        <v>0.9</v>
      </c>
    </row>
    <row r="653" spans="27:40" x14ac:dyDescent="0.25">
      <c r="AA653" s="29">
        <v>650</v>
      </c>
      <c r="AB653" s="30" t="s">
        <v>742</v>
      </c>
      <c r="AC653" s="29" t="s">
        <v>151</v>
      </c>
      <c r="AD653" s="30" t="s">
        <v>28</v>
      </c>
      <c r="AE653" s="31">
        <v>2.1362830044410596E-3</v>
      </c>
      <c r="AF653" s="12">
        <v>1.6834971204063849</v>
      </c>
      <c r="AG653" s="38">
        <f t="shared" si="47"/>
        <v>3.5964262863496244E-3</v>
      </c>
      <c r="AH653" s="32">
        <f t="shared" si="48"/>
        <v>76.97286394226478</v>
      </c>
      <c r="AI653" s="33">
        <f t="shared" si="49"/>
        <v>0.27682723121757424</v>
      </c>
      <c r="AJ653" s="34">
        <f t="shared" si="50"/>
        <v>2.8228521586635014E-2</v>
      </c>
      <c r="AK653" s="35" t="s">
        <v>920</v>
      </c>
      <c r="AL653" s="32">
        <v>0.44296456414349994</v>
      </c>
      <c r="AM653" s="32">
        <v>1.6834971204063849</v>
      </c>
      <c r="AN653" s="36">
        <v>0.75</v>
      </c>
    </row>
    <row r="654" spans="27:40" x14ac:dyDescent="0.25">
      <c r="AA654" s="29">
        <v>651</v>
      </c>
      <c r="AB654" s="30" t="s">
        <v>743</v>
      </c>
      <c r="AC654" s="29" t="s">
        <v>153</v>
      </c>
      <c r="AD654" s="30" t="s">
        <v>28</v>
      </c>
      <c r="AE654" s="31">
        <v>8.2938046054770545E-4</v>
      </c>
      <c r="AF654" s="12">
        <v>1.7844687230959622</v>
      </c>
      <c r="AG654" s="38">
        <f t="shared" si="47"/>
        <v>1.4800034913943049E-3</v>
      </c>
      <c r="AH654" s="32">
        <f t="shared" si="48"/>
        <v>76.97286394226478</v>
      </c>
      <c r="AI654" s="33">
        <f t="shared" si="49"/>
        <v>0.11392010737717068</v>
      </c>
      <c r="AJ654" s="34">
        <f t="shared" si="50"/>
        <v>1.1616618047668743E-2</v>
      </c>
      <c r="AK654" s="35" t="s">
        <v>920</v>
      </c>
      <c r="AL654" s="32">
        <v>0.21991148574500002</v>
      </c>
      <c r="AM654" s="32">
        <v>1.7844687230959622</v>
      </c>
      <c r="AN654" s="36">
        <v>0.39</v>
      </c>
    </row>
    <row r="655" spans="27:40" x14ac:dyDescent="0.25">
      <c r="AA655" s="29">
        <v>652</v>
      </c>
      <c r="AB655" s="30" t="s">
        <v>744</v>
      </c>
      <c r="AC655" s="29" t="s">
        <v>153</v>
      </c>
      <c r="AD655" s="30" t="s">
        <v>28</v>
      </c>
      <c r="AE655" s="31">
        <v>8.2938046054770545E-4</v>
      </c>
      <c r="AF655" s="12">
        <v>1.309576808781725</v>
      </c>
      <c r="AG655" s="38">
        <f t="shared" si="47"/>
        <v>1.0861374167899815E-3</v>
      </c>
      <c r="AH655" s="32">
        <f t="shared" si="48"/>
        <v>76.97286394226478</v>
      </c>
      <c r="AI655" s="33">
        <f t="shared" si="49"/>
        <v>8.3603107605178181E-2</v>
      </c>
      <c r="AJ655" s="34">
        <f t="shared" si="50"/>
        <v>8.5251444280338533E-3</v>
      </c>
      <c r="AK655" s="35" t="s">
        <v>920</v>
      </c>
      <c r="AL655" s="32">
        <v>0.21991148574500002</v>
      </c>
      <c r="AM655" s="32">
        <v>1.309576808781725</v>
      </c>
      <c r="AN655" s="36">
        <v>0.28999999999999998</v>
      </c>
    </row>
    <row r="656" spans="27:40" x14ac:dyDescent="0.25">
      <c r="AA656" s="29">
        <v>653</v>
      </c>
      <c r="AB656" s="30" t="s">
        <v>745</v>
      </c>
      <c r="AC656" s="29" t="s">
        <v>157</v>
      </c>
      <c r="AD656" s="30" t="s">
        <v>28</v>
      </c>
      <c r="AE656" s="31">
        <v>3.5735616434583872E-4</v>
      </c>
      <c r="AF656" s="12">
        <v>1.5197221502884424</v>
      </c>
      <c r="AG656" s="38">
        <f t="shared" si="47"/>
        <v>5.4308207849848805E-4</v>
      </c>
      <c r="AH656" s="32">
        <f t="shared" si="48"/>
        <v>76.97286394226478</v>
      </c>
      <c r="AI656" s="33">
        <f t="shared" si="49"/>
        <v>4.1802582937746482E-2</v>
      </c>
      <c r="AJ656" s="34">
        <f t="shared" si="50"/>
        <v>4.2626771565974601E-3</v>
      </c>
      <c r="AK656" s="35" t="s">
        <v>920</v>
      </c>
      <c r="AL656" s="32">
        <v>0.15079644736800002</v>
      </c>
      <c r="AM656" s="32">
        <v>1.5197221502884424</v>
      </c>
      <c r="AN656" s="36">
        <v>0.23</v>
      </c>
    </row>
    <row r="657" spans="27:40" x14ac:dyDescent="0.25">
      <c r="AA657" s="29">
        <v>654</v>
      </c>
      <c r="AB657" s="30" t="s">
        <v>746</v>
      </c>
      <c r="AC657" s="29" t="s">
        <v>157</v>
      </c>
      <c r="AD657" s="30" t="s">
        <v>28</v>
      </c>
      <c r="AE657" s="31">
        <v>3.5735616434583872E-4</v>
      </c>
      <c r="AF657" s="12">
        <v>1.5197221502903375</v>
      </c>
      <c r="AG657" s="38">
        <f t="shared" si="47"/>
        <v>5.4308207849916525E-4</v>
      </c>
      <c r="AH657" s="32">
        <f t="shared" si="48"/>
        <v>76.97286394226478</v>
      </c>
      <c r="AI657" s="33">
        <f t="shared" si="49"/>
        <v>4.1802582937798607E-2</v>
      </c>
      <c r="AJ657" s="34">
        <f t="shared" si="50"/>
        <v>4.2626771566027753E-3</v>
      </c>
      <c r="AK657" s="35" t="s">
        <v>920</v>
      </c>
      <c r="AL657" s="32">
        <v>0.15079644736800002</v>
      </c>
      <c r="AM657" s="32">
        <v>1.5197221502903375</v>
      </c>
      <c r="AN657" s="36">
        <v>0.23</v>
      </c>
    </row>
    <row r="658" spans="27:40" x14ac:dyDescent="0.25">
      <c r="AA658" s="29">
        <v>655</v>
      </c>
      <c r="AB658" s="30" t="s">
        <v>747</v>
      </c>
      <c r="AC658" s="29" t="s">
        <v>157</v>
      </c>
      <c r="AD658" s="30" t="s">
        <v>28</v>
      </c>
      <c r="AE658" s="31">
        <v>3.5735616434583872E-4</v>
      </c>
      <c r="AF658" s="12">
        <v>1.5197221502899976</v>
      </c>
      <c r="AG658" s="38">
        <f t="shared" si="47"/>
        <v>5.4308207849904382E-4</v>
      </c>
      <c r="AH658" s="32">
        <f t="shared" si="48"/>
        <v>76.97286394226478</v>
      </c>
      <c r="AI658" s="33">
        <f t="shared" si="49"/>
        <v>4.1802582937789261E-2</v>
      </c>
      <c r="AJ658" s="34">
        <f t="shared" si="50"/>
        <v>4.262677156601823E-3</v>
      </c>
      <c r="AK658" s="35" t="s">
        <v>920</v>
      </c>
      <c r="AL658" s="32">
        <v>0.15079644736800002</v>
      </c>
      <c r="AM658" s="32">
        <v>1.5197221502899976</v>
      </c>
      <c r="AN658" s="36">
        <v>0.23</v>
      </c>
    </row>
    <row r="659" spans="27:40" x14ac:dyDescent="0.25">
      <c r="AA659" s="29">
        <v>656</v>
      </c>
      <c r="AB659" s="30" t="s">
        <v>748</v>
      </c>
      <c r="AC659" s="29" t="s">
        <v>157</v>
      </c>
      <c r="AD659" s="30" t="s">
        <v>28</v>
      </c>
      <c r="AE659" s="31">
        <v>3.5735616434583872E-4</v>
      </c>
      <c r="AF659" s="12">
        <v>1.5197221502907208</v>
      </c>
      <c r="AG659" s="38">
        <f t="shared" si="47"/>
        <v>5.4308207849930218E-4</v>
      </c>
      <c r="AH659" s="32">
        <f t="shared" si="48"/>
        <v>76.97286394226478</v>
      </c>
      <c r="AI659" s="33">
        <f t="shared" si="49"/>
        <v>4.1802582937809148E-2</v>
      </c>
      <c r="AJ659" s="34">
        <f t="shared" si="50"/>
        <v>4.2626771566038509E-3</v>
      </c>
      <c r="AK659" s="35" t="s">
        <v>920</v>
      </c>
      <c r="AL659" s="32">
        <v>0.15079644736800002</v>
      </c>
      <c r="AM659" s="32">
        <v>1.5197221502907208</v>
      </c>
      <c r="AN659" s="36">
        <v>0.23</v>
      </c>
    </row>
    <row r="660" spans="27:40" x14ac:dyDescent="0.25">
      <c r="AA660" s="29">
        <v>657</v>
      </c>
      <c r="AB660" s="30" t="s">
        <v>749</v>
      </c>
      <c r="AC660" s="29" t="s">
        <v>157</v>
      </c>
      <c r="AD660" s="30" t="s">
        <v>28</v>
      </c>
      <c r="AE660" s="31">
        <v>3.5735616434583872E-4</v>
      </c>
      <c r="AF660" s="12">
        <v>1.5197221502895877</v>
      </c>
      <c r="AG660" s="38">
        <f t="shared" si="47"/>
        <v>5.4308207849889734E-4</v>
      </c>
      <c r="AH660" s="32">
        <f t="shared" si="48"/>
        <v>76.97286394226478</v>
      </c>
      <c r="AI660" s="33">
        <f t="shared" si="49"/>
        <v>4.1802582937777985E-2</v>
      </c>
      <c r="AJ660" s="34">
        <f t="shared" si="50"/>
        <v>4.2626771566006728E-3</v>
      </c>
      <c r="AK660" s="35" t="s">
        <v>920</v>
      </c>
      <c r="AL660" s="32">
        <v>0.15079644736800002</v>
      </c>
      <c r="AM660" s="32">
        <v>1.5197221502895877</v>
      </c>
      <c r="AN660" s="36">
        <v>0.23</v>
      </c>
    </row>
    <row r="661" spans="27:40" x14ac:dyDescent="0.25">
      <c r="AA661" s="29">
        <v>658</v>
      </c>
      <c r="AB661" s="30" t="s">
        <v>750</v>
      </c>
      <c r="AC661" s="29" t="s">
        <v>157</v>
      </c>
      <c r="AD661" s="30" t="s">
        <v>28</v>
      </c>
      <c r="AE661" s="31">
        <v>3.5735616434583872E-4</v>
      </c>
      <c r="AF661" s="12">
        <v>1.5197221502908715</v>
      </c>
      <c r="AG661" s="38">
        <f t="shared" si="47"/>
        <v>5.4308207849935607E-4</v>
      </c>
      <c r="AH661" s="32">
        <f t="shared" si="48"/>
        <v>76.97286394226478</v>
      </c>
      <c r="AI661" s="33">
        <f t="shared" si="49"/>
        <v>4.1802582937813297E-2</v>
      </c>
      <c r="AJ661" s="34">
        <f t="shared" si="50"/>
        <v>4.2626771566042733E-3</v>
      </c>
      <c r="AK661" s="35" t="s">
        <v>920</v>
      </c>
      <c r="AL661" s="32">
        <v>0.15079644736800002</v>
      </c>
      <c r="AM661" s="32">
        <v>1.5197221502908715</v>
      </c>
      <c r="AN661" s="36">
        <v>0.23</v>
      </c>
    </row>
    <row r="662" spans="27:40" x14ac:dyDescent="0.25">
      <c r="AA662" s="29">
        <v>659</v>
      </c>
      <c r="AB662" s="30" t="s">
        <v>751</v>
      </c>
      <c r="AC662" s="29" t="s">
        <v>157</v>
      </c>
      <c r="AD662" s="30" t="s">
        <v>28</v>
      </c>
      <c r="AE662" s="31">
        <v>3.5735616434583872E-4</v>
      </c>
      <c r="AF662" s="12">
        <v>1.5197221502888831</v>
      </c>
      <c r="AG662" s="38">
        <f t="shared" si="47"/>
        <v>5.4308207849864559E-4</v>
      </c>
      <c r="AH662" s="32">
        <f t="shared" si="48"/>
        <v>76.97286394226478</v>
      </c>
      <c r="AI662" s="33">
        <f t="shared" si="49"/>
        <v>4.1802582937758605E-2</v>
      </c>
      <c r="AJ662" s="34">
        <f t="shared" si="50"/>
        <v>4.2626771565986961E-3</v>
      </c>
      <c r="AK662" s="35" t="s">
        <v>920</v>
      </c>
      <c r="AL662" s="32">
        <v>0.15079644736800002</v>
      </c>
      <c r="AM662" s="32">
        <v>1.5197221502888831</v>
      </c>
      <c r="AN662" s="36">
        <v>0.23</v>
      </c>
    </row>
    <row r="663" spans="27:40" x14ac:dyDescent="0.25">
      <c r="AA663" s="29">
        <v>660</v>
      </c>
      <c r="AB663" s="30" t="s">
        <v>752</v>
      </c>
      <c r="AC663" s="29" t="s">
        <v>157</v>
      </c>
      <c r="AD663" s="30" t="s">
        <v>28</v>
      </c>
      <c r="AE663" s="31">
        <v>3.5735616434583872E-4</v>
      </c>
      <c r="AF663" s="12">
        <v>1.5197221502918832</v>
      </c>
      <c r="AG663" s="38">
        <f t="shared" si="47"/>
        <v>5.4308207849971765E-4</v>
      </c>
      <c r="AH663" s="32">
        <f t="shared" si="48"/>
        <v>76.97286394226478</v>
      </c>
      <c r="AI663" s="33">
        <f t="shared" si="49"/>
        <v>4.1802582937841129E-2</v>
      </c>
      <c r="AJ663" s="34">
        <f t="shared" si="50"/>
        <v>4.2626771566071113E-3</v>
      </c>
      <c r="AK663" s="35" t="s">
        <v>920</v>
      </c>
      <c r="AL663" s="32">
        <v>0.15079644736800002</v>
      </c>
      <c r="AM663" s="32">
        <v>1.5197221502918832</v>
      </c>
      <c r="AN663" s="36">
        <v>0.23</v>
      </c>
    </row>
    <row r="664" spans="27:40" x14ac:dyDescent="0.25">
      <c r="AA664" s="29">
        <v>661</v>
      </c>
      <c r="AB664" s="30" t="s">
        <v>753</v>
      </c>
      <c r="AC664" s="29" t="s">
        <v>157</v>
      </c>
      <c r="AD664" s="30" t="s">
        <v>28</v>
      </c>
      <c r="AE664" s="31">
        <v>3.5735616434583872E-4</v>
      </c>
      <c r="AF664" s="12">
        <v>1.5197221502896916</v>
      </c>
      <c r="AG664" s="38">
        <f t="shared" si="47"/>
        <v>5.4308207849893442E-4</v>
      </c>
      <c r="AH664" s="32">
        <f t="shared" si="48"/>
        <v>76.97286394226478</v>
      </c>
      <c r="AI664" s="33">
        <f t="shared" si="49"/>
        <v>4.1802582937780837E-2</v>
      </c>
      <c r="AJ664" s="34">
        <f t="shared" si="50"/>
        <v>4.2626771566009634E-3</v>
      </c>
      <c r="AK664" s="35" t="s">
        <v>920</v>
      </c>
      <c r="AL664" s="32">
        <v>0.15079644736800002</v>
      </c>
      <c r="AM664" s="32">
        <v>1.5197221502896916</v>
      </c>
      <c r="AN664" s="36">
        <v>0.23</v>
      </c>
    </row>
    <row r="665" spans="27:40" x14ac:dyDescent="0.25">
      <c r="AA665" s="29">
        <v>662</v>
      </c>
      <c r="AB665" s="30" t="s">
        <v>754</v>
      </c>
      <c r="AC665" s="29" t="s">
        <v>157</v>
      </c>
      <c r="AD665" s="30" t="s">
        <v>28</v>
      </c>
      <c r="AE665" s="31">
        <v>3.5735616434583872E-4</v>
      </c>
      <c r="AF665" s="12">
        <v>1.5197221502893745</v>
      </c>
      <c r="AG665" s="38">
        <f t="shared" si="47"/>
        <v>5.4308207849882112E-4</v>
      </c>
      <c r="AH665" s="32">
        <f t="shared" si="48"/>
        <v>76.97286394226478</v>
      </c>
      <c r="AI665" s="33">
        <f t="shared" si="49"/>
        <v>4.1802582937772122E-2</v>
      </c>
      <c r="AJ665" s="34">
        <f t="shared" si="50"/>
        <v>4.2626771566000752E-3</v>
      </c>
      <c r="AK665" s="35" t="s">
        <v>920</v>
      </c>
      <c r="AL665" s="32">
        <v>0.15079644736800002</v>
      </c>
      <c r="AM665" s="32">
        <v>1.5197221502893745</v>
      </c>
      <c r="AN665" s="36">
        <v>0.23</v>
      </c>
    </row>
    <row r="666" spans="27:40" x14ac:dyDescent="0.25">
      <c r="AA666" s="29">
        <v>663</v>
      </c>
      <c r="AB666" s="30" t="s">
        <v>755</v>
      </c>
      <c r="AC666" s="29" t="s">
        <v>153</v>
      </c>
      <c r="AD666" s="30" t="s">
        <v>28</v>
      </c>
      <c r="AE666" s="31">
        <v>8.2938046054770545E-4</v>
      </c>
      <c r="AF666" s="12">
        <v>1.6444663660658836</v>
      </c>
      <c r="AG666" s="38">
        <f t="shared" si="47"/>
        <v>1.3638882720429341E-3</v>
      </c>
      <c r="AH666" s="32">
        <f t="shared" si="48"/>
        <v>76.97286394226478</v>
      </c>
      <c r="AI666" s="33">
        <f t="shared" si="49"/>
        <v>0.10498238639641139</v>
      </c>
      <c r="AJ666" s="34">
        <f t="shared" si="50"/>
        <v>1.0705224148553419E-2</v>
      </c>
      <c r="AK666" s="35" t="s">
        <v>920</v>
      </c>
      <c r="AL666" s="32">
        <v>0.21991148574500002</v>
      </c>
      <c r="AM666" s="32">
        <v>1.6444663660658836</v>
      </c>
      <c r="AN666" s="36">
        <v>0.36</v>
      </c>
    </row>
    <row r="667" spans="27:40" x14ac:dyDescent="0.25">
      <c r="AA667" s="29">
        <v>664</v>
      </c>
      <c r="AB667" s="30" t="s">
        <v>756</v>
      </c>
      <c r="AC667" s="29" t="s">
        <v>153</v>
      </c>
      <c r="AD667" s="30" t="s">
        <v>28</v>
      </c>
      <c r="AE667" s="31">
        <v>8.2938046054770545E-4</v>
      </c>
      <c r="AF667" s="12">
        <v>1.4102965767276703</v>
      </c>
      <c r="AG667" s="38">
        <f t="shared" si="47"/>
        <v>1.1696724243152475E-3</v>
      </c>
      <c r="AH667" s="32">
        <f t="shared" si="48"/>
        <v>76.97286394226478</v>
      </c>
      <c r="AI667" s="33">
        <f t="shared" si="49"/>
        <v>9.0033036373836542E-2</v>
      </c>
      <c r="AJ667" s="34">
        <f t="shared" si="50"/>
        <v>9.1808146894032661E-3</v>
      </c>
      <c r="AK667" s="35" t="s">
        <v>920</v>
      </c>
      <c r="AL667" s="32">
        <v>0.21991148574500002</v>
      </c>
      <c r="AM667" s="32">
        <v>1.4102965767276703</v>
      </c>
      <c r="AN667" s="36">
        <v>0.31</v>
      </c>
    </row>
    <row r="668" spans="27:40" x14ac:dyDescent="0.25">
      <c r="AA668" s="29">
        <v>665</v>
      </c>
      <c r="AB668" s="30" t="s">
        <v>757</v>
      </c>
      <c r="AC668" s="29" t="s">
        <v>150</v>
      </c>
      <c r="AD668" s="30" t="s">
        <v>9</v>
      </c>
      <c r="AE668" s="31">
        <v>7.8799999999999999E-3</v>
      </c>
      <c r="AF668" s="12">
        <v>8.6510329891077671</v>
      </c>
      <c r="AG668" s="38">
        <f t="shared" si="47"/>
        <v>6.8170139954169207E-2</v>
      </c>
      <c r="AH668" s="32">
        <f t="shared" si="48"/>
        <v>76.97286394226478</v>
      </c>
      <c r="AI668" s="33">
        <f t="shared" si="49"/>
        <v>5.2472509076174143</v>
      </c>
      <c r="AJ668" s="34">
        <f t="shared" si="50"/>
        <v>0.5350706824060627</v>
      </c>
      <c r="AK668" s="35" t="s">
        <v>33</v>
      </c>
      <c r="AL668" s="32">
        <v>1.988</v>
      </c>
      <c r="AM668" s="32">
        <v>8.6510329891077671</v>
      </c>
      <c r="AN668" s="36">
        <v>17.2</v>
      </c>
    </row>
    <row r="669" spans="27:40" x14ac:dyDescent="0.25">
      <c r="AA669" s="29">
        <v>666</v>
      </c>
      <c r="AB669" s="30" t="s">
        <v>758</v>
      </c>
      <c r="AC669" s="29" t="s">
        <v>150</v>
      </c>
      <c r="AD669" s="30" t="s">
        <v>9</v>
      </c>
      <c r="AE669" s="31">
        <v>7.8799999999999999E-3</v>
      </c>
      <c r="AF669" s="12">
        <v>8.3215335977485427</v>
      </c>
      <c r="AG669" s="38">
        <f t="shared" si="47"/>
        <v>6.5573684750258515E-2</v>
      </c>
      <c r="AH669" s="32">
        <f t="shared" si="48"/>
        <v>76.97286394226478</v>
      </c>
      <c r="AI669" s="33">
        <f t="shared" si="49"/>
        <v>5.0473943144746114</v>
      </c>
      <c r="AJ669" s="34">
        <f t="shared" si="50"/>
        <v>0.51469098157623772</v>
      </c>
      <c r="AK669" s="35" t="s">
        <v>33</v>
      </c>
      <c r="AL669" s="32">
        <v>1.988</v>
      </c>
      <c r="AM669" s="32">
        <v>8.3215335977485427</v>
      </c>
      <c r="AN669" s="36">
        <v>16.54</v>
      </c>
    </row>
    <row r="670" spans="27:40" x14ac:dyDescent="0.25">
      <c r="AA670" s="29">
        <v>667</v>
      </c>
      <c r="AB670" s="30" t="s">
        <v>759</v>
      </c>
      <c r="AC670" s="29" t="s">
        <v>156</v>
      </c>
      <c r="AD670" s="30" t="s">
        <v>28</v>
      </c>
      <c r="AE670" s="31">
        <v>1.3823007675795071E-3</v>
      </c>
      <c r="AF670" s="12">
        <v>2.0807051797468379</v>
      </c>
      <c r="AG670" s="38">
        <f t="shared" si="47"/>
        <v>2.8761603670707102E-3</v>
      </c>
      <c r="AH670" s="32">
        <f t="shared" si="48"/>
        <v>76.97286394226478</v>
      </c>
      <c r="AI670" s="33">
        <f t="shared" si="49"/>
        <v>0.22138630061066811</v>
      </c>
      <c r="AJ670" s="34">
        <f t="shared" si="50"/>
        <v>2.2575120006390371E-2</v>
      </c>
      <c r="AK670" s="35" t="s">
        <v>920</v>
      </c>
      <c r="AL670" s="32">
        <v>0.35814156249900003</v>
      </c>
      <c r="AM670" s="32">
        <v>2.0807051797468379</v>
      </c>
      <c r="AN670" s="36">
        <v>0.75</v>
      </c>
    </row>
    <row r="671" spans="27:40" x14ac:dyDescent="0.25">
      <c r="AA671" s="29">
        <v>668</v>
      </c>
      <c r="AB671" s="30" t="s">
        <v>760</v>
      </c>
      <c r="AC671" s="29" t="s">
        <v>156</v>
      </c>
      <c r="AD671" s="30" t="s">
        <v>28</v>
      </c>
      <c r="AE671" s="31">
        <v>1.3823007675795071E-3</v>
      </c>
      <c r="AF671" s="12">
        <v>2.0807051797433171</v>
      </c>
      <c r="AG671" s="38">
        <f t="shared" si="47"/>
        <v>2.8761603670658434E-3</v>
      </c>
      <c r="AH671" s="32">
        <f t="shared" si="48"/>
        <v>76.97286394226478</v>
      </c>
      <c r="AI671" s="33">
        <f t="shared" si="49"/>
        <v>0.22138630061029349</v>
      </c>
      <c r="AJ671" s="34">
        <f t="shared" si="50"/>
        <v>2.2575120006352169E-2</v>
      </c>
      <c r="AK671" s="35" t="s">
        <v>920</v>
      </c>
      <c r="AL671" s="32">
        <v>0.35814156249900003</v>
      </c>
      <c r="AM671" s="32">
        <v>2.0807051797433171</v>
      </c>
      <c r="AN671" s="36">
        <v>0.75</v>
      </c>
    </row>
    <row r="672" spans="27:40" x14ac:dyDescent="0.25">
      <c r="AA672" s="29">
        <v>669</v>
      </c>
      <c r="AB672" s="30" t="s">
        <v>761</v>
      </c>
      <c r="AC672" s="29" t="s">
        <v>156</v>
      </c>
      <c r="AD672" s="30" t="s">
        <v>28</v>
      </c>
      <c r="AE672" s="31">
        <v>1.3823007675795071E-3</v>
      </c>
      <c r="AF672" s="12">
        <v>2.0807051797459848</v>
      </c>
      <c r="AG672" s="38">
        <f t="shared" si="47"/>
        <v>2.876160367069531E-3</v>
      </c>
      <c r="AH672" s="32">
        <f t="shared" si="48"/>
        <v>76.97286394226478</v>
      </c>
      <c r="AI672" s="33">
        <f t="shared" si="49"/>
        <v>0.22138630061057735</v>
      </c>
      <c r="AJ672" s="34">
        <f t="shared" si="50"/>
        <v>2.2575120006381115E-2</v>
      </c>
      <c r="AK672" s="35" t="s">
        <v>920</v>
      </c>
      <c r="AL672" s="32">
        <v>0.35814156249900003</v>
      </c>
      <c r="AM672" s="32">
        <v>2.0807051797459848</v>
      </c>
      <c r="AN672" s="36">
        <v>0.75</v>
      </c>
    </row>
    <row r="673" spans="27:40" x14ac:dyDescent="0.25">
      <c r="AA673" s="29">
        <v>670</v>
      </c>
      <c r="AB673" s="30" t="s">
        <v>762</v>
      </c>
      <c r="AC673" s="29" t="s">
        <v>156</v>
      </c>
      <c r="AD673" s="30" t="s">
        <v>28</v>
      </c>
      <c r="AE673" s="31">
        <v>1.3823007675795071E-3</v>
      </c>
      <c r="AF673" s="12">
        <v>2.0807051797455443</v>
      </c>
      <c r="AG673" s="38">
        <f t="shared" si="47"/>
        <v>2.8761603670689221E-3</v>
      </c>
      <c r="AH673" s="32">
        <f t="shared" si="48"/>
        <v>76.97286394226478</v>
      </c>
      <c r="AI673" s="33">
        <f t="shared" si="49"/>
        <v>0.22138630061053047</v>
      </c>
      <c r="AJ673" s="34">
        <f t="shared" si="50"/>
        <v>2.2575120006376334E-2</v>
      </c>
      <c r="AK673" s="35" t="s">
        <v>920</v>
      </c>
      <c r="AL673" s="32">
        <v>0.35814156249900003</v>
      </c>
      <c r="AM673" s="32">
        <v>2.0807051797455443</v>
      </c>
      <c r="AN673" s="36">
        <v>0.75</v>
      </c>
    </row>
    <row r="674" spans="27:40" x14ac:dyDescent="0.25">
      <c r="AA674" s="29">
        <v>671</v>
      </c>
      <c r="AB674" s="30" t="s">
        <v>763</v>
      </c>
      <c r="AC674" s="29" t="s">
        <v>156</v>
      </c>
      <c r="AD674" s="30" t="s">
        <v>28</v>
      </c>
      <c r="AE674" s="31">
        <v>1.3823007675795071E-3</v>
      </c>
      <c r="AF674" s="12">
        <v>2.0807051797457792</v>
      </c>
      <c r="AG674" s="38">
        <f t="shared" si="47"/>
        <v>2.8761603670692465E-3</v>
      </c>
      <c r="AH674" s="32">
        <f t="shared" si="48"/>
        <v>76.97286394226478</v>
      </c>
      <c r="AI674" s="33">
        <f t="shared" si="49"/>
        <v>0.22138630061055545</v>
      </c>
      <c r="AJ674" s="34">
        <f t="shared" si="50"/>
        <v>2.2575120006378881E-2</v>
      </c>
      <c r="AK674" s="35" t="s">
        <v>920</v>
      </c>
      <c r="AL674" s="32">
        <v>0.35814156249900003</v>
      </c>
      <c r="AM674" s="32">
        <v>2.0807051797457792</v>
      </c>
      <c r="AN674" s="36">
        <v>0.75</v>
      </c>
    </row>
    <row r="675" spans="27:40" x14ac:dyDescent="0.25">
      <c r="AA675" s="29">
        <v>672</v>
      </c>
      <c r="AB675" s="30" t="s">
        <v>764</v>
      </c>
      <c r="AC675" s="29" t="s">
        <v>156</v>
      </c>
      <c r="AD675" s="30" t="s">
        <v>28</v>
      </c>
      <c r="AE675" s="31">
        <v>1.3823007675795071E-3</v>
      </c>
      <c r="AF675" s="12">
        <v>2.0807051797433846</v>
      </c>
      <c r="AG675" s="38">
        <f t="shared" si="47"/>
        <v>2.8761603670659367E-3</v>
      </c>
      <c r="AH675" s="32">
        <f t="shared" si="48"/>
        <v>76.97286394226478</v>
      </c>
      <c r="AI675" s="33">
        <f t="shared" si="49"/>
        <v>0.22138630061030068</v>
      </c>
      <c r="AJ675" s="34">
        <f t="shared" si="50"/>
        <v>2.2575120006352901E-2</v>
      </c>
      <c r="AK675" s="35" t="s">
        <v>920</v>
      </c>
      <c r="AL675" s="32">
        <v>0.35814156249900003</v>
      </c>
      <c r="AM675" s="32">
        <v>2.0807051797433846</v>
      </c>
      <c r="AN675" s="36">
        <v>0.75</v>
      </c>
    </row>
    <row r="676" spans="27:40" x14ac:dyDescent="0.25">
      <c r="AA676" s="29">
        <v>673</v>
      </c>
      <c r="AB676" s="30" t="s">
        <v>765</v>
      </c>
      <c r="AC676" s="29" t="s">
        <v>156</v>
      </c>
      <c r="AD676" s="30" t="s">
        <v>28</v>
      </c>
      <c r="AE676" s="31">
        <v>1.3823007675795071E-3</v>
      </c>
      <c r="AF676" s="12">
        <v>2.0807051797462073</v>
      </c>
      <c r="AG676" s="38">
        <f t="shared" si="47"/>
        <v>2.8761603670698385E-3</v>
      </c>
      <c r="AH676" s="32">
        <f t="shared" si="48"/>
        <v>76.97286394226478</v>
      </c>
      <c r="AI676" s="33">
        <f t="shared" si="49"/>
        <v>0.22138630061060099</v>
      </c>
      <c r="AJ676" s="34">
        <f t="shared" si="50"/>
        <v>2.2575120006383526E-2</v>
      </c>
      <c r="AK676" s="35" t="s">
        <v>920</v>
      </c>
      <c r="AL676" s="32">
        <v>0.35814156249900003</v>
      </c>
      <c r="AM676" s="32">
        <v>2.0807051797462073</v>
      </c>
      <c r="AN676" s="36">
        <v>0.75</v>
      </c>
    </row>
    <row r="677" spans="27:40" x14ac:dyDescent="0.25">
      <c r="AA677" s="29">
        <v>674</v>
      </c>
      <c r="AB677" s="30" t="s">
        <v>766</v>
      </c>
      <c r="AC677" s="29" t="s">
        <v>153</v>
      </c>
      <c r="AD677" s="30" t="s">
        <v>28</v>
      </c>
      <c r="AE677" s="31">
        <v>8.2938046054770545E-4</v>
      </c>
      <c r="AF677" s="12">
        <v>1.4102965767325017</v>
      </c>
      <c r="AG677" s="38">
        <f t="shared" si="47"/>
        <v>1.1696724243192547E-3</v>
      </c>
      <c r="AH677" s="32">
        <f t="shared" si="48"/>
        <v>76.97286394226478</v>
      </c>
      <c r="AI677" s="33">
        <f t="shared" si="49"/>
        <v>9.003303637414499E-2</v>
      </c>
      <c r="AJ677" s="34">
        <f t="shared" si="50"/>
        <v>9.1808146894347201E-3</v>
      </c>
      <c r="AK677" s="35" t="s">
        <v>920</v>
      </c>
      <c r="AL677" s="32">
        <v>0.21991148574500002</v>
      </c>
      <c r="AM677" s="32">
        <v>1.4102965767325017</v>
      </c>
      <c r="AN677" s="36">
        <v>0.31</v>
      </c>
    </row>
    <row r="678" spans="27:40" x14ac:dyDescent="0.25">
      <c r="AA678" s="29">
        <v>675</v>
      </c>
      <c r="AB678" s="30" t="s">
        <v>767</v>
      </c>
      <c r="AC678" s="29" t="s">
        <v>153</v>
      </c>
      <c r="AD678" s="30" t="s">
        <v>28</v>
      </c>
      <c r="AE678" s="31">
        <v>8.2938046054770545E-4</v>
      </c>
      <c r="AF678" s="12">
        <v>1.6444663660700272</v>
      </c>
      <c r="AG678" s="38">
        <f t="shared" si="47"/>
        <v>1.3638882720463706E-3</v>
      </c>
      <c r="AH678" s="32">
        <f t="shared" si="48"/>
        <v>76.97286394226478</v>
      </c>
      <c r="AI678" s="33">
        <f t="shared" si="49"/>
        <v>0.1049823863966759</v>
      </c>
      <c r="AJ678" s="34">
        <f t="shared" si="50"/>
        <v>1.0705224148580392E-2</v>
      </c>
      <c r="AK678" s="35" t="s">
        <v>920</v>
      </c>
      <c r="AL678" s="32">
        <v>0.21991148574500002</v>
      </c>
      <c r="AM678" s="32">
        <v>1.6444663660700272</v>
      </c>
      <c r="AN678" s="36">
        <v>0.36</v>
      </c>
    </row>
    <row r="679" spans="27:40" x14ac:dyDescent="0.25">
      <c r="AA679" s="29">
        <v>676</v>
      </c>
      <c r="AB679" s="30" t="s">
        <v>768</v>
      </c>
      <c r="AC679" s="29" t="s">
        <v>157</v>
      </c>
      <c r="AD679" s="30" t="s">
        <v>28</v>
      </c>
      <c r="AE679" s="31">
        <v>3.5735616434583872E-4</v>
      </c>
      <c r="AF679" s="12">
        <v>1.5197221502893745</v>
      </c>
      <c r="AG679" s="38">
        <f t="shared" si="47"/>
        <v>5.4308207849882112E-4</v>
      </c>
      <c r="AH679" s="32">
        <f t="shared" si="48"/>
        <v>76.97286394226478</v>
      </c>
      <c r="AI679" s="33">
        <f t="shared" si="49"/>
        <v>4.1802582937772122E-2</v>
      </c>
      <c r="AJ679" s="34">
        <f t="shared" si="50"/>
        <v>4.2626771566000752E-3</v>
      </c>
      <c r="AK679" s="35" t="s">
        <v>920</v>
      </c>
      <c r="AL679" s="32">
        <v>0.15079644736800002</v>
      </c>
      <c r="AM679" s="32">
        <v>1.5197221502893745</v>
      </c>
      <c r="AN679" s="36">
        <v>0.23</v>
      </c>
    </row>
    <row r="680" spans="27:40" x14ac:dyDescent="0.25">
      <c r="AA680" s="29">
        <v>677</v>
      </c>
      <c r="AB680" s="30" t="s">
        <v>769</v>
      </c>
      <c r="AC680" s="29" t="s">
        <v>157</v>
      </c>
      <c r="AD680" s="30" t="s">
        <v>28</v>
      </c>
      <c r="AE680" s="31">
        <v>3.5735616434583872E-4</v>
      </c>
      <c r="AF680" s="12">
        <v>1.5197221502896916</v>
      </c>
      <c r="AG680" s="38">
        <f t="shared" si="47"/>
        <v>5.4308207849893442E-4</v>
      </c>
      <c r="AH680" s="32">
        <f t="shared" si="48"/>
        <v>76.97286394226478</v>
      </c>
      <c r="AI680" s="33">
        <f t="shared" si="49"/>
        <v>4.1802582937780837E-2</v>
      </c>
      <c r="AJ680" s="34">
        <f t="shared" si="50"/>
        <v>4.2626771566009634E-3</v>
      </c>
      <c r="AK680" s="35" t="s">
        <v>920</v>
      </c>
      <c r="AL680" s="32">
        <v>0.15079644736800002</v>
      </c>
      <c r="AM680" s="32">
        <v>1.5197221502896916</v>
      </c>
      <c r="AN680" s="36">
        <v>0.23</v>
      </c>
    </row>
    <row r="681" spans="27:40" x14ac:dyDescent="0.25">
      <c r="AA681" s="29">
        <v>678</v>
      </c>
      <c r="AB681" s="30" t="s">
        <v>770</v>
      </c>
      <c r="AC681" s="29" t="s">
        <v>157</v>
      </c>
      <c r="AD681" s="30" t="s">
        <v>28</v>
      </c>
      <c r="AE681" s="31">
        <v>3.5735616434583872E-4</v>
      </c>
      <c r="AF681" s="12">
        <v>1.5197221502918832</v>
      </c>
      <c r="AG681" s="38">
        <f t="shared" si="47"/>
        <v>5.4308207849971765E-4</v>
      </c>
      <c r="AH681" s="32">
        <f t="shared" si="48"/>
        <v>76.97286394226478</v>
      </c>
      <c r="AI681" s="33">
        <f t="shared" si="49"/>
        <v>4.1802582937841129E-2</v>
      </c>
      <c r="AJ681" s="34">
        <f t="shared" si="50"/>
        <v>4.2626771566071113E-3</v>
      </c>
      <c r="AK681" s="35" t="s">
        <v>920</v>
      </c>
      <c r="AL681" s="32">
        <v>0.15079644736800002</v>
      </c>
      <c r="AM681" s="32">
        <v>1.5197221502918832</v>
      </c>
      <c r="AN681" s="36">
        <v>0.23</v>
      </c>
    </row>
    <row r="682" spans="27:40" x14ac:dyDescent="0.25">
      <c r="AA682" s="29">
        <v>679</v>
      </c>
      <c r="AB682" s="30" t="s">
        <v>771</v>
      </c>
      <c r="AC682" s="29" t="s">
        <v>157</v>
      </c>
      <c r="AD682" s="30" t="s">
        <v>28</v>
      </c>
      <c r="AE682" s="31">
        <v>3.5735616434583872E-4</v>
      </c>
      <c r="AF682" s="12">
        <v>1.5197221502888831</v>
      </c>
      <c r="AG682" s="38">
        <f t="shared" si="47"/>
        <v>5.4308207849864559E-4</v>
      </c>
      <c r="AH682" s="32">
        <f t="shared" si="48"/>
        <v>76.97286394226478</v>
      </c>
      <c r="AI682" s="33">
        <f t="shared" si="49"/>
        <v>4.1802582937758605E-2</v>
      </c>
      <c r="AJ682" s="34">
        <f t="shared" si="50"/>
        <v>4.2626771565986961E-3</v>
      </c>
      <c r="AK682" s="35" t="s">
        <v>920</v>
      </c>
      <c r="AL682" s="32">
        <v>0.15079644736800002</v>
      </c>
      <c r="AM682" s="32">
        <v>1.5197221502888831</v>
      </c>
      <c r="AN682" s="36">
        <v>0.23</v>
      </c>
    </row>
    <row r="683" spans="27:40" x14ac:dyDescent="0.25">
      <c r="AA683" s="29">
        <v>680</v>
      </c>
      <c r="AB683" s="30" t="s">
        <v>772</v>
      </c>
      <c r="AC683" s="29" t="s">
        <v>157</v>
      </c>
      <c r="AD683" s="30" t="s">
        <v>28</v>
      </c>
      <c r="AE683" s="31">
        <v>3.5735616434583872E-4</v>
      </c>
      <c r="AF683" s="12">
        <v>1.5197221502908715</v>
      </c>
      <c r="AG683" s="38">
        <f t="shared" si="47"/>
        <v>5.4308207849935607E-4</v>
      </c>
      <c r="AH683" s="32">
        <f t="shared" si="48"/>
        <v>76.97286394226478</v>
      </c>
      <c r="AI683" s="33">
        <f t="shared" si="49"/>
        <v>4.1802582937813297E-2</v>
      </c>
      <c r="AJ683" s="34">
        <f t="shared" si="50"/>
        <v>4.2626771566042733E-3</v>
      </c>
      <c r="AK683" s="35" t="s">
        <v>920</v>
      </c>
      <c r="AL683" s="32">
        <v>0.15079644736800002</v>
      </c>
      <c r="AM683" s="32">
        <v>1.5197221502908715</v>
      </c>
      <c r="AN683" s="36">
        <v>0.23</v>
      </c>
    </row>
    <row r="684" spans="27:40" x14ac:dyDescent="0.25">
      <c r="AA684" s="29">
        <v>681</v>
      </c>
      <c r="AB684" s="30" t="s">
        <v>773</v>
      </c>
      <c r="AC684" s="29" t="s">
        <v>157</v>
      </c>
      <c r="AD684" s="30" t="s">
        <v>28</v>
      </c>
      <c r="AE684" s="31">
        <v>3.5735616434583872E-4</v>
      </c>
      <c r="AF684" s="12">
        <v>1.5197221502895877</v>
      </c>
      <c r="AG684" s="38">
        <f t="shared" si="47"/>
        <v>5.4308207849889734E-4</v>
      </c>
      <c r="AH684" s="32">
        <f t="shared" si="48"/>
        <v>76.97286394226478</v>
      </c>
      <c r="AI684" s="33">
        <f t="shared" si="49"/>
        <v>4.1802582937777985E-2</v>
      </c>
      <c r="AJ684" s="34">
        <f t="shared" si="50"/>
        <v>4.2626771566006728E-3</v>
      </c>
      <c r="AK684" s="35" t="s">
        <v>920</v>
      </c>
      <c r="AL684" s="32">
        <v>0.15079644736800002</v>
      </c>
      <c r="AM684" s="32">
        <v>1.5197221502895877</v>
      </c>
      <c r="AN684" s="36">
        <v>0.23</v>
      </c>
    </row>
    <row r="685" spans="27:40" x14ac:dyDescent="0.25">
      <c r="AA685" s="29">
        <v>682</v>
      </c>
      <c r="AB685" s="30" t="s">
        <v>774</v>
      </c>
      <c r="AC685" s="29" t="s">
        <v>157</v>
      </c>
      <c r="AD685" s="30" t="s">
        <v>28</v>
      </c>
      <c r="AE685" s="31">
        <v>3.5735616434583872E-4</v>
      </c>
      <c r="AF685" s="12">
        <v>1.5197221502907208</v>
      </c>
      <c r="AG685" s="38">
        <f t="shared" si="47"/>
        <v>5.4308207849930218E-4</v>
      </c>
      <c r="AH685" s="32">
        <f t="shared" si="48"/>
        <v>76.97286394226478</v>
      </c>
      <c r="AI685" s="33">
        <f t="shared" si="49"/>
        <v>4.1802582937809148E-2</v>
      </c>
      <c r="AJ685" s="34">
        <f t="shared" si="50"/>
        <v>4.2626771566038509E-3</v>
      </c>
      <c r="AK685" s="35" t="s">
        <v>920</v>
      </c>
      <c r="AL685" s="32">
        <v>0.15079644736800002</v>
      </c>
      <c r="AM685" s="32">
        <v>1.5197221502907208</v>
      </c>
      <c r="AN685" s="36">
        <v>0.23</v>
      </c>
    </row>
    <row r="686" spans="27:40" x14ac:dyDescent="0.25">
      <c r="AA686" s="29">
        <v>683</v>
      </c>
      <c r="AB686" s="30" t="s">
        <v>775</v>
      </c>
      <c r="AC686" s="29" t="s">
        <v>157</v>
      </c>
      <c r="AD686" s="30" t="s">
        <v>28</v>
      </c>
      <c r="AE686" s="31">
        <v>3.5735616434583872E-4</v>
      </c>
      <c r="AF686" s="12">
        <v>1.5197221502899976</v>
      </c>
      <c r="AG686" s="38">
        <f t="shared" si="47"/>
        <v>5.4308207849904382E-4</v>
      </c>
      <c r="AH686" s="32">
        <f t="shared" si="48"/>
        <v>76.97286394226478</v>
      </c>
      <c r="AI686" s="33">
        <f t="shared" si="49"/>
        <v>4.1802582937789261E-2</v>
      </c>
      <c r="AJ686" s="34">
        <f t="shared" si="50"/>
        <v>4.262677156601823E-3</v>
      </c>
      <c r="AK686" s="35" t="s">
        <v>920</v>
      </c>
      <c r="AL686" s="32">
        <v>0.15079644736800002</v>
      </c>
      <c r="AM686" s="32">
        <v>1.5197221502899976</v>
      </c>
      <c r="AN686" s="36">
        <v>0.23</v>
      </c>
    </row>
    <row r="687" spans="27:40" x14ac:dyDescent="0.25">
      <c r="AA687" s="29">
        <v>684</v>
      </c>
      <c r="AB687" s="30" t="s">
        <v>776</v>
      </c>
      <c r="AC687" s="29" t="s">
        <v>157</v>
      </c>
      <c r="AD687" s="30" t="s">
        <v>28</v>
      </c>
      <c r="AE687" s="31">
        <v>3.5735616434583872E-4</v>
      </c>
      <c r="AF687" s="12">
        <v>1.5197221502903375</v>
      </c>
      <c r="AG687" s="38">
        <f t="shared" si="47"/>
        <v>5.4308207849916525E-4</v>
      </c>
      <c r="AH687" s="32">
        <f t="shared" si="48"/>
        <v>76.97286394226478</v>
      </c>
      <c r="AI687" s="33">
        <f t="shared" si="49"/>
        <v>4.1802582937798607E-2</v>
      </c>
      <c r="AJ687" s="34">
        <f t="shared" si="50"/>
        <v>4.2626771566027753E-3</v>
      </c>
      <c r="AK687" s="35" t="s">
        <v>920</v>
      </c>
      <c r="AL687" s="32">
        <v>0.15079644736800002</v>
      </c>
      <c r="AM687" s="32">
        <v>1.5197221502903375</v>
      </c>
      <c r="AN687" s="36">
        <v>0.23</v>
      </c>
    </row>
    <row r="688" spans="27:40" x14ac:dyDescent="0.25">
      <c r="AA688" s="29">
        <v>685</v>
      </c>
      <c r="AB688" s="30" t="s">
        <v>777</v>
      </c>
      <c r="AC688" s="29" t="s">
        <v>157</v>
      </c>
      <c r="AD688" s="30" t="s">
        <v>28</v>
      </c>
      <c r="AE688" s="31">
        <v>3.5735616434583872E-4</v>
      </c>
      <c r="AF688" s="12">
        <v>1.5197221502884424</v>
      </c>
      <c r="AG688" s="38">
        <f t="shared" si="47"/>
        <v>5.4308207849848805E-4</v>
      </c>
      <c r="AH688" s="32">
        <f t="shared" si="48"/>
        <v>76.97286394226478</v>
      </c>
      <c r="AI688" s="33">
        <f t="shared" si="49"/>
        <v>4.1802582937746482E-2</v>
      </c>
      <c r="AJ688" s="34">
        <f t="shared" si="50"/>
        <v>4.2626771565974601E-3</v>
      </c>
      <c r="AK688" s="35" t="s">
        <v>920</v>
      </c>
      <c r="AL688" s="32">
        <v>0.15079644736800002</v>
      </c>
      <c r="AM688" s="32">
        <v>1.5197221502884424</v>
      </c>
      <c r="AN688" s="36">
        <v>0.23</v>
      </c>
    </row>
    <row r="689" spans="27:40" x14ac:dyDescent="0.25">
      <c r="AA689" s="29">
        <v>686</v>
      </c>
      <c r="AB689" s="30" t="s">
        <v>778</v>
      </c>
      <c r="AC689" s="29" t="s">
        <v>153</v>
      </c>
      <c r="AD689" s="30" t="s">
        <v>28</v>
      </c>
      <c r="AE689" s="31">
        <v>8.2938046054770545E-4</v>
      </c>
      <c r="AF689" s="12">
        <v>1.3095768087848991</v>
      </c>
      <c r="AG689" s="38">
        <f t="shared" si="47"/>
        <v>1.0861374167926141E-3</v>
      </c>
      <c r="AH689" s="32">
        <f t="shared" si="48"/>
        <v>76.97286394226478</v>
      </c>
      <c r="AI689" s="33">
        <f t="shared" si="49"/>
        <v>8.3603107605380825E-2</v>
      </c>
      <c r="AJ689" s="34">
        <f t="shared" si="50"/>
        <v>8.5251444280545173E-3</v>
      </c>
      <c r="AK689" s="35" t="s">
        <v>920</v>
      </c>
      <c r="AL689" s="32">
        <v>0.21991148574500002</v>
      </c>
      <c r="AM689" s="32">
        <v>1.3095768087848991</v>
      </c>
      <c r="AN689" s="36">
        <v>0.28999999999999998</v>
      </c>
    </row>
    <row r="690" spans="27:40" x14ac:dyDescent="0.25">
      <c r="AA690" s="29">
        <v>687</v>
      </c>
      <c r="AB690" s="30" t="s">
        <v>779</v>
      </c>
      <c r="AC690" s="29" t="s">
        <v>153</v>
      </c>
      <c r="AD690" s="30" t="s">
        <v>28</v>
      </c>
      <c r="AE690" s="31">
        <v>8.2938046054770545E-4</v>
      </c>
      <c r="AF690" s="12">
        <v>1.7844687230982914</v>
      </c>
      <c r="AG690" s="38">
        <f t="shared" si="47"/>
        <v>1.4800034913962368E-3</v>
      </c>
      <c r="AH690" s="32">
        <f t="shared" si="48"/>
        <v>76.97286394226478</v>
      </c>
      <c r="AI690" s="33">
        <f t="shared" si="49"/>
        <v>0.11392010737731938</v>
      </c>
      <c r="AJ690" s="34">
        <f t="shared" si="50"/>
        <v>1.1616618047683906E-2</v>
      </c>
      <c r="AK690" s="35" t="s">
        <v>920</v>
      </c>
      <c r="AL690" s="32">
        <v>0.21991148574500002</v>
      </c>
      <c r="AM690" s="32">
        <v>1.7844687230982914</v>
      </c>
      <c r="AN690" s="36">
        <v>0.39</v>
      </c>
    </row>
    <row r="691" spans="27:40" x14ac:dyDescent="0.25">
      <c r="AA691" s="29">
        <v>688</v>
      </c>
      <c r="AB691" s="30" t="s">
        <v>780</v>
      </c>
      <c r="AC691" s="29" t="s">
        <v>154</v>
      </c>
      <c r="AD691" s="30" t="s">
        <v>28</v>
      </c>
      <c r="AE691" s="31">
        <v>2.8902652413026117E-4</v>
      </c>
      <c r="AF691" s="12">
        <v>1</v>
      </c>
      <c r="AG691" s="38">
        <f t="shared" si="47"/>
        <v>2.8902652413026117E-4</v>
      </c>
      <c r="AH691" s="32">
        <f t="shared" si="48"/>
        <v>76.97286394226478</v>
      </c>
      <c r="AI691" s="33">
        <f t="shared" si="49"/>
        <v>2.2247199317584301E-2</v>
      </c>
      <c r="AJ691" s="34">
        <f t="shared" si="50"/>
        <v>2.2685829837492213E-3</v>
      </c>
      <c r="AK691" s="35" t="s">
        <v>920</v>
      </c>
      <c r="AL691" s="32">
        <v>0.15079644736800002</v>
      </c>
      <c r="AM691" s="32">
        <v>1</v>
      </c>
      <c r="AN691" s="36">
        <v>0.15</v>
      </c>
    </row>
    <row r="692" spans="27:40" x14ac:dyDescent="0.25">
      <c r="AA692" s="29">
        <v>689</v>
      </c>
      <c r="AB692" s="30" t="s">
        <v>781</v>
      </c>
      <c r="AC692" s="29" t="s">
        <v>154</v>
      </c>
      <c r="AD692" s="30" t="s">
        <v>28</v>
      </c>
      <c r="AE692" s="31">
        <v>2.8902652413026117E-4</v>
      </c>
      <c r="AF692" s="12">
        <v>1</v>
      </c>
      <c r="AG692" s="38">
        <f t="shared" si="47"/>
        <v>2.8902652413026117E-4</v>
      </c>
      <c r="AH692" s="32">
        <f t="shared" si="48"/>
        <v>76.97286394226478</v>
      </c>
      <c r="AI692" s="33">
        <f t="shared" si="49"/>
        <v>2.2247199317584301E-2</v>
      </c>
      <c r="AJ692" s="34">
        <f t="shared" si="50"/>
        <v>2.2685829837492213E-3</v>
      </c>
      <c r="AK692" s="35" t="s">
        <v>920</v>
      </c>
      <c r="AL692" s="32">
        <v>0.15079644736800002</v>
      </c>
      <c r="AM692" s="32">
        <v>1</v>
      </c>
      <c r="AN692" s="36">
        <v>0.15</v>
      </c>
    </row>
    <row r="693" spans="27:40" x14ac:dyDescent="0.25">
      <c r="AA693" s="29">
        <v>690</v>
      </c>
      <c r="AB693" s="30" t="s">
        <v>782</v>
      </c>
      <c r="AC693" s="29" t="s">
        <v>154</v>
      </c>
      <c r="AD693" s="30" t="s">
        <v>28</v>
      </c>
      <c r="AE693" s="31">
        <v>2.8902652413026117E-4</v>
      </c>
      <c r="AF693" s="12">
        <v>1</v>
      </c>
      <c r="AG693" s="38">
        <f t="shared" si="47"/>
        <v>2.8902652413026117E-4</v>
      </c>
      <c r="AH693" s="32">
        <f t="shared" si="48"/>
        <v>76.97286394226478</v>
      </c>
      <c r="AI693" s="33">
        <f t="shared" si="49"/>
        <v>2.2247199317584301E-2</v>
      </c>
      <c r="AJ693" s="34">
        <f t="shared" si="50"/>
        <v>2.2685829837492213E-3</v>
      </c>
      <c r="AK693" s="35" t="s">
        <v>920</v>
      </c>
      <c r="AL693" s="32">
        <v>0.15079644736800002</v>
      </c>
      <c r="AM693" s="32">
        <v>1</v>
      </c>
      <c r="AN693" s="36">
        <v>0.15</v>
      </c>
    </row>
    <row r="694" spans="27:40" x14ac:dyDescent="0.25">
      <c r="AA694" s="29">
        <v>691</v>
      </c>
      <c r="AB694" s="30" t="s">
        <v>783</v>
      </c>
      <c r="AC694" s="29" t="s">
        <v>154</v>
      </c>
      <c r="AD694" s="30" t="s">
        <v>28</v>
      </c>
      <c r="AE694" s="31">
        <v>2.8902652413026117E-4</v>
      </c>
      <c r="AF694" s="12">
        <v>1</v>
      </c>
      <c r="AG694" s="38">
        <f t="shared" si="47"/>
        <v>2.8902652413026117E-4</v>
      </c>
      <c r="AH694" s="32">
        <f t="shared" si="48"/>
        <v>76.97286394226478</v>
      </c>
      <c r="AI694" s="33">
        <f t="shared" si="49"/>
        <v>2.2247199317584301E-2</v>
      </c>
      <c r="AJ694" s="34">
        <f t="shared" si="50"/>
        <v>2.2685829837492213E-3</v>
      </c>
      <c r="AK694" s="35" t="s">
        <v>920</v>
      </c>
      <c r="AL694" s="32">
        <v>0.15079644736800002</v>
      </c>
      <c r="AM694" s="32">
        <v>1</v>
      </c>
      <c r="AN694" s="36">
        <v>0.15</v>
      </c>
    </row>
    <row r="695" spans="27:40" x14ac:dyDescent="0.25">
      <c r="AA695" s="29">
        <v>692</v>
      </c>
      <c r="AB695" s="30" t="s">
        <v>784</v>
      </c>
      <c r="AC695" s="29" t="s">
        <v>154</v>
      </c>
      <c r="AD695" s="30" t="s">
        <v>28</v>
      </c>
      <c r="AE695" s="31">
        <v>2.8902652413026117E-4</v>
      </c>
      <c r="AF695" s="12">
        <v>1</v>
      </c>
      <c r="AG695" s="38">
        <f t="shared" si="47"/>
        <v>2.8902652413026117E-4</v>
      </c>
      <c r="AH695" s="32">
        <f t="shared" si="48"/>
        <v>76.97286394226478</v>
      </c>
      <c r="AI695" s="33">
        <f t="shared" si="49"/>
        <v>2.2247199317584301E-2</v>
      </c>
      <c r="AJ695" s="34">
        <f t="shared" si="50"/>
        <v>2.2685829837492213E-3</v>
      </c>
      <c r="AK695" s="35" t="s">
        <v>920</v>
      </c>
      <c r="AL695" s="32">
        <v>0.15079644736800002</v>
      </c>
      <c r="AM695" s="32">
        <v>1</v>
      </c>
      <c r="AN695" s="36">
        <v>0.15</v>
      </c>
    </row>
    <row r="696" spans="27:40" x14ac:dyDescent="0.25">
      <c r="AA696" s="29">
        <v>693</v>
      </c>
      <c r="AB696" s="30" t="s">
        <v>785</v>
      </c>
      <c r="AC696" s="29" t="s">
        <v>154</v>
      </c>
      <c r="AD696" s="30" t="s">
        <v>28</v>
      </c>
      <c r="AE696" s="31">
        <v>2.8902652413026117E-4</v>
      </c>
      <c r="AF696" s="12">
        <v>1</v>
      </c>
      <c r="AG696" s="38">
        <f t="shared" si="47"/>
        <v>2.8902652413026117E-4</v>
      </c>
      <c r="AH696" s="32">
        <f t="shared" si="48"/>
        <v>76.97286394226478</v>
      </c>
      <c r="AI696" s="33">
        <f t="shared" si="49"/>
        <v>2.2247199317584301E-2</v>
      </c>
      <c r="AJ696" s="34">
        <f t="shared" si="50"/>
        <v>2.2685829837492213E-3</v>
      </c>
      <c r="AK696" s="35" t="s">
        <v>920</v>
      </c>
      <c r="AL696" s="32">
        <v>0.15079644736800002</v>
      </c>
      <c r="AM696" s="32">
        <v>1</v>
      </c>
      <c r="AN696" s="36">
        <v>0.15</v>
      </c>
    </row>
    <row r="697" spans="27:40" x14ac:dyDescent="0.25">
      <c r="AA697" s="29">
        <v>694</v>
      </c>
      <c r="AB697" s="30" t="s">
        <v>786</v>
      </c>
      <c r="AC697" s="29" t="s">
        <v>156</v>
      </c>
      <c r="AD697" s="30" t="s">
        <v>28</v>
      </c>
      <c r="AE697" s="31">
        <v>1.3823007675795071E-3</v>
      </c>
      <c r="AF697" s="12">
        <v>2.0807051797455443</v>
      </c>
      <c r="AG697" s="38">
        <f t="shared" si="47"/>
        <v>2.8761603670689221E-3</v>
      </c>
      <c r="AH697" s="32">
        <f t="shared" si="48"/>
        <v>76.97286394226478</v>
      </c>
      <c r="AI697" s="33">
        <f t="shared" si="49"/>
        <v>0.22138630061053047</v>
      </c>
      <c r="AJ697" s="34">
        <f t="shared" si="50"/>
        <v>2.2575120006376334E-2</v>
      </c>
      <c r="AK697" s="35" t="s">
        <v>920</v>
      </c>
      <c r="AL697" s="32">
        <v>0.35814156249900003</v>
      </c>
      <c r="AM697" s="32">
        <v>2.0807051797455443</v>
      </c>
      <c r="AN697" s="36">
        <v>0.75</v>
      </c>
    </row>
    <row r="698" spans="27:40" x14ac:dyDescent="0.25">
      <c r="AA698" s="29">
        <v>695</v>
      </c>
      <c r="AB698" s="30" t="s">
        <v>787</v>
      </c>
      <c r="AC698" s="29" t="s">
        <v>157</v>
      </c>
      <c r="AD698" s="30" t="s">
        <v>28</v>
      </c>
      <c r="AE698" s="31">
        <v>3.5735616434583872E-4</v>
      </c>
      <c r="AF698" s="12">
        <v>1.807442602120457</v>
      </c>
      <c r="AG698" s="38">
        <f t="shared" si="47"/>
        <v>6.4590075556902838E-4</v>
      </c>
      <c r="AH698" s="32">
        <f t="shared" si="48"/>
        <v>76.97286394226478</v>
      </c>
      <c r="AI698" s="33">
        <f t="shared" si="49"/>
        <v>4.9716830978620841E-2</v>
      </c>
      <c r="AJ698" s="34">
        <f t="shared" si="50"/>
        <v>5.0697058606782993E-3</v>
      </c>
      <c r="AK698" s="35" t="s">
        <v>920</v>
      </c>
      <c r="AL698" s="32">
        <v>0.15079644736800002</v>
      </c>
      <c r="AM698" s="32">
        <v>1.807442602120457</v>
      </c>
      <c r="AN698" s="36">
        <v>0.27</v>
      </c>
    </row>
    <row r="699" spans="27:40" x14ac:dyDescent="0.25">
      <c r="AA699" s="29">
        <v>696</v>
      </c>
      <c r="AB699" s="30" t="s">
        <v>788</v>
      </c>
      <c r="AC699" s="29" t="s">
        <v>157</v>
      </c>
      <c r="AD699" s="30" t="s">
        <v>28</v>
      </c>
      <c r="AE699" s="31">
        <v>3.5735616434583872E-4</v>
      </c>
      <c r="AF699" s="12">
        <v>1.2951548880002688</v>
      </c>
      <c r="AG699" s="38">
        <f t="shared" si="47"/>
        <v>4.6283158300954041E-4</v>
      </c>
      <c r="AH699" s="32">
        <f t="shared" si="48"/>
        <v>76.97286394226478</v>
      </c>
      <c r="AI699" s="33">
        <f t="shared" si="49"/>
        <v>3.5625472467176379E-2</v>
      </c>
      <c r="AJ699" s="34">
        <f t="shared" si="50"/>
        <v>3.6327871869778548E-3</v>
      </c>
      <c r="AK699" s="35" t="s">
        <v>920</v>
      </c>
      <c r="AL699" s="32">
        <v>0.15079644736800002</v>
      </c>
      <c r="AM699" s="32">
        <v>1.2951548880002688</v>
      </c>
      <c r="AN699" s="36">
        <v>0.2</v>
      </c>
    </row>
    <row r="700" spans="27:40" x14ac:dyDescent="0.25">
      <c r="AA700" s="29">
        <v>697</v>
      </c>
      <c r="AB700" s="30" t="s">
        <v>789</v>
      </c>
      <c r="AC700" s="29" t="s">
        <v>150</v>
      </c>
      <c r="AD700" s="30" t="s">
        <v>9</v>
      </c>
      <c r="AE700" s="31">
        <v>7.8799999999999999E-3</v>
      </c>
      <c r="AF700" s="12">
        <v>8.8719684868764439</v>
      </c>
      <c r="AG700" s="38">
        <f t="shared" si="47"/>
        <v>6.9911111676586382E-2</v>
      </c>
      <c r="AH700" s="32">
        <f t="shared" si="48"/>
        <v>76.97286394226478</v>
      </c>
      <c r="AI700" s="33">
        <f t="shared" si="49"/>
        <v>5.3812584871343621</v>
      </c>
      <c r="AJ700" s="34">
        <f t="shared" si="50"/>
        <v>0.54873565255559875</v>
      </c>
      <c r="AK700" s="35" t="s">
        <v>33</v>
      </c>
      <c r="AL700" s="32">
        <v>1.988</v>
      </c>
      <c r="AM700" s="32">
        <v>8.8719684868764439</v>
      </c>
      <c r="AN700" s="36">
        <v>17.64</v>
      </c>
    </row>
    <row r="701" spans="27:40" x14ac:dyDescent="0.25">
      <c r="AA701" s="29">
        <v>698</v>
      </c>
      <c r="AB701" s="30" t="s">
        <v>790</v>
      </c>
      <c r="AC701" s="29" t="s">
        <v>156</v>
      </c>
      <c r="AD701" s="30" t="s">
        <v>28</v>
      </c>
      <c r="AE701" s="31">
        <v>1.3823007675795071E-3</v>
      </c>
      <c r="AF701" s="12">
        <v>2.0807051797455443</v>
      </c>
      <c r="AG701" s="38">
        <f t="shared" si="47"/>
        <v>2.8761603670689221E-3</v>
      </c>
      <c r="AH701" s="32">
        <f t="shared" si="48"/>
        <v>76.97286394226478</v>
      </c>
      <c r="AI701" s="33">
        <f t="shared" si="49"/>
        <v>0.22138630061053047</v>
      </c>
      <c r="AJ701" s="34">
        <f t="shared" si="50"/>
        <v>2.2575120006376334E-2</v>
      </c>
      <c r="AK701" s="35" t="s">
        <v>920</v>
      </c>
      <c r="AL701" s="32">
        <v>0.35814156249900003</v>
      </c>
      <c r="AM701" s="32">
        <v>2.0807051797455443</v>
      </c>
      <c r="AN701" s="36">
        <v>0.75</v>
      </c>
    </row>
    <row r="702" spans="27:40" x14ac:dyDescent="0.25">
      <c r="AA702" s="29">
        <v>699</v>
      </c>
      <c r="AB702" s="30" t="s">
        <v>791</v>
      </c>
      <c r="AC702" s="29" t="s">
        <v>157</v>
      </c>
      <c r="AD702" s="30" t="s">
        <v>28</v>
      </c>
      <c r="AE702" s="31">
        <v>3.5735616434583872E-4</v>
      </c>
      <c r="AF702" s="12">
        <v>1.2951548880081689</v>
      </c>
      <c r="AG702" s="38">
        <f t="shared" si="47"/>
        <v>4.6283158301236357E-4</v>
      </c>
      <c r="AH702" s="32">
        <f t="shared" si="48"/>
        <v>76.97286394226478</v>
      </c>
      <c r="AI702" s="33">
        <f t="shared" si="49"/>
        <v>3.5625472467393685E-2</v>
      </c>
      <c r="AJ702" s="34">
        <f t="shared" si="50"/>
        <v>3.6327871870000137E-3</v>
      </c>
      <c r="AK702" s="35" t="s">
        <v>920</v>
      </c>
      <c r="AL702" s="32">
        <v>0.15079644736800002</v>
      </c>
      <c r="AM702" s="32">
        <v>1.2951548880081689</v>
      </c>
      <c r="AN702" s="36">
        <v>0.2</v>
      </c>
    </row>
    <row r="703" spans="27:40" x14ac:dyDescent="0.25">
      <c r="AA703" s="29">
        <v>700</v>
      </c>
      <c r="AB703" s="30" t="s">
        <v>792</v>
      </c>
      <c r="AC703" s="29" t="s">
        <v>157</v>
      </c>
      <c r="AD703" s="30" t="s">
        <v>28</v>
      </c>
      <c r="AE703" s="31">
        <v>3.5735616434583872E-4</v>
      </c>
      <c r="AF703" s="12">
        <v>1.8074426021261181</v>
      </c>
      <c r="AG703" s="38">
        <f t="shared" si="47"/>
        <v>6.459007555710514E-4</v>
      </c>
      <c r="AH703" s="32">
        <f t="shared" si="48"/>
        <v>76.97286394226478</v>
      </c>
      <c r="AI703" s="33">
        <f t="shared" si="49"/>
        <v>4.9716830978776556E-2</v>
      </c>
      <c r="AJ703" s="34">
        <f t="shared" si="50"/>
        <v>5.0697058606941781E-3</v>
      </c>
      <c r="AK703" s="35" t="s">
        <v>920</v>
      </c>
      <c r="AL703" s="32">
        <v>0.15079644736800002</v>
      </c>
      <c r="AM703" s="32">
        <v>1.8074426021261181</v>
      </c>
      <c r="AN703" s="36">
        <v>0.27</v>
      </c>
    </row>
    <row r="704" spans="27:40" x14ac:dyDescent="0.25">
      <c r="AA704" s="29">
        <v>701</v>
      </c>
      <c r="AB704" s="30" t="s">
        <v>793</v>
      </c>
      <c r="AC704" s="29" t="s">
        <v>154</v>
      </c>
      <c r="AD704" s="30" t="s">
        <v>28</v>
      </c>
      <c r="AE704" s="31">
        <v>2.8902652413026117E-4</v>
      </c>
      <c r="AF704" s="12">
        <v>1</v>
      </c>
      <c r="AG704" s="38">
        <f t="shared" si="47"/>
        <v>2.8902652413026117E-4</v>
      </c>
      <c r="AH704" s="32">
        <f t="shared" si="48"/>
        <v>76.97286394226478</v>
      </c>
      <c r="AI704" s="33">
        <f t="shared" si="49"/>
        <v>2.2247199317584301E-2</v>
      </c>
      <c r="AJ704" s="34">
        <f t="shared" si="50"/>
        <v>2.2685829837492213E-3</v>
      </c>
      <c r="AK704" s="35" t="s">
        <v>920</v>
      </c>
      <c r="AL704" s="32">
        <v>0.15079644736800002</v>
      </c>
      <c r="AM704" s="32">
        <v>1</v>
      </c>
      <c r="AN704" s="36">
        <v>0.15</v>
      </c>
    </row>
    <row r="705" spans="27:40" x14ac:dyDescent="0.25">
      <c r="AA705" s="29">
        <v>702</v>
      </c>
      <c r="AB705" s="30" t="s">
        <v>794</v>
      </c>
      <c r="AC705" s="29" t="s">
        <v>154</v>
      </c>
      <c r="AD705" s="30" t="s">
        <v>28</v>
      </c>
      <c r="AE705" s="31">
        <v>2.8902652413026117E-4</v>
      </c>
      <c r="AF705" s="12">
        <v>1</v>
      </c>
      <c r="AG705" s="38">
        <f t="shared" si="47"/>
        <v>2.8902652413026117E-4</v>
      </c>
      <c r="AH705" s="32">
        <f t="shared" si="48"/>
        <v>76.97286394226478</v>
      </c>
      <c r="AI705" s="33">
        <f t="shared" si="49"/>
        <v>2.2247199317584301E-2</v>
      </c>
      <c r="AJ705" s="34">
        <f t="shared" si="50"/>
        <v>2.2685829837492213E-3</v>
      </c>
      <c r="AK705" s="35" t="s">
        <v>920</v>
      </c>
      <c r="AL705" s="32">
        <v>0.15079644736800002</v>
      </c>
      <c r="AM705" s="32">
        <v>1</v>
      </c>
      <c r="AN705" s="36">
        <v>0.15</v>
      </c>
    </row>
    <row r="706" spans="27:40" x14ac:dyDescent="0.25">
      <c r="AA706" s="29">
        <v>703</v>
      </c>
      <c r="AB706" s="30" t="s">
        <v>795</v>
      </c>
      <c r="AC706" s="29" t="s">
        <v>154</v>
      </c>
      <c r="AD706" s="30" t="s">
        <v>28</v>
      </c>
      <c r="AE706" s="31">
        <v>2.8902652413026117E-4</v>
      </c>
      <c r="AF706" s="12">
        <v>1</v>
      </c>
      <c r="AG706" s="38">
        <f t="shared" si="47"/>
        <v>2.8902652413026117E-4</v>
      </c>
      <c r="AH706" s="32">
        <f t="shared" si="48"/>
        <v>76.97286394226478</v>
      </c>
      <c r="AI706" s="33">
        <f t="shared" si="49"/>
        <v>2.2247199317584301E-2</v>
      </c>
      <c r="AJ706" s="34">
        <f t="shared" si="50"/>
        <v>2.2685829837492213E-3</v>
      </c>
      <c r="AK706" s="35" t="s">
        <v>920</v>
      </c>
      <c r="AL706" s="32">
        <v>0.15079644736800002</v>
      </c>
      <c r="AM706" s="32">
        <v>1</v>
      </c>
      <c r="AN706" s="36">
        <v>0.15</v>
      </c>
    </row>
    <row r="707" spans="27:40" x14ac:dyDescent="0.25">
      <c r="AA707" s="29">
        <v>704</v>
      </c>
      <c r="AB707" s="30" t="s">
        <v>796</v>
      </c>
      <c r="AC707" s="29" t="s">
        <v>154</v>
      </c>
      <c r="AD707" s="30" t="s">
        <v>28</v>
      </c>
      <c r="AE707" s="31">
        <v>2.8902652413026117E-4</v>
      </c>
      <c r="AF707" s="12">
        <v>1</v>
      </c>
      <c r="AG707" s="38">
        <f t="shared" si="47"/>
        <v>2.8902652413026117E-4</v>
      </c>
      <c r="AH707" s="32">
        <f t="shared" si="48"/>
        <v>76.97286394226478</v>
      </c>
      <c r="AI707" s="33">
        <f t="shared" si="49"/>
        <v>2.2247199317584301E-2</v>
      </c>
      <c r="AJ707" s="34">
        <f t="shared" si="50"/>
        <v>2.2685829837492213E-3</v>
      </c>
      <c r="AK707" s="35" t="s">
        <v>920</v>
      </c>
      <c r="AL707" s="32">
        <v>0.15079644736800002</v>
      </c>
      <c r="AM707" s="32">
        <v>1</v>
      </c>
      <c r="AN707" s="36">
        <v>0.15</v>
      </c>
    </row>
    <row r="708" spans="27:40" x14ac:dyDescent="0.25">
      <c r="AA708" s="29">
        <v>705</v>
      </c>
      <c r="AB708" s="30" t="s">
        <v>797</v>
      </c>
      <c r="AC708" s="29" t="s">
        <v>154</v>
      </c>
      <c r="AD708" s="30" t="s">
        <v>28</v>
      </c>
      <c r="AE708" s="31">
        <v>2.8902652413026117E-4</v>
      </c>
      <c r="AF708" s="12">
        <v>1</v>
      </c>
      <c r="AG708" s="38">
        <f t="shared" si="47"/>
        <v>2.8902652413026117E-4</v>
      </c>
      <c r="AH708" s="32">
        <f t="shared" si="48"/>
        <v>76.97286394226478</v>
      </c>
      <c r="AI708" s="33">
        <f t="shared" si="49"/>
        <v>2.2247199317584301E-2</v>
      </c>
      <c r="AJ708" s="34">
        <f t="shared" si="50"/>
        <v>2.2685829837492213E-3</v>
      </c>
      <c r="AK708" s="35" t="s">
        <v>920</v>
      </c>
      <c r="AL708" s="32">
        <v>0.15079644736800002</v>
      </c>
      <c r="AM708" s="32">
        <v>1</v>
      </c>
      <c r="AN708" s="36">
        <v>0.15</v>
      </c>
    </row>
    <row r="709" spans="27:40" x14ac:dyDescent="0.25">
      <c r="AA709" s="29">
        <v>706</v>
      </c>
      <c r="AB709" s="30" t="s">
        <v>798</v>
      </c>
      <c r="AC709" s="29" t="s">
        <v>154</v>
      </c>
      <c r="AD709" s="30" t="s">
        <v>28</v>
      </c>
      <c r="AE709" s="31">
        <v>2.8902652413026117E-4</v>
      </c>
      <c r="AF709" s="12">
        <v>1</v>
      </c>
      <c r="AG709" s="38">
        <f t="shared" ref="AG709:AG772" si="51">IF(AA709="","",AE709*AF709)</f>
        <v>2.8902652413026117E-4</v>
      </c>
      <c r="AH709" s="32">
        <f t="shared" ref="AH709:AH772" si="52">IF(AA709="","",IFERROR(VLOOKUP(AD709,$A$4:$E$20,3,FALSE),VLOOKUP(AD709,$A$25:$E$30,3,FALSE)))</f>
        <v>76.97286394226478</v>
      </c>
      <c r="AI709" s="33">
        <f t="shared" ref="AI709:AI772" si="53">IF(AA709="","",AG709*AH709)</f>
        <v>2.2247199317584301E-2</v>
      </c>
      <c r="AJ709" s="34">
        <f t="shared" ref="AJ709:AJ772" si="54">IF(AA709="","",AI709/9.80665)</f>
        <v>2.2685829837492213E-3</v>
      </c>
      <c r="AK709" s="35" t="s">
        <v>920</v>
      </c>
      <c r="AL709" s="32">
        <v>0.15079644736800002</v>
      </c>
      <c r="AM709" s="32">
        <v>1</v>
      </c>
      <c r="AN709" s="36">
        <v>0.15</v>
      </c>
    </row>
    <row r="710" spans="27:40" x14ac:dyDescent="0.25">
      <c r="AA710" s="29">
        <v>707</v>
      </c>
      <c r="AB710" s="30" t="s">
        <v>799</v>
      </c>
      <c r="AC710" s="29" t="s">
        <v>154</v>
      </c>
      <c r="AD710" s="30" t="s">
        <v>28</v>
      </c>
      <c r="AE710" s="31">
        <v>2.8902652413026117E-4</v>
      </c>
      <c r="AF710" s="12">
        <v>1</v>
      </c>
      <c r="AG710" s="38">
        <f t="shared" si="51"/>
        <v>2.8902652413026117E-4</v>
      </c>
      <c r="AH710" s="32">
        <f t="shared" si="52"/>
        <v>76.97286394226478</v>
      </c>
      <c r="AI710" s="33">
        <f t="shared" si="53"/>
        <v>2.2247199317584301E-2</v>
      </c>
      <c r="AJ710" s="34">
        <f t="shared" si="54"/>
        <v>2.2685829837492213E-3</v>
      </c>
      <c r="AK710" s="35" t="s">
        <v>920</v>
      </c>
      <c r="AL710" s="32">
        <v>0.15079644736800002</v>
      </c>
      <c r="AM710" s="32">
        <v>1</v>
      </c>
      <c r="AN710" s="36">
        <v>0.15</v>
      </c>
    </row>
    <row r="711" spans="27:40" x14ac:dyDescent="0.25">
      <c r="AA711" s="29">
        <v>708</v>
      </c>
      <c r="AB711" s="30" t="s">
        <v>800</v>
      </c>
      <c r="AC711" s="29" t="s">
        <v>154</v>
      </c>
      <c r="AD711" s="30" t="s">
        <v>28</v>
      </c>
      <c r="AE711" s="31">
        <v>2.8902652413026117E-4</v>
      </c>
      <c r="AF711" s="12">
        <v>1</v>
      </c>
      <c r="AG711" s="38">
        <f t="shared" si="51"/>
        <v>2.8902652413026117E-4</v>
      </c>
      <c r="AH711" s="32">
        <f t="shared" si="52"/>
        <v>76.97286394226478</v>
      </c>
      <c r="AI711" s="33">
        <f t="shared" si="53"/>
        <v>2.2247199317584301E-2</v>
      </c>
      <c r="AJ711" s="34">
        <f t="shared" si="54"/>
        <v>2.2685829837492213E-3</v>
      </c>
      <c r="AK711" s="35" t="s">
        <v>920</v>
      </c>
      <c r="AL711" s="32">
        <v>0.15079644736800002</v>
      </c>
      <c r="AM711" s="32">
        <v>1</v>
      </c>
      <c r="AN711" s="36">
        <v>0.15</v>
      </c>
    </row>
    <row r="712" spans="27:40" x14ac:dyDescent="0.25">
      <c r="AA712" s="29">
        <v>709</v>
      </c>
      <c r="AB712" s="30" t="s">
        <v>801</v>
      </c>
      <c r="AC712" s="29" t="s">
        <v>154</v>
      </c>
      <c r="AD712" s="30" t="s">
        <v>28</v>
      </c>
      <c r="AE712" s="31">
        <v>2.8902652413026117E-4</v>
      </c>
      <c r="AF712" s="12">
        <v>1</v>
      </c>
      <c r="AG712" s="38">
        <f t="shared" si="51"/>
        <v>2.8902652413026117E-4</v>
      </c>
      <c r="AH712" s="32">
        <f t="shared" si="52"/>
        <v>76.97286394226478</v>
      </c>
      <c r="AI712" s="33">
        <f t="shared" si="53"/>
        <v>2.2247199317584301E-2</v>
      </c>
      <c r="AJ712" s="34">
        <f t="shared" si="54"/>
        <v>2.2685829837492213E-3</v>
      </c>
      <c r="AK712" s="35" t="s">
        <v>920</v>
      </c>
      <c r="AL712" s="32">
        <v>0.15079644736800002</v>
      </c>
      <c r="AM712" s="32">
        <v>1</v>
      </c>
      <c r="AN712" s="36">
        <v>0.15</v>
      </c>
    </row>
    <row r="713" spans="27:40" x14ac:dyDescent="0.25">
      <c r="AA713" s="29">
        <v>710</v>
      </c>
      <c r="AB713" s="30" t="s">
        <v>802</v>
      </c>
      <c r="AC713" s="29" t="s">
        <v>154</v>
      </c>
      <c r="AD713" s="30" t="s">
        <v>28</v>
      </c>
      <c r="AE713" s="31">
        <v>2.8902652413026117E-4</v>
      </c>
      <c r="AF713" s="12">
        <v>1</v>
      </c>
      <c r="AG713" s="38">
        <f t="shared" si="51"/>
        <v>2.8902652413026117E-4</v>
      </c>
      <c r="AH713" s="32">
        <f t="shared" si="52"/>
        <v>76.97286394226478</v>
      </c>
      <c r="AI713" s="33">
        <f t="shared" si="53"/>
        <v>2.2247199317584301E-2</v>
      </c>
      <c r="AJ713" s="34">
        <f t="shared" si="54"/>
        <v>2.2685829837492213E-3</v>
      </c>
      <c r="AK713" s="35" t="s">
        <v>920</v>
      </c>
      <c r="AL713" s="32">
        <v>0.15079644736800002</v>
      </c>
      <c r="AM713" s="32">
        <v>1</v>
      </c>
      <c r="AN713" s="36">
        <v>0.15</v>
      </c>
    </row>
    <row r="714" spans="27:40" x14ac:dyDescent="0.25">
      <c r="AA714" s="29">
        <v>711</v>
      </c>
      <c r="AB714" s="30" t="s">
        <v>803</v>
      </c>
      <c r="AC714" s="29" t="s">
        <v>154</v>
      </c>
      <c r="AD714" s="30" t="s">
        <v>28</v>
      </c>
      <c r="AE714" s="31">
        <v>2.8902652413026117E-4</v>
      </c>
      <c r="AF714" s="12">
        <v>1</v>
      </c>
      <c r="AG714" s="38">
        <f t="shared" si="51"/>
        <v>2.8902652413026117E-4</v>
      </c>
      <c r="AH714" s="32">
        <f t="shared" si="52"/>
        <v>76.97286394226478</v>
      </c>
      <c r="AI714" s="33">
        <f t="shared" si="53"/>
        <v>2.2247199317584301E-2</v>
      </c>
      <c r="AJ714" s="34">
        <f t="shared" si="54"/>
        <v>2.2685829837492213E-3</v>
      </c>
      <c r="AK714" s="35" t="s">
        <v>920</v>
      </c>
      <c r="AL714" s="32">
        <v>0.15079644736800002</v>
      </c>
      <c r="AM714" s="32">
        <v>1</v>
      </c>
      <c r="AN714" s="36">
        <v>0.15</v>
      </c>
    </row>
    <row r="715" spans="27:40" x14ac:dyDescent="0.25">
      <c r="AA715" s="29">
        <v>712</v>
      </c>
      <c r="AB715" s="30" t="s">
        <v>804</v>
      </c>
      <c r="AC715" s="29" t="s">
        <v>154</v>
      </c>
      <c r="AD715" s="30" t="s">
        <v>28</v>
      </c>
      <c r="AE715" s="31">
        <v>2.8902652413026117E-4</v>
      </c>
      <c r="AF715" s="12">
        <v>1</v>
      </c>
      <c r="AG715" s="38">
        <f t="shared" si="51"/>
        <v>2.8902652413026117E-4</v>
      </c>
      <c r="AH715" s="32">
        <f t="shared" si="52"/>
        <v>76.97286394226478</v>
      </c>
      <c r="AI715" s="33">
        <f t="shared" si="53"/>
        <v>2.2247199317584301E-2</v>
      </c>
      <c r="AJ715" s="34">
        <f t="shared" si="54"/>
        <v>2.2685829837492213E-3</v>
      </c>
      <c r="AK715" s="35" t="s">
        <v>920</v>
      </c>
      <c r="AL715" s="32">
        <v>0.15079644736800002</v>
      </c>
      <c r="AM715" s="32">
        <v>1</v>
      </c>
      <c r="AN715" s="36">
        <v>0.15</v>
      </c>
    </row>
    <row r="716" spans="27:40" x14ac:dyDescent="0.25">
      <c r="AA716" s="29">
        <v>713</v>
      </c>
      <c r="AB716" s="30" t="s">
        <v>805</v>
      </c>
      <c r="AC716" s="29" t="s">
        <v>154</v>
      </c>
      <c r="AD716" s="30" t="s">
        <v>28</v>
      </c>
      <c r="AE716" s="31">
        <v>2.8902652413026117E-4</v>
      </c>
      <c r="AF716" s="12">
        <v>1</v>
      </c>
      <c r="AG716" s="38">
        <f t="shared" si="51"/>
        <v>2.8902652413026117E-4</v>
      </c>
      <c r="AH716" s="32">
        <f t="shared" si="52"/>
        <v>76.97286394226478</v>
      </c>
      <c r="AI716" s="33">
        <f t="shared" si="53"/>
        <v>2.2247199317584301E-2</v>
      </c>
      <c r="AJ716" s="34">
        <f t="shared" si="54"/>
        <v>2.2685829837492213E-3</v>
      </c>
      <c r="AK716" s="35" t="s">
        <v>920</v>
      </c>
      <c r="AL716" s="32">
        <v>0.15079644736800002</v>
      </c>
      <c r="AM716" s="32">
        <v>1</v>
      </c>
      <c r="AN716" s="36">
        <v>0.15</v>
      </c>
    </row>
    <row r="717" spans="27:40" x14ac:dyDescent="0.25">
      <c r="AA717" s="29">
        <v>714</v>
      </c>
      <c r="AB717" s="30" t="s">
        <v>806</v>
      </c>
      <c r="AC717" s="29" t="s">
        <v>154</v>
      </c>
      <c r="AD717" s="30" t="s">
        <v>28</v>
      </c>
      <c r="AE717" s="31">
        <v>2.8902652413026117E-4</v>
      </c>
      <c r="AF717" s="12">
        <v>1</v>
      </c>
      <c r="AG717" s="38">
        <f t="shared" si="51"/>
        <v>2.8902652413026117E-4</v>
      </c>
      <c r="AH717" s="32">
        <f t="shared" si="52"/>
        <v>76.97286394226478</v>
      </c>
      <c r="AI717" s="33">
        <f t="shared" si="53"/>
        <v>2.2247199317584301E-2</v>
      </c>
      <c r="AJ717" s="34">
        <f t="shared" si="54"/>
        <v>2.2685829837492213E-3</v>
      </c>
      <c r="AK717" s="35" t="s">
        <v>920</v>
      </c>
      <c r="AL717" s="32">
        <v>0.15079644736800002</v>
      </c>
      <c r="AM717" s="32">
        <v>1</v>
      </c>
      <c r="AN717" s="36">
        <v>0.15</v>
      </c>
    </row>
    <row r="718" spans="27:40" x14ac:dyDescent="0.25">
      <c r="AA718" s="29">
        <v>715</v>
      </c>
      <c r="AB718" s="30" t="s">
        <v>807</v>
      </c>
      <c r="AC718" s="29" t="s">
        <v>153</v>
      </c>
      <c r="AD718" s="30" t="s">
        <v>28</v>
      </c>
      <c r="AE718" s="31">
        <v>8.2938046054770545E-4</v>
      </c>
      <c r="AF718" s="12">
        <v>1.5197221502914207</v>
      </c>
      <c r="AG718" s="38">
        <f t="shared" si="51"/>
        <v>1.2604278569132478E-3</v>
      </c>
      <c r="AH718" s="32">
        <f t="shared" si="52"/>
        <v>76.97286394226478</v>
      </c>
      <c r="AI718" s="33">
        <f t="shared" si="53"/>
        <v>9.7018741939223802E-2</v>
      </c>
      <c r="AJ718" s="34">
        <f t="shared" si="54"/>
        <v>9.8931584118148209E-3</v>
      </c>
      <c r="AK718" s="35" t="s">
        <v>920</v>
      </c>
      <c r="AL718" s="32">
        <v>0.21991148574500002</v>
      </c>
      <c r="AM718" s="32">
        <v>1.5197221502914207</v>
      </c>
      <c r="AN718" s="36">
        <v>0.33</v>
      </c>
    </row>
    <row r="719" spans="27:40" x14ac:dyDescent="0.25">
      <c r="AA719" s="29">
        <v>716</v>
      </c>
      <c r="AB719" s="30" t="s">
        <v>808</v>
      </c>
      <c r="AC719" s="29" t="s">
        <v>153</v>
      </c>
      <c r="AD719" s="30" t="s">
        <v>28</v>
      </c>
      <c r="AE719" s="31">
        <v>8.2938046054770545E-4</v>
      </c>
      <c r="AF719" s="12">
        <v>1.5197221502914207</v>
      </c>
      <c r="AG719" s="38">
        <f t="shared" si="51"/>
        <v>1.2604278569132478E-3</v>
      </c>
      <c r="AH719" s="32">
        <f t="shared" si="52"/>
        <v>76.97286394226478</v>
      </c>
      <c r="AI719" s="33">
        <f t="shared" si="53"/>
        <v>9.7018741939223802E-2</v>
      </c>
      <c r="AJ719" s="34">
        <f t="shared" si="54"/>
        <v>9.8931584118148209E-3</v>
      </c>
      <c r="AK719" s="35" t="s">
        <v>920</v>
      </c>
      <c r="AL719" s="32">
        <v>0.21991148574500002</v>
      </c>
      <c r="AM719" s="32">
        <v>1.5197221502914207</v>
      </c>
      <c r="AN719" s="36">
        <v>0.33</v>
      </c>
    </row>
    <row r="720" spans="27:40" x14ac:dyDescent="0.25">
      <c r="AA720" s="29">
        <v>717</v>
      </c>
      <c r="AB720" s="30" t="s">
        <v>809</v>
      </c>
      <c r="AC720" s="29" t="s">
        <v>153</v>
      </c>
      <c r="AD720" s="30" t="s">
        <v>28</v>
      </c>
      <c r="AE720" s="31">
        <v>8.2938046054770545E-4</v>
      </c>
      <c r="AF720" s="12">
        <v>1.5197221502914207</v>
      </c>
      <c r="AG720" s="38">
        <f t="shared" si="51"/>
        <v>1.2604278569132478E-3</v>
      </c>
      <c r="AH720" s="32">
        <f t="shared" si="52"/>
        <v>76.97286394226478</v>
      </c>
      <c r="AI720" s="33">
        <f t="shared" si="53"/>
        <v>9.7018741939223802E-2</v>
      </c>
      <c r="AJ720" s="34">
        <f t="shared" si="54"/>
        <v>9.8931584118148209E-3</v>
      </c>
      <c r="AK720" s="35" t="s">
        <v>920</v>
      </c>
      <c r="AL720" s="32">
        <v>0.21991148574500002</v>
      </c>
      <c r="AM720" s="32">
        <v>1.5197221502914207</v>
      </c>
      <c r="AN720" s="36">
        <v>0.33</v>
      </c>
    </row>
    <row r="721" spans="27:40" x14ac:dyDescent="0.25">
      <c r="AA721" s="29">
        <v>718</v>
      </c>
      <c r="AB721" s="30" t="s">
        <v>810</v>
      </c>
      <c r="AC721" s="29" t="s">
        <v>153</v>
      </c>
      <c r="AD721" s="30" t="s">
        <v>28</v>
      </c>
      <c r="AE721" s="31">
        <v>8.2938046054770545E-4</v>
      </c>
      <c r="AF721" s="12">
        <v>1.5197221502914207</v>
      </c>
      <c r="AG721" s="38">
        <f t="shared" si="51"/>
        <v>1.2604278569132478E-3</v>
      </c>
      <c r="AH721" s="32">
        <f t="shared" si="52"/>
        <v>76.97286394226478</v>
      </c>
      <c r="AI721" s="33">
        <f t="shared" si="53"/>
        <v>9.7018741939223802E-2</v>
      </c>
      <c r="AJ721" s="34">
        <f t="shared" si="54"/>
        <v>9.8931584118148209E-3</v>
      </c>
      <c r="AK721" s="35" t="s">
        <v>920</v>
      </c>
      <c r="AL721" s="32">
        <v>0.21991148574500002</v>
      </c>
      <c r="AM721" s="32">
        <v>1.5197221502914207</v>
      </c>
      <c r="AN721" s="36">
        <v>0.33</v>
      </c>
    </row>
    <row r="722" spans="27:40" x14ac:dyDescent="0.25">
      <c r="AA722" s="29">
        <v>719</v>
      </c>
      <c r="AB722" s="30" t="s">
        <v>811</v>
      </c>
      <c r="AC722" s="29" t="s">
        <v>153</v>
      </c>
      <c r="AD722" s="30" t="s">
        <v>28</v>
      </c>
      <c r="AE722" s="31">
        <v>8.2938046054770545E-4</v>
      </c>
      <c r="AF722" s="12">
        <v>1.5197221502914207</v>
      </c>
      <c r="AG722" s="38">
        <f t="shared" si="51"/>
        <v>1.2604278569132478E-3</v>
      </c>
      <c r="AH722" s="32">
        <f t="shared" si="52"/>
        <v>76.97286394226478</v>
      </c>
      <c r="AI722" s="33">
        <f t="shared" si="53"/>
        <v>9.7018741939223802E-2</v>
      </c>
      <c r="AJ722" s="34">
        <f t="shared" si="54"/>
        <v>9.8931584118148209E-3</v>
      </c>
      <c r="AK722" s="35" t="s">
        <v>920</v>
      </c>
      <c r="AL722" s="32">
        <v>0.21991148574500002</v>
      </c>
      <c r="AM722" s="32">
        <v>1.5197221502914207</v>
      </c>
      <c r="AN722" s="36">
        <v>0.33</v>
      </c>
    </row>
    <row r="723" spans="27:40" x14ac:dyDescent="0.25">
      <c r="AA723" s="29">
        <v>720</v>
      </c>
      <c r="AB723" s="30" t="s">
        <v>812</v>
      </c>
      <c r="AC723" s="29" t="s">
        <v>155</v>
      </c>
      <c r="AD723" s="30" t="s">
        <v>28</v>
      </c>
      <c r="AE723" s="31">
        <v>1.0461503536454023E-3</v>
      </c>
      <c r="AF723" s="12">
        <v>5</v>
      </c>
      <c r="AG723" s="38">
        <f t="shared" si="51"/>
        <v>5.2307517682270111E-3</v>
      </c>
      <c r="AH723" s="32">
        <f t="shared" si="52"/>
        <v>76.97286394226478</v>
      </c>
      <c r="AI723" s="33">
        <f t="shared" si="53"/>
        <v>0.40262594417149866</v>
      </c>
      <c r="AJ723" s="34">
        <f t="shared" si="54"/>
        <v>4.1056420303722342E-2</v>
      </c>
      <c r="AK723" s="35" t="s">
        <v>920</v>
      </c>
      <c r="AL723" s="32">
        <v>0.35814156249900003</v>
      </c>
      <c r="AM723" s="32">
        <v>5</v>
      </c>
      <c r="AN723" s="36">
        <v>1.79</v>
      </c>
    </row>
    <row r="724" spans="27:40" x14ac:dyDescent="0.25">
      <c r="AA724" s="29">
        <v>721</v>
      </c>
      <c r="AB724" s="30" t="s">
        <v>813</v>
      </c>
      <c r="AC724" s="29" t="s">
        <v>155</v>
      </c>
      <c r="AD724" s="30" t="s">
        <v>28</v>
      </c>
      <c r="AE724" s="31">
        <v>1.0461503536454023E-3</v>
      </c>
      <c r="AF724" s="12">
        <v>5</v>
      </c>
      <c r="AG724" s="38">
        <f t="shared" si="51"/>
        <v>5.2307517682270111E-3</v>
      </c>
      <c r="AH724" s="32">
        <f t="shared" si="52"/>
        <v>76.97286394226478</v>
      </c>
      <c r="AI724" s="33">
        <f t="shared" si="53"/>
        <v>0.40262594417149866</v>
      </c>
      <c r="AJ724" s="34">
        <f t="shared" si="54"/>
        <v>4.1056420303722342E-2</v>
      </c>
      <c r="AK724" s="35" t="s">
        <v>920</v>
      </c>
      <c r="AL724" s="32">
        <v>0.35814156249900003</v>
      </c>
      <c r="AM724" s="32">
        <v>5</v>
      </c>
      <c r="AN724" s="36">
        <v>1.79</v>
      </c>
    </row>
    <row r="725" spans="27:40" x14ac:dyDescent="0.25">
      <c r="AA725" s="29">
        <v>722</v>
      </c>
      <c r="AB725" s="30" t="s">
        <v>814</v>
      </c>
      <c r="AC725" s="29" t="s">
        <v>155</v>
      </c>
      <c r="AD725" s="30" t="s">
        <v>28</v>
      </c>
      <c r="AE725" s="31">
        <v>1.0461503536454023E-3</v>
      </c>
      <c r="AF725" s="12">
        <v>5</v>
      </c>
      <c r="AG725" s="38">
        <f t="shared" si="51"/>
        <v>5.2307517682270111E-3</v>
      </c>
      <c r="AH725" s="32">
        <f t="shared" si="52"/>
        <v>76.97286394226478</v>
      </c>
      <c r="AI725" s="33">
        <f t="shared" si="53"/>
        <v>0.40262594417149866</v>
      </c>
      <c r="AJ725" s="34">
        <f t="shared" si="54"/>
        <v>4.1056420303722342E-2</v>
      </c>
      <c r="AK725" s="35" t="s">
        <v>920</v>
      </c>
      <c r="AL725" s="32">
        <v>0.35814156249900003</v>
      </c>
      <c r="AM725" s="32">
        <v>5</v>
      </c>
      <c r="AN725" s="36">
        <v>1.79</v>
      </c>
    </row>
    <row r="726" spans="27:40" x14ac:dyDescent="0.25">
      <c r="AA726" s="29">
        <v>723</v>
      </c>
      <c r="AB726" s="30" t="s">
        <v>815</v>
      </c>
      <c r="AC726" s="29" t="s">
        <v>155</v>
      </c>
      <c r="AD726" s="30" t="s">
        <v>28</v>
      </c>
      <c r="AE726" s="31">
        <v>1.0461503536454023E-3</v>
      </c>
      <c r="AF726" s="12">
        <v>5</v>
      </c>
      <c r="AG726" s="38">
        <f t="shared" si="51"/>
        <v>5.2307517682270111E-3</v>
      </c>
      <c r="AH726" s="32">
        <f t="shared" si="52"/>
        <v>76.97286394226478</v>
      </c>
      <c r="AI726" s="33">
        <f t="shared" si="53"/>
        <v>0.40262594417149866</v>
      </c>
      <c r="AJ726" s="34">
        <f t="shared" si="54"/>
        <v>4.1056420303722342E-2</v>
      </c>
      <c r="AK726" s="35" t="s">
        <v>920</v>
      </c>
      <c r="AL726" s="32">
        <v>0.35814156249900003</v>
      </c>
      <c r="AM726" s="32">
        <v>5</v>
      </c>
      <c r="AN726" s="36">
        <v>1.79</v>
      </c>
    </row>
    <row r="727" spans="27:40" x14ac:dyDescent="0.25">
      <c r="AA727" s="29">
        <v>724</v>
      </c>
      <c r="AB727" s="30" t="s">
        <v>816</v>
      </c>
      <c r="AC727" s="29" t="s">
        <v>155</v>
      </c>
      <c r="AD727" s="30" t="s">
        <v>28</v>
      </c>
      <c r="AE727" s="31">
        <v>1.0461503536454023E-3</v>
      </c>
      <c r="AF727" s="12">
        <v>5</v>
      </c>
      <c r="AG727" s="38">
        <f t="shared" si="51"/>
        <v>5.2307517682270111E-3</v>
      </c>
      <c r="AH727" s="32">
        <f t="shared" si="52"/>
        <v>76.97286394226478</v>
      </c>
      <c r="AI727" s="33">
        <f t="shared" si="53"/>
        <v>0.40262594417149866</v>
      </c>
      <c r="AJ727" s="34">
        <f t="shared" si="54"/>
        <v>4.1056420303722342E-2</v>
      </c>
      <c r="AK727" s="35" t="s">
        <v>920</v>
      </c>
      <c r="AL727" s="32">
        <v>0.35814156249900003</v>
      </c>
      <c r="AM727" s="32">
        <v>5</v>
      </c>
      <c r="AN727" s="36">
        <v>1.79</v>
      </c>
    </row>
    <row r="728" spans="27:40" x14ac:dyDescent="0.25">
      <c r="AA728" s="29">
        <v>725</v>
      </c>
      <c r="AB728" s="30" t="s">
        <v>817</v>
      </c>
      <c r="AC728" s="29" t="s">
        <v>155</v>
      </c>
      <c r="AD728" s="30" t="s">
        <v>28</v>
      </c>
      <c r="AE728" s="31">
        <v>1.0461503536454023E-3</v>
      </c>
      <c r="AF728" s="12">
        <v>5</v>
      </c>
      <c r="AG728" s="38">
        <f t="shared" si="51"/>
        <v>5.2307517682270111E-3</v>
      </c>
      <c r="AH728" s="32">
        <f t="shared" si="52"/>
        <v>76.97286394226478</v>
      </c>
      <c r="AI728" s="33">
        <f t="shared" si="53"/>
        <v>0.40262594417149866</v>
      </c>
      <c r="AJ728" s="34">
        <f t="shared" si="54"/>
        <v>4.1056420303722342E-2</v>
      </c>
      <c r="AK728" s="35" t="s">
        <v>920</v>
      </c>
      <c r="AL728" s="32">
        <v>0.35814156249900003</v>
      </c>
      <c r="AM728" s="32">
        <v>5</v>
      </c>
      <c r="AN728" s="36">
        <v>1.79</v>
      </c>
    </row>
    <row r="729" spans="27:40" x14ac:dyDescent="0.25">
      <c r="AA729" s="29">
        <v>726</v>
      </c>
      <c r="AB729" s="30" t="s">
        <v>818</v>
      </c>
      <c r="AC729" s="29" t="s">
        <v>104</v>
      </c>
      <c r="AD729" s="30" t="s">
        <v>28</v>
      </c>
      <c r="AE729" s="31">
        <v>3.1415926535897931E-4</v>
      </c>
      <c r="AF729" s="12">
        <v>7.9946013417163169</v>
      </c>
      <c r="AG729" s="38">
        <f t="shared" si="51"/>
        <v>2.5115780843515084E-3</v>
      </c>
      <c r="AH729" s="32">
        <f t="shared" si="52"/>
        <v>76.97286394226478</v>
      </c>
      <c r="AI729" s="33">
        <f t="shared" si="53"/>
        <v>0.19332335816716267</v>
      </c>
      <c r="AJ729" s="34">
        <f t="shared" si="54"/>
        <v>1.9713496267039478E-2</v>
      </c>
      <c r="AK729" s="35" t="s">
        <v>921</v>
      </c>
      <c r="AL729" s="32">
        <v>0</v>
      </c>
      <c r="AM729" s="32">
        <v>7.9946013417163169</v>
      </c>
      <c r="AN729" s="36">
        <v>0</v>
      </c>
    </row>
    <row r="730" spans="27:40" x14ac:dyDescent="0.25">
      <c r="AA730" s="29">
        <v>727</v>
      </c>
      <c r="AB730" s="30" t="s">
        <v>819</v>
      </c>
      <c r="AC730" s="29" t="s">
        <v>104</v>
      </c>
      <c r="AD730" s="30" t="s">
        <v>28</v>
      </c>
      <c r="AE730" s="31">
        <v>3.1415926535897931E-4</v>
      </c>
      <c r="AF730" s="12">
        <v>7.9946013417134525</v>
      </c>
      <c r="AG730" s="38">
        <f t="shared" si="51"/>
        <v>2.5115780843506085E-3</v>
      </c>
      <c r="AH730" s="32">
        <f t="shared" si="52"/>
        <v>76.97286394226478</v>
      </c>
      <c r="AI730" s="33">
        <f t="shared" si="53"/>
        <v>0.1933233581670934</v>
      </c>
      <c r="AJ730" s="34">
        <f t="shared" si="54"/>
        <v>1.9713496267032414E-2</v>
      </c>
      <c r="AK730" s="35" t="s">
        <v>921</v>
      </c>
      <c r="AL730" s="32">
        <v>0</v>
      </c>
      <c r="AM730" s="32">
        <v>7.9946013417134525</v>
      </c>
      <c r="AN730" s="36">
        <v>0</v>
      </c>
    </row>
    <row r="731" spans="27:40" x14ac:dyDescent="0.25">
      <c r="AA731" s="29">
        <v>728</v>
      </c>
      <c r="AB731" s="30" t="s">
        <v>820</v>
      </c>
      <c r="AC731" s="29" t="s">
        <v>104</v>
      </c>
      <c r="AD731" s="30" t="s">
        <v>28</v>
      </c>
      <c r="AE731" s="31">
        <v>3.1415926535897931E-4</v>
      </c>
      <c r="AF731" s="12">
        <v>6.504532330206521</v>
      </c>
      <c r="AG731" s="38">
        <f t="shared" si="51"/>
        <v>2.0434590983614107E-3</v>
      </c>
      <c r="AH731" s="32">
        <f t="shared" si="52"/>
        <v>76.97286394226478</v>
      </c>
      <c r="AI731" s="33">
        <f t="shared" si="53"/>
        <v>0.15729089914975591</v>
      </c>
      <c r="AJ731" s="34">
        <f t="shared" si="54"/>
        <v>1.6039208001688236E-2</v>
      </c>
      <c r="AK731" s="35" t="s">
        <v>921</v>
      </c>
      <c r="AL731" s="32">
        <v>0</v>
      </c>
      <c r="AM731" s="32">
        <v>6.504532330206521</v>
      </c>
      <c r="AN731" s="36">
        <v>0</v>
      </c>
    </row>
    <row r="732" spans="27:40" x14ac:dyDescent="0.25">
      <c r="AA732" s="29">
        <v>729</v>
      </c>
      <c r="AB732" s="30" t="s">
        <v>821</v>
      </c>
      <c r="AC732" s="29" t="s">
        <v>104</v>
      </c>
      <c r="AD732" s="30" t="s">
        <v>28</v>
      </c>
      <c r="AE732" s="31">
        <v>3.1415926535897931E-4</v>
      </c>
      <c r="AF732" s="12">
        <v>7.9946013417140405</v>
      </c>
      <c r="AG732" s="38">
        <f t="shared" si="51"/>
        <v>2.5115780843507933E-3</v>
      </c>
      <c r="AH732" s="32">
        <f t="shared" si="52"/>
        <v>76.97286394226478</v>
      </c>
      <c r="AI732" s="33">
        <f t="shared" si="53"/>
        <v>0.19332335816710763</v>
      </c>
      <c r="AJ732" s="34">
        <f t="shared" si="54"/>
        <v>1.9713496267033864E-2</v>
      </c>
      <c r="AK732" s="35" t="s">
        <v>921</v>
      </c>
      <c r="AL732" s="32">
        <v>0</v>
      </c>
      <c r="AM732" s="32">
        <v>7.9946013417140405</v>
      </c>
      <c r="AN732" s="36">
        <v>0</v>
      </c>
    </row>
    <row r="733" spans="27:40" x14ac:dyDescent="0.25">
      <c r="AA733" s="29">
        <v>730</v>
      </c>
      <c r="AB733" s="30" t="s">
        <v>822</v>
      </c>
      <c r="AC733" s="29" t="s">
        <v>104</v>
      </c>
      <c r="AD733" s="30" t="s">
        <v>28</v>
      </c>
      <c r="AE733" s="31">
        <v>3.1415926535897931E-4</v>
      </c>
      <c r="AF733" s="12">
        <v>7.994601341714958</v>
      </c>
      <c r="AG733" s="38">
        <f t="shared" si="51"/>
        <v>2.5115780843510817E-3</v>
      </c>
      <c r="AH733" s="32">
        <f t="shared" si="52"/>
        <v>76.97286394226478</v>
      </c>
      <c r="AI733" s="33">
        <f t="shared" si="53"/>
        <v>0.19332335816712981</v>
      </c>
      <c r="AJ733" s="34">
        <f t="shared" si="54"/>
        <v>1.9713496267036126E-2</v>
      </c>
      <c r="AK733" s="35" t="s">
        <v>921</v>
      </c>
      <c r="AL733" s="32">
        <v>0</v>
      </c>
      <c r="AM733" s="32">
        <v>7.994601341714958</v>
      </c>
      <c r="AN733" s="36">
        <v>0</v>
      </c>
    </row>
    <row r="734" spans="27:40" x14ac:dyDescent="0.25">
      <c r="AA734" s="29">
        <v>731</v>
      </c>
      <c r="AB734" s="30" t="s">
        <v>823</v>
      </c>
      <c r="AC734" s="29" t="s">
        <v>104</v>
      </c>
      <c r="AD734" s="30" t="s">
        <v>28</v>
      </c>
      <c r="AE734" s="31">
        <v>3.1415926535897931E-4</v>
      </c>
      <c r="AF734" s="12">
        <v>7.994601341714958</v>
      </c>
      <c r="AG734" s="38">
        <f t="shared" si="51"/>
        <v>2.5115780843510817E-3</v>
      </c>
      <c r="AH734" s="32">
        <f t="shared" si="52"/>
        <v>76.97286394226478</v>
      </c>
      <c r="AI734" s="33">
        <f t="shared" si="53"/>
        <v>0.19332335816712981</v>
      </c>
      <c r="AJ734" s="34">
        <f t="shared" si="54"/>
        <v>1.9713496267036126E-2</v>
      </c>
      <c r="AK734" s="35" t="s">
        <v>921</v>
      </c>
      <c r="AL734" s="32">
        <v>0</v>
      </c>
      <c r="AM734" s="32">
        <v>7.994601341714958</v>
      </c>
      <c r="AN734" s="36">
        <v>0</v>
      </c>
    </row>
    <row r="735" spans="27:40" x14ac:dyDescent="0.25">
      <c r="AA735" s="29">
        <v>732</v>
      </c>
      <c r="AB735" s="30" t="s">
        <v>824</v>
      </c>
      <c r="AC735" s="29" t="s">
        <v>104</v>
      </c>
      <c r="AD735" s="30" t="s">
        <v>28</v>
      </c>
      <c r="AE735" s="31">
        <v>3.1415926535897931E-4</v>
      </c>
      <c r="AF735" s="12">
        <v>7.9946013417140396</v>
      </c>
      <c r="AG735" s="38">
        <f t="shared" si="51"/>
        <v>2.5115780843507928E-3</v>
      </c>
      <c r="AH735" s="32">
        <f t="shared" si="52"/>
        <v>76.97286394226478</v>
      </c>
      <c r="AI735" s="33">
        <f t="shared" si="53"/>
        <v>0.19332335816710758</v>
      </c>
      <c r="AJ735" s="34">
        <f t="shared" si="54"/>
        <v>1.9713496267033857E-2</v>
      </c>
      <c r="AK735" s="35" t="s">
        <v>921</v>
      </c>
      <c r="AL735" s="32">
        <v>0</v>
      </c>
      <c r="AM735" s="32">
        <v>7.9946013417140396</v>
      </c>
      <c r="AN735" s="36">
        <v>0</v>
      </c>
    </row>
    <row r="736" spans="27:40" x14ac:dyDescent="0.25">
      <c r="AA736" s="29">
        <v>733</v>
      </c>
      <c r="AB736" s="30" t="s">
        <v>825</v>
      </c>
      <c r="AC736" s="29" t="s">
        <v>104</v>
      </c>
      <c r="AD736" s="30" t="s">
        <v>28</v>
      </c>
      <c r="AE736" s="31">
        <v>3.1415926535897931E-4</v>
      </c>
      <c r="AF736" s="12">
        <v>6.504532330206521</v>
      </c>
      <c r="AG736" s="38">
        <f t="shared" si="51"/>
        <v>2.0434590983614107E-3</v>
      </c>
      <c r="AH736" s="32">
        <f t="shared" si="52"/>
        <v>76.97286394226478</v>
      </c>
      <c r="AI736" s="33">
        <f t="shared" si="53"/>
        <v>0.15729089914975591</v>
      </c>
      <c r="AJ736" s="34">
        <f t="shared" si="54"/>
        <v>1.6039208001688236E-2</v>
      </c>
      <c r="AK736" s="35" t="s">
        <v>921</v>
      </c>
      <c r="AL736" s="32">
        <v>0</v>
      </c>
      <c r="AM736" s="32">
        <v>6.504532330206521</v>
      </c>
      <c r="AN736" s="36">
        <v>0</v>
      </c>
    </row>
    <row r="737" spans="27:40" x14ac:dyDescent="0.25">
      <c r="AA737" s="29">
        <v>734</v>
      </c>
      <c r="AB737" s="30" t="s">
        <v>826</v>
      </c>
      <c r="AC737" s="29" t="s">
        <v>104</v>
      </c>
      <c r="AD737" s="30" t="s">
        <v>28</v>
      </c>
      <c r="AE737" s="31">
        <v>3.1415926535897931E-4</v>
      </c>
      <c r="AF737" s="12">
        <v>7.9946013417134525</v>
      </c>
      <c r="AG737" s="38">
        <f t="shared" si="51"/>
        <v>2.5115780843506085E-3</v>
      </c>
      <c r="AH737" s="32">
        <f t="shared" si="52"/>
        <v>76.97286394226478</v>
      </c>
      <c r="AI737" s="33">
        <f t="shared" si="53"/>
        <v>0.1933233581670934</v>
      </c>
      <c r="AJ737" s="34">
        <f t="shared" si="54"/>
        <v>1.9713496267032414E-2</v>
      </c>
      <c r="AK737" s="35" t="s">
        <v>921</v>
      </c>
      <c r="AL737" s="32">
        <v>0</v>
      </c>
      <c r="AM737" s="32">
        <v>7.9946013417134525</v>
      </c>
      <c r="AN737" s="36">
        <v>0</v>
      </c>
    </row>
    <row r="738" spans="27:40" x14ac:dyDescent="0.25">
      <c r="AA738" s="29">
        <v>735</v>
      </c>
      <c r="AB738" s="30" t="s">
        <v>827</v>
      </c>
      <c r="AC738" s="29" t="s">
        <v>104</v>
      </c>
      <c r="AD738" s="30" t="s">
        <v>28</v>
      </c>
      <c r="AE738" s="31">
        <v>3.1415926535897931E-4</v>
      </c>
      <c r="AF738" s="12">
        <v>7.9946013417163178</v>
      </c>
      <c r="AG738" s="38">
        <f t="shared" si="51"/>
        <v>2.5115780843515088E-3</v>
      </c>
      <c r="AH738" s="32">
        <f t="shared" si="52"/>
        <v>76.97286394226478</v>
      </c>
      <c r="AI738" s="33">
        <f t="shared" si="53"/>
        <v>0.1933233581671627</v>
      </c>
      <c r="AJ738" s="34">
        <f t="shared" si="54"/>
        <v>1.9713496267039481E-2</v>
      </c>
      <c r="AK738" s="35" t="s">
        <v>921</v>
      </c>
      <c r="AL738" s="32">
        <v>0</v>
      </c>
      <c r="AM738" s="32">
        <v>7.9946013417163178</v>
      </c>
      <c r="AN738" s="36">
        <v>0</v>
      </c>
    </row>
    <row r="739" spans="27:40" x14ac:dyDescent="0.25">
      <c r="AA739" s="29">
        <v>736</v>
      </c>
      <c r="AB739" s="30" t="s">
        <v>828</v>
      </c>
      <c r="AC739" s="29" t="s">
        <v>155</v>
      </c>
      <c r="AD739" s="30" t="s">
        <v>28</v>
      </c>
      <c r="AE739" s="31">
        <v>1.0461503536454023E-3</v>
      </c>
      <c r="AF739" s="12">
        <v>5.0000000000000009</v>
      </c>
      <c r="AG739" s="38">
        <f t="shared" si="51"/>
        <v>5.230751768227012E-3</v>
      </c>
      <c r="AH739" s="32">
        <f t="shared" si="52"/>
        <v>76.97286394226478</v>
      </c>
      <c r="AI739" s="33">
        <f t="shared" si="53"/>
        <v>0.40262594417149872</v>
      </c>
      <c r="AJ739" s="34">
        <f t="shared" si="54"/>
        <v>4.1056420303722349E-2</v>
      </c>
      <c r="AK739" s="35" t="s">
        <v>920</v>
      </c>
      <c r="AL739" s="32">
        <v>0.35814156249900003</v>
      </c>
      <c r="AM739" s="32">
        <v>5.0000000000000009</v>
      </c>
      <c r="AN739" s="36">
        <v>1.79</v>
      </c>
    </row>
    <row r="740" spans="27:40" x14ac:dyDescent="0.25">
      <c r="AA740" s="29">
        <v>737</v>
      </c>
      <c r="AB740" s="30" t="s">
        <v>829</v>
      </c>
      <c r="AC740" s="29" t="s">
        <v>155</v>
      </c>
      <c r="AD740" s="30" t="s">
        <v>28</v>
      </c>
      <c r="AE740" s="31">
        <v>1.0461503536454023E-3</v>
      </c>
      <c r="AF740" s="12">
        <v>5</v>
      </c>
      <c r="AG740" s="38">
        <f t="shared" si="51"/>
        <v>5.2307517682270111E-3</v>
      </c>
      <c r="AH740" s="32">
        <f t="shared" si="52"/>
        <v>76.97286394226478</v>
      </c>
      <c r="AI740" s="33">
        <f t="shared" si="53"/>
        <v>0.40262594417149866</v>
      </c>
      <c r="AJ740" s="34">
        <f t="shared" si="54"/>
        <v>4.1056420303722342E-2</v>
      </c>
      <c r="AK740" s="35" t="s">
        <v>920</v>
      </c>
      <c r="AL740" s="32">
        <v>0.35814156249900003</v>
      </c>
      <c r="AM740" s="32">
        <v>5</v>
      </c>
      <c r="AN740" s="36">
        <v>1.79</v>
      </c>
    </row>
    <row r="741" spans="27:40" x14ac:dyDescent="0.25">
      <c r="AA741" s="29">
        <v>738</v>
      </c>
      <c r="AB741" s="30" t="s">
        <v>830</v>
      </c>
      <c r="AC741" s="29" t="s">
        <v>155</v>
      </c>
      <c r="AD741" s="30" t="s">
        <v>28</v>
      </c>
      <c r="AE741" s="31">
        <v>1.0461503536454023E-3</v>
      </c>
      <c r="AF741" s="12">
        <v>5</v>
      </c>
      <c r="AG741" s="38">
        <f t="shared" si="51"/>
        <v>5.2307517682270111E-3</v>
      </c>
      <c r="AH741" s="32">
        <f t="shared" si="52"/>
        <v>76.97286394226478</v>
      </c>
      <c r="AI741" s="33">
        <f t="shared" si="53"/>
        <v>0.40262594417149866</v>
      </c>
      <c r="AJ741" s="34">
        <f t="shared" si="54"/>
        <v>4.1056420303722342E-2</v>
      </c>
      <c r="AK741" s="35" t="s">
        <v>920</v>
      </c>
      <c r="AL741" s="32">
        <v>0.35814156249900003</v>
      </c>
      <c r="AM741" s="32">
        <v>5</v>
      </c>
      <c r="AN741" s="36">
        <v>1.79</v>
      </c>
    </row>
    <row r="742" spans="27:40" x14ac:dyDescent="0.25">
      <c r="AA742" s="29">
        <v>739</v>
      </c>
      <c r="AB742" s="30" t="s">
        <v>831</v>
      </c>
      <c r="AC742" s="29" t="s">
        <v>155</v>
      </c>
      <c r="AD742" s="30" t="s">
        <v>28</v>
      </c>
      <c r="AE742" s="31">
        <v>1.0461503536454023E-3</v>
      </c>
      <c r="AF742" s="12">
        <v>5.0000000000000009</v>
      </c>
      <c r="AG742" s="38">
        <f t="shared" si="51"/>
        <v>5.230751768227012E-3</v>
      </c>
      <c r="AH742" s="32">
        <f t="shared" si="52"/>
        <v>76.97286394226478</v>
      </c>
      <c r="AI742" s="33">
        <f t="shared" si="53"/>
        <v>0.40262594417149872</v>
      </c>
      <c r="AJ742" s="34">
        <f t="shared" si="54"/>
        <v>4.1056420303722349E-2</v>
      </c>
      <c r="AK742" s="35" t="s">
        <v>920</v>
      </c>
      <c r="AL742" s="32">
        <v>0.35814156249900003</v>
      </c>
      <c r="AM742" s="32">
        <v>5.0000000000000009</v>
      </c>
      <c r="AN742" s="36">
        <v>1.79</v>
      </c>
    </row>
    <row r="743" spans="27:40" x14ac:dyDescent="0.25">
      <c r="AA743" s="29">
        <v>740</v>
      </c>
      <c r="AB743" s="30" t="s">
        <v>832</v>
      </c>
      <c r="AC743" s="29" t="s">
        <v>155</v>
      </c>
      <c r="AD743" s="30" t="s">
        <v>28</v>
      </c>
      <c r="AE743" s="31">
        <v>1.0461503536454023E-3</v>
      </c>
      <c r="AF743" s="12">
        <v>4.9999999999999991</v>
      </c>
      <c r="AG743" s="38">
        <f t="shared" si="51"/>
        <v>5.2307517682270103E-3</v>
      </c>
      <c r="AH743" s="32">
        <f t="shared" si="52"/>
        <v>76.97286394226478</v>
      </c>
      <c r="AI743" s="33">
        <f t="shared" si="53"/>
        <v>0.40262594417149861</v>
      </c>
      <c r="AJ743" s="34">
        <f t="shared" si="54"/>
        <v>4.1056420303722335E-2</v>
      </c>
      <c r="AK743" s="35" t="s">
        <v>920</v>
      </c>
      <c r="AL743" s="32">
        <v>0.35814156249900003</v>
      </c>
      <c r="AM743" s="32">
        <v>4.9999999999999991</v>
      </c>
      <c r="AN743" s="36">
        <v>1.79</v>
      </c>
    </row>
    <row r="744" spans="27:40" x14ac:dyDescent="0.25">
      <c r="AA744" s="29">
        <v>741</v>
      </c>
      <c r="AB744" s="30" t="s">
        <v>833</v>
      </c>
      <c r="AC744" s="29" t="s">
        <v>155</v>
      </c>
      <c r="AD744" s="30" t="s">
        <v>28</v>
      </c>
      <c r="AE744" s="31">
        <v>1.0461503536454023E-3</v>
      </c>
      <c r="AF744" s="12">
        <v>5</v>
      </c>
      <c r="AG744" s="38">
        <f t="shared" si="51"/>
        <v>5.2307517682270111E-3</v>
      </c>
      <c r="AH744" s="32">
        <f t="shared" si="52"/>
        <v>76.97286394226478</v>
      </c>
      <c r="AI744" s="33">
        <f t="shared" si="53"/>
        <v>0.40262594417149866</v>
      </c>
      <c r="AJ744" s="34">
        <f t="shared" si="54"/>
        <v>4.1056420303722342E-2</v>
      </c>
      <c r="AK744" s="35" t="s">
        <v>920</v>
      </c>
      <c r="AL744" s="32">
        <v>0.35814156249900003</v>
      </c>
      <c r="AM744" s="32">
        <v>5</v>
      </c>
      <c r="AN744" s="36">
        <v>1.79</v>
      </c>
    </row>
    <row r="745" spans="27:40" x14ac:dyDescent="0.25">
      <c r="AA745" s="29">
        <v>742</v>
      </c>
      <c r="AB745" s="30" t="s">
        <v>834</v>
      </c>
      <c r="AC745" s="29" t="s">
        <v>155</v>
      </c>
      <c r="AD745" s="30" t="s">
        <v>28</v>
      </c>
      <c r="AE745" s="31">
        <v>1.0461503536454023E-3</v>
      </c>
      <c r="AF745" s="12">
        <v>5</v>
      </c>
      <c r="AG745" s="38">
        <f t="shared" si="51"/>
        <v>5.2307517682270111E-3</v>
      </c>
      <c r="AH745" s="32">
        <f t="shared" si="52"/>
        <v>76.97286394226478</v>
      </c>
      <c r="AI745" s="33">
        <f t="shared" si="53"/>
        <v>0.40262594417149866</v>
      </c>
      <c r="AJ745" s="34">
        <f t="shared" si="54"/>
        <v>4.1056420303722342E-2</v>
      </c>
      <c r="AK745" s="35" t="s">
        <v>920</v>
      </c>
      <c r="AL745" s="32">
        <v>0.35814156249900003</v>
      </c>
      <c r="AM745" s="32">
        <v>5</v>
      </c>
      <c r="AN745" s="36">
        <v>1.79</v>
      </c>
    </row>
    <row r="746" spans="27:40" x14ac:dyDescent="0.25">
      <c r="AA746" s="29">
        <v>743</v>
      </c>
      <c r="AB746" s="30" t="s">
        <v>835</v>
      </c>
      <c r="AC746" s="29" t="s">
        <v>155</v>
      </c>
      <c r="AD746" s="30" t="s">
        <v>28</v>
      </c>
      <c r="AE746" s="31">
        <v>1.0461503536454023E-3</v>
      </c>
      <c r="AF746" s="12">
        <v>5</v>
      </c>
      <c r="AG746" s="38">
        <f t="shared" si="51"/>
        <v>5.2307517682270111E-3</v>
      </c>
      <c r="AH746" s="32">
        <f t="shared" si="52"/>
        <v>76.97286394226478</v>
      </c>
      <c r="AI746" s="33">
        <f t="shared" si="53"/>
        <v>0.40262594417149866</v>
      </c>
      <c r="AJ746" s="34">
        <f t="shared" si="54"/>
        <v>4.1056420303722342E-2</v>
      </c>
      <c r="AK746" s="35" t="s">
        <v>920</v>
      </c>
      <c r="AL746" s="32">
        <v>0.35814156249900003</v>
      </c>
      <c r="AM746" s="32">
        <v>5</v>
      </c>
      <c r="AN746" s="36">
        <v>1.79</v>
      </c>
    </row>
    <row r="747" spans="27:40" x14ac:dyDescent="0.25">
      <c r="AA747" s="29">
        <v>744</v>
      </c>
      <c r="AB747" s="30" t="s">
        <v>836</v>
      </c>
      <c r="AC747" s="29" t="s">
        <v>155</v>
      </c>
      <c r="AD747" s="30" t="s">
        <v>28</v>
      </c>
      <c r="AE747" s="31">
        <v>1.0461503536454023E-3</v>
      </c>
      <c r="AF747" s="12">
        <v>5</v>
      </c>
      <c r="AG747" s="38">
        <f t="shared" si="51"/>
        <v>5.2307517682270111E-3</v>
      </c>
      <c r="AH747" s="32">
        <f t="shared" si="52"/>
        <v>76.97286394226478</v>
      </c>
      <c r="AI747" s="33">
        <f t="shared" si="53"/>
        <v>0.40262594417149866</v>
      </c>
      <c r="AJ747" s="34">
        <f t="shared" si="54"/>
        <v>4.1056420303722342E-2</v>
      </c>
      <c r="AK747" s="35" t="s">
        <v>920</v>
      </c>
      <c r="AL747" s="32">
        <v>0.35814156249900003</v>
      </c>
      <c r="AM747" s="32">
        <v>5</v>
      </c>
      <c r="AN747" s="36">
        <v>1.79</v>
      </c>
    </row>
    <row r="748" spans="27:40" x14ac:dyDescent="0.25">
      <c r="AA748" s="29">
        <v>745</v>
      </c>
      <c r="AB748" s="30" t="s">
        <v>837</v>
      </c>
      <c r="AC748" s="29" t="s">
        <v>155</v>
      </c>
      <c r="AD748" s="30" t="s">
        <v>28</v>
      </c>
      <c r="AE748" s="31">
        <v>1.0461503536454023E-3</v>
      </c>
      <c r="AF748" s="12">
        <v>4.9999999999999982</v>
      </c>
      <c r="AG748" s="38">
        <f t="shared" si="51"/>
        <v>5.2307517682270094E-3</v>
      </c>
      <c r="AH748" s="32">
        <f t="shared" si="52"/>
        <v>76.97286394226478</v>
      </c>
      <c r="AI748" s="33">
        <f t="shared" si="53"/>
        <v>0.4026259441714985</v>
      </c>
      <c r="AJ748" s="34">
        <f t="shared" si="54"/>
        <v>4.1056420303722321E-2</v>
      </c>
      <c r="AK748" s="35" t="s">
        <v>920</v>
      </c>
      <c r="AL748" s="32">
        <v>0.35814156249900003</v>
      </c>
      <c r="AM748" s="32">
        <v>4.9999999999999982</v>
      </c>
      <c r="AN748" s="36">
        <v>1.79</v>
      </c>
    </row>
    <row r="749" spans="27:40" x14ac:dyDescent="0.25">
      <c r="AA749" s="29">
        <v>746</v>
      </c>
      <c r="AB749" s="30" t="s">
        <v>838</v>
      </c>
      <c r="AC749" s="29" t="s">
        <v>155</v>
      </c>
      <c r="AD749" s="30" t="s">
        <v>28</v>
      </c>
      <c r="AE749" s="31">
        <v>1.0461503536454023E-3</v>
      </c>
      <c r="AF749" s="12">
        <v>5</v>
      </c>
      <c r="AG749" s="38">
        <f t="shared" si="51"/>
        <v>5.2307517682270111E-3</v>
      </c>
      <c r="AH749" s="32">
        <f t="shared" si="52"/>
        <v>76.97286394226478</v>
      </c>
      <c r="AI749" s="33">
        <f t="shared" si="53"/>
        <v>0.40262594417149866</v>
      </c>
      <c r="AJ749" s="34">
        <f t="shared" si="54"/>
        <v>4.1056420303722342E-2</v>
      </c>
      <c r="AK749" s="35" t="s">
        <v>920</v>
      </c>
      <c r="AL749" s="32">
        <v>0.35814156249900003</v>
      </c>
      <c r="AM749" s="32">
        <v>5</v>
      </c>
      <c r="AN749" s="36">
        <v>1.79</v>
      </c>
    </row>
    <row r="750" spans="27:40" x14ac:dyDescent="0.25">
      <c r="AA750" s="29">
        <v>747</v>
      </c>
      <c r="AB750" s="30" t="s">
        <v>839</v>
      </c>
      <c r="AC750" s="29" t="s">
        <v>155</v>
      </c>
      <c r="AD750" s="30" t="s">
        <v>28</v>
      </c>
      <c r="AE750" s="31">
        <v>1.0461503536454023E-3</v>
      </c>
      <c r="AF750" s="12">
        <v>5</v>
      </c>
      <c r="AG750" s="38">
        <f t="shared" si="51"/>
        <v>5.2307517682270111E-3</v>
      </c>
      <c r="AH750" s="32">
        <f t="shared" si="52"/>
        <v>76.97286394226478</v>
      </c>
      <c r="AI750" s="33">
        <f t="shared" si="53"/>
        <v>0.40262594417149866</v>
      </c>
      <c r="AJ750" s="34">
        <f t="shared" si="54"/>
        <v>4.1056420303722342E-2</v>
      </c>
      <c r="AK750" s="35" t="s">
        <v>920</v>
      </c>
      <c r="AL750" s="32">
        <v>0.35814156249900003</v>
      </c>
      <c r="AM750" s="32">
        <v>5</v>
      </c>
      <c r="AN750" s="36">
        <v>1.79</v>
      </c>
    </row>
    <row r="751" spans="27:40" x14ac:dyDescent="0.25">
      <c r="AA751" s="29">
        <v>748</v>
      </c>
      <c r="AB751" s="30" t="s">
        <v>840</v>
      </c>
      <c r="AC751" s="29" t="s">
        <v>155</v>
      </c>
      <c r="AD751" s="30" t="s">
        <v>28</v>
      </c>
      <c r="AE751" s="31">
        <v>1.0461503536454023E-3</v>
      </c>
      <c r="AF751" s="12">
        <v>6</v>
      </c>
      <c r="AG751" s="38">
        <f t="shared" si="51"/>
        <v>6.2769021218724141E-3</v>
      </c>
      <c r="AH751" s="32">
        <f t="shared" si="52"/>
        <v>76.97286394226478</v>
      </c>
      <c r="AI751" s="33">
        <f t="shared" si="53"/>
        <v>0.48315113300579843</v>
      </c>
      <c r="AJ751" s="34">
        <f t="shared" si="54"/>
        <v>4.9267704364466813E-2</v>
      </c>
      <c r="AK751" s="35" t="s">
        <v>920</v>
      </c>
      <c r="AL751" s="32">
        <v>0.35814156249900003</v>
      </c>
      <c r="AM751" s="32">
        <v>6</v>
      </c>
      <c r="AN751" s="36">
        <v>2.15</v>
      </c>
    </row>
    <row r="752" spans="27:40" x14ac:dyDescent="0.25">
      <c r="AA752" s="29">
        <v>749</v>
      </c>
      <c r="AB752" s="30" t="s">
        <v>841</v>
      </c>
      <c r="AC752" s="29" t="s">
        <v>155</v>
      </c>
      <c r="AD752" s="30" t="s">
        <v>28</v>
      </c>
      <c r="AE752" s="31">
        <v>1.0461503536454023E-3</v>
      </c>
      <c r="AF752" s="12">
        <v>6.0000000000000009</v>
      </c>
      <c r="AG752" s="38">
        <f t="shared" si="51"/>
        <v>6.2769021218724149E-3</v>
      </c>
      <c r="AH752" s="32">
        <f t="shared" si="52"/>
        <v>76.97286394226478</v>
      </c>
      <c r="AI752" s="33">
        <f t="shared" si="53"/>
        <v>0.48315113300579848</v>
      </c>
      <c r="AJ752" s="34">
        <f t="shared" si="54"/>
        <v>4.926770436446682E-2</v>
      </c>
      <c r="AK752" s="35" t="s">
        <v>920</v>
      </c>
      <c r="AL752" s="32">
        <v>0.35814156249900003</v>
      </c>
      <c r="AM752" s="32">
        <v>6.0000000000000009</v>
      </c>
      <c r="AN752" s="36">
        <v>2.15</v>
      </c>
    </row>
    <row r="753" spans="27:40" x14ac:dyDescent="0.25">
      <c r="AA753" s="29">
        <v>750</v>
      </c>
      <c r="AB753" s="30" t="s">
        <v>842</v>
      </c>
      <c r="AC753" s="29" t="s">
        <v>151</v>
      </c>
      <c r="AD753" s="30" t="s">
        <v>28</v>
      </c>
      <c r="AE753" s="31">
        <v>2.1362830044410596E-3</v>
      </c>
      <c r="AF753" s="12">
        <v>6</v>
      </c>
      <c r="AG753" s="38">
        <f t="shared" si="51"/>
        <v>1.2817698026646358E-2</v>
      </c>
      <c r="AH753" s="32">
        <f t="shared" si="52"/>
        <v>76.97286394226478</v>
      </c>
      <c r="AI753" s="33">
        <f t="shared" si="53"/>
        <v>0.98661492625808589</v>
      </c>
      <c r="AJ753" s="34">
        <f t="shared" si="54"/>
        <v>0.10060672362713934</v>
      </c>
      <c r="AK753" s="35" t="s">
        <v>920</v>
      </c>
      <c r="AL753" s="32">
        <v>0.44296456414349994</v>
      </c>
      <c r="AM753" s="32">
        <v>6</v>
      </c>
      <c r="AN753" s="36">
        <v>2.66</v>
      </c>
    </row>
    <row r="754" spans="27:40" x14ac:dyDescent="0.25">
      <c r="AA754" s="29">
        <v>751</v>
      </c>
      <c r="AB754" s="30" t="s">
        <v>843</v>
      </c>
      <c r="AC754" s="29" t="s">
        <v>155</v>
      </c>
      <c r="AD754" s="30" t="s">
        <v>28</v>
      </c>
      <c r="AE754" s="31">
        <v>1.0461503536454023E-3</v>
      </c>
      <c r="AF754" s="12">
        <v>5.9999999999999982</v>
      </c>
      <c r="AG754" s="38">
        <f t="shared" si="51"/>
        <v>6.2769021218724115E-3</v>
      </c>
      <c r="AH754" s="32">
        <f t="shared" si="52"/>
        <v>76.97286394226478</v>
      </c>
      <c r="AI754" s="33">
        <f t="shared" si="53"/>
        <v>0.48315113300579821</v>
      </c>
      <c r="AJ754" s="34">
        <f t="shared" si="54"/>
        <v>4.9267704364466786E-2</v>
      </c>
      <c r="AK754" s="35" t="s">
        <v>920</v>
      </c>
      <c r="AL754" s="32">
        <v>0.35814156249900003</v>
      </c>
      <c r="AM754" s="32">
        <v>5.9999999999999982</v>
      </c>
      <c r="AN754" s="36">
        <v>2.15</v>
      </c>
    </row>
    <row r="755" spans="27:40" x14ac:dyDescent="0.25">
      <c r="AA755" s="29">
        <v>752</v>
      </c>
      <c r="AB755" s="30" t="s">
        <v>844</v>
      </c>
      <c r="AC755" s="29" t="s">
        <v>155</v>
      </c>
      <c r="AD755" s="30" t="s">
        <v>28</v>
      </c>
      <c r="AE755" s="31">
        <v>1.0461503536454023E-3</v>
      </c>
      <c r="AF755" s="12">
        <v>6.0000000000000009</v>
      </c>
      <c r="AG755" s="38">
        <f t="shared" si="51"/>
        <v>6.2769021218724149E-3</v>
      </c>
      <c r="AH755" s="32">
        <f t="shared" si="52"/>
        <v>76.97286394226478</v>
      </c>
      <c r="AI755" s="33">
        <f t="shared" si="53"/>
        <v>0.48315113300579848</v>
      </c>
      <c r="AJ755" s="34">
        <f t="shared" si="54"/>
        <v>4.926770436446682E-2</v>
      </c>
      <c r="AK755" s="35" t="s">
        <v>920</v>
      </c>
      <c r="AL755" s="32">
        <v>0.35814156249900003</v>
      </c>
      <c r="AM755" s="32">
        <v>6.0000000000000009</v>
      </c>
      <c r="AN755" s="36">
        <v>2.15</v>
      </c>
    </row>
    <row r="756" spans="27:40" x14ac:dyDescent="0.25">
      <c r="AA756" s="29">
        <v>753</v>
      </c>
      <c r="AB756" s="30" t="s">
        <v>845</v>
      </c>
      <c r="AC756" s="29" t="s">
        <v>155</v>
      </c>
      <c r="AD756" s="30" t="s">
        <v>28</v>
      </c>
      <c r="AE756" s="31">
        <v>1.0461503536454023E-3</v>
      </c>
      <c r="AF756" s="12">
        <v>6</v>
      </c>
      <c r="AG756" s="38">
        <f t="shared" si="51"/>
        <v>6.2769021218724141E-3</v>
      </c>
      <c r="AH756" s="32">
        <f t="shared" si="52"/>
        <v>76.97286394226478</v>
      </c>
      <c r="AI756" s="33">
        <f t="shared" si="53"/>
        <v>0.48315113300579843</v>
      </c>
      <c r="AJ756" s="34">
        <f t="shared" si="54"/>
        <v>4.9267704364466813E-2</v>
      </c>
      <c r="AK756" s="35" t="s">
        <v>920</v>
      </c>
      <c r="AL756" s="32">
        <v>0.35814156249900003</v>
      </c>
      <c r="AM756" s="32">
        <v>6</v>
      </c>
      <c r="AN756" s="36">
        <v>2.15</v>
      </c>
    </row>
    <row r="757" spans="27:40" x14ac:dyDescent="0.25">
      <c r="AA757" s="29">
        <v>754</v>
      </c>
      <c r="AB757" s="30" t="s">
        <v>40</v>
      </c>
      <c r="AC757" s="29" t="s">
        <v>156</v>
      </c>
      <c r="AD757" s="30" t="s">
        <v>28</v>
      </c>
      <c r="AE757" s="31">
        <v>1.3823007675795071E-3</v>
      </c>
      <c r="AF757" s="12">
        <v>3.6509360505237516</v>
      </c>
      <c r="AG757" s="38">
        <f t="shared" si="51"/>
        <v>5.0466917050226755E-3</v>
      </c>
      <c r="AH757" s="32">
        <f t="shared" si="52"/>
        <v>76.97286394226478</v>
      </c>
      <c r="AI757" s="33">
        <f t="shared" si="53"/>
        <v>0.38845831396926667</v>
      </c>
      <c r="AJ757" s="34">
        <f t="shared" si="54"/>
        <v>3.9611724082053164E-2</v>
      </c>
      <c r="AK757" s="35" t="s">
        <v>920</v>
      </c>
      <c r="AL757" s="32">
        <v>0.35814156249900003</v>
      </c>
      <c r="AM757" s="32">
        <v>3.6509360505237516</v>
      </c>
      <c r="AN757" s="36">
        <v>1.31</v>
      </c>
    </row>
    <row r="758" spans="27:40" x14ac:dyDescent="0.25">
      <c r="AA758" s="29">
        <v>755</v>
      </c>
      <c r="AB758" s="30" t="s">
        <v>41</v>
      </c>
      <c r="AC758" s="29" t="s">
        <v>155</v>
      </c>
      <c r="AD758" s="30" t="s">
        <v>28</v>
      </c>
      <c r="AE758" s="31">
        <v>1.0461503536454023E-3</v>
      </c>
      <c r="AF758" s="12">
        <v>5</v>
      </c>
      <c r="AG758" s="38">
        <f t="shared" si="51"/>
        <v>5.2307517682270111E-3</v>
      </c>
      <c r="AH758" s="32">
        <f t="shared" si="52"/>
        <v>76.97286394226478</v>
      </c>
      <c r="AI758" s="33">
        <f t="shared" si="53"/>
        <v>0.40262594417149866</v>
      </c>
      <c r="AJ758" s="34">
        <f t="shared" si="54"/>
        <v>4.1056420303722342E-2</v>
      </c>
      <c r="AK758" s="35" t="s">
        <v>920</v>
      </c>
      <c r="AL758" s="32">
        <v>0.35814156249900003</v>
      </c>
      <c r="AM758" s="32">
        <v>5</v>
      </c>
      <c r="AN758" s="36">
        <v>1.79</v>
      </c>
    </row>
    <row r="759" spans="27:40" x14ac:dyDescent="0.25">
      <c r="AA759" s="29">
        <v>756</v>
      </c>
      <c r="AB759" s="30" t="s">
        <v>846</v>
      </c>
      <c r="AC759" s="29" t="s">
        <v>155</v>
      </c>
      <c r="AD759" s="30" t="s">
        <v>28</v>
      </c>
      <c r="AE759" s="31">
        <v>1.0461503536454023E-3</v>
      </c>
      <c r="AF759" s="12">
        <v>5</v>
      </c>
      <c r="AG759" s="38">
        <f t="shared" si="51"/>
        <v>5.2307517682270111E-3</v>
      </c>
      <c r="AH759" s="32">
        <f t="shared" si="52"/>
        <v>76.97286394226478</v>
      </c>
      <c r="AI759" s="33">
        <f t="shared" si="53"/>
        <v>0.40262594417149866</v>
      </c>
      <c r="AJ759" s="34">
        <f t="shared" si="54"/>
        <v>4.1056420303722342E-2</v>
      </c>
      <c r="AK759" s="35" t="s">
        <v>920</v>
      </c>
      <c r="AL759" s="32">
        <v>0.35814156249900003</v>
      </c>
      <c r="AM759" s="32">
        <v>5</v>
      </c>
      <c r="AN759" s="36">
        <v>1.79</v>
      </c>
    </row>
    <row r="760" spans="27:40" x14ac:dyDescent="0.25">
      <c r="AA760" s="29">
        <v>757</v>
      </c>
      <c r="AB760" s="30" t="s">
        <v>847</v>
      </c>
      <c r="AC760" s="29" t="s">
        <v>155</v>
      </c>
      <c r="AD760" s="30" t="s">
        <v>28</v>
      </c>
      <c r="AE760" s="31">
        <v>1.0461503536454023E-3</v>
      </c>
      <c r="AF760" s="12">
        <v>3</v>
      </c>
      <c r="AG760" s="38">
        <f t="shared" si="51"/>
        <v>3.138451060936207E-3</v>
      </c>
      <c r="AH760" s="32">
        <f t="shared" si="52"/>
        <v>76.97286394226478</v>
      </c>
      <c r="AI760" s="33">
        <f t="shared" si="53"/>
        <v>0.24157556650289921</v>
      </c>
      <c r="AJ760" s="34">
        <f t="shared" si="54"/>
        <v>2.4633852182233407E-2</v>
      </c>
      <c r="AK760" s="35" t="s">
        <v>920</v>
      </c>
      <c r="AL760" s="32">
        <v>0.35814156249900003</v>
      </c>
      <c r="AM760" s="32">
        <v>3</v>
      </c>
      <c r="AN760" s="36">
        <v>1.07</v>
      </c>
    </row>
    <row r="761" spans="27:40" x14ac:dyDescent="0.25">
      <c r="AA761" s="29">
        <v>758</v>
      </c>
      <c r="AB761" s="30" t="s">
        <v>848</v>
      </c>
      <c r="AC761" s="29" t="s">
        <v>155</v>
      </c>
      <c r="AD761" s="30" t="s">
        <v>28</v>
      </c>
      <c r="AE761" s="31">
        <v>1.0461503536454023E-3</v>
      </c>
      <c r="AF761" s="12">
        <v>3</v>
      </c>
      <c r="AG761" s="38">
        <f t="shared" si="51"/>
        <v>3.138451060936207E-3</v>
      </c>
      <c r="AH761" s="32">
        <f t="shared" si="52"/>
        <v>76.97286394226478</v>
      </c>
      <c r="AI761" s="33">
        <f t="shared" si="53"/>
        <v>0.24157556650289921</v>
      </c>
      <c r="AJ761" s="34">
        <f t="shared" si="54"/>
        <v>2.4633852182233407E-2</v>
      </c>
      <c r="AK761" s="35" t="s">
        <v>920</v>
      </c>
      <c r="AL761" s="32">
        <v>0.35814156249900003</v>
      </c>
      <c r="AM761" s="32">
        <v>3</v>
      </c>
      <c r="AN761" s="36">
        <v>1.07</v>
      </c>
    </row>
    <row r="762" spans="27:40" x14ac:dyDescent="0.25">
      <c r="AA762" s="29">
        <v>759</v>
      </c>
      <c r="AB762" s="30" t="s">
        <v>849</v>
      </c>
      <c r="AC762" s="29" t="s">
        <v>155</v>
      </c>
      <c r="AD762" s="30" t="s">
        <v>28</v>
      </c>
      <c r="AE762" s="31">
        <v>1.0461503536454023E-3</v>
      </c>
      <c r="AF762" s="12">
        <v>7</v>
      </c>
      <c r="AG762" s="38">
        <f t="shared" si="51"/>
        <v>7.3230524755178161E-3</v>
      </c>
      <c r="AH762" s="32">
        <f t="shared" si="52"/>
        <v>76.97286394226478</v>
      </c>
      <c r="AI762" s="33">
        <f t="shared" si="53"/>
        <v>0.56367632184009819</v>
      </c>
      <c r="AJ762" s="34">
        <f t="shared" si="54"/>
        <v>5.7478988425211285E-2</v>
      </c>
      <c r="AK762" s="35" t="s">
        <v>920</v>
      </c>
      <c r="AL762" s="32">
        <v>0.35814156249900003</v>
      </c>
      <c r="AM762" s="32">
        <v>7</v>
      </c>
      <c r="AN762" s="36">
        <v>2.5099999999999998</v>
      </c>
    </row>
    <row r="763" spans="27:40" x14ac:dyDescent="0.25">
      <c r="AA763" s="29">
        <v>760</v>
      </c>
      <c r="AB763" s="30" t="s">
        <v>850</v>
      </c>
      <c r="AC763" s="29" t="s">
        <v>155</v>
      </c>
      <c r="AD763" s="30" t="s">
        <v>28</v>
      </c>
      <c r="AE763" s="31">
        <v>1.0461503536454023E-3</v>
      </c>
      <c r="AF763" s="12">
        <v>3</v>
      </c>
      <c r="AG763" s="38">
        <f t="shared" si="51"/>
        <v>3.138451060936207E-3</v>
      </c>
      <c r="AH763" s="32">
        <f t="shared" si="52"/>
        <v>76.97286394226478</v>
      </c>
      <c r="AI763" s="33">
        <f t="shared" si="53"/>
        <v>0.24157556650289921</v>
      </c>
      <c r="AJ763" s="34">
        <f t="shared" si="54"/>
        <v>2.4633852182233407E-2</v>
      </c>
      <c r="AK763" s="35" t="s">
        <v>920</v>
      </c>
      <c r="AL763" s="32">
        <v>0.35814156249900003</v>
      </c>
      <c r="AM763" s="32">
        <v>3</v>
      </c>
      <c r="AN763" s="36">
        <v>1.07</v>
      </c>
    </row>
    <row r="764" spans="27:40" x14ac:dyDescent="0.25">
      <c r="AA764" s="29">
        <v>761</v>
      </c>
      <c r="AB764" s="30" t="s">
        <v>851</v>
      </c>
      <c r="AC764" s="29" t="s">
        <v>156</v>
      </c>
      <c r="AD764" s="30" t="s">
        <v>28</v>
      </c>
      <c r="AE764" s="31">
        <v>1.3823007675795071E-3</v>
      </c>
      <c r="AF764" s="12">
        <v>2.6868818442613058</v>
      </c>
      <c r="AG764" s="38">
        <f t="shared" si="51"/>
        <v>3.7140788357178448E-3</v>
      </c>
      <c r="AH764" s="32">
        <f t="shared" si="52"/>
        <v>76.97286394226478</v>
      </c>
      <c r="AI764" s="33">
        <f t="shared" si="53"/>
        <v>0.28588328489255482</v>
      </c>
      <c r="AJ764" s="34">
        <f t="shared" si="54"/>
        <v>2.9151982062432618E-2</v>
      </c>
      <c r="AK764" s="35" t="s">
        <v>920</v>
      </c>
      <c r="AL764" s="32">
        <v>0.35814156249900003</v>
      </c>
      <c r="AM764" s="32">
        <v>2.6868818442613058</v>
      </c>
      <c r="AN764" s="36">
        <v>0.96</v>
      </c>
    </row>
    <row r="765" spans="27:40" x14ac:dyDescent="0.25">
      <c r="AA765" s="29">
        <v>762</v>
      </c>
      <c r="AB765" s="30" t="s">
        <v>852</v>
      </c>
      <c r="AC765" s="29" t="s">
        <v>156</v>
      </c>
      <c r="AD765" s="30" t="s">
        <v>28</v>
      </c>
      <c r="AE765" s="31">
        <v>1.3823007675795071E-3</v>
      </c>
      <c r="AF765" s="12">
        <v>2.7187927550695803</v>
      </c>
      <c r="AG765" s="38">
        <f t="shared" si="51"/>
        <v>3.7581893122222835E-3</v>
      </c>
      <c r="AH765" s="32">
        <f t="shared" si="52"/>
        <v>76.97286394226478</v>
      </c>
      <c r="AI765" s="33">
        <f t="shared" si="53"/>
        <v>0.28927859459895949</v>
      </c>
      <c r="AJ765" s="34">
        <f t="shared" si="54"/>
        <v>2.9498207298002836E-2</v>
      </c>
      <c r="AK765" s="35" t="s">
        <v>920</v>
      </c>
      <c r="AL765" s="32">
        <v>0.35814156249900003</v>
      </c>
      <c r="AM765" s="32">
        <v>2.7187927550695803</v>
      </c>
      <c r="AN765" s="36">
        <v>0.97</v>
      </c>
    </row>
    <row r="766" spans="27:40" x14ac:dyDescent="0.25">
      <c r="AA766" s="29">
        <v>763</v>
      </c>
      <c r="AB766" s="30" t="s">
        <v>853</v>
      </c>
      <c r="AC766" s="29" t="s">
        <v>156</v>
      </c>
      <c r="AD766" s="30" t="s">
        <v>28</v>
      </c>
      <c r="AE766" s="31">
        <v>1.3823007675795071E-3</v>
      </c>
      <c r="AF766" s="12">
        <v>2.7187927550718571</v>
      </c>
      <c r="AG766" s="38">
        <f t="shared" si="51"/>
        <v>3.7581893122254307E-3</v>
      </c>
      <c r="AH766" s="32">
        <f t="shared" si="52"/>
        <v>76.97286394226478</v>
      </c>
      <c r="AI766" s="33">
        <f t="shared" si="53"/>
        <v>0.28927859459920174</v>
      </c>
      <c r="AJ766" s="34">
        <f t="shared" si="54"/>
        <v>2.9498207298027539E-2</v>
      </c>
      <c r="AK766" s="35" t="s">
        <v>920</v>
      </c>
      <c r="AL766" s="32">
        <v>0.35814156249900003</v>
      </c>
      <c r="AM766" s="32">
        <v>2.7187927550718571</v>
      </c>
      <c r="AN766" s="36">
        <v>0.97</v>
      </c>
    </row>
    <row r="767" spans="27:40" x14ac:dyDescent="0.25">
      <c r="AA767" s="29">
        <v>764</v>
      </c>
      <c r="AB767" s="30" t="s">
        <v>854</v>
      </c>
      <c r="AC767" s="29" t="s">
        <v>156</v>
      </c>
      <c r="AD767" s="30" t="s">
        <v>28</v>
      </c>
      <c r="AE767" s="31">
        <v>1.3823007675795071E-3</v>
      </c>
      <c r="AF767" s="12">
        <v>2.7512422730485939</v>
      </c>
      <c r="AG767" s="38">
        <f t="shared" si="51"/>
        <v>3.803044305832259E-3</v>
      </c>
      <c r="AH767" s="32">
        <f t="shared" si="52"/>
        <v>76.97286394226478</v>
      </c>
      <c r="AI767" s="33">
        <f t="shared" si="53"/>
        <v>0.29273121191923129</v>
      </c>
      <c r="AJ767" s="34">
        <f t="shared" si="54"/>
        <v>2.9850276283871793E-2</v>
      </c>
      <c r="AK767" s="35" t="s">
        <v>920</v>
      </c>
      <c r="AL767" s="32">
        <v>0.35814156249900003</v>
      </c>
      <c r="AM767" s="32">
        <v>2.7512422730485939</v>
      </c>
      <c r="AN767" s="36">
        <v>0.99</v>
      </c>
    </row>
    <row r="768" spans="27:40" x14ac:dyDescent="0.25">
      <c r="AA768" s="29">
        <v>765</v>
      </c>
      <c r="AB768" s="30" t="s">
        <v>855</v>
      </c>
      <c r="AC768" s="29" t="s">
        <v>156</v>
      </c>
      <c r="AD768" s="30" t="s">
        <v>28</v>
      </c>
      <c r="AE768" s="31">
        <v>1.3823007675795071E-3</v>
      </c>
      <c r="AF768" s="12">
        <v>2.6247540922956385</v>
      </c>
      <c r="AG768" s="38">
        <f t="shared" si="51"/>
        <v>3.6281995964877133E-3</v>
      </c>
      <c r="AH768" s="32">
        <f t="shared" si="52"/>
        <v>76.97286394226478</v>
      </c>
      <c r="AI768" s="33">
        <f t="shared" si="53"/>
        <v>0.27927291389582876</v>
      </c>
      <c r="AJ768" s="34">
        <f t="shared" si="54"/>
        <v>2.8477911814516556E-2</v>
      </c>
      <c r="AK768" s="35" t="s">
        <v>920</v>
      </c>
      <c r="AL768" s="32">
        <v>0.35814156249900003</v>
      </c>
      <c r="AM768" s="32">
        <v>2.6247540922956385</v>
      </c>
      <c r="AN768" s="36">
        <v>0.94</v>
      </c>
    </row>
    <row r="769" spans="27:40" x14ac:dyDescent="0.25">
      <c r="AA769" s="29">
        <v>766</v>
      </c>
      <c r="AB769" s="30" t="s">
        <v>856</v>
      </c>
      <c r="AC769" s="29" t="s">
        <v>156</v>
      </c>
      <c r="AD769" s="30" t="s">
        <v>28</v>
      </c>
      <c r="AE769" s="31">
        <v>1.3823007675795071E-3</v>
      </c>
      <c r="AF769" s="12">
        <v>2.686881844259426</v>
      </c>
      <c r="AG769" s="38">
        <f t="shared" si="51"/>
        <v>3.7140788357152461E-3</v>
      </c>
      <c r="AH769" s="32">
        <f t="shared" si="52"/>
        <v>76.97286394226478</v>
      </c>
      <c r="AI769" s="33">
        <f t="shared" si="53"/>
        <v>0.28588328489235482</v>
      </c>
      <c r="AJ769" s="34">
        <f t="shared" si="54"/>
        <v>2.9151982062412225E-2</v>
      </c>
      <c r="AK769" s="35" t="s">
        <v>920</v>
      </c>
      <c r="AL769" s="32">
        <v>0.35814156249900003</v>
      </c>
      <c r="AM769" s="32">
        <v>2.686881844259426</v>
      </c>
      <c r="AN769" s="36">
        <v>0.96</v>
      </c>
    </row>
    <row r="770" spans="27:40" x14ac:dyDescent="0.25">
      <c r="AA770" s="29">
        <v>767</v>
      </c>
      <c r="AB770" s="30" t="s">
        <v>857</v>
      </c>
      <c r="AC770" s="29" t="s">
        <v>156</v>
      </c>
      <c r="AD770" s="30" t="s">
        <v>28</v>
      </c>
      <c r="AE770" s="31">
        <v>1.3823007675795071E-3</v>
      </c>
      <c r="AF770" s="12">
        <v>2.686881844261285</v>
      </c>
      <c r="AG770" s="38">
        <f t="shared" si="51"/>
        <v>3.7140788357178157E-3</v>
      </c>
      <c r="AH770" s="32">
        <f t="shared" si="52"/>
        <v>76.97286394226478</v>
      </c>
      <c r="AI770" s="33">
        <f t="shared" si="53"/>
        <v>0.2858832848925526</v>
      </c>
      <c r="AJ770" s="34">
        <f t="shared" si="54"/>
        <v>2.9151982062432392E-2</v>
      </c>
      <c r="AK770" s="35" t="s">
        <v>920</v>
      </c>
      <c r="AL770" s="32">
        <v>0.35814156249900003</v>
      </c>
      <c r="AM770" s="32">
        <v>2.686881844261285</v>
      </c>
      <c r="AN770" s="36">
        <v>0.96</v>
      </c>
    </row>
    <row r="771" spans="27:40" x14ac:dyDescent="0.25">
      <c r="AA771" s="29">
        <v>768</v>
      </c>
      <c r="AB771" s="30" t="s">
        <v>858</v>
      </c>
      <c r="AC771" s="29" t="s">
        <v>156</v>
      </c>
      <c r="AD771" s="30" t="s">
        <v>28</v>
      </c>
      <c r="AE771" s="31">
        <v>1.3823007675795071E-3</v>
      </c>
      <c r="AF771" s="12">
        <v>2.6247540922961297</v>
      </c>
      <c r="AG771" s="38">
        <f t="shared" si="51"/>
        <v>3.6281995964883925E-3</v>
      </c>
      <c r="AH771" s="32">
        <f t="shared" si="52"/>
        <v>76.97286394226478</v>
      </c>
      <c r="AI771" s="33">
        <f t="shared" si="53"/>
        <v>0.27927291389588099</v>
      </c>
      <c r="AJ771" s="34">
        <f t="shared" si="54"/>
        <v>2.8477911814521882E-2</v>
      </c>
      <c r="AK771" s="35" t="s">
        <v>920</v>
      </c>
      <c r="AL771" s="32">
        <v>0.35814156249900003</v>
      </c>
      <c r="AM771" s="32">
        <v>2.6247540922961297</v>
      </c>
      <c r="AN771" s="36">
        <v>0.94</v>
      </c>
    </row>
    <row r="772" spans="27:40" x14ac:dyDescent="0.25">
      <c r="AA772" s="29">
        <v>769</v>
      </c>
      <c r="AB772" s="30" t="s">
        <v>859</v>
      </c>
      <c r="AC772" s="29" t="s">
        <v>156</v>
      </c>
      <c r="AD772" s="30" t="s">
        <v>28</v>
      </c>
      <c r="AE772" s="31">
        <v>1.3823007675795071E-3</v>
      </c>
      <c r="AF772" s="12">
        <v>2.6868818442593785</v>
      </c>
      <c r="AG772" s="38">
        <f t="shared" si="51"/>
        <v>3.7140788357151802E-3</v>
      </c>
      <c r="AH772" s="32">
        <f t="shared" si="52"/>
        <v>76.97286394226478</v>
      </c>
      <c r="AI772" s="33">
        <f t="shared" si="53"/>
        <v>0.28588328489234976</v>
      </c>
      <c r="AJ772" s="34">
        <f t="shared" si="54"/>
        <v>2.9151982062411708E-2</v>
      </c>
      <c r="AK772" s="35" t="s">
        <v>920</v>
      </c>
      <c r="AL772" s="32">
        <v>0.35814156249900003</v>
      </c>
      <c r="AM772" s="32">
        <v>2.6868818442593785</v>
      </c>
      <c r="AN772" s="36">
        <v>0.96</v>
      </c>
    </row>
    <row r="773" spans="27:40" x14ac:dyDescent="0.25">
      <c r="AA773" s="29">
        <v>770</v>
      </c>
      <c r="AB773" s="30" t="s">
        <v>860</v>
      </c>
      <c r="AC773" s="29" t="s">
        <v>156</v>
      </c>
      <c r="AD773" s="30" t="s">
        <v>28</v>
      </c>
      <c r="AE773" s="31">
        <v>1.3823007675795071E-3</v>
      </c>
      <c r="AF773" s="12">
        <v>2.6868818442614488</v>
      </c>
      <c r="AG773" s="38">
        <f t="shared" ref="AG773:AG836" si="55">IF(AA773="","",AE773*AF773)</f>
        <v>3.7140788357180421E-3</v>
      </c>
      <c r="AH773" s="32">
        <f t="shared" ref="AH773:AH836" si="56">IF(AA773="","",IFERROR(VLOOKUP(AD773,$A$4:$E$20,3,FALSE),VLOOKUP(AD773,$A$25:$E$30,3,FALSE)))</f>
        <v>76.97286394226478</v>
      </c>
      <c r="AI773" s="33">
        <f t="shared" ref="AI773:AI836" si="57">IF(AA773="","",AG773*AH773)</f>
        <v>0.28588328489257003</v>
      </c>
      <c r="AJ773" s="34">
        <f t="shared" ref="AJ773:AJ836" si="58">IF(AA773="","",AI773/9.80665)</f>
        <v>2.9151982062434169E-2</v>
      </c>
      <c r="AK773" s="35" t="s">
        <v>920</v>
      </c>
      <c r="AL773" s="32">
        <v>0.35814156249900003</v>
      </c>
      <c r="AM773" s="32">
        <v>2.6868818442614488</v>
      </c>
      <c r="AN773" s="36">
        <v>0.96</v>
      </c>
    </row>
    <row r="774" spans="27:40" x14ac:dyDescent="0.25">
      <c r="AA774" s="29">
        <v>771</v>
      </c>
      <c r="AB774" s="30" t="s">
        <v>861</v>
      </c>
      <c r="AC774" s="29" t="s">
        <v>156</v>
      </c>
      <c r="AD774" s="30" t="s">
        <v>28</v>
      </c>
      <c r="AE774" s="31">
        <v>1.3823007675795071E-3</v>
      </c>
      <c r="AF774" s="12">
        <v>2.6868818442616735</v>
      </c>
      <c r="AG774" s="38">
        <f t="shared" si="55"/>
        <v>3.714078835718353E-3</v>
      </c>
      <c r="AH774" s="32">
        <f t="shared" si="56"/>
        <v>76.97286394226478</v>
      </c>
      <c r="AI774" s="33">
        <f t="shared" si="57"/>
        <v>0.28588328489259396</v>
      </c>
      <c r="AJ774" s="34">
        <f t="shared" si="58"/>
        <v>2.9151982062436608E-2</v>
      </c>
      <c r="AK774" s="35" t="s">
        <v>920</v>
      </c>
      <c r="AL774" s="32">
        <v>0.35814156249900003</v>
      </c>
      <c r="AM774" s="32">
        <v>2.6868818442616735</v>
      </c>
      <c r="AN774" s="36">
        <v>0.96</v>
      </c>
    </row>
    <row r="775" spans="27:40" x14ac:dyDescent="0.25">
      <c r="AA775" s="29">
        <v>772</v>
      </c>
      <c r="AB775" s="30" t="s">
        <v>862</v>
      </c>
      <c r="AC775" s="29" t="s">
        <v>156</v>
      </c>
      <c r="AD775" s="30" t="s">
        <v>28</v>
      </c>
      <c r="AE775" s="31">
        <v>1.3823007675795071E-3</v>
      </c>
      <c r="AF775" s="12">
        <v>2.7512422730515382</v>
      </c>
      <c r="AG775" s="38">
        <f t="shared" si="55"/>
        <v>3.8030443058363291E-3</v>
      </c>
      <c r="AH775" s="32">
        <f t="shared" si="56"/>
        <v>76.97286394226478</v>
      </c>
      <c r="AI775" s="33">
        <f t="shared" si="57"/>
        <v>0.29273121191954454</v>
      </c>
      <c r="AJ775" s="34">
        <f t="shared" si="58"/>
        <v>2.9850276283903736E-2</v>
      </c>
      <c r="AK775" s="35" t="s">
        <v>920</v>
      </c>
      <c r="AL775" s="32">
        <v>0.35814156249900003</v>
      </c>
      <c r="AM775" s="32">
        <v>2.7512422730515382</v>
      </c>
      <c r="AN775" s="36">
        <v>0.99</v>
      </c>
    </row>
    <row r="776" spans="27:40" x14ac:dyDescent="0.25">
      <c r="AA776" s="29">
        <v>773</v>
      </c>
      <c r="AB776" s="30" t="s">
        <v>863</v>
      </c>
      <c r="AC776" s="29" t="s">
        <v>156</v>
      </c>
      <c r="AD776" s="30" t="s">
        <v>28</v>
      </c>
      <c r="AE776" s="31">
        <v>1.3823007675795071E-3</v>
      </c>
      <c r="AF776" s="12">
        <v>2.7512422730501469</v>
      </c>
      <c r="AG776" s="38">
        <f t="shared" si="55"/>
        <v>3.8030443058344058E-3</v>
      </c>
      <c r="AH776" s="32">
        <f t="shared" si="56"/>
        <v>76.97286394226478</v>
      </c>
      <c r="AI776" s="33">
        <f t="shared" si="57"/>
        <v>0.29273121191939649</v>
      </c>
      <c r="AJ776" s="34">
        <f t="shared" si="58"/>
        <v>2.9850276283888637E-2</v>
      </c>
      <c r="AK776" s="35" t="s">
        <v>920</v>
      </c>
      <c r="AL776" s="32">
        <v>0.35814156249900003</v>
      </c>
      <c r="AM776" s="32">
        <v>2.7512422730501469</v>
      </c>
      <c r="AN776" s="36">
        <v>0.99</v>
      </c>
    </row>
    <row r="777" spans="27:40" x14ac:dyDescent="0.25">
      <c r="AA777" s="29">
        <v>774</v>
      </c>
      <c r="AB777" s="30" t="s">
        <v>864</v>
      </c>
      <c r="AC777" s="29" t="s">
        <v>156</v>
      </c>
      <c r="AD777" s="30" t="s">
        <v>28</v>
      </c>
      <c r="AE777" s="31">
        <v>1.3823007675795071E-3</v>
      </c>
      <c r="AF777" s="12">
        <v>2.6868818442602631</v>
      </c>
      <c r="AG777" s="38">
        <f t="shared" si="55"/>
        <v>3.7140788357164032E-3</v>
      </c>
      <c r="AH777" s="32">
        <f t="shared" si="56"/>
        <v>76.97286394226478</v>
      </c>
      <c r="AI777" s="33">
        <f t="shared" si="57"/>
        <v>0.28588328489244391</v>
      </c>
      <c r="AJ777" s="34">
        <f t="shared" si="58"/>
        <v>2.9151982062421308E-2</v>
      </c>
      <c r="AK777" s="35" t="s">
        <v>920</v>
      </c>
      <c r="AL777" s="32">
        <v>0.35814156249900003</v>
      </c>
      <c r="AM777" s="32">
        <v>2.6868818442602631</v>
      </c>
      <c r="AN777" s="36">
        <v>0.96</v>
      </c>
    </row>
    <row r="778" spans="27:40" x14ac:dyDescent="0.25">
      <c r="AA778" s="29">
        <v>775</v>
      </c>
      <c r="AB778" s="30" t="s">
        <v>865</v>
      </c>
      <c r="AC778" s="29" t="s">
        <v>155</v>
      </c>
      <c r="AD778" s="30" t="s">
        <v>28</v>
      </c>
      <c r="AE778" s="31">
        <v>1.0461503536454023E-3</v>
      </c>
      <c r="AF778" s="12">
        <v>7</v>
      </c>
      <c r="AG778" s="38">
        <f t="shared" si="55"/>
        <v>7.3230524755178161E-3</v>
      </c>
      <c r="AH778" s="32">
        <f t="shared" si="56"/>
        <v>76.97286394226478</v>
      </c>
      <c r="AI778" s="33">
        <f t="shared" si="57"/>
        <v>0.56367632184009819</v>
      </c>
      <c r="AJ778" s="34">
        <f t="shared" si="58"/>
        <v>5.7478988425211285E-2</v>
      </c>
      <c r="AK778" s="35" t="s">
        <v>920</v>
      </c>
      <c r="AL778" s="32">
        <v>0.35814156249900003</v>
      </c>
      <c r="AM778" s="32">
        <v>7</v>
      </c>
      <c r="AN778" s="36">
        <v>2.5099999999999998</v>
      </c>
    </row>
    <row r="779" spans="27:40" x14ac:dyDescent="0.25">
      <c r="AA779" s="29">
        <v>776</v>
      </c>
      <c r="AB779" s="30" t="s">
        <v>866</v>
      </c>
      <c r="AC779" s="29" t="s">
        <v>155</v>
      </c>
      <c r="AD779" s="30" t="s">
        <v>28</v>
      </c>
      <c r="AE779" s="31">
        <v>1.0461503536454023E-3</v>
      </c>
      <c r="AF779" s="12">
        <v>7</v>
      </c>
      <c r="AG779" s="38">
        <f t="shared" si="55"/>
        <v>7.3230524755178161E-3</v>
      </c>
      <c r="AH779" s="32">
        <f t="shared" si="56"/>
        <v>76.97286394226478</v>
      </c>
      <c r="AI779" s="33">
        <f t="shared" si="57"/>
        <v>0.56367632184009819</v>
      </c>
      <c r="AJ779" s="34">
        <f t="shared" si="58"/>
        <v>5.7478988425211285E-2</v>
      </c>
      <c r="AK779" s="35" t="s">
        <v>920</v>
      </c>
      <c r="AL779" s="32">
        <v>0.35814156249900003</v>
      </c>
      <c r="AM779" s="32">
        <v>7</v>
      </c>
      <c r="AN779" s="36">
        <v>2.5099999999999998</v>
      </c>
    </row>
    <row r="780" spans="27:40" x14ac:dyDescent="0.25">
      <c r="AA780" s="29">
        <v>777</v>
      </c>
      <c r="AB780" s="30" t="s">
        <v>867</v>
      </c>
      <c r="AC780" s="29" t="s">
        <v>104</v>
      </c>
      <c r="AD780" s="30" t="s">
        <v>28</v>
      </c>
      <c r="AE780" s="31">
        <v>3.1415926535897931E-4</v>
      </c>
      <c r="AF780" s="12">
        <v>10.867454532759794</v>
      </c>
      <c r="AG780" s="38">
        <f t="shared" si="55"/>
        <v>3.4141115323339266E-3</v>
      </c>
      <c r="AH780" s="32">
        <f t="shared" si="56"/>
        <v>76.97286394226478</v>
      </c>
      <c r="AI780" s="33">
        <f t="shared" si="57"/>
        <v>0.26279394246205645</v>
      </c>
      <c r="AJ780" s="34">
        <f t="shared" si="58"/>
        <v>2.6797524380094778E-2</v>
      </c>
      <c r="AK780" s="35" t="s">
        <v>921</v>
      </c>
      <c r="AL780" s="32">
        <v>0</v>
      </c>
      <c r="AM780" s="32">
        <v>10.867454532759794</v>
      </c>
      <c r="AN780" s="36">
        <v>0</v>
      </c>
    </row>
    <row r="781" spans="27:40" x14ac:dyDescent="0.25">
      <c r="AA781" s="29">
        <v>778</v>
      </c>
      <c r="AB781" s="30" t="s">
        <v>868</v>
      </c>
      <c r="AC781" s="29" t="s">
        <v>104</v>
      </c>
      <c r="AD781" s="30" t="s">
        <v>28</v>
      </c>
      <c r="AE781" s="31">
        <v>3.1415926535897931E-4</v>
      </c>
      <c r="AF781" s="12">
        <v>10.867454532759794</v>
      </c>
      <c r="AG781" s="38">
        <f t="shared" si="55"/>
        <v>3.4141115323339266E-3</v>
      </c>
      <c r="AH781" s="32">
        <f t="shared" si="56"/>
        <v>76.97286394226478</v>
      </c>
      <c r="AI781" s="33">
        <f t="shared" si="57"/>
        <v>0.26279394246205645</v>
      </c>
      <c r="AJ781" s="34">
        <f t="shared" si="58"/>
        <v>2.6797524380094778E-2</v>
      </c>
      <c r="AK781" s="35" t="s">
        <v>921</v>
      </c>
      <c r="AL781" s="32">
        <v>0</v>
      </c>
      <c r="AM781" s="32">
        <v>10.867454532759794</v>
      </c>
      <c r="AN781" s="36">
        <v>0</v>
      </c>
    </row>
    <row r="782" spans="27:40" x14ac:dyDescent="0.25">
      <c r="AA782" s="29">
        <v>779</v>
      </c>
      <c r="AB782" s="30" t="s">
        <v>869</v>
      </c>
      <c r="AC782" s="29" t="s">
        <v>104</v>
      </c>
      <c r="AD782" s="30" t="s">
        <v>28</v>
      </c>
      <c r="AE782" s="31">
        <v>3.1415926535897931E-4</v>
      </c>
      <c r="AF782" s="12">
        <v>9.3762279522703551</v>
      </c>
      <c r="AG782" s="38">
        <f t="shared" si="55"/>
        <v>2.9456288853235819E-3</v>
      </c>
      <c r="AH782" s="32">
        <f t="shared" si="56"/>
        <v>76.97286394226478</v>
      </c>
      <c r="AI782" s="33">
        <f t="shared" si="57"/>
        <v>0.22673349141441712</v>
      </c>
      <c r="AJ782" s="34">
        <f t="shared" si="58"/>
        <v>2.3120381722037304E-2</v>
      </c>
      <c r="AK782" s="35" t="s">
        <v>921</v>
      </c>
      <c r="AL782" s="32">
        <v>0</v>
      </c>
      <c r="AM782" s="32">
        <v>9.3762279522703551</v>
      </c>
      <c r="AN782" s="36">
        <v>0</v>
      </c>
    </row>
    <row r="783" spans="27:40" x14ac:dyDescent="0.25">
      <c r="AA783" s="29">
        <v>780</v>
      </c>
      <c r="AB783" s="30" t="s">
        <v>870</v>
      </c>
      <c r="AC783" s="29" t="s">
        <v>104</v>
      </c>
      <c r="AD783" s="30" t="s">
        <v>28</v>
      </c>
      <c r="AE783" s="31">
        <v>3.1415926535897931E-4</v>
      </c>
      <c r="AF783" s="12">
        <v>9.3762279522703551</v>
      </c>
      <c r="AG783" s="38">
        <f t="shared" si="55"/>
        <v>2.9456288853235819E-3</v>
      </c>
      <c r="AH783" s="32">
        <f t="shared" si="56"/>
        <v>76.97286394226478</v>
      </c>
      <c r="AI783" s="33">
        <f t="shared" si="57"/>
        <v>0.22673349141441712</v>
      </c>
      <c r="AJ783" s="34">
        <f t="shared" si="58"/>
        <v>2.3120381722037304E-2</v>
      </c>
      <c r="AK783" s="35" t="s">
        <v>921</v>
      </c>
      <c r="AL783" s="32">
        <v>0</v>
      </c>
      <c r="AM783" s="32">
        <v>9.3762279522703551</v>
      </c>
      <c r="AN783" s="36">
        <v>0</v>
      </c>
    </row>
    <row r="784" spans="27:40" x14ac:dyDescent="0.25">
      <c r="AA784" s="29">
        <v>781</v>
      </c>
      <c r="AB784" s="30" t="s">
        <v>871</v>
      </c>
      <c r="AC784" s="29" t="s">
        <v>156</v>
      </c>
      <c r="AD784" s="30" t="s">
        <v>28</v>
      </c>
      <c r="AE784" s="31">
        <v>1.3823007675795071E-3</v>
      </c>
      <c r="AF784" s="12">
        <v>3.0640900802785689</v>
      </c>
      <c r="AG784" s="38">
        <f t="shared" si="55"/>
        <v>4.2354940699018189E-3</v>
      </c>
      <c r="AH784" s="32">
        <f t="shared" si="56"/>
        <v>76.97286394226478</v>
      </c>
      <c r="AI784" s="33">
        <f t="shared" si="57"/>
        <v>0.32601810877082205</v>
      </c>
      <c r="AJ784" s="34">
        <f t="shared" si="58"/>
        <v>3.3244595123800895E-2</v>
      </c>
      <c r="AK784" s="35" t="s">
        <v>920</v>
      </c>
      <c r="AL784" s="32">
        <v>0.35814156249900003</v>
      </c>
      <c r="AM784" s="32">
        <v>3.0640900802785689</v>
      </c>
      <c r="AN784" s="36">
        <v>1.1000000000000001</v>
      </c>
    </row>
    <row r="785" spans="27:40" x14ac:dyDescent="0.25">
      <c r="AA785" s="29">
        <v>782</v>
      </c>
      <c r="AB785" s="30" t="s">
        <v>872</v>
      </c>
      <c r="AC785" s="29" t="s">
        <v>156</v>
      </c>
      <c r="AD785" s="30" t="s">
        <v>28</v>
      </c>
      <c r="AE785" s="31">
        <v>1.3823007675795071E-3</v>
      </c>
      <c r="AF785" s="12">
        <v>2.7187927550718571</v>
      </c>
      <c r="AG785" s="38">
        <f t="shared" si="55"/>
        <v>3.7581893122254307E-3</v>
      </c>
      <c r="AH785" s="32">
        <f t="shared" si="56"/>
        <v>76.97286394226478</v>
      </c>
      <c r="AI785" s="33">
        <f t="shared" si="57"/>
        <v>0.28927859459920174</v>
      </c>
      <c r="AJ785" s="34">
        <f t="shared" si="58"/>
        <v>2.9498207298027539E-2</v>
      </c>
      <c r="AK785" s="35" t="s">
        <v>920</v>
      </c>
      <c r="AL785" s="32">
        <v>0.35814156249900003</v>
      </c>
      <c r="AM785" s="32">
        <v>2.7187927550718571</v>
      </c>
      <c r="AN785" s="36">
        <v>0.97</v>
      </c>
    </row>
    <row r="786" spans="27:40" x14ac:dyDescent="0.25">
      <c r="AA786" s="29">
        <v>783</v>
      </c>
      <c r="AB786" s="30" t="s">
        <v>873</v>
      </c>
      <c r="AC786" s="29" t="s">
        <v>156</v>
      </c>
      <c r="AD786" s="30" t="s">
        <v>28</v>
      </c>
      <c r="AE786" s="31">
        <v>1.3823007675795071E-3</v>
      </c>
      <c r="AF786" s="12">
        <v>2.7187927550695803</v>
      </c>
      <c r="AG786" s="38">
        <f t="shared" si="55"/>
        <v>3.7581893122222835E-3</v>
      </c>
      <c r="AH786" s="32">
        <f t="shared" si="56"/>
        <v>76.97286394226478</v>
      </c>
      <c r="AI786" s="33">
        <f t="shared" si="57"/>
        <v>0.28927859459895949</v>
      </c>
      <c r="AJ786" s="34">
        <f t="shared" si="58"/>
        <v>2.9498207298002836E-2</v>
      </c>
      <c r="AK786" s="35" t="s">
        <v>920</v>
      </c>
      <c r="AL786" s="32">
        <v>0.35814156249900003</v>
      </c>
      <c r="AM786" s="32">
        <v>2.7187927550695803</v>
      </c>
      <c r="AN786" s="36">
        <v>0.97</v>
      </c>
    </row>
    <row r="787" spans="27:40" x14ac:dyDescent="0.25">
      <c r="AA787" s="29">
        <v>784</v>
      </c>
      <c r="AB787" s="30" t="s">
        <v>874</v>
      </c>
      <c r="AC787" s="29" t="s">
        <v>153</v>
      </c>
      <c r="AD787" s="30" t="s">
        <v>28</v>
      </c>
      <c r="AE787" s="31">
        <v>8.2938046054770545E-4</v>
      </c>
      <c r="AF787" s="12">
        <v>1</v>
      </c>
      <c r="AG787" s="38">
        <f t="shared" si="55"/>
        <v>8.2938046054770545E-4</v>
      </c>
      <c r="AH787" s="32">
        <f t="shared" si="56"/>
        <v>76.97286394226478</v>
      </c>
      <c r="AI787" s="33">
        <f t="shared" si="57"/>
        <v>6.3839789346111439E-2</v>
      </c>
      <c r="AJ787" s="34">
        <f t="shared" si="58"/>
        <v>6.5098468229325447E-3</v>
      </c>
      <c r="AK787" s="35" t="s">
        <v>920</v>
      </c>
      <c r="AL787" s="32">
        <v>0.21991148574500002</v>
      </c>
      <c r="AM787" s="32">
        <v>1</v>
      </c>
      <c r="AN787" s="36">
        <v>0.22</v>
      </c>
    </row>
    <row r="788" spans="27:40" x14ac:dyDescent="0.25">
      <c r="AA788" s="29">
        <v>785</v>
      </c>
      <c r="AB788" s="30" t="s">
        <v>875</v>
      </c>
      <c r="AC788" s="29" t="s">
        <v>153</v>
      </c>
      <c r="AD788" s="30" t="s">
        <v>28</v>
      </c>
      <c r="AE788" s="31">
        <v>8.2938046054770545E-4</v>
      </c>
      <c r="AF788" s="12">
        <v>1</v>
      </c>
      <c r="AG788" s="38">
        <f t="shared" si="55"/>
        <v>8.2938046054770545E-4</v>
      </c>
      <c r="AH788" s="32">
        <f t="shared" si="56"/>
        <v>76.97286394226478</v>
      </c>
      <c r="AI788" s="33">
        <f t="shared" si="57"/>
        <v>6.3839789346111439E-2</v>
      </c>
      <c r="AJ788" s="34">
        <f t="shared" si="58"/>
        <v>6.5098468229325447E-3</v>
      </c>
      <c r="AK788" s="35" t="s">
        <v>920</v>
      </c>
      <c r="AL788" s="32">
        <v>0.21991148574500002</v>
      </c>
      <c r="AM788" s="32">
        <v>1</v>
      </c>
      <c r="AN788" s="36">
        <v>0.22</v>
      </c>
    </row>
    <row r="789" spans="27:40" x14ac:dyDescent="0.25">
      <c r="AA789" s="29">
        <v>786</v>
      </c>
      <c r="AB789" s="30" t="s">
        <v>876</v>
      </c>
      <c r="AC789" s="29" t="s">
        <v>153</v>
      </c>
      <c r="AD789" s="30" t="s">
        <v>28</v>
      </c>
      <c r="AE789" s="31">
        <v>8.2938046054770545E-4</v>
      </c>
      <c r="AF789" s="12">
        <v>2.7191345337701742</v>
      </c>
      <c r="AG789" s="38">
        <f t="shared" si="55"/>
        <v>2.2551970519094776E-3</v>
      </c>
      <c r="AH789" s="32">
        <f t="shared" si="56"/>
        <v>76.97286394226478</v>
      </c>
      <c r="AI789" s="33">
        <f t="shared" si="57"/>
        <v>0.17358897583962488</v>
      </c>
      <c r="AJ789" s="34">
        <f t="shared" si="58"/>
        <v>1.7701149305789938E-2</v>
      </c>
      <c r="AK789" s="35" t="s">
        <v>920</v>
      </c>
      <c r="AL789" s="32">
        <v>0.21991148574500002</v>
      </c>
      <c r="AM789" s="32">
        <v>2.7191345337701742</v>
      </c>
      <c r="AN789" s="36">
        <v>0.6</v>
      </c>
    </row>
    <row r="790" spans="27:40" x14ac:dyDescent="0.25">
      <c r="AA790" s="29">
        <v>787</v>
      </c>
      <c r="AB790" s="30" t="s">
        <v>877</v>
      </c>
      <c r="AC790" s="29" t="s">
        <v>153</v>
      </c>
      <c r="AD790" s="30" t="s">
        <v>28</v>
      </c>
      <c r="AE790" s="31">
        <v>8.2938046054770545E-4</v>
      </c>
      <c r="AF790" s="12">
        <v>3.0930352991105288</v>
      </c>
      <c r="AG790" s="38">
        <f t="shared" si="55"/>
        <v>2.5653030408666001E-3</v>
      </c>
      <c r="AH790" s="32">
        <f t="shared" si="56"/>
        <v>76.97286394226478</v>
      </c>
      <c r="AI790" s="33">
        <f t="shared" si="57"/>
        <v>0.19745872193530292</v>
      </c>
      <c r="AJ790" s="34">
        <f t="shared" si="58"/>
        <v>2.0135186015132887E-2</v>
      </c>
      <c r="AK790" s="35" t="s">
        <v>920</v>
      </c>
      <c r="AL790" s="32">
        <v>0.21991148574500002</v>
      </c>
      <c r="AM790" s="32">
        <v>3.0930352991105288</v>
      </c>
      <c r="AN790" s="36">
        <v>0.68</v>
      </c>
    </row>
    <row r="791" spans="27:40" x14ac:dyDescent="0.25">
      <c r="AA791" s="29">
        <v>788</v>
      </c>
      <c r="AB791" s="30" t="s">
        <v>42</v>
      </c>
      <c r="AC791" s="29" t="s">
        <v>156</v>
      </c>
      <c r="AD791" s="30" t="s">
        <v>28</v>
      </c>
      <c r="AE791" s="31">
        <v>1.3823007675795071E-3</v>
      </c>
      <c r="AF791" s="12">
        <v>2.9144527304140642</v>
      </c>
      <c r="AG791" s="38">
        <f t="shared" si="55"/>
        <v>4.028650246325551E-3</v>
      </c>
      <c r="AH791" s="32">
        <f t="shared" si="56"/>
        <v>76.97286394226478</v>
      </c>
      <c r="AI791" s="33">
        <f t="shared" si="57"/>
        <v>0.31009674728138814</v>
      </c>
      <c r="AJ791" s="34">
        <f t="shared" si="58"/>
        <v>3.1621068079455077E-2</v>
      </c>
      <c r="AK791" s="35" t="s">
        <v>920</v>
      </c>
      <c r="AL791" s="32">
        <v>0.35814156249900003</v>
      </c>
      <c r="AM791" s="32">
        <v>2.9144527304140642</v>
      </c>
      <c r="AN791" s="36">
        <v>1.04</v>
      </c>
    </row>
    <row r="792" spans="27:40" x14ac:dyDescent="0.25">
      <c r="AA792" s="29">
        <v>789</v>
      </c>
      <c r="AB792" s="30" t="s">
        <v>43</v>
      </c>
      <c r="AC792" s="29" t="s">
        <v>156</v>
      </c>
      <c r="AD792" s="30" t="s">
        <v>28</v>
      </c>
      <c r="AE792" s="31">
        <v>1.3823007675795071E-3</v>
      </c>
      <c r="AF792" s="12">
        <v>2.686881844259426</v>
      </c>
      <c r="AG792" s="38">
        <f t="shared" si="55"/>
        <v>3.7140788357152461E-3</v>
      </c>
      <c r="AH792" s="32">
        <f t="shared" si="56"/>
        <v>76.97286394226478</v>
      </c>
      <c r="AI792" s="33">
        <f t="shared" si="57"/>
        <v>0.28588328489235482</v>
      </c>
      <c r="AJ792" s="34">
        <f t="shared" si="58"/>
        <v>2.9151982062412225E-2</v>
      </c>
      <c r="AK792" s="35" t="s">
        <v>920</v>
      </c>
      <c r="AL792" s="32">
        <v>0.35814156249900003</v>
      </c>
      <c r="AM792" s="32">
        <v>2.686881844259426</v>
      </c>
      <c r="AN792" s="36">
        <v>0.96</v>
      </c>
    </row>
    <row r="793" spans="27:40" x14ac:dyDescent="0.25">
      <c r="AA793" s="29">
        <v>790</v>
      </c>
      <c r="AB793" s="30" t="s">
        <v>44</v>
      </c>
      <c r="AC793" s="29" t="s">
        <v>156</v>
      </c>
      <c r="AD793" s="30" t="s">
        <v>28</v>
      </c>
      <c r="AE793" s="31">
        <v>1.3823007675795071E-3</v>
      </c>
      <c r="AF793" s="12">
        <v>2.6926634253260437</v>
      </c>
      <c r="AG793" s="38">
        <f t="shared" si="55"/>
        <v>3.7220707196614551E-3</v>
      </c>
      <c r="AH793" s="32">
        <f t="shared" si="56"/>
        <v>76.97286394226478</v>
      </c>
      <c r="AI793" s="33">
        <f t="shared" si="57"/>
        <v>0.28649844308798872</v>
      </c>
      <c r="AJ793" s="34">
        <f t="shared" si="58"/>
        <v>2.9214710740975636E-2</v>
      </c>
      <c r="AK793" s="35" t="s">
        <v>920</v>
      </c>
      <c r="AL793" s="32">
        <v>0.35814156249900003</v>
      </c>
      <c r="AM793" s="32">
        <v>2.6926634253260437</v>
      </c>
      <c r="AN793" s="36">
        <v>0.96</v>
      </c>
    </row>
    <row r="794" spans="27:40" x14ac:dyDescent="0.25">
      <c r="AA794" s="29">
        <v>791</v>
      </c>
      <c r="AB794" s="30" t="s">
        <v>45</v>
      </c>
      <c r="AC794" s="29" t="s">
        <v>153</v>
      </c>
      <c r="AD794" s="30" t="s">
        <v>28</v>
      </c>
      <c r="AE794" s="31">
        <v>8.2938046054770545E-4</v>
      </c>
      <c r="AF794" s="12">
        <v>1</v>
      </c>
      <c r="AG794" s="38">
        <f t="shared" si="55"/>
        <v>8.2938046054770545E-4</v>
      </c>
      <c r="AH794" s="32">
        <f t="shared" si="56"/>
        <v>76.97286394226478</v>
      </c>
      <c r="AI794" s="33">
        <f t="shared" si="57"/>
        <v>6.3839789346111439E-2</v>
      </c>
      <c r="AJ794" s="34">
        <f t="shared" si="58"/>
        <v>6.5098468229325447E-3</v>
      </c>
      <c r="AK794" s="35" t="s">
        <v>920</v>
      </c>
      <c r="AL794" s="32">
        <v>0.21991148574500002</v>
      </c>
      <c r="AM794" s="32">
        <v>1</v>
      </c>
      <c r="AN794" s="36">
        <v>0.22</v>
      </c>
    </row>
    <row r="795" spans="27:40" x14ac:dyDescent="0.25">
      <c r="AA795" s="29">
        <v>792</v>
      </c>
      <c r="AB795" s="30" t="s">
        <v>878</v>
      </c>
      <c r="AC795" s="29" t="s">
        <v>153</v>
      </c>
      <c r="AD795" s="30" t="s">
        <v>28</v>
      </c>
      <c r="AE795" s="31">
        <v>8.2938046054770545E-4</v>
      </c>
      <c r="AF795" s="12">
        <v>1</v>
      </c>
      <c r="AG795" s="38">
        <f t="shared" si="55"/>
        <v>8.2938046054770545E-4</v>
      </c>
      <c r="AH795" s="32">
        <f t="shared" si="56"/>
        <v>76.97286394226478</v>
      </c>
      <c r="AI795" s="33">
        <f t="shared" si="57"/>
        <v>6.3839789346111439E-2</v>
      </c>
      <c r="AJ795" s="34">
        <f t="shared" si="58"/>
        <v>6.5098468229325447E-3</v>
      </c>
      <c r="AK795" s="35" t="s">
        <v>920</v>
      </c>
      <c r="AL795" s="32">
        <v>0.21991148574500002</v>
      </c>
      <c r="AM795" s="32">
        <v>1</v>
      </c>
      <c r="AN795" s="36">
        <v>0.22</v>
      </c>
    </row>
    <row r="796" spans="27:40" x14ac:dyDescent="0.25">
      <c r="AA796" s="29">
        <v>793</v>
      </c>
      <c r="AB796" s="30" t="s">
        <v>879</v>
      </c>
      <c r="AC796" s="29" t="s">
        <v>153</v>
      </c>
      <c r="AD796" s="30" t="s">
        <v>28</v>
      </c>
      <c r="AE796" s="31">
        <v>8.2938046054770545E-4</v>
      </c>
      <c r="AF796" s="12">
        <v>2.7860530343159811</v>
      </c>
      <c r="AG796" s="38">
        <f t="shared" si="55"/>
        <v>2.3106979487113205E-3</v>
      </c>
      <c r="AH796" s="32">
        <f t="shared" si="56"/>
        <v>76.97286394226478</v>
      </c>
      <c r="AI796" s="33">
        <f t="shared" si="57"/>
        <v>0.17786103881782678</v>
      </c>
      <c r="AJ796" s="34">
        <f t="shared" si="58"/>
        <v>1.8136778493963463E-2</v>
      </c>
      <c r="AK796" s="35" t="s">
        <v>920</v>
      </c>
      <c r="AL796" s="32">
        <v>0.21991148574500002</v>
      </c>
      <c r="AM796" s="32">
        <v>2.7860530343159811</v>
      </c>
      <c r="AN796" s="36">
        <v>0.61</v>
      </c>
    </row>
    <row r="797" spans="27:40" x14ac:dyDescent="0.25">
      <c r="AA797" s="29">
        <v>794</v>
      </c>
      <c r="AB797" s="30" t="s">
        <v>880</v>
      </c>
      <c r="AC797" s="29" t="s">
        <v>156</v>
      </c>
      <c r="AD797" s="30" t="s">
        <v>28</v>
      </c>
      <c r="AE797" s="31">
        <v>1.3823007675795071E-3</v>
      </c>
      <c r="AF797" s="12">
        <v>2.6541101575665795</v>
      </c>
      <c r="AG797" s="38">
        <f t="shared" si="55"/>
        <v>3.6687785080448494E-3</v>
      </c>
      <c r="AH797" s="32">
        <f t="shared" si="56"/>
        <v>76.97286394226478</v>
      </c>
      <c r="AI797" s="33">
        <f t="shared" si="57"/>
        <v>0.28239638893404134</v>
      </c>
      <c r="AJ797" s="34">
        <f t="shared" si="58"/>
        <v>2.8796417628246279E-2</v>
      </c>
      <c r="AK797" s="35" t="s">
        <v>920</v>
      </c>
      <c r="AL797" s="32">
        <v>0.35814156249900003</v>
      </c>
      <c r="AM797" s="32">
        <v>2.6541101575665795</v>
      </c>
      <c r="AN797" s="36">
        <v>0.95</v>
      </c>
    </row>
    <row r="798" spans="27:40" x14ac:dyDescent="0.25">
      <c r="AA798" s="29">
        <v>795</v>
      </c>
      <c r="AB798" s="30" t="s">
        <v>881</v>
      </c>
      <c r="AC798" s="29" t="s">
        <v>156</v>
      </c>
      <c r="AD798" s="30" t="s">
        <v>28</v>
      </c>
      <c r="AE798" s="31">
        <v>1.3823007675795071E-3</v>
      </c>
      <c r="AF798" s="12">
        <v>2.7512422730515382</v>
      </c>
      <c r="AG798" s="38">
        <f t="shared" si="55"/>
        <v>3.8030443058363291E-3</v>
      </c>
      <c r="AH798" s="32">
        <f t="shared" si="56"/>
        <v>76.97286394226478</v>
      </c>
      <c r="AI798" s="33">
        <f t="shared" si="57"/>
        <v>0.29273121191954454</v>
      </c>
      <c r="AJ798" s="34">
        <f t="shared" si="58"/>
        <v>2.9850276283903736E-2</v>
      </c>
      <c r="AK798" s="35" t="s">
        <v>920</v>
      </c>
      <c r="AL798" s="32">
        <v>0.35814156249900003</v>
      </c>
      <c r="AM798" s="32">
        <v>2.7512422730515382</v>
      </c>
      <c r="AN798" s="36">
        <v>0.99</v>
      </c>
    </row>
    <row r="799" spans="27:40" x14ac:dyDescent="0.25">
      <c r="AA799" s="29">
        <v>796</v>
      </c>
      <c r="AB799" s="30" t="s">
        <v>882</v>
      </c>
      <c r="AC799" s="29" t="s">
        <v>156</v>
      </c>
      <c r="AD799" s="30" t="s">
        <v>28</v>
      </c>
      <c r="AE799" s="31">
        <v>1.3823007675795071E-3</v>
      </c>
      <c r="AF799" s="12">
        <v>2.7512422730501469</v>
      </c>
      <c r="AG799" s="38">
        <f t="shared" si="55"/>
        <v>3.8030443058344058E-3</v>
      </c>
      <c r="AH799" s="32">
        <f t="shared" si="56"/>
        <v>76.97286394226478</v>
      </c>
      <c r="AI799" s="33">
        <f t="shared" si="57"/>
        <v>0.29273121191939649</v>
      </c>
      <c r="AJ799" s="34">
        <f t="shared" si="58"/>
        <v>2.9850276283888637E-2</v>
      </c>
      <c r="AK799" s="35" t="s">
        <v>920</v>
      </c>
      <c r="AL799" s="32">
        <v>0.35814156249900003</v>
      </c>
      <c r="AM799" s="32">
        <v>2.7512422730501469</v>
      </c>
      <c r="AN799" s="36">
        <v>0.99</v>
      </c>
    </row>
    <row r="800" spans="27:40" x14ac:dyDescent="0.25">
      <c r="AA800" s="29">
        <v>797</v>
      </c>
      <c r="AB800" s="30" t="s">
        <v>883</v>
      </c>
      <c r="AC800" s="29" t="s">
        <v>156</v>
      </c>
      <c r="AD800" s="30" t="s">
        <v>28</v>
      </c>
      <c r="AE800" s="31">
        <v>1.3823007675795071E-3</v>
      </c>
      <c r="AF800" s="12">
        <v>2.9762781738186956</v>
      </c>
      <c r="AG800" s="38">
        <f t="shared" si="55"/>
        <v>4.1141116041997165E-3</v>
      </c>
      <c r="AH800" s="32">
        <f t="shared" si="56"/>
        <v>76.97286394226478</v>
      </c>
      <c r="AI800" s="33">
        <f t="shared" si="57"/>
        <v>0.31667495275335744</v>
      </c>
      <c r="AJ800" s="34">
        <f t="shared" si="58"/>
        <v>3.2291858356661804E-2</v>
      </c>
      <c r="AK800" s="35" t="s">
        <v>920</v>
      </c>
      <c r="AL800" s="32">
        <v>0.35814156249900003</v>
      </c>
      <c r="AM800" s="32">
        <v>2.9762781738186956</v>
      </c>
      <c r="AN800" s="36">
        <v>1.07</v>
      </c>
    </row>
    <row r="801" spans="27:40" x14ac:dyDescent="0.25">
      <c r="AA801" s="29">
        <v>798</v>
      </c>
      <c r="AB801" s="30" t="s">
        <v>884</v>
      </c>
      <c r="AC801" s="29" t="s">
        <v>153</v>
      </c>
      <c r="AD801" s="30" t="s">
        <v>28</v>
      </c>
      <c r="AE801" s="31">
        <v>8.2938046054770545E-4</v>
      </c>
      <c r="AF801" s="12">
        <v>1</v>
      </c>
      <c r="AG801" s="38">
        <f t="shared" si="55"/>
        <v>8.2938046054770545E-4</v>
      </c>
      <c r="AH801" s="32">
        <f t="shared" si="56"/>
        <v>76.97286394226478</v>
      </c>
      <c r="AI801" s="33">
        <f t="shared" si="57"/>
        <v>6.3839789346111439E-2</v>
      </c>
      <c r="AJ801" s="34">
        <f t="shared" si="58"/>
        <v>6.5098468229325447E-3</v>
      </c>
      <c r="AK801" s="35" t="s">
        <v>920</v>
      </c>
      <c r="AL801" s="32">
        <v>0.21991148574500002</v>
      </c>
      <c r="AM801" s="32">
        <v>1</v>
      </c>
      <c r="AN801" s="36">
        <v>0.22</v>
      </c>
    </row>
    <row r="802" spans="27:40" x14ac:dyDescent="0.25">
      <c r="AA802" s="29">
        <v>799</v>
      </c>
      <c r="AB802" s="30" t="s">
        <v>885</v>
      </c>
      <c r="AC802" s="29" t="s">
        <v>153</v>
      </c>
      <c r="AD802" s="30" t="s">
        <v>28</v>
      </c>
      <c r="AE802" s="31">
        <v>8.2938046054770545E-4</v>
      </c>
      <c r="AF802" s="12">
        <v>1</v>
      </c>
      <c r="AG802" s="38">
        <f t="shared" si="55"/>
        <v>8.2938046054770545E-4</v>
      </c>
      <c r="AH802" s="32">
        <f t="shared" si="56"/>
        <v>76.97286394226478</v>
      </c>
      <c r="AI802" s="33">
        <f t="shared" si="57"/>
        <v>6.3839789346111439E-2</v>
      </c>
      <c r="AJ802" s="34">
        <f t="shared" si="58"/>
        <v>6.5098468229325447E-3</v>
      </c>
      <c r="AK802" s="35" t="s">
        <v>920</v>
      </c>
      <c r="AL802" s="32">
        <v>0.21991148574500002</v>
      </c>
      <c r="AM802" s="32">
        <v>1</v>
      </c>
      <c r="AN802" s="36">
        <v>0.22</v>
      </c>
    </row>
    <row r="803" spans="27:40" x14ac:dyDescent="0.25">
      <c r="AA803" s="29">
        <v>800</v>
      </c>
      <c r="AB803" s="30" t="s">
        <v>886</v>
      </c>
      <c r="AC803" s="29" t="s">
        <v>153</v>
      </c>
      <c r="AD803" s="30" t="s">
        <v>28</v>
      </c>
      <c r="AE803" s="31">
        <v>8.2938046054770545E-4</v>
      </c>
      <c r="AF803" s="12">
        <v>1</v>
      </c>
      <c r="AG803" s="38">
        <f t="shared" si="55"/>
        <v>8.2938046054770545E-4</v>
      </c>
      <c r="AH803" s="32">
        <f t="shared" si="56"/>
        <v>76.97286394226478</v>
      </c>
      <c r="AI803" s="33">
        <f t="shared" si="57"/>
        <v>6.3839789346111439E-2</v>
      </c>
      <c r="AJ803" s="34">
        <f t="shared" si="58"/>
        <v>6.5098468229325447E-3</v>
      </c>
      <c r="AK803" s="35" t="s">
        <v>920</v>
      </c>
      <c r="AL803" s="32">
        <v>0.21991148574500002</v>
      </c>
      <c r="AM803" s="32">
        <v>1</v>
      </c>
      <c r="AN803" s="36">
        <v>0.22</v>
      </c>
    </row>
    <row r="804" spans="27:40" x14ac:dyDescent="0.25">
      <c r="AA804" s="29">
        <v>801</v>
      </c>
      <c r="AB804" s="30" t="s">
        <v>887</v>
      </c>
      <c r="AC804" s="29" t="s">
        <v>153</v>
      </c>
      <c r="AD804" s="30" t="s">
        <v>28</v>
      </c>
      <c r="AE804" s="31">
        <v>8.2938046054770545E-4</v>
      </c>
      <c r="AF804" s="12">
        <v>2.7515800211398753</v>
      </c>
      <c r="AG804" s="38">
        <f t="shared" si="55"/>
        <v>2.2821067051668549E-3</v>
      </c>
      <c r="AH804" s="32">
        <f t="shared" si="56"/>
        <v>76.97286394226478</v>
      </c>
      <c r="AI804" s="33">
        <f t="shared" si="57"/>
        <v>0.17566028891853849</v>
      </c>
      <c r="AJ804" s="34">
        <f t="shared" si="58"/>
        <v>1.7912364458662081E-2</v>
      </c>
      <c r="AK804" s="35" t="s">
        <v>920</v>
      </c>
      <c r="AL804" s="32">
        <v>0.21991148574500002</v>
      </c>
      <c r="AM804" s="32">
        <v>2.7515800211398753</v>
      </c>
      <c r="AN804" s="36">
        <v>0.61</v>
      </c>
    </row>
    <row r="805" spans="27:40" x14ac:dyDescent="0.25">
      <c r="AA805" s="29">
        <v>802</v>
      </c>
      <c r="AB805" s="30" t="s">
        <v>888</v>
      </c>
      <c r="AC805" s="29" t="s">
        <v>153</v>
      </c>
      <c r="AD805" s="30" t="s">
        <v>28</v>
      </c>
      <c r="AE805" s="31">
        <v>8.2938046054770545E-4</v>
      </c>
      <c r="AF805" s="12">
        <v>3.0640900802799629</v>
      </c>
      <c r="AG805" s="38">
        <f t="shared" si="55"/>
        <v>2.5412964419422512E-3</v>
      </c>
      <c r="AH805" s="32">
        <f t="shared" si="56"/>
        <v>76.97286394226478</v>
      </c>
      <c r="AI805" s="33">
        <f t="shared" si="57"/>
        <v>0.19561086526258248</v>
      </c>
      <c r="AJ805" s="34">
        <f t="shared" si="58"/>
        <v>1.9946757074289639E-2</v>
      </c>
      <c r="AK805" s="35" t="s">
        <v>920</v>
      </c>
      <c r="AL805" s="32">
        <v>0.21991148574500002</v>
      </c>
      <c r="AM805" s="32">
        <v>3.0640900802799629</v>
      </c>
      <c r="AN805" s="36">
        <v>0.67</v>
      </c>
    </row>
    <row r="806" spans="27:40" x14ac:dyDescent="0.25">
      <c r="AA806" s="29">
        <v>803</v>
      </c>
      <c r="AB806" s="30" t="s">
        <v>889</v>
      </c>
      <c r="AC806" s="29" t="s">
        <v>156</v>
      </c>
      <c r="AD806" s="30" t="s">
        <v>28</v>
      </c>
      <c r="AE806" s="31">
        <v>1.3823007675795071E-3</v>
      </c>
      <c r="AF806" s="12">
        <v>2.7261862573998186</v>
      </c>
      <c r="AG806" s="38">
        <f t="shared" si="55"/>
        <v>3.7684093561684727E-3</v>
      </c>
      <c r="AH806" s="32">
        <f t="shared" si="56"/>
        <v>76.97286394226478</v>
      </c>
      <c r="AI806" s="33">
        <f t="shared" si="57"/>
        <v>0.29006526065111349</v>
      </c>
      <c r="AJ806" s="34">
        <f t="shared" si="58"/>
        <v>2.9578424910760914E-2</v>
      </c>
      <c r="AK806" s="35" t="s">
        <v>920</v>
      </c>
      <c r="AL806" s="32">
        <v>0.35814156249900003</v>
      </c>
      <c r="AM806" s="32">
        <v>2.7261862573998186</v>
      </c>
      <c r="AN806" s="36">
        <v>0.98</v>
      </c>
    </row>
    <row r="807" spans="27:40" x14ac:dyDescent="0.25">
      <c r="AA807" s="29">
        <v>804</v>
      </c>
      <c r="AB807" s="30" t="s">
        <v>890</v>
      </c>
      <c r="AC807" s="29" t="s">
        <v>156</v>
      </c>
      <c r="AD807" s="30" t="s">
        <v>28</v>
      </c>
      <c r="AE807" s="31">
        <v>1.3823007675795071E-3</v>
      </c>
      <c r="AF807" s="12">
        <v>2.6868818442593785</v>
      </c>
      <c r="AG807" s="38">
        <f t="shared" si="55"/>
        <v>3.7140788357151802E-3</v>
      </c>
      <c r="AH807" s="32">
        <f t="shared" si="56"/>
        <v>76.97286394226478</v>
      </c>
      <c r="AI807" s="33">
        <f t="shared" si="57"/>
        <v>0.28588328489234976</v>
      </c>
      <c r="AJ807" s="34">
        <f t="shared" si="58"/>
        <v>2.9151982062411708E-2</v>
      </c>
      <c r="AK807" s="35" t="s">
        <v>920</v>
      </c>
      <c r="AL807" s="32">
        <v>0.35814156249900003</v>
      </c>
      <c r="AM807" s="32">
        <v>2.6868818442593785</v>
      </c>
      <c r="AN807" s="36">
        <v>0.96</v>
      </c>
    </row>
    <row r="808" spans="27:40" x14ac:dyDescent="0.25">
      <c r="AA808" s="29">
        <v>805</v>
      </c>
      <c r="AB808" s="30" t="s">
        <v>891</v>
      </c>
      <c r="AC808" s="29" t="s">
        <v>156</v>
      </c>
      <c r="AD808" s="30" t="s">
        <v>28</v>
      </c>
      <c r="AE808" s="31">
        <v>1.3823007675795071E-3</v>
      </c>
      <c r="AF808" s="12">
        <v>2.8828735945886939</v>
      </c>
      <c r="AG808" s="38">
        <f t="shared" si="55"/>
        <v>3.9849983826346445E-3</v>
      </c>
      <c r="AH808" s="32">
        <f t="shared" si="56"/>
        <v>76.97286394226478</v>
      </c>
      <c r="AI808" s="33">
        <f t="shared" si="57"/>
        <v>0.30673673831668169</v>
      </c>
      <c r="AJ808" s="34">
        <f t="shared" si="58"/>
        <v>3.1278442517748847E-2</v>
      </c>
      <c r="AK808" s="35" t="s">
        <v>920</v>
      </c>
      <c r="AL808" s="32">
        <v>0.35814156249900003</v>
      </c>
      <c r="AM808" s="32">
        <v>2.8828735945886939</v>
      </c>
      <c r="AN808" s="36">
        <v>1.03</v>
      </c>
    </row>
    <row r="809" spans="27:40" x14ac:dyDescent="0.25">
      <c r="AA809" s="29">
        <v>806</v>
      </c>
      <c r="AB809" s="30" t="s">
        <v>892</v>
      </c>
      <c r="AC809" s="29" t="s">
        <v>153</v>
      </c>
      <c r="AD809" s="30" t="s">
        <v>28</v>
      </c>
      <c r="AE809" s="31">
        <v>8.2938046054770545E-4</v>
      </c>
      <c r="AF809" s="12">
        <v>1</v>
      </c>
      <c r="AG809" s="38">
        <f t="shared" si="55"/>
        <v>8.2938046054770545E-4</v>
      </c>
      <c r="AH809" s="32">
        <f t="shared" si="56"/>
        <v>76.97286394226478</v>
      </c>
      <c r="AI809" s="33">
        <f t="shared" si="57"/>
        <v>6.3839789346111439E-2</v>
      </c>
      <c r="AJ809" s="34">
        <f t="shared" si="58"/>
        <v>6.5098468229325447E-3</v>
      </c>
      <c r="AK809" s="35" t="s">
        <v>920</v>
      </c>
      <c r="AL809" s="32">
        <v>0.21991148574500002</v>
      </c>
      <c r="AM809" s="32">
        <v>1</v>
      </c>
      <c r="AN809" s="36">
        <v>0.22</v>
      </c>
    </row>
    <row r="810" spans="27:40" x14ac:dyDescent="0.25">
      <c r="AA810" s="29">
        <v>807</v>
      </c>
      <c r="AB810" s="30" t="s">
        <v>893</v>
      </c>
      <c r="AC810" s="29" t="s">
        <v>153</v>
      </c>
      <c r="AD810" s="30" t="s">
        <v>28</v>
      </c>
      <c r="AE810" s="31">
        <v>8.2938046054770545E-4</v>
      </c>
      <c r="AF810" s="12">
        <v>1</v>
      </c>
      <c r="AG810" s="38">
        <f t="shared" si="55"/>
        <v>8.2938046054770545E-4</v>
      </c>
      <c r="AH810" s="32">
        <f t="shared" si="56"/>
        <v>76.97286394226478</v>
      </c>
      <c r="AI810" s="33">
        <f t="shared" si="57"/>
        <v>6.3839789346111439E-2</v>
      </c>
      <c r="AJ810" s="34">
        <f t="shared" si="58"/>
        <v>6.5098468229325447E-3</v>
      </c>
      <c r="AK810" s="35" t="s">
        <v>920</v>
      </c>
      <c r="AL810" s="32">
        <v>0.21991148574500002</v>
      </c>
      <c r="AM810" s="32">
        <v>1</v>
      </c>
      <c r="AN810" s="36">
        <v>0.22</v>
      </c>
    </row>
    <row r="811" spans="27:40" x14ac:dyDescent="0.25">
      <c r="AA811" s="29">
        <v>808</v>
      </c>
      <c r="AB811" s="30" t="s">
        <v>894</v>
      </c>
      <c r="AC811" s="29" t="s">
        <v>153</v>
      </c>
      <c r="AD811" s="30" t="s">
        <v>28</v>
      </c>
      <c r="AE811" s="31">
        <v>8.2938046054770545E-4</v>
      </c>
      <c r="AF811" s="12">
        <v>2.914452730412306</v>
      </c>
      <c r="AG811" s="38">
        <f t="shared" si="55"/>
        <v>2.4171901477938761E-3</v>
      </c>
      <c r="AH811" s="32">
        <f t="shared" si="56"/>
        <v>76.97286394226478</v>
      </c>
      <c r="AI811" s="33">
        <f t="shared" si="57"/>
        <v>0.18605804836872092</v>
      </c>
      <c r="AJ811" s="34">
        <f t="shared" si="58"/>
        <v>1.8972640847661631E-2</v>
      </c>
      <c r="AK811" s="35" t="s">
        <v>920</v>
      </c>
      <c r="AL811" s="32">
        <v>0.21991148574500002</v>
      </c>
      <c r="AM811" s="32">
        <v>2.914452730412306</v>
      </c>
      <c r="AN811" s="36">
        <v>0.64</v>
      </c>
    </row>
    <row r="812" spans="27:40" x14ac:dyDescent="0.25">
      <c r="AA812" s="29">
        <v>809</v>
      </c>
      <c r="AB812" s="30" t="s">
        <v>895</v>
      </c>
      <c r="AC812" s="29" t="s">
        <v>156</v>
      </c>
      <c r="AD812" s="30" t="s">
        <v>28</v>
      </c>
      <c r="AE812" s="31">
        <v>1.3823007675795071E-3</v>
      </c>
      <c r="AF812" s="12">
        <v>4.1869821602480917</v>
      </c>
      <c r="AG812" s="38">
        <f t="shared" si="55"/>
        <v>5.7876686539526396E-3</v>
      </c>
      <c r="AH812" s="32">
        <f t="shared" si="56"/>
        <v>76.97286394226478</v>
      </c>
      <c r="AI812" s="33">
        <f t="shared" si="57"/>
        <v>0.44549343184360729</v>
      </c>
      <c r="AJ812" s="34">
        <f t="shared" si="58"/>
        <v>4.5427687522610401E-2</v>
      </c>
      <c r="AK812" s="35" t="s">
        <v>920</v>
      </c>
      <c r="AL812" s="32">
        <v>0.35814156249900003</v>
      </c>
      <c r="AM812" s="32">
        <v>4.1869821602480917</v>
      </c>
      <c r="AN812" s="36">
        <v>1.5</v>
      </c>
    </row>
    <row r="813" spans="27:40" x14ac:dyDescent="0.25">
      <c r="AA813" s="29">
        <v>810</v>
      </c>
      <c r="AB813" s="30" t="s">
        <v>896</v>
      </c>
      <c r="AC813" s="29" t="s">
        <v>156</v>
      </c>
      <c r="AD813" s="30" t="s">
        <v>28</v>
      </c>
      <c r="AE813" s="31">
        <v>1.3823007675795071E-3</v>
      </c>
      <c r="AF813" s="12">
        <v>2.5454370904914265</v>
      </c>
      <c r="AG813" s="38">
        <f t="shared" si="55"/>
        <v>3.5185596440116462E-3</v>
      </c>
      <c r="AH813" s="32">
        <f t="shared" si="56"/>
        <v>76.97286394226478</v>
      </c>
      <c r="AI813" s="33">
        <f t="shared" si="57"/>
        <v>0.27083361275125206</v>
      </c>
      <c r="AJ813" s="34">
        <f t="shared" si="58"/>
        <v>2.761734259418375E-2</v>
      </c>
      <c r="AK813" s="35" t="s">
        <v>920</v>
      </c>
      <c r="AL813" s="32">
        <v>0.35814156249900003</v>
      </c>
      <c r="AM813" s="32">
        <v>2.5454370904914265</v>
      </c>
      <c r="AN813" s="36">
        <v>0.91</v>
      </c>
    </row>
    <row r="814" spans="27:40" x14ac:dyDescent="0.25">
      <c r="AA814" s="29">
        <v>811</v>
      </c>
      <c r="AB814" s="30" t="s">
        <v>897</v>
      </c>
      <c r="AC814" s="29" t="s">
        <v>156</v>
      </c>
      <c r="AD814" s="30" t="s">
        <v>28</v>
      </c>
      <c r="AE814" s="31">
        <v>1.3823007675795071E-3</v>
      </c>
      <c r="AF814" s="12">
        <v>5.832736888479757</v>
      </c>
      <c r="AG814" s="38">
        <f t="shared" si="55"/>
        <v>8.062596678034873E-3</v>
      </c>
      <c r="AH814" s="32">
        <f t="shared" si="56"/>
        <v>76.97286394226478</v>
      </c>
      <c r="AI814" s="33">
        <f t="shared" si="57"/>
        <v>0.62060115711973429</v>
      </c>
      <c r="AJ814" s="34">
        <f t="shared" si="58"/>
        <v>6.3283706170785575E-2</v>
      </c>
      <c r="AK814" s="35" t="s">
        <v>920</v>
      </c>
      <c r="AL814" s="32">
        <v>0.35814156249900003</v>
      </c>
      <c r="AM814" s="32">
        <v>5.832736888479757</v>
      </c>
      <c r="AN814" s="36">
        <v>2.09</v>
      </c>
    </row>
    <row r="815" spans="27:40" x14ac:dyDescent="0.25">
      <c r="AA815" s="29">
        <v>812</v>
      </c>
      <c r="AB815" s="30" t="s">
        <v>898</v>
      </c>
      <c r="AC815" s="29" t="s">
        <v>156</v>
      </c>
      <c r="AD815" s="30" t="s">
        <v>28</v>
      </c>
      <c r="AE815" s="31">
        <v>1.3823007675795071E-3</v>
      </c>
      <c r="AF815" s="12">
        <v>4.1523186271828258</v>
      </c>
      <c r="AG815" s="38">
        <f t="shared" si="55"/>
        <v>5.7397532255895048E-3</v>
      </c>
      <c r="AH815" s="32">
        <f t="shared" si="56"/>
        <v>76.97286394226478</v>
      </c>
      <c r="AI815" s="33">
        <f t="shared" si="57"/>
        <v>0.44180524409547633</v>
      </c>
      <c r="AJ815" s="34">
        <f t="shared" si="58"/>
        <v>4.5051597038282834E-2</v>
      </c>
      <c r="AK815" s="35" t="s">
        <v>920</v>
      </c>
      <c r="AL815" s="32">
        <v>0.35814156249900003</v>
      </c>
      <c r="AM815" s="32">
        <v>4.1523186271828258</v>
      </c>
      <c r="AN815" s="36">
        <v>1.49</v>
      </c>
    </row>
    <row r="816" spans="27:40" x14ac:dyDescent="0.25">
      <c r="AA816" s="29">
        <v>813</v>
      </c>
      <c r="AB816" s="30" t="s">
        <v>899</v>
      </c>
      <c r="AC816" s="29" t="s">
        <v>156</v>
      </c>
      <c r="AD816" s="30" t="s">
        <v>28</v>
      </c>
      <c r="AE816" s="31">
        <v>1.3823007675795071E-3</v>
      </c>
      <c r="AF816" s="12">
        <v>2.5671841727484739</v>
      </c>
      <c r="AG816" s="38">
        <f t="shared" si="55"/>
        <v>3.5486206525081774E-3</v>
      </c>
      <c r="AH816" s="32">
        <f t="shared" si="56"/>
        <v>76.97286394226478</v>
      </c>
      <c r="AI816" s="33">
        <f t="shared" si="57"/>
        <v>0.2731474946682228</v>
      </c>
      <c r="AJ816" s="34">
        <f t="shared" si="58"/>
        <v>2.7853292884748901E-2</v>
      </c>
      <c r="AK816" s="35" t="s">
        <v>920</v>
      </c>
      <c r="AL816" s="32">
        <v>0.35814156249900003</v>
      </c>
      <c r="AM816" s="32">
        <v>2.5671841727484739</v>
      </c>
      <c r="AN816" s="36">
        <v>0.92</v>
      </c>
    </row>
    <row r="817" spans="27:40" x14ac:dyDescent="0.25">
      <c r="AA817" s="29">
        <v>814</v>
      </c>
      <c r="AB817" s="30" t="s">
        <v>900</v>
      </c>
      <c r="AC817" s="29" t="s">
        <v>901</v>
      </c>
      <c r="AD817" s="30" t="s">
        <v>902</v>
      </c>
      <c r="AE817" s="31">
        <v>7.1480265204513214E-4</v>
      </c>
      <c r="AF817" s="12">
        <v>1.7000000000000028</v>
      </c>
      <c r="AG817" s="38">
        <f t="shared" si="55"/>
        <v>1.2151645084767266E-3</v>
      </c>
      <c r="AH817" s="32" t="e">
        <f t="shared" si="56"/>
        <v>#N/A</v>
      </c>
      <c r="AI817" s="33" t="e">
        <f t="shared" si="57"/>
        <v>#N/A</v>
      </c>
      <c r="AJ817" s="34" t="e">
        <f t="shared" si="58"/>
        <v>#N/A</v>
      </c>
      <c r="AL817" s="32">
        <v>0</v>
      </c>
      <c r="AM817" s="32">
        <v>1.7000000000000028</v>
      </c>
      <c r="AN817" s="36">
        <v>0</v>
      </c>
    </row>
    <row r="818" spans="27:40" x14ac:dyDescent="0.25">
      <c r="AA818" s="29">
        <v>815</v>
      </c>
      <c r="AB818" s="30" t="s">
        <v>903</v>
      </c>
      <c r="AC818" s="29" t="s">
        <v>156</v>
      </c>
      <c r="AD818" s="30" t="s">
        <v>28</v>
      </c>
      <c r="AE818" s="31">
        <v>1.3823007675795071E-3</v>
      </c>
      <c r="AF818" s="12">
        <v>2.6210088595696428</v>
      </c>
      <c r="AG818" s="38">
        <f t="shared" si="55"/>
        <v>3.6230225584158058E-3</v>
      </c>
      <c r="AH818" s="32">
        <f t="shared" si="56"/>
        <v>76.97286394226478</v>
      </c>
      <c r="AI818" s="33">
        <f t="shared" si="57"/>
        <v>0.27887442244869587</v>
      </c>
      <c r="AJ818" s="34">
        <f t="shared" si="58"/>
        <v>2.843727699557911E-2</v>
      </c>
      <c r="AK818" s="35" t="s">
        <v>920</v>
      </c>
      <c r="AL818" s="32">
        <v>0.35814156249900003</v>
      </c>
      <c r="AM818" s="32">
        <v>2.6210088595696428</v>
      </c>
      <c r="AN818" s="36">
        <v>0.94</v>
      </c>
    </row>
    <row r="819" spans="27:40" x14ac:dyDescent="0.25">
      <c r="AA819" s="29">
        <v>816</v>
      </c>
      <c r="AB819" s="30" t="s">
        <v>904</v>
      </c>
      <c r="AC819" s="29" t="s">
        <v>901</v>
      </c>
      <c r="AD819" s="30" t="s">
        <v>902</v>
      </c>
      <c r="AE819" s="31">
        <v>7.1480265204513214E-4</v>
      </c>
      <c r="AF819" s="12">
        <v>5.3000000000000007</v>
      </c>
      <c r="AG819" s="38">
        <f t="shared" si="55"/>
        <v>3.788454055839201E-3</v>
      </c>
      <c r="AH819" s="32" t="e">
        <f t="shared" si="56"/>
        <v>#N/A</v>
      </c>
      <c r="AI819" s="33" t="e">
        <f t="shared" si="57"/>
        <v>#N/A</v>
      </c>
      <c r="AJ819" s="34" t="e">
        <f t="shared" si="58"/>
        <v>#N/A</v>
      </c>
      <c r="AL819" s="32">
        <v>0</v>
      </c>
      <c r="AM819" s="32">
        <v>5.3000000000000007</v>
      </c>
      <c r="AN819" s="36">
        <v>0</v>
      </c>
    </row>
    <row r="820" spans="27:40" x14ac:dyDescent="0.25">
      <c r="AA820" s="29">
        <v>817</v>
      </c>
      <c r="AB820" s="30" t="s">
        <v>905</v>
      </c>
      <c r="AC820" s="29" t="s">
        <v>901</v>
      </c>
      <c r="AD820" s="30" t="s">
        <v>902</v>
      </c>
      <c r="AE820" s="31">
        <v>7.1480265204513214E-4</v>
      </c>
      <c r="AF820" s="12">
        <v>3.5</v>
      </c>
      <c r="AG820" s="38">
        <f t="shared" si="55"/>
        <v>2.5018092821579626E-3</v>
      </c>
      <c r="AH820" s="32" t="e">
        <f t="shared" si="56"/>
        <v>#N/A</v>
      </c>
      <c r="AI820" s="33" t="e">
        <f t="shared" si="57"/>
        <v>#N/A</v>
      </c>
      <c r="AJ820" s="34" t="e">
        <f t="shared" si="58"/>
        <v>#N/A</v>
      </c>
      <c r="AL820" s="32">
        <v>0</v>
      </c>
      <c r="AM820" s="32">
        <v>3.5</v>
      </c>
      <c r="AN820" s="36">
        <v>0</v>
      </c>
    </row>
    <row r="821" spans="27:40" x14ac:dyDescent="0.25">
      <c r="AA821" s="29">
        <v>818</v>
      </c>
      <c r="AB821" s="30" t="s">
        <v>906</v>
      </c>
      <c r="AC821" s="29" t="s">
        <v>901</v>
      </c>
      <c r="AD821" s="30" t="s">
        <v>902</v>
      </c>
      <c r="AE821" s="31">
        <v>7.1480265204513214E-4</v>
      </c>
      <c r="AF821" s="12">
        <v>1.7000000000000028</v>
      </c>
      <c r="AG821" s="38">
        <f t="shared" si="55"/>
        <v>1.2151645084767266E-3</v>
      </c>
      <c r="AH821" s="32" t="e">
        <f t="shared" si="56"/>
        <v>#N/A</v>
      </c>
      <c r="AI821" s="33" t="e">
        <f t="shared" si="57"/>
        <v>#N/A</v>
      </c>
      <c r="AJ821" s="34" t="e">
        <f t="shared" si="58"/>
        <v>#N/A</v>
      </c>
      <c r="AL821" s="32">
        <v>0</v>
      </c>
      <c r="AM821" s="32">
        <v>1.7000000000000028</v>
      </c>
      <c r="AN821" s="36">
        <v>0</v>
      </c>
    </row>
    <row r="822" spans="27:40" x14ac:dyDescent="0.25">
      <c r="AA822" s="29">
        <v>819</v>
      </c>
      <c r="AB822" s="30" t="s">
        <v>46</v>
      </c>
      <c r="AC822" s="29" t="s">
        <v>901</v>
      </c>
      <c r="AD822" s="30" t="s">
        <v>902</v>
      </c>
      <c r="AE822" s="31">
        <v>7.1480265204513214E-4</v>
      </c>
      <c r="AF822" s="12">
        <v>3.4500000000000028</v>
      </c>
      <c r="AG822" s="38">
        <f t="shared" si="55"/>
        <v>2.4660691495557081E-3</v>
      </c>
      <c r="AH822" s="32" t="e">
        <f t="shared" si="56"/>
        <v>#N/A</v>
      </c>
      <c r="AI822" s="33" t="e">
        <f t="shared" si="57"/>
        <v>#N/A</v>
      </c>
      <c r="AJ822" s="34" t="e">
        <f t="shared" si="58"/>
        <v>#N/A</v>
      </c>
      <c r="AL822" s="32">
        <v>0</v>
      </c>
      <c r="AM822" s="32">
        <v>3.4500000000000028</v>
      </c>
      <c r="AN822" s="36">
        <v>0</v>
      </c>
    </row>
    <row r="823" spans="27:40" x14ac:dyDescent="0.25">
      <c r="AA823" s="29">
        <v>820</v>
      </c>
      <c r="AB823" s="30" t="s">
        <v>47</v>
      </c>
      <c r="AC823" s="29" t="s">
        <v>901</v>
      </c>
      <c r="AD823" s="30" t="s">
        <v>902</v>
      </c>
      <c r="AE823" s="31">
        <v>7.1480265204513214E-4</v>
      </c>
      <c r="AF823" s="12">
        <v>5.1999999999999993</v>
      </c>
      <c r="AG823" s="38">
        <f t="shared" si="55"/>
        <v>3.7169737906346868E-3</v>
      </c>
      <c r="AH823" s="32" t="e">
        <f t="shared" si="56"/>
        <v>#N/A</v>
      </c>
      <c r="AI823" s="33" t="e">
        <f t="shared" si="57"/>
        <v>#N/A</v>
      </c>
      <c r="AJ823" s="34" t="e">
        <f t="shared" si="58"/>
        <v>#N/A</v>
      </c>
      <c r="AL823" s="32">
        <v>0</v>
      </c>
      <c r="AM823" s="32">
        <v>5.1999999999999993</v>
      </c>
      <c r="AN823" s="36">
        <v>0</v>
      </c>
    </row>
    <row r="824" spans="27:40" x14ac:dyDescent="0.25">
      <c r="AA824" s="29">
        <v>821</v>
      </c>
      <c r="AB824" s="30" t="s">
        <v>48</v>
      </c>
      <c r="AC824" s="29" t="s">
        <v>901</v>
      </c>
      <c r="AD824" s="30" t="s">
        <v>902</v>
      </c>
      <c r="AE824" s="31">
        <v>7.1480265204513214E-4</v>
      </c>
      <c r="AF824" s="12">
        <v>3.2999999999999972</v>
      </c>
      <c r="AG824" s="38">
        <f t="shared" si="55"/>
        <v>2.3588487517489341E-3</v>
      </c>
      <c r="AH824" s="32" t="e">
        <f t="shared" si="56"/>
        <v>#N/A</v>
      </c>
      <c r="AI824" s="33" t="e">
        <f t="shared" si="57"/>
        <v>#N/A</v>
      </c>
      <c r="AJ824" s="34" t="e">
        <f t="shared" si="58"/>
        <v>#N/A</v>
      </c>
      <c r="AL824" s="32">
        <v>0</v>
      </c>
      <c r="AM824" s="32">
        <v>3.2999999999999972</v>
      </c>
      <c r="AN824" s="36">
        <v>0</v>
      </c>
    </row>
    <row r="825" spans="27:40" x14ac:dyDescent="0.25">
      <c r="AA825" s="29">
        <v>822</v>
      </c>
      <c r="AB825" s="30" t="s">
        <v>49</v>
      </c>
      <c r="AC825" s="29" t="s">
        <v>901</v>
      </c>
      <c r="AD825" s="30" t="s">
        <v>902</v>
      </c>
      <c r="AE825" s="31">
        <v>7.1480265204513214E-4</v>
      </c>
      <c r="AF825" s="12">
        <v>1.6000000000000014</v>
      </c>
      <c r="AG825" s="38">
        <f t="shared" si="55"/>
        <v>1.1436842432722123E-3</v>
      </c>
      <c r="AH825" s="32" t="e">
        <f t="shared" si="56"/>
        <v>#N/A</v>
      </c>
      <c r="AI825" s="33" t="e">
        <f t="shared" si="57"/>
        <v>#N/A</v>
      </c>
      <c r="AJ825" s="34" t="e">
        <f t="shared" si="58"/>
        <v>#N/A</v>
      </c>
      <c r="AL825" s="32">
        <v>0</v>
      </c>
      <c r="AM825" s="32">
        <v>1.6000000000000014</v>
      </c>
      <c r="AN825" s="36">
        <v>0</v>
      </c>
    </row>
    <row r="826" spans="27:40" x14ac:dyDescent="0.25">
      <c r="AA826" s="29">
        <v>823</v>
      </c>
      <c r="AB826" s="30" t="s">
        <v>50</v>
      </c>
      <c r="AC826" s="29" t="s">
        <v>901</v>
      </c>
      <c r="AD826" s="30" t="s">
        <v>902</v>
      </c>
      <c r="AE826" s="31">
        <v>7.1480265204513214E-4</v>
      </c>
      <c r="AF826" s="12">
        <v>3.2999999999999901</v>
      </c>
      <c r="AG826" s="38">
        <f t="shared" si="55"/>
        <v>2.3588487517489289E-3</v>
      </c>
      <c r="AH826" s="32" t="e">
        <f t="shared" si="56"/>
        <v>#N/A</v>
      </c>
      <c r="AI826" s="33" t="e">
        <f t="shared" si="57"/>
        <v>#N/A</v>
      </c>
      <c r="AJ826" s="34" t="e">
        <f t="shared" si="58"/>
        <v>#N/A</v>
      </c>
      <c r="AL826" s="32">
        <v>0</v>
      </c>
      <c r="AM826" s="32">
        <v>3.2999999999999901</v>
      </c>
      <c r="AN826" s="36">
        <v>0</v>
      </c>
    </row>
    <row r="827" spans="27:40" x14ac:dyDescent="0.25">
      <c r="AA827" s="29">
        <v>824</v>
      </c>
      <c r="AB827" s="30" t="s">
        <v>51</v>
      </c>
      <c r="AC827" s="29" t="s">
        <v>901</v>
      </c>
      <c r="AD827" s="30" t="s">
        <v>902</v>
      </c>
      <c r="AE827" s="31">
        <v>7.1480265204513214E-4</v>
      </c>
      <c r="AF827" s="12">
        <v>1.5999999999999872</v>
      </c>
      <c r="AG827" s="38">
        <f t="shared" si="55"/>
        <v>1.1436842432722024E-3</v>
      </c>
      <c r="AH827" s="32" t="e">
        <f t="shared" si="56"/>
        <v>#N/A</v>
      </c>
      <c r="AI827" s="33" t="e">
        <f t="shared" si="57"/>
        <v>#N/A</v>
      </c>
      <c r="AJ827" s="34" t="e">
        <f t="shared" si="58"/>
        <v>#N/A</v>
      </c>
      <c r="AL827" s="32">
        <v>0</v>
      </c>
      <c r="AM827" s="32">
        <v>1.5999999999999872</v>
      </c>
      <c r="AN827" s="36">
        <v>0</v>
      </c>
    </row>
    <row r="828" spans="27:40" x14ac:dyDescent="0.25">
      <c r="AA828" s="29">
        <v>825</v>
      </c>
      <c r="AB828" s="30" t="s">
        <v>52</v>
      </c>
      <c r="AC828" s="29" t="s">
        <v>156</v>
      </c>
      <c r="AD828" s="30" t="s">
        <v>28</v>
      </c>
      <c r="AE828" s="31">
        <v>1.3823007675795071E-3</v>
      </c>
      <c r="AF828" s="12">
        <v>5.9216006052638717</v>
      </c>
      <c r="AG828" s="38">
        <f t="shared" si="55"/>
        <v>8.1854330619555229E-3</v>
      </c>
      <c r="AH828" s="32">
        <f t="shared" si="56"/>
        <v>76.97286394226478</v>
      </c>
      <c r="AI828" s="33">
        <f t="shared" si="57"/>
        <v>0.63005622538641826</v>
      </c>
      <c r="AJ828" s="34">
        <f t="shared" si="58"/>
        <v>6.4247854811420646E-2</v>
      </c>
      <c r="AK828" s="35" t="s">
        <v>920</v>
      </c>
      <c r="AL828" s="32">
        <v>0.35814156249900003</v>
      </c>
      <c r="AM828" s="32">
        <v>5.9216006052638717</v>
      </c>
      <c r="AN828" s="36">
        <v>2.12</v>
      </c>
    </row>
    <row r="829" spans="27:40" x14ac:dyDescent="0.25">
      <c r="AA829" s="29">
        <v>826</v>
      </c>
      <c r="AB829" s="30" t="s">
        <v>53</v>
      </c>
      <c r="AC829" s="29" t="s">
        <v>156</v>
      </c>
      <c r="AD829" s="30" t="s">
        <v>28</v>
      </c>
      <c r="AE829" s="31">
        <v>1.3823007675795071E-3</v>
      </c>
      <c r="AF829" s="12">
        <v>2.3736316806680766</v>
      </c>
      <c r="AG829" s="38">
        <f t="shared" si="55"/>
        <v>3.2810728941385175E-3</v>
      </c>
      <c r="AH829" s="32">
        <f t="shared" si="56"/>
        <v>76.97286394226478</v>
      </c>
      <c r="AI829" s="33">
        <f t="shared" si="57"/>
        <v>0.25255357746517704</v>
      </c>
      <c r="AJ829" s="34">
        <f t="shared" si="58"/>
        <v>2.5753297758681817E-2</v>
      </c>
      <c r="AK829" s="35" t="s">
        <v>920</v>
      </c>
      <c r="AL829" s="32">
        <v>0.35814156249900003</v>
      </c>
      <c r="AM829" s="32">
        <v>2.3736316806680766</v>
      </c>
      <c r="AN829" s="36">
        <v>0.85</v>
      </c>
    </row>
    <row r="830" spans="27:40" x14ac:dyDescent="0.25">
      <c r="AA830" s="29">
        <v>827</v>
      </c>
      <c r="AB830" s="30" t="s">
        <v>54</v>
      </c>
      <c r="AC830" s="29" t="s">
        <v>156</v>
      </c>
      <c r="AD830" s="30" t="s">
        <v>28</v>
      </c>
      <c r="AE830" s="31">
        <v>1.3823007675795071E-3</v>
      </c>
      <c r="AF830" s="12">
        <v>3.9457264322591921</v>
      </c>
      <c r="AG830" s="38">
        <f t="shared" si="55"/>
        <v>5.4541806759706313E-3</v>
      </c>
      <c r="AH830" s="32">
        <f t="shared" si="56"/>
        <v>76.97286394226478</v>
      </c>
      <c r="AI830" s="33">
        <f t="shared" si="57"/>
        <v>0.41982390708801715</v>
      </c>
      <c r="AJ830" s="34">
        <f t="shared" si="58"/>
        <v>4.281012446533905E-2</v>
      </c>
      <c r="AK830" s="35" t="s">
        <v>920</v>
      </c>
      <c r="AL830" s="32">
        <v>0.35814156249900003</v>
      </c>
      <c r="AM830" s="32">
        <v>3.9457264322591921</v>
      </c>
      <c r="AN830" s="36">
        <v>1.41</v>
      </c>
    </row>
    <row r="831" spans="27:40" x14ac:dyDescent="0.25">
      <c r="AA831" s="29">
        <v>828</v>
      </c>
      <c r="AB831" s="30" t="s">
        <v>907</v>
      </c>
      <c r="AC831" s="29" t="s">
        <v>156</v>
      </c>
      <c r="AD831" s="30" t="s">
        <v>28</v>
      </c>
      <c r="AE831" s="31">
        <v>1.3823007675795071E-3</v>
      </c>
      <c r="AF831" s="12">
        <v>3.9577932431446756</v>
      </c>
      <c r="AG831" s="38">
        <f t="shared" si="55"/>
        <v>5.4708606379198716E-3</v>
      </c>
      <c r="AH831" s="32">
        <f t="shared" si="56"/>
        <v>76.97286394226478</v>
      </c>
      <c r="AI831" s="33">
        <f t="shared" si="57"/>
        <v>0.42110781152969817</v>
      </c>
      <c r="AJ831" s="34">
        <f t="shared" si="58"/>
        <v>4.2941046282848699E-2</v>
      </c>
      <c r="AK831" s="35" t="s">
        <v>920</v>
      </c>
      <c r="AL831" s="32">
        <v>0.35814156249900003</v>
      </c>
      <c r="AM831" s="32">
        <v>3.9577932431446756</v>
      </c>
      <c r="AN831" s="36">
        <v>1.42</v>
      </c>
    </row>
    <row r="832" spans="27:40" x14ac:dyDescent="0.25">
      <c r="AA832" s="29">
        <v>829</v>
      </c>
      <c r="AB832" s="30" t="s">
        <v>908</v>
      </c>
      <c r="AC832" s="29" t="s">
        <v>156</v>
      </c>
      <c r="AD832" s="30" t="s">
        <v>28</v>
      </c>
      <c r="AE832" s="31">
        <v>1.3823007675795071E-3</v>
      </c>
      <c r="AF832" s="12">
        <v>2.3943802648612755</v>
      </c>
      <c r="AG832" s="38">
        <f t="shared" si="55"/>
        <v>3.3097536779949648E-3</v>
      </c>
      <c r="AH832" s="32">
        <f t="shared" si="56"/>
        <v>76.97286394226478</v>
      </c>
      <c r="AI832" s="33">
        <f t="shared" si="57"/>
        <v>0.25476121953871689</v>
      </c>
      <c r="AJ832" s="34">
        <f t="shared" si="58"/>
        <v>2.5978414600165898E-2</v>
      </c>
      <c r="AK832" s="35" t="s">
        <v>920</v>
      </c>
      <c r="AL832" s="32">
        <v>0.35814156249900003</v>
      </c>
      <c r="AM832" s="32">
        <v>2.3943802648612755</v>
      </c>
      <c r="AN832" s="36">
        <v>0.86</v>
      </c>
    </row>
    <row r="833" spans="27:40" x14ac:dyDescent="0.25">
      <c r="AA833" s="29">
        <v>830</v>
      </c>
      <c r="AB833" s="30" t="s">
        <v>909</v>
      </c>
      <c r="AC833" s="29" t="s">
        <v>153</v>
      </c>
      <c r="AD833" s="30" t="s">
        <v>28</v>
      </c>
      <c r="AE833" s="31">
        <v>8.2938046054770545E-4</v>
      </c>
      <c r="AF833" s="12">
        <v>1</v>
      </c>
      <c r="AG833" s="38">
        <f t="shared" si="55"/>
        <v>8.2938046054770545E-4</v>
      </c>
      <c r="AH833" s="32">
        <f t="shared" si="56"/>
        <v>76.97286394226478</v>
      </c>
      <c r="AI833" s="33">
        <f t="shared" si="57"/>
        <v>6.3839789346111439E-2</v>
      </c>
      <c r="AJ833" s="34">
        <f t="shared" si="58"/>
        <v>6.5098468229325447E-3</v>
      </c>
      <c r="AK833" s="35" t="s">
        <v>920</v>
      </c>
      <c r="AL833" s="32">
        <v>0.21991148574500002</v>
      </c>
      <c r="AM833" s="32">
        <v>1</v>
      </c>
      <c r="AN833" s="36">
        <v>0.22</v>
      </c>
    </row>
    <row r="834" spans="27:40" x14ac:dyDescent="0.25">
      <c r="AA834" s="29">
        <v>831</v>
      </c>
      <c r="AB834" s="30" t="s">
        <v>910</v>
      </c>
      <c r="AC834" s="29" t="s">
        <v>156</v>
      </c>
      <c r="AD834" s="30" t="s">
        <v>28</v>
      </c>
      <c r="AE834" s="31">
        <v>1.3823007675795071E-3</v>
      </c>
      <c r="AF834" s="12">
        <v>3.861581625181369</v>
      </c>
      <c r="AG834" s="38">
        <f t="shared" si="55"/>
        <v>5.3378672445591269E-3</v>
      </c>
      <c r="AH834" s="32">
        <f t="shared" si="56"/>
        <v>76.97286394226478</v>
      </c>
      <c r="AI834" s="33">
        <f t="shared" si="57"/>
        <v>0.41087092915732149</v>
      </c>
      <c r="AJ834" s="34">
        <f t="shared" si="58"/>
        <v>4.1897174790302652E-2</v>
      </c>
      <c r="AK834" s="35" t="s">
        <v>920</v>
      </c>
      <c r="AL834" s="32">
        <v>0.35814156249900003</v>
      </c>
      <c r="AM834" s="32">
        <v>3.861581625181369</v>
      </c>
      <c r="AN834" s="36">
        <v>1.38</v>
      </c>
    </row>
    <row r="835" spans="27:40" x14ac:dyDescent="0.25">
      <c r="AA835" s="29">
        <v>832</v>
      </c>
      <c r="AB835" s="30" t="s">
        <v>911</v>
      </c>
      <c r="AC835" s="29" t="s">
        <v>156</v>
      </c>
      <c r="AD835" s="30" t="s">
        <v>28</v>
      </c>
      <c r="AE835" s="31">
        <v>1.3823007675795071E-3</v>
      </c>
      <c r="AF835" s="12">
        <v>4.2046058959588954</v>
      </c>
      <c r="AG835" s="38">
        <f t="shared" si="55"/>
        <v>5.8120299573533023E-3</v>
      </c>
      <c r="AH835" s="32">
        <f t="shared" si="56"/>
        <v>76.97286394226478</v>
      </c>
      <c r="AI835" s="33">
        <f t="shared" si="57"/>
        <v>0.44736859113572269</v>
      </c>
      <c r="AJ835" s="34">
        <f t="shared" si="58"/>
        <v>4.5618900555819034E-2</v>
      </c>
      <c r="AK835" s="35" t="s">
        <v>920</v>
      </c>
      <c r="AL835" s="32">
        <v>0.35814156249900003</v>
      </c>
      <c r="AM835" s="32">
        <v>4.2046058959588954</v>
      </c>
      <c r="AN835" s="36">
        <v>1.51</v>
      </c>
    </row>
    <row r="836" spans="27:40" x14ac:dyDescent="0.25">
      <c r="AA836" s="29">
        <v>833</v>
      </c>
      <c r="AB836" s="30" t="s">
        <v>912</v>
      </c>
      <c r="AC836" s="29" t="s">
        <v>156</v>
      </c>
      <c r="AD836" s="30" t="s">
        <v>28</v>
      </c>
      <c r="AE836" s="31">
        <v>1.3823007675795071E-3</v>
      </c>
      <c r="AF836" s="12">
        <v>2.313981671808337</v>
      </c>
      <c r="AG836" s="38">
        <f t="shared" si="55"/>
        <v>3.1986186411055752E-3</v>
      </c>
      <c r="AH836" s="32">
        <f t="shared" si="56"/>
        <v>76.97286394226478</v>
      </c>
      <c r="AI836" s="33">
        <f t="shared" si="57"/>
        <v>0.24620683746501129</v>
      </c>
      <c r="AJ836" s="34">
        <f t="shared" si="58"/>
        <v>2.5106110390909365E-2</v>
      </c>
      <c r="AK836" s="35" t="s">
        <v>920</v>
      </c>
      <c r="AL836" s="32">
        <v>0.35814156249900003</v>
      </c>
      <c r="AM836" s="32">
        <v>2.313981671808337</v>
      </c>
      <c r="AN836" s="36">
        <v>0.83</v>
      </c>
    </row>
    <row r="837" spans="27:40" x14ac:dyDescent="0.25">
      <c r="AA837" s="29">
        <v>834</v>
      </c>
      <c r="AB837" s="30" t="s">
        <v>913</v>
      </c>
      <c r="AC837" s="29" t="s">
        <v>156</v>
      </c>
      <c r="AD837" s="30" t="s">
        <v>28</v>
      </c>
      <c r="AE837" s="31">
        <v>1.3823007675795071E-3</v>
      </c>
      <c r="AF837" s="12">
        <v>2.2124149825132511</v>
      </c>
      <c r="AG837" s="38">
        <f t="shared" ref="AG837:AG843" si="59">IF(AA837="","",AE837*AF837)</f>
        <v>3.0582229285324686E-3</v>
      </c>
      <c r="AH837" s="32">
        <f t="shared" ref="AH837:AH843" si="60">IF(AA837="","",IFERROR(VLOOKUP(AD837,$A$4:$E$20,3,FALSE),VLOOKUP(AD837,$A$25:$E$30,3,FALSE)))</f>
        <v>76.97286394226478</v>
      </c>
      <c r="AI837" s="33">
        <f t="shared" ref="AI837:AI843" si="61">IF(AA837="","",AG837*AH837)</f>
        <v>0.23540017738304425</v>
      </c>
      <c r="AJ837" s="34">
        <f t="shared" ref="AJ837:AJ843" si="62">IF(AA837="","",AI837/9.80665)</f>
        <v>2.4004137741537045E-2</v>
      </c>
      <c r="AK837" s="35" t="s">
        <v>920</v>
      </c>
      <c r="AL837" s="32">
        <v>0.35814156249900003</v>
      </c>
      <c r="AM837" s="32">
        <v>2.2124149825132511</v>
      </c>
      <c r="AN837" s="36">
        <v>0.79</v>
      </c>
    </row>
    <row r="838" spans="27:40" x14ac:dyDescent="0.25">
      <c r="AA838" s="29">
        <v>835</v>
      </c>
      <c r="AB838" s="30" t="s">
        <v>914</v>
      </c>
      <c r="AC838" s="29" t="s">
        <v>155</v>
      </c>
      <c r="AD838" s="30" t="s">
        <v>28</v>
      </c>
      <c r="AE838" s="31">
        <v>1.0461503536454023E-3</v>
      </c>
      <c r="AF838" s="12">
        <v>8.5805426562112412</v>
      </c>
      <c r="AG838" s="38">
        <f t="shared" si="59"/>
        <v>8.97653773426485E-3</v>
      </c>
      <c r="AH838" s="32">
        <f t="shared" si="60"/>
        <v>76.97286394226478</v>
      </c>
      <c r="AI838" s="33">
        <f t="shared" si="61"/>
        <v>0.69094981769217401</v>
      </c>
      <c r="AJ838" s="34">
        <f t="shared" si="62"/>
        <v>7.0457273145485361E-2</v>
      </c>
      <c r="AK838" s="35" t="s">
        <v>920</v>
      </c>
      <c r="AL838" s="32">
        <v>0.35814156249900003</v>
      </c>
      <c r="AM838" s="32">
        <v>8.5805426562112412</v>
      </c>
      <c r="AN838" s="36">
        <v>3.07</v>
      </c>
    </row>
    <row r="839" spans="27:40" x14ac:dyDescent="0.25">
      <c r="AA839" s="29">
        <v>836</v>
      </c>
      <c r="AB839" s="30" t="s">
        <v>915</v>
      </c>
      <c r="AC839" s="29" t="s">
        <v>155</v>
      </c>
      <c r="AD839" s="30" t="s">
        <v>28</v>
      </c>
      <c r="AE839" s="31">
        <v>1.0461503536454023E-3</v>
      </c>
      <c r="AF839" s="12">
        <v>8.4118891207761521</v>
      </c>
      <c r="AG839" s="38">
        <f t="shared" si="59"/>
        <v>8.8001007785258843E-3</v>
      </c>
      <c r="AH839" s="32">
        <f t="shared" si="60"/>
        <v>76.97286394226478</v>
      </c>
      <c r="AI839" s="33">
        <f t="shared" si="61"/>
        <v>0.67736895990369128</v>
      </c>
      <c r="AJ839" s="34">
        <f t="shared" si="62"/>
        <v>6.9072411058179017E-2</v>
      </c>
      <c r="AK839" s="35" t="s">
        <v>920</v>
      </c>
      <c r="AL839" s="32">
        <v>0.35814156249900003</v>
      </c>
      <c r="AM839" s="32">
        <v>8.4118891207761521</v>
      </c>
      <c r="AN839" s="36">
        <v>3.01</v>
      </c>
    </row>
    <row r="840" spans="27:40" x14ac:dyDescent="0.25">
      <c r="AA840" s="29">
        <v>837</v>
      </c>
      <c r="AB840" s="30" t="s">
        <v>916</v>
      </c>
      <c r="AC840" s="29" t="s">
        <v>155</v>
      </c>
      <c r="AD840" s="30" t="s">
        <v>28</v>
      </c>
      <c r="AE840" s="31">
        <v>1.0461503536454023E-3</v>
      </c>
      <c r="AF840" s="12">
        <v>4.7511779169855162</v>
      </c>
      <c r="AG840" s="38">
        <f t="shared" si="59"/>
        <v>4.9704464580866232E-3</v>
      </c>
      <c r="AH840" s="32">
        <f t="shared" si="60"/>
        <v>76.97286394226478</v>
      </c>
      <c r="AI840" s="33">
        <f t="shared" si="61"/>
        <v>0.3825894989506135</v>
      </c>
      <c r="AJ840" s="34">
        <f t="shared" si="62"/>
        <v>3.9013271499504266E-2</v>
      </c>
      <c r="AK840" s="35" t="s">
        <v>920</v>
      </c>
      <c r="AL840" s="32">
        <v>0.35814156249900003</v>
      </c>
      <c r="AM840" s="32">
        <v>4.7511779169855162</v>
      </c>
      <c r="AN840" s="36">
        <v>1.7</v>
      </c>
    </row>
    <row r="841" spans="27:40" x14ac:dyDescent="0.25">
      <c r="AA841" s="29">
        <v>838</v>
      </c>
      <c r="AB841" s="30" t="s">
        <v>917</v>
      </c>
      <c r="AC841" s="29" t="s">
        <v>158</v>
      </c>
      <c r="AD841" s="30" t="s">
        <v>28</v>
      </c>
      <c r="AE841" s="31">
        <v>2.1362830044410596E-3</v>
      </c>
      <c r="AF841" s="12">
        <v>11.286638333267113</v>
      </c>
      <c r="AG841" s="38">
        <f t="shared" si="59"/>
        <v>2.4111453648631504E-2</v>
      </c>
      <c r="AH841" s="32">
        <f t="shared" si="60"/>
        <v>76.97286394226478</v>
      </c>
      <c r="AI841" s="33">
        <f t="shared" si="61"/>
        <v>1.8559276411463366</v>
      </c>
      <c r="AJ841" s="34">
        <f t="shared" si="62"/>
        <v>0.18925195057908017</v>
      </c>
      <c r="AK841" s="35" t="s">
        <v>920</v>
      </c>
      <c r="AL841" s="32">
        <v>0.44296456414349994</v>
      </c>
      <c r="AM841" s="32">
        <v>11.286638333267113</v>
      </c>
      <c r="AN841" s="36">
        <v>5</v>
      </c>
    </row>
    <row r="842" spans="27:40" x14ac:dyDescent="0.25">
      <c r="AA842" s="29">
        <v>839</v>
      </c>
      <c r="AB842" s="30" t="s">
        <v>918</v>
      </c>
      <c r="AC842" s="29" t="s">
        <v>158</v>
      </c>
      <c r="AD842" s="30" t="s">
        <v>28</v>
      </c>
      <c r="AE842" s="31">
        <v>2.1362830044410596E-3</v>
      </c>
      <c r="AF842" s="12">
        <v>11.28916256536546</v>
      </c>
      <c r="AG842" s="38">
        <f t="shared" si="59"/>
        <v>2.4116846122762464E-2</v>
      </c>
      <c r="AH842" s="32">
        <f t="shared" si="60"/>
        <v>76.97286394226478</v>
      </c>
      <c r="AI842" s="33">
        <f t="shared" si="61"/>
        <v>1.8563427153239311</v>
      </c>
      <c r="AJ842" s="34">
        <f t="shared" si="62"/>
        <v>0.18929427636592835</v>
      </c>
      <c r="AK842" s="35" t="s">
        <v>920</v>
      </c>
      <c r="AL842" s="32">
        <v>0.44296456414349994</v>
      </c>
      <c r="AM842" s="32">
        <v>11.28916256536546</v>
      </c>
      <c r="AN842" s="36">
        <v>5</v>
      </c>
    </row>
    <row r="843" spans="27:40" x14ac:dyDescent="0.25">
      <c r="AA843" s="29">
        <v>840</v>
      </c>
      <c r="AB843" s="30" t="s">
        <v>919</v>
      </c>
      <c r="AC843" s="29" t="s">
        <v>155</v>
      </c>
      <c r="AD843" s="30" t="s">
        <v>28</v>
      </c>
      <c r="AE843" s="31">
        <v>1.0461503536454023E-3</v>
      </c>
      <c r="AF843" s="12">
        <v>4</v>
      </c>
      <c r="AG843" s="38">
        <f t="shared" si="59"/>
        <v>4.1846014145816091E-3</v>
      </c>
      <c r="AH843" s="32">
        <f t="shared" si="60"/>
        <v>76.97286394226478</v>
      </c>
      <c r="AI843" s="33">
        <f t="shared" si="61"/>
        <v>0.32210075533719895</v>
      </c>
      <c r="AJ843" s="34">
        <f t="shared" si="62"/>
        <v>3.2845136242977871E-2</v>
      </c>
      <c r="AK843" s="35" t="s">
        <v>920</v>
      </c>
      <c r="AL843" s="32">
        <v>0.35814156249900003</v>
      </c>
      <c r="AM843" s="32">
        <v>4</v>
      </c>
      <c r="AN843" s="36">
        <v>1.43</v>
      </c>
    </row>
  </sheetData>
  <mergeCells count="32">
    <mergeCell ref="A32:E32"/>
    <mergeCell ref="A33:D33"/>
    <mergeCell ref="AK2:AK3"/>
    <mergeCell ref="AL2:AL3"/>
    <mergeCell ref="AM2:AM3"/>
    <mergeCell ref="U2:U3"/>
    <mergeCell ref="V2:V3"/>
    <mergeCell ref="AB2:AB3"/>
    <mergeCell ref="Q2:Q3"/>
    <mergeCell ref="AI2:AI3"/>
    <mergeCell ref="AJ2:AJ3"/>
    <mergeCell ref="AH2:AH3"/>
    <mergeCell ref="AF2:AF3"/>
    <mergeCell ref="AE2:AE3"/>
    <mergeCell ref="AG2:AG3"/>
    <mergeCell ref="A31:C31"/>
    <mergeCell ref="AN2:AN3"/>
    <mergeCell ref="AA1:AN1"/>
    <mergeCell ref="A22:E22"/>
    <mergeCell ref="A2:A3"/>
    <mergeCell ref="AD2:AD3"/>
    <mergeCell ref="AC2:AC3"/>
    <mergeCell ref="J2:J3"/>
    <mergeCell ref="K2:K3"/>
    <mergeCell ref="P2:P3"/>
    <mergeCell ref="R2:R3"/>
    <mergeCell ref="AA2:AA3"/>
    <mergeCell ref="A23:A24"/>
    <mergeCell ref="A1:E1"/>
    <mergeCell ref="J1:M1"/>
    <mergeCell ref="A21:C21"/>
    <mergeCell ref="P1:V1"/>
  </mergeCells>
  <phoneticPr fontId="1" type="noConversion"/>
  <pageMargins left="0.7" right="0.7" top="0.75" bottom="0.75" header="0.3" footer="0.3"/>
  <pageSetup orientation="portrait" r:id="rId1"/>
  <ignoredErrors>
    <ignoredError sqref="E3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D83A-DD75-4AF1-8669-AC919EFC8F7A}">
  <sheetPr codeName="Sheet2">
    <tabColor rgb="FF0070C0"/>
  </sheetPr>
  <dimension ref="A1:AN999"/>
  <sheetViews>
    <sheetView showGridLines="0" topLeftCell="Z6" zoomScale="130" zoomScaleNormal="130" workbookViewId="0">
      <selection activeCell="AM10" sqref="AM10"/>
    </sheetView>
  </sheetViews>
  <sheetFormatPr defaultRowHeight="15" x14ac:dyDescent="0.25"/>
  <cols>
    <col min="1" max="1" width="16.5703125" customWidth="1"/>
    <col min="2" max="2" width="10.42578125" customWidth="1"/>
    <col min="4" max="4" width="10" bestFit="1" customWidth="1"/>
    <col min="5" max="5" width="11" customWidth="1"/>
    <col min="6" max="6" width="3.42578125" style="39" customWidth="1"/>
    <col min="7" max="7" width="26" style="56" customWidth="1"/>
    <col min="8" max="11" width="9.140625" customWidth="1"/>
    <col min="12" max="25" width="9.140625" hidden="1" customWidth="1"/>
    <col min="26" max="26" width="3.42578125" style="39" customWidth="1"/>
    <col min="27" max="29" width="9.140625" style="40"/>
    <col min="30" max="31" width="18.5703125" style="40" customWidth="1"/>
    <col min="32" max="34" width="9.140625" style="40" customWidth="1"/>
    <col min="35" max="36" width="9.140625" style="40"/>
    <col min="37" max="37" width="9.7109375" style="47" customWidth="1"/>
    <col min="38" max="38" width="9.140625" style="47"/>
    <col min="39" max="39" width="11" style="47" customWidth="1"/>
    <col min="40" max="40" width="10" style="47" customWidth="1"/>
  </cols>
  <sheetData>
    <row r="1" spans="1:40" hidden="1" x14ac:dyDescent="0.25"/>
    <row r="2" spans="1:40" hidden="1" x14ac:dyDescent="0.25"/>
    <row r="3" spans="1:40" hidden="1" x14ac:dyDescent="0.25"/>
    <row r="4" spans="1:40" hidden="1" x14ac:dyDescent="0.25"/>
    <row r="5" spans="1:40" hidden="1" x14ac:dyDescent="0.25"/>
    <row r="6" spans="1:40" ht="18.75" customHeight="1" x14ac:dyDescent="0.25">
      <c r="A6" s="89" t="s">
        <v>141</v>
      </c>
      <c r="B6" s="89"/>
      <c r="C6" s="89"/>
      <c r="D6" s="89"/>
      <c r="E6" s="89"/>
      <c r="G6" s="55" t="s">
        <v>148</v>
      </c>
      <c r="H6" s="55" t="s">
        <v>15</v>
      </c>
      <c r="I6" s="55" t="s">
        <v>147</v>
      </c>
      <c r="J6" s="55" t="s">
        <v>146</v>
      </c>
      <c r="K6" s="55" t="s">
        <v>149</v>
      </c>
      <c r="AA6" s="80" t="s">
        <v>27</v>
      </c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</row>
    <row r="7" spans="1:40" ht="12.75" customHeight="1" x14ac:dyDescent="0.25">
      <c r="A7" s="89"/>
      <c r="B7" s="89"/>
      <c r="C7" s="89"/>
      <c r="D7" s="89"/>
      <c r="E7" s="89"/>
      <c r="G7" s="57" t="str">
        <f>"- Khối lượng thép tổ hợp:"</f>
        <v>- Khối lượng thép tổ hợp:</v>
      </c>
      <c r="H7" s="54">
        <v>1</v>
      </c>
      <c r="I7" s="61">
        <f>E24*H7</f>
        <v>376.79999999999995</v>
      </c>
      <c r="J7" s="35" t="s">
        <v>145</v>
      </c>
      <c r="K7" s="53">
        <v>1</v>
      </c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</row>
    <row r="8" spans="1:40" ht="15" customHeight="1" x14ac:dyDescent="0.25">
      <c r="A8" s="78" t="s">
        <v>142</v>
      </c>
      <c r="B8" s="78" t="s">
        <v>143</v>
      </c>
      <c r="C8" s="78" t="s">
        <v>138</v>
      </c>
      <c r="D8" s="78" t="s">
        <v>139</v>
      </c>
      <c r="E8" s="78" t="s">
        <v>140</v>
      </c>
      <c r="G8" s="57" t="str">
        <f>"- Khối lượng bản mã liên kết:"</f>
        <v>- Khối lượng bản mã liên kết:</v>
      </c>
      <c r="H8" s="54">
        <v>1</v>
      </c>
      <c r="I8" s="61">
        <f>H8*$I$7*K8</f>
        <v>37.68</v>
      </c>
      <c r="J8" s="35" t="s">
        <v>145</v>
      </c>
      <c r="K8" s="53">
        <v>0.1</v>
      </c>
      <c r="AA8" s="81" t="s">
        <v>21</v>
      </c>
      <c r="AB8" s="81" t="s">
        <v>125</v>
      </c>
      <c r="AC8" s="81" t="s">
        <v>6</v>
      </c>
      <c r="AD8" s="81" t="s">
        <v>19</v>
      </c>
      <c r="AE8" s="81" t="s">
        <v>130</v>
      </c>
      <c r="AF8" s="81" t="s">
        <v>136</v>
      </c>
      <c r="AG8" s="81" t="s">
        <v>137</v>
      </c>
      <c r="AH8" s="83" t="s">
        <v>129</v>
      </c>
      <c r="AI8" s="84"/>
      <c r="AJ8" s="84"/>
      <c r="AK8" s="78" t="s">
        <v>138</v>
      </c>
      <c r="AL8" s="78" t="s">
        <v>139</v>
      </c>
      <c r="AM8" s="86" t="s">
        <v>140</v>
      </c>
      <c r="AN8" s="78" t="s">
        <v>140</v>
      </c>
    </row>
    <row r="9" spans="1:40" x14ac:dyDescent="0.25">
      <c r="A9" s="78"/>
      <c r="B9" s="78"/>
      <c r="C9" s="78"/>
      <c r="D9" s="78"/>
      <c r="E9" s="78"/>
      <c r="G9" s="57" t="str">
        <f>"- Khối lượng bu lông liên kết:"</f>
        <v>- Khối lượng bu lông liên kết:</v>
      </c>
      <c r="H9" s="54">
        <v>1</v>
      </c>
      <c r="I9" s="61">
        <f>H9*$I$7*K9</f>
        <v>4.5215999999999994</v>
      </c>
      <c r="J9" s="35" t="s">
        <v>145</v>
      </c>
      <c r="K9" s="58">
        <v>1.2E-2</v>
      </c>
      <c r="AA9" s="82"/>
      <c r="AB9" s="82"/>
      <c r="AC9" s="82"/>
      <c r="AD9" s="82"/>
      <c r="AE9" s="82"/>
      <c r="AF9" s="82"/>
      <c r="AG9" s="82"/>
      <c r="AH9" s="41" t="s">
        <v>126</v>
      </c>
      <c r="AI9" s="41" t="s">
        <v>127</v>
      </c>
      <c r="AJ9" s="41" t="s">
        <v>128</v>
      </c>
      <c r="AK9" s="85"/>
      <c r="AL9" s="85"/>
      <c r="AM9" s="87"/>
      <c r="AN9" s="78"/>
    </row>
    <row r="10" spans="1:40" x14ac:dyDescent="0.25">
      <c r="A10" s="35" t="s">
        <v>129</v>
      </c>
      <c r="B10" s="35">
        <v>4</v>
      </c>
      <c r="C10" s="32" t="str">
        <f t="shared" ref="C10:C23" si="0">IF(COUNTIF($AJ$10:$AJ$9999,B10)=0,"-",SUMIFS($AK$10:$AK$99999,$AJ$10:$AJ$99999,B10))</f>
        <v>-</v>
      </c>
      <c r="D10" s="32" t="str">
        <f t="shared" ref="D10:D23" si="1">IF(COUNTIF($AJ$10:$AJ$9999,B10)=0,"-",SUMIFS($AL$10:$AL$99999,$AJ$10:$AJ$99999,B10))</f>
        <v>-</v>
      </c>
      <c r="E10" s="32" t="str">
        <f>IF(COUNTIF($AJ$10:$AJ$9999,B10)=0,"-",SUMIFS($AM$10:$AM$99999,$AJ$10:$AJ$99999,B10))</f>
        <v>-</v>
      </c>
      <c r="G10" s="57" t="str">
        <f>"- Khối lượng bu lông móng:"</f>
        <v>- Khối lượng bu lông móng:</v>
      </c>
      <c r="H10" s="54">
        <v>1</v>
      </c>
      <c r="I10" s="61">
        <f>H10*$I$7*K10</f>
        <v>4.5215999999999994</v>
      </c>
      <c r="J10" s="35" t="s">
        <v>145</v>
      </c>
      <c r="K10" s="58">
        <v>1.2E-2</v>
      </c>
      <c r="AA10" s="42"/>
      <c r="AB10" s="43"/>
      <c r="AC10" s="43"/>
      <c r="AD10" s="43"/>
      <c r="AE10" s="43" t="s">
        <v>131</v>
      </c>
      <c r="AF10" s="43">
        <v>200</v>
      </c>
      <c r="AG10" s="43">
        <v>200</v>
      </c>
      <c r="AH10" s="43">
        <v>8000</v>
      </c>
      <c r="AI10" s="43">
        <v>200</v>
      </c>
      <c r="AJ10" s="43">
        <v>10</v>
      </c>
      <c r="AK10" s="48">
        <f>IF(AE10="","",AH10*AI10/1000000)</f>
        <v>1.6</v>
      </c>
      <c r="AL10" s="48">
        <f>IF(AE10="","",(2*AH10*AI10+IF(AE10="Bản bụng",0,2*AH10*AJ10))/1000000)</f>
        <v>3.36</v>
      </c>
      <c r="AM10" s="48">
        <f>IF(AE10="","",7850*AH10*AI10*AJ10/1000000000)</f>
        <v>125.6</v>
      </c>
      <c r="AN10" s="49" t="str">
        <f>IF(AD10="","",AM9+AM10+AM11)</f>
        <v/>
      </c>
    </row>
    <row r="11" spans="1:40" x14ac:dyDescent="0.25">
      <c r="A11" s="35" t="s">
        <v>129</v>
      </c>
      <c r="B11" s="35">
        <v>5</v>
      </c>
      <c r="C11" s="32">
        <f t="shared" si="0"/>
        <v>3.1999999999999997</v>
      </c>
      <c r="D11" s="32">
        <f t="shared" si="1"/>
        <v>6.3999999999999995</v>
      </c>
      <c r="E11" s="32">
        <f t="shared" ref="E10:E23" si="2">IF(COUNTIF($AJ$10:$AJ$9999,B11)=0,"-",SUMIFS($AM$10:$AM$99999,$AJ$10:$AJ$99999,B11))</f>
        <v>125.59999999999998</v>
      </c>
      <c r="G11" s="57" t="str">
        <f>"- Tấm deck:"</f>
        <v>- Tấm deck:</v>
      </c>
      <c r="H11" s="35"/>
      <c r="I11" s="61"/>
      <c r="J11" s="35"/>
      <c r="K11" s="35"/>
      <c r="AA11" s="44">
        <v>1</v>
      </c>
      <c r="AB11" s="40">
        <v>1</v>
      </c>
      <c r="AC11" s="40" t="s">
        <v>132</v>
      </c>
      <c r="AD11" s="40" t="s">
        <v>133</v>
      </c>
      <c r="AE11" s="40" t="s">
        <v>134</v>
      </c>
      <c r="AF11" s="40">
        <v>399.99999999999994</v>
      </c>
      <c r="AG11" s="40">
        <v>399.99999999999994</v>
      </c>
      <c r="AH11" s="40">
        <v>8000</v>
      </c>
      <c r="AI11" s="40">
        <v>399.99999999999994</v>
      </c>
      <c r="AJ11" s="40">
        <v>5</v>
      </c>
      <c r="AK11" s="47">
        <f t="shared" ref="AK11:AK12" si="3">IF(AE11="","",AH11*AI11/1000000)</f>
        <v>3.1999999999999997</v>
      </c>
      <c r="AL11" s="47">
        <f t="shared" ref="AL11:AL12" si="4">IF(AE11="","",(2*AH11*AI11+IF(AE11="Bản bụng",0,2*AH11*AJ11))/1000000)</f>
        <v>6.3999999999999995</v>
      </c>
      <c r="AM11" s="47">
        <f t="shared" ref="AM11:AM12" si="5">IF(AE11="","",7850*AH11*AI11*AJ11/1000000000)</f>
        <v>125.59999999999998</v>
      </c>
      <c r="AN11" s="50">
        <f t="shared" ref="AN11:AN12" si="6">IF(AD11="","",AM10+AM11+AM12)</f>
        <v>376.79999999999995</v>
      </c>
    </row>
    <row r="12" spans="1:40" x14ac:dyDescent="0.25">
      <c r="A12" s="35" t="s">
        <v>129</v>
      </c>
      <c r="B12" s="35">
        <v>6</v>
      </c>
      <c r="C12" s="32" t="str">
        <f t="shared" si="0"/>
        <v>-</v>
      </c>
      <c r="D12" s="32" t="str">
        <f t="shared" si="1"/>
        <v>-</v>
      </c>
      <c r="E12" s="32" t="str">
        <f t="shared" si="2"/>
        <v>-</v>
      </c>
      <c r="G12" s="57"/>
      <c r="H12" s="35"/>
      <c r="I12" s="61"/>
      <c r="J12" s="35"/>
      <c r="K12" s="35"/>
      <c r="AA12" s="44"/>
      <c r="AE12" s="40" t="s">
        <v>135</v>
      </c>
      <c r="AF12" s="40">
        <v>200</v>
      </c>
      <c r="AG12" s="40">
        <v>200</v>
      </c>
      <c r="AH12" s="40">
        <v>8000</v>
      </c>
      <c r="AI12" s="40">
        <v>200</v>
      </c>
      <c r="AJ12" s="40">
        <v>10</v>
      </c>
      <c r="AK12" s="47">
        <f t="shared" si="3"/>
        <v>1.6</v>
      </c>
      <c r="AL12" s="47">
        <f t="shared" si="4"/>
        <v>3.36</v>
      </c>
      <c r="AM12" s="47">
        <f t="shared" si="5"/>
        <v>125.6</v>
      </c>
      <c r="AN12" s="50" t="str">
        <f t="shared" si="6"/>
        <v/>
      </c>
    </row>
    <row r="13" spans="1:40" x14ac:dyDescent="0.25">
      <c r="A13" s="35" t="s">
        <v>129</v>
      </c>
      <c r="B13" s="35">
        <v>8</v>
      </c>
      <c r="C13" s="32" t="str">
        <f t="shared" si="0"/>
        <v>-</v>
      </c>
      <c r="D13" s="32" t="str">
        <f t="shared" si="1"/>
        <v>-</v>
      </c>
      <c r="E13" s="32" t="str">
        <f t="shared" si="2"/>
        <v>-</v>
      </c>
      <c r="G13" s="57"/>
      <c r="H13" s="35"/>
      <c r="I13" s="61"/>
      <c r="J13" s="35"/>
      <c r="K13" s="35"/>
      <c r="AA13" s="42"/>
      <c r="AB13" s="43"/>
      <c r="AC13" s="43"/>
      <c r="AD13" s="43"/>
      <c r="AE13" s="43"/>
      <c r="AF13" s="43"/>
      <c r="AG13" s="43"/>
      <c r="AH13" s="43"/>
      <c r="AI13" s="43"/>
      <c r="AJ13" s="43"/>
      <c r="AK13" s="48"/>
      <c r="AL13" s="48"/>
      <c r="AM13" s="48"/>
      <c r="AN13" s="49"/>
    </row>
    <row r="14" spans="1:40" x14ac:dyDescent="0.25">
      <c r="A14" s="35" t="s">
        <v>129</v>
      </c>
      <c r="B14" s="35">
        <v>10</v>
      </c>
      <c r="C14" s="32">
        <f t="shared" si="0"/>
        <v>3.2</v>
      </c>
      <c r="D14" s="32">
        <f t="shared" si="1"/>
        <v>6.72</v>
      </c>
      <c r="E14" s="32">
        <f t="shared" si="2"/>
        <v>251.2</v>
      </c>
      <c r="G14" s="57"/>
      <c r="H14" s="35"/>
      <c r="I14" s="61"/>
      <c r="J14" s="35"/>
      <c r="K14" s="35"/>
      <c r="AA14" s="44"/>
      <c r="AN14" s="50"/>
    </row>
    <row r="15" spans="1:40" x14ac:dyDescent="0.25">
      <c r="A15" s="35" t="s">
        <v>129</v>
      </c>
      <c r="B15" s="35">
        <v>12</v>
      </c>
      <c r="C15" s="32" t="str">
        <f t="shared" si="0"/>
        <v>-</v>
      </c>
      <c r="D15" s="32" t="str">
        <f t="shared" si="1"/>
        <v>-</v>
      </c>
      <c r="E15" s="32" t="str">
        <f t="shared" si="2"/>
        <v>-</v>
      </c>
      <c r="G15" s="57"/>
      <c r="H15" s="35"/>
      <c r="I15" s="61"/>
      <c r="J15" s="35"/>
      <c r="K15" s="35"/>
      <c r="AA15" s="44"/>
      <c r="AN15" s="50"/>
    </row>
    <row r="16" spans="1:40" x14ac:dyDescent="0.25">
      <c r="A16" s="35" t="s">
        <v>129</v>
      </c>
      <c r="B16" s="35">
        <v>14</v>
      </c>
      <c r="C16" s="32" t="str">
        <f t="shared" si="0"/>
        <v>-</v>
      </c>
      <c r="D16" s="32" t="str">
        <f t="shared" si="1"/>
        <v>-</v>
      </c>
      <c r="E16" s="32" t="str">
        <f t="shared" si="2"/>
        <v>-</v>
      </c>
      <c r="G16" s="57"/>
      <c r="H16" s="35"/>
      <c r="I16" s="61"/>
      <c r="J16" s="35"/>
      <c r="K16" s="35"/>
      <c r="AA16" s="42"/>
      <c r="AB16" s="43"/>
      <c r="AC16" s="43"/>
      <c r="AD16" s="43"/>
      <c r="AE16" s="43"/>
      <c r="AF16" s="43"/>
      <c r="AG16" s="43"/>
      <c r="AH16" s="43"/>
      <c r="AI16" s="43"/>
      <c r="AJ16" s="43"/>
      <c r="AK16" s="48"/>
      <c r="AL16" s="48"/>
      <c r="AM16" s="48"/>
      <c r="AN16" s="49"/>
    </row>
    <row r="17" spans="1:40" x14ac:dyDescent="0.25">
      <c r="A17" s="35" t="s">
        <v>129</v>
      </c>
      <c r="B17" s="35">
        <v>15</v>
      </c>
      <c r="C17" s="32" t="str">
        <f t="shared" si="0"/>
        <v>-</v>
      </c>
      <c r="D17" s="32" t="str">
        <f t="shared" si="1"/>
        <v>-</v>
      </c>
      <c r="E17" s="32" t="str">
        <f t="shared" si="2"/>
        <v>-</v>
      </c>
      <c r="G17" s="57"/>
      <c r="H17" s="35"/>
      <c r="I17" s="61"/>
      <c r="J17" s="35"/>
      <c r="K17" s="35"/>
      <c r="AA17" s="44"/>
      <c r="AN17" s="50"/>
    </row>
    <row r="18" spans="1:40" x14ac:dyDescent="0.25">
      <c r="A18" s="35" t="s">
        <v>129</v>
      </c>
      <c r="B18" s="35">
        <v>16</v>
      </c>
      <c r="C18" s="32" t="str">
        <f t="shared" si="0"/>
        <v>-</v>
      </c>
      <c r="D18" s="32" t="str">
        <f t="shared" si="1"/>
        <v>-</v>
      </c>
      <c r="E18" s="32" t="str">
        <f t="shared" si="2"/>
        <v>-</v>
      </c>
      <c r="G18" s="57"/>
      <c r="H18" s="35"/>
      <c r="I18" s="61"/>
      <c r="J18" s="35"/>
      <c r="K18" s="35"/>
      <c r="AA18" s="44"/>
      <c r="AN18" s="50"/>
    </row>
    <row r="19" spans="1:40" x14ac:dyDescent="0.25">
      <c r="A19" s="35" t="s">
        <v>129</v>
      </c>
      <c r="B19" s="35">
        <v>18</v>
      </c>
      <c r="C19" s="32" t="str">
        <f t="shared" si="0"/>
        <v>-</v>
      </c>
      <c r="D19" s="32" t="str">
        <f t="shared" si="1"/>
        <v>-</v>
      </c>
      <c r="E19" s="32" t="str">
        <f t="shared" si="2"/>
        <v>-</v>
      </c>
      <c r="G19" s="57"/>
      <c r="H19" s="35"/>
      <c r="I19" s="61"/>
      <c r="J19" s="35"/>
      <c r="K19" s="35"/>
      <c r="AA19" s="42"/>
      <c r="AB19" s="43"/>
      <c r="AC19" s="43"/>
      <c r="AD19" s="43"/>
      <c r="AE19" s="43"/>
      <c r="AF19" s="43"/>
      <c r="AG19" s="43"/>
      <c r="AH19" s="43"/>
      <c r="AI19" s="43"/>
      <c r="AJ19" s="43"/>
      <c r="AK19" s="48"/>
      <c r="AL19" s="48"/>
      <c r="AM19" s="48"/>
      <c r="AN19" s="49"/>
    </row>
    <row r="20" spans="1:40" x14ac:dyDescent="0.25">
      <c r="A20" s="35" t="s">
        <v>129</v>
      </c>
      <c r="B20" s="35">
        <v>20</v>
      </c>
      <c r="C20" s="32" t="str">
        <f t="shared" si="0"/>
        <v>-</v>
      </c>
      <c r="D20" s="32" t="str">
        <f t="shared" si="1"/>
        <v>-</v>
      </c>
      <c r="E20" s="32" t="str">
        <f t="shared" si="2"/>
        <v>-</v>
      </c>
      <c r="G20" s="57"/>
      <c r="H20" s="35"/>
      <c r="I20" s="61"/>
      <c r="J20" s="35"/>
      <c r="K20" s="35"/>
      <c r="AA20" s="44"/>
      <c r="AN20" s="50"/>
    </row>
    <row r="21" spans="1:40" x14ac:dyDescent="0.25">
      <c r="A21" s="35" t="s">
        <v>129</v>
      </c>
      <c r="B21" s="35">
        <v>22</v>
      </c>
      <c r="C21" s="32" t="str">
        <f t="shared" si="0"/>
        <v>-</v>
      </c>
      <c r="D21" s="32" t="str">
        <f t="shared" si="1"/>
        <v>-</v>
      </c>
      <c r="E21" s="32" t="str">
        <f t="shared" si="2"/>
        <v>-</v>
      </c>
      <c r="AA21" s="44"/>
      <c r="AN21" s="50"/>
    </row>
    <row r="22" spans="1:40" x14ac:dyDescent="0.25">
      <c r="A22" s="35" t="s">
        <v>129</v>
      </c>
      <c r="B22" s="35">
        <v>25</v>
      </c>
      <c r="C22" s="32" t="str">
        <f t="shared" si="0"/>
        <v>-</v>
      </c>
      <c r="D22" s="32" t="str">
        <f t="shared" si="1"/>
        <v>-</v>
      </c>
      <c r="E22" s="32" t="str">
        <f t="shared" si="2"/>
        <v>-</v>
      </c>
      <c r="AA22" s="42"/>
      <c r="AB22" s="43"/>
      <c r="AC22" s="43"/>
      <c r="AD22" s="43"/>
      <c r="AE22" s="43"/>
      <c r="AF22" s="43"/>
      <c r="AG22" s="43"/>
      <c r="AH22" s="43"/>
      <c r="AI22" s="43"/>
      <c r="AJ22" s="43"/>
      <c r="AK22" s="48"/>
      <c r="AL22" s="48"/>
      <c r="AM22" s="48"/>
      <c r="AN22" s="49"/>
    </row>
    <row r="23" spans="1:40" x14ac:dyDescent="0.25">
      <c r="A23" s="35" t="s">
        <v>129</v>
      </c>
      <c r="B23" s="35">
        <v>30</v>
      </c>
      <c r="C23" s="32" t="str">
        <f t="shared" si="0"/>
        <v>-</v>
      </c>
      <c r="D23" s="32" t="str">
        <f t="shared" si="1"/>
        <v>-</v>
      </c>
      <c r="E23" s="32" t="str">
        <f t="shared" si="2"/>
        <v>-</v>
      </c>
      <c r="AA23" s="44"/>
      <c r="AN23" s="50"/>
    </row>
    <row r="24" spans="1:40" x14ac:dyDescent="0.25">
      <c r="A24" s="88" t="s">
        <v>144</v>
      </c>
      <c r="B24" s="88"/>
      <c r="C24" s="59">
        <f>SUM(C10:C23)</f>
        <v>6.4</v>
      </c>
      <c r="D24" s="59">
        <f t="shared" ref="D24:E24" si="7">SUM(D10:D23)</f>
        <v>13.12</v>
      </c>
      <c r="E24" s="60">
        <f t="shared" si="7"/>
        <v>376.79999999999995</v>
      </c>
      <c r="AA24" s="44"/>
      <c r="AN24" s="50"/>
    </row>
    <row r="25" spans="1:40" x14ac:dyDescent="0.25">
      <c r="AA25" s="42"/>
      <c r="AB25" s="43"/>
      <c r="AC25" s="43"/>
      <c r="AD25" s="43"/>
      <c r="AE25" s="43"/>
      <c r="AF25" s="43"/>
      <c r="AG25" s="43"/>
      <c r="AH25" s="43"/>
      <c r="AI25" s="43"/>
      <c r="AJ25" s="43"/>
      <c r="AK25" s="48"/>
      <c r="AL25" s="48"/>
      <c r="AM25" s="48"/>
      <c r="AN25" s="49"/>
    </row>
    <row r="26" spans="1:40" x14ac:dyDescent="0.25">
      <c r="AA26" s="44"/>
      <c r="AN26" s="50"/>
    </row>
    <row r="27" spans="1:40" x14ac:dyDescent="0.25">
      <c r="AA27" s="44"/>
      <c r="AN27" s="50"/>
    </row>
    <row r="28" spans="1:40" x14ac:dyDescent="0.25">
      <c r="AA28" s="42"/>
      <c r="AB28" s="43"/>
      <c r="AC28" s="43"/>
      <c r="AD28" s="43"/>
      <c r="AE28" s="43"/>
      <c r="AF28" s="43"/>
      <c r="AG28" s="43"/>
      <c r="AH28" s="43"/>
      <c r="AI28" s="43"/>
      <c r="AJ28" s="43"/>
      <c r="AK28" s="48"/>
      <c r="AL28" s="48"/>
      <c r="AM28" s="48"/>
      <c r="AN28" s="49"/>
    </row>
    <row r="29" spans="1:40" x14ac:dyDescent="0.25">
      <c r="AA29" s="44"/>
      <c r="AN29" s="50"/>
    </row>
    <row r="30" spans="1:40" x14ac:dyDescent="0.25">
      <c r="AA30" s="44"/>
      <c r="AN30" s="50"/>
    </row>
    <row r="31" spans="1:40" x14ac:dyDescent="0.25">
      <c r="AA31" s="42"/>
      <c r="AB31" s="43"/>
      <c r="AC31" s="43"/>
      <c r="AD31" s="43"/>
      <c r="AE31" s="43"/>
      <c r="AF31" s="43"/>
      <c r="AG31" s="43"/>
      <c r="AH31" s="43"/>
      <c r="AI31" s="43"/>
      <c r="AJ31" s="43"/>
      <c r="AK31" s="48"/>
      <c r="AL31" s="48"/>
      <c r="AM31" s="48"/>
      <c r="AN31" s="49"/>
    </row>
    <row r="32" spans="1:40" x14ac:dyDescent="0.25">
      <c r="AA32" s="44"/>
      <c r="AN32" s="50"/>
    </row>
    <row r="33" spans="27:40" x14ac:dyDescent="0.25">
      <c r="AA33" s="44"/>
      <c r="AN33" s="50"/>
    </row>
    <row r="34" spans="27:40" x14ac:dyDescent="0.25">
      <c r="AA34" s="42"/>
      <c r="AB34" s="43"/>
      <c r="AC34" s="43"/>
      <c r="AD34" s="43"/>
      <c r="AE34" s="43"/>
      <c r="AF34" s="43"/>
      <c r="AG34" s="43"/>
      <c r="AH34" s="43"/>
      <c r="AI34" s="43"/>
      <c r="AJ34" s="43"/>
      <c r="AK34" s="48"/>
      <c r="AL34" s="48"/>
      <c r="AM34" s="48"/>
      <c r="AN34" s="49"/>
    </row>
    <row r="35" spans="27:40" x14ac:dyDescent="0.25">
      <c r="AA35" s="44"/>
      <c r="AN35" s="50"/>
    </row>
    <row r="36" spans="27:40" x14ac:dyDescent="0.25">
      <c r="AA36" s="44"/>
      <c r="AN36" s="50"/>
    </row>
    <row r="37" spans="27:40" x14ac:dyDescent="0.25">
      <c r="AA37" s="42"/>
      <c r="AB37" s="43"/>
      <c r="AC37" s="43"/>
      <c r="AD37" s="43"/>
      <c r="AE37" s="43"/>
      <c r="AF37" s="43"/>
      <c r="AG37" s="43"/>
      <c r="AH37" s="43"/>
      <c r="AI37" s="43"/>
      <c r="AJ37" s="43"/>
      <c r="AK37" s="48"/>
      <c r="AL37" s="48"/>
      <c r="AM37" s="48"/>
      <c r="AN37" s="49"/>
    </row>
    <row r="38" spans="27:40" x14ac:dyDescent="0.25">
      <c r="AA38" s="44"/>
      <c r="AN38" s="50"/>
    </row>
    <row r="39" spans="27:40" x14ac:dyDescent="0.25">
      <c r="AA39" s="44"/>
      <c r="AN39" s="50"/>
    </row>
    <row r="40" spans="27:40" x14ac:dyDescent="0.25">
      <c r="AA40" s="42"/>
      <c r="AB40" s="43"/>
      <c r="AC40" s="43"/>
      <c r="AD40" s="43"/>
      <c r="AE40" s="43"/>
      <c r="AF40" s="43"/>
      <c r="AG40" s="43"/>
      <c r="AH40" s="43"/>
      <c r="AI40" s="43"/>
      <c r="AJ40" s="43"/>
      <c r="AK40" s="48"/>
      <c r="AL40" s="48"/>
      <c r="AM40" s="48"/>
      <c r="AN40" s="49"/>
    </row>
    <row r="41" spans="27:40" x14ac:dyDescent="0.25">
      <c r="AA41" s="44"/>
      <c r="AN41" s="50"/>
    </row>
    <row r="42" spans="27:40" x14ac:dyDescent="0.25">
      <c r="AA42" s="44"/>
      <c r="AN42" s="50"/>
    </row>
    <row r="43" spans="27:40" x14ac:dyDescent="0.25">
      <c r="AA43" s="42"/>
      <c r="AB43" s="43"/>
      <c r="AC43" s="43"/>
      <c r="AD43" s="43"/>
      <c r="AE43" s="43"/>
      <c r="AF43" s="43"/>
      <c r="AG43" s="43"/>
      <c r="AH43" s="43"/>
      <c r="AI43" s="43"/>
      <c r="AJ43" s="43"/>
      <c r="AK43" s="48"/>
      <c r="AL43" s="48"/>
      <c r="AM43" s="48"/>
      <c r="AN43" s="49"/>
    </row>
    <row r="44" spans="27:40" x14ac:dyDescent="0.25">
      <c r="AA44" s="44"/>
      <c r="AN44" s="50"/>
    </row>
    <row r="45" spans="27:40" x14ac:dyDescent="0.25">
      <c r="AA45" s="44"/>
      <c r="AN45" s="50"/>
    </row>
    <row r="46" spans="27:40" x14ac:dyDescent="0.25">
      <c r="AA46" s="42"/>
      <c r="AB46" s="43"/>
      <c r="AC46" s="43"/>
      <c r="AD46" s="43"/>
      <c r="AE46" s="43"/>
      <c r="AF46" s="43"/>
      <c r="AG46" s="43"/>
      <c r="AH46" s="43"/>
      <c r="AI46" s="43"/>
      <c r="AJ46" s="43"/>
      <c r="AK46" s="48"/>
      <c r="AL46" s="48"/>
      <c r="AM46" s="48"/>
      <c r="AN46" s="49"/>
    </row>
    <row r="47" spans="27:40" x14ac:dyDescent="0.25">
      <c r="AA47" s="44"/>
      <c r="AN47" s="50"/>
    </row>
    <row r="48" spans="27:40" x14ac:dyDescent="0.25">
      <c r="AA48" s="44"/>
      <c r="AN48" s="50"/>
    </row>
    <row r="49" spans="27:40" x14ac:dyDescent="0.25">
      <c r="AA49" s="42"/>
      <c r="AB49" s="43"/>
      <c r="AC49" s="43"/>
      <c r="AD49" s="43"/>
      <c r="AE49" s="43"/>
      <c r="AF49" s="43"/>
      <c r="AG49" s="43"/>
      <c r="AH49" s="43"/>
      <c r="AI49" s="43"/>
      <c r="AJ49" s="43"/>
      <c r="AK49" s="48"/>
      <c r="AL49" s="48"/>
      <c r="AM49" s="48"/>
      <c r="AN49" s="49"/>
    </row>
    <row r="50" spans="27:40" x14ac:dyDescent="0.25">
      <c r="AA50" s="44"/>
      <c r="AN50" s="50"/>
    </row>
    <row r="51" spans="27:40" x14ac:dyDescent="0.25">
      <c r="AA51" s="44"/>
      <c r="AN51" s="50"/>
    </row>
    <row r="52" spans="27:40" x14ac:dyDescent="0.25">
      <c r="AA52" s="42"/>
      <c r="AB52" s="43"/>
      <c r="AC52" s="43"/>
      <c r="AD52" s="43"/>
      <c r="AE52" s="43"/>
      <c r="AF52" s="43"/>
      <c r="AG52" s="43"/>
      <c r="AH52" s="43"/>
      <c r="AI52" s="43"/>
      <c r="AJ52" s="43"/>
      <c r="AK52" s="48"/>
      <c r="AL52" s="48"/>
      <c r="AM52" s="48"/>
      <c r="AN52" s="49"/>
    </row>
    <row r="53" spans="27:40" x14ac:dyDescent="0.25">
      <c r="AA53" s="44"/>
      <c r="AN53" s="50"/>
    </row>
    <row r="54" spans="27:40" x14ac:dyDescent="0.25">
      <c r="AA54" s="44"/>
      <c r="AN54" s="50"/>
    </row>
    <row r="55" spans="27:40" x14ac:dyDescent="0.25">
      <c r="AA55" s="42"/>
      <c r="AB55" s="43"/>
      <c r="AC55" s="43"/>
      <c r="AD55" s="43"/>
      <c r="AE55" s="43"/>
      <c r="AF55" s="43"/>
      <c r="AG55" s="43"/>
      <c r="AH55" s="43"/>
      <c r="AI55" s="43"/>
      <c r="AJ55" s="43"/>
      <c r="AK55" s="48"/>
      <c r="AL55" s="48"/>
      <c r="AM55" s="48"/>
      <c r="AN55" s="49"/>
    </row>
    <row r="56" spans="27:40" x14ac:dyDescent="0.25">
      <c r="AA56" s="44"/>
      <c r="AN56" s="50"/>
    </row>
    <row r="57" spans="27:40" x14ac:dyDescent="0.25">
      <c r="AA57" s="44"/>
      <c r="AN57" s="50"/>
    </row>
    <row r="58" spans="27:40" x14ac:dyDescent="0.25">
      <c r="AA58" s="42"/>
      <c r="AB58" s="43"/>
      <c r="AC58" s="43"/>
      <c r="AD58" s="43"/>
      <c r="AE58" s="43"/>
      <c r="AF58" s="43"/>
      <c r="AG58" s="43"/>
      <c r="AH58" s="43"/>
      <c r="AI58" s="43"/>
      <c r="AJ58" s="43"/>
      <c r="AK58" s="48"/>
      <c r="AL58" s="48"/>
      <c r="AM58" s="48"/>
      <c r="AN58" s="49"/>
    </row>
    <row r="59" spans="27:40" x14ac:dyDescent="0.25">
      <c r="AA59" s="44"/>
      <c r="AN59" s="50"/>
    </row>
    <row r="60" spans="27:40" x14ac:dyDescent="0.25">
      <c r="AA60" s="44"/>
      <c r="AN60" s="50"/>
    </row>
    <row r="61" spans="27:40" x14ac:dyDescent="0.25">
      <c r="AA61" s="42"/>
      <c r="AB61" s="43"/>
      <c r="AC61" s="43"/>
      <c r="AD61" s="43"/>
      <c r="AE61" s="43"/>
      <c r="AF61" s="43"/>
      <c r="AG61" s="43"/>
      <c r="AH61" s="43"/>
      <c r="AI61" s="43"/>
      <c r="AJ61" s="43"/>
      <c r="AK61" s="48"/>
      <c r="AL61" s="48"/>
      <c r="AM61" s="48"/>
      <c r="AN61" s="49"/>
    </row>
    <row r="62" spans="27:40" x14ac:dyDescent="0.25">
      <c r="AA62" s="44"/>
      <c r="AN62" s="50"/>
    </row>
    <row r="63" spans="27:40" x14ac:dyDescent="0.25">
      <c r="AA63" s="44"/>
      <c r="AN63" s="50"/>
    </row>
    <row r="64" spans="27:40" x14ac:dyDescent="0.25">
      <c r="AA64" s="42"/>
      <c r="AB64" s="43"/>
      <c r="AC64" s="43"/>
      <c r="AD64" s="43"/>
      <c r="AE64" s="43"/>
      <c r="AF64" s="43"/>
      <c r="AG64" s="43"/>
      <c r="AH64" s="43"/>
      <c r="AI64" s="43"/>
      <c r="AJ64" s="43"/>
      <c r="AK64" s="48"/>
      <c r="AL64" s="48"/>
      <c r="AM64" s="48"/>
      <c r="AN64" s="49"/>
    </row>
    <row r="65" spans="27:40" x14ac:dyDescent="0.25">
      <c r="AA65" s="44"/>
      <c r="AN65" s="50"/>
    </row>
    <row r="66" spans="27:40" x14ac:dyDescent="0.25">
      <c r="AA66" s="44"/>
      <c r="AN66" s="50"/>
    </row>
    <row r="67" spans="27:40" x14ac:dyDescent="0.25">
      <c r="AA67" s="42"/>
      <c r="AB67" s="43"/>
      <c r="AC67" s="43"/>
      <c r="AD67" s="43"/>
      <c r="AE67" s="43"/>
      <c r="AF67" s="43"/>
      <c r="AG67" s="43"/>
      <c r="AH67" s="43"/>
      <c r="AI67" s="43"/>
      <c r="AJ67" s="43"/>
      <c r="AK67" s="48"/>
      <c r="AL67" s="48"/>
      <c r="AM67" s="48"/>
      <c r="AN67" s="49"/>
    </row>
    <row r="68" spans="27:40" x14ac:dyDescent="0.25">
      <c r="AA68" s="44"/>
      <c r="AN68" s="50"/>
    </row>
    <row r="69" spans="27:40" x14ac:dyDescent="0.25">
      <c r="AA69" s="44"/>
      <c r="AN69" s="50"/>
    </row>
    <row r="70" spans="27:40" x14ac:dyDescent="0.25">
      <c r="AA70" s="42"/>
      <c r="AB70" s="43"/>
      <c r="AC70" s="43"/>
      <c r="AD70" s="43"/>
      <c r="AE70" s="43"/>
      <c r="AF70" s="43"/>
      <c r="AG70" s="43"/>
      <c r="AH70" s="43"/>
      <c r="AI70" s="43"/>
      <c r="AJ70" s="43"/>
      <c r="AK70" s="48"/>
      <c r="AL70" s="48"/>
      <c r="AM70" s="48"/>
      <c r="AN70" s="49"/>
    </row>
    <row r="71" spans="27:40" x14ac:dyDescent="0.25">
      <c r="AA71" s="44"/>
      <c r="AN71" s="50"/>
    </row>
    <row r="72" spans="27:40" x14ac:dyDescent="0.25">
      <c r="AA72" s="44"/>
      <c r="AN72" s="50"/>
    </row>
    <row r="73" spans="27:40" x14ac:dyDescent="0.25">
      <c r="AA73" s="42"/>
      <c r="AB73" s="43"/>
      <c r="AC73" s="43"/>
      <c r="AD73" s="43"/>
      <c r="AE73" s="43"/>
      <c r="AF73" s="43"/>
      <c r="AG73" s="43"/>
      <c r="AH73" s="43"/>
      <c r="AI73" s="43"/>
      <c r="AJ73" s="43"/>
      <c r="AK73" s="48"/>
      <c r="AL73" s="48"/>
      <c r="AM73" s="48"/>
      <c r="AN73" s="49"/>
    </row>
    <row r="74" spans="27:40" x14ac:dyDescent="0.25">
      <c r="AA74" s="44"/>
      <c r="AN74" s="50"/>
    </row>
    <row r="75" spans="27:40" x14ac:dyDescent="0.25">
      <c r="AA75" s="44"/>
      <c r="AN75" s="50"/>
    </row>
    <row r="76" spans="27:40" x14ac:dyDescent="0.25">
      <c r="AA76" s="42"/>
      <c r="AB76" s="43"/>
      <c r="AC76" s="43"/>
      <c r="AD76" s="43"/>
      <c r="AE76" s="43"/>
      <c r="AF76" s="43"/>
      <c r="AG76" s="43"/>
      <c r="AH76" s="43"/>
      <c r="AI76" s="43"/>
      <c r="AJ76" s="43"/>
      <c r="AK76" s="48"/>
      <c r="AL76" s="48"/>
      <c r="AM76" s="48"/>
      <c r="AN76" s="49"/>
    </row>
    <row r="77" spans="27:40" x14ac:dyDescent="0.25">
      <c r="AA77" s="44"/>
      <c r="AN77" s="50"/>
    </row>
    <row r="78" spans="27:40" x14ac:dyDescent="0.25">
      <c r="AA78" s="44"/>
      <c r="AN78" s="50"/>
    </row>
    <row r="79" spans="27:40" x14ac:dyDescent="0.25">
      <c r="AA79" s="42"/>
      <c r="AB79" s="43"/>
      <c r="AC79" s="43"/>
      <c r="AD79" s="43"/>
      <c r="AE79" s="43"/>
      <c r="AF79" s="43"/>
      <c r="AG79" s="43"/>
      <c r="AH79" s="43"/>
      <c r="AI79" s="43"/>
      <c r="AJ79" s="43"/>
      <c r="AK79" s="48"/>
      <c r="AL79" s="48"/>
      <c r="AM79" s="48"/>
      <c r="AN79" s="49"/>
    </row>
    <row r="80" spans="27:40" x14ac:dyDescent="0.25">
      <c r="AA80" s="44"/>
      <c r="AN80" s="50"/>
    </row>
    <row r="81" spans="27:40" x14ac:dyDescent="0.25">
      <c r="AA81" s="44"/>
      <c r="AN81" s="50"/>
    </row>
    <row r="82" spans="27:40" x14ac:dyDescent="0.25">
      <c r="AA82" s="42"/>
      <c r="AB82" s="43"/>
      <c r="AC82" s="43"/>
      <c r="AD82" s="43"/>
      <c r="AE82" s="43"/>
      <c r="AF82" s="43"/>
      <c r="AG82" s="43"/>
      <c r="AH82" s="43"/>
      <c r="AI82" s="43"/>
      <c r="AJ82" s="43"/>
      <c r="AK82" s="48"/>
      <c r="AL82" s="48"/>
      <c r="AM82" s="48"/>
      <c r="AN82" s="49"/>
    </row>
    <row r="83" spans="27:40" x14ac:dyDescent="0.25">
      <c r="AA83" s="44"/>
      <c r="AN83" s="50"/>
    </row>
    <row r="84" spans="27:40" x14ac:dyDescent="0.25">
      <c r="AA84" s="44"/>
      <c r="AN84" s="50"/>
    </row>
    <row r="85" spans="27:40" x14ac:dyDescent="0.25">
      <c r="AA85" s="42"/>
      <c r="AB85" s="43"/>
      <c r="AC85" s="43"/>
      <c r="AD85" s="43"/>
      <c r="AE85" s="43"/>
      <c r="AF85" s="43"/>
      <c r="AG85" s="43"/>
      <c r="AH85" s="43"/>
      <c r="AI85" s="43"/>
      <c r="AJ85" s="43"/>
      <c r="AK85" s="48"/>
      <c r="AL85" s="48"/>
      <c r="AM85" s="48"/>
      <c r="AN85" s="49"/>
    </row>
    <row r="86" spans="27:40" x14ac:dyDescent="0.25">
      <c r="AA86" s="44"/>
      <c r="AN86" s="50"/>
    </row>
    <row r="87" spans="27:40" x14ac:dyDescent="0.25">
      <c r="AA87" s="44"/>
      <c r="AN87" s="50"/>
    </row>
    <row r="88" spans="27:40" x14ac:dyDescent="0.25">
      <c r="AA88" s="42"/>
      <c r="AB88" s="43"/>
      <c r="AC88" s="43"/>
      <c r="AD88" s="43"/>
      <c r="AE88" s="43"/>
      <c r="AF88" s="43"/>
      <c r="AG88" s="43"/>
      <c r="AH88" s="43"/>
      <c r="AI88" s="43"/>
      <c r="AJ88" s="43"/>
      <c r="AK88" s="48"/>
      <c r="AL88" s="48"/>
      <c r="AM88" s="48"/>
      <c r="AN88" s="49"/>
    </row>
    <row r="89" spans="27:40" x14ac:dyDescent="0.25">
      <c r="AA89" s="44"/>
      <c r="AN89" s="50"/>
    </row>
    <row r="90" spans="27:40" x14ac:dyDescent="0.25">
      <c r="AA90" s="44"/>
      <c r="AN90" s="50"/>
    </row>
    <row r="91" spans="27:40" x14ac:dyDescent="0.25">
      <c r="AA91" s="42"/>
      <c r="AB91" s="43"/>
      <c r="AC91" s="43"/>
      <c r="AD91" s="43"/>
      <c r="AE91" s="43"/>
      <c r="AF91" s="43"/>
      <c r="AG91" s="43"/>
      <c r="AH91" s="43"/>
      <c r="AI91" s="43"/>
      <c r="AJ91" s="43"/>
      <c r="AK91" s="48"/>
      <c r="AL91" s="48"/>
      <c r="AM91" s="48"/>
      <c r="AN91" s="49"/>
    </row>
    <row r="92" spans="27:40" x14ac:dyDescent="0.25">
      <c r="AA92" s="44"/>
      <c r="AN92" s="50"/>
    </row>
    <row r="93" spans="27:40" x14ac:dyDescent="0.25">
      <c r="AA93" s="44"/>
      <c r="AN93" s="50"/>
    </row>
    <row r="94" spans="27:40" x14ac:dyDescent="0.25">
      <c r="AA94" s="42"/>
      <c r="AB94" s="43"/>
      <c r="AC94" s="43"/>
      <c r="AD94" s="43"/>
      <c r="AE94" s="43"/>
      <c r="AF94" s="43"/>
      <c r="AG94" s="43"/>
      <c r="AH94" s="43"/>
      <c r="AI94" s="43"/>
      <c r="AJ94" s="43"/>
      <c r="AK94" s="48"/>
      <c r="AL94" s="48"/>
      <c r="AM94" s="48"/>
      <c r="AN94" s="49"/>
    </row>
    <row r="95" spans="27:40" x14ac:dyDescent="0.25">
      <c r="AA95" s="44"/>
      <c r="AN95" s="50"/>
    </row>
    <row r="96" spans="27:40" x14ac:dyDescent="0.25">
      <c r="AA96" s="44"/>
      <c r="AN96" s="50"/>
    </row>
    <row r="97" spans="27:40" x14ac:dyDescent="0.25">
      <c r="AA97" s="42"/>
      <c r="AB97" s="43"/>
      <c r="AC97" s="43"/>
      <c r="AD97" s="43"/>
      <c r="AE97" s="43"/>
      <c r="AF97" s="43"/>
      <c r="AG97" s="43"/>
      <c r="AH97" s="43"/>
      <c r="AI97" s="43"/>
      <c r="AJ97" s="43"/>
      <c r="AK97" s="48"/>
      <c r="AL97" s="48"/>
      <c r="AM97" s="48"/>
      <c r="AN97" s="49"/>
    </row>
    <row r="98" spans="27:40" x14ac:dyDescent="0.25">
      <c r="AA98" s="44"/>
      <c r="AN98" s="50"/>
    </row>
    <row r="99" spans="27:40" x14ac:dyDescent="0.25">
      <c r="AA99" s="44"/>
      <c r="AN99" s="50"/>
    </row>
    <row r="100" spans="27:40" x14ac:dyDescent="0.25">
      <c r="AA100" s="42"/>
      <c r="AB100" s="43"/>
      <c r="AC100" s="43"/>
      <c r="AD100" s="43"/>
      <c r="AE100" s="43"/>
      <c r="AF100" s="43"/>
      <c r="AG100" s="43"/>
      <c r="AH100" s="43"/>
      <c r="AI100" s="43"/>
      <c r="AJ100" s="43"/>
      <c r="AK100" s="48"/>
      <c r="AL100" s="48"/>
      <c r="AM100" s="48"/>
      <c r="AN100" s="49"/>
    </row>
    <row r="101" spans="27:40" x14ac:dyDescent="0.25">
      <c r="AA101" s="44"/>
      <c r="AN101" s="50"/>
    </row>
    <row r="102" spans="27:40" x14ac:dyDescent="0.25">
      <c r="AA102" s="44"/>
      <c r="AN102" s="50"/>
    </row>
    <row r="103" spans="27:40" x14ac:dyDescent="0.25">
      <c r="AA103" s="42"/>
      <c r="AB103" s="43"/>
      <c r="AC103" s="43"/>
      <c r="AD103" s="43"/>
      <c r="AE103" s="43"/>
      <c r="AF103" s="43"/>
      <c r="AG103" s="43"/>
      <c r="AH103" s="43"/>
      <c r="AI103" s="43"/>
      <c r="AJ103" s="43"/>
      <c r="AK103" s="48"/>
      <c r="AL103" s="48"/>
      <c r="AM103" s="48"/>
      <c r="AN103" s="49"/>
    </row>
    <row r="104" spans="27:40" x14ac:dyDescent="0.25">
      <c r="AA104" s="44"/>
      <c r="AN104" s="50"/>
    </row>
    <row r="105" spans="27:40" x14ac:dyDescent="0.25">
      <c r="AA105" s="44"/>
      <c r="AN105" s="50"/>
    </row>
    <row r="106" spans="27:40" x14ac:dyDescent="0.25">
      <c r="AA106" s="42"/>
      <c r="AB106" s="43"/>
      <c r="AC106" s="43"/>
      <c r="AD106" s="43"/>
      <c r="AE106" s="43"/>
      <c r="AF106" s="43"/>
      <c r="AG106" s="43"/>
      <c r="AH106" s="43"/>
      <c r="AI106" s="43"/>
      <c r="AJ106" s="43"/>
      <c r="AK106" s="48"/>
      <c r="AL106" s="48"/>
      <c r="AM106" s="48"/>
      <c r="AN106" s="49"/>
    </row>
    <row r="107" spans="27:40" x14ac:dyDescent="0.25">
      <c r="AA107" s="44"/>
      <c r="AN107" s="50"/>
    </row>
    <row r="108" spans="27:40" x14ac:dyDescent="0.25">
      <c r="AA108" s="44"/>
      <c r="AN108" s="50"/>
    </row>
    <row r="109" spans="27:40" x14ac:dyDescent="0.25">
      <c r="AA109" s="42"/>
      <c r="AB109" s="43"/>
      <c r="AC109" s="43"/>
      <c r="AD109" s="43"/>
      <c r="AE109" s="43"/>
      <c r="AF109" s="43"/>
      <c r="AG109" s="43"/>
      <c r="AH109" s="43"/>
      <c r="AI109" s="43"/>
      <c r="AJ109" s="43"/>
      <c r="AK109" s="48"/>
      <c r="AL109" s="48"/>
      <c r="AM109" s="48"/>
      <c r="AN109" s="49"/>
    </row>
    <row r="110" spans="27:40" x14ac:dyDescent="0.25">
      <c r="AA110" s="44"/>
      <c r="AN110" s="50"/>
    </row>
    <row r="111" spans="27:40" x14ac:dyDescent="0.25">
      <c r="AA111" s="44"/>
      <c r="AN111" s="50"/>
    </row>
    <row r="112" spans="27:40" x14ac:dyDescent="0.25">
      <c r="AA112" s="42"/>
      <c r="AB112" s="43"/>
      <c r="AC112" s="43"/>
      <c r="AD112" s="43"/>
      <c r="AE112" s="43"/>
      <c r="AF112" s="43"/>
      <c r="AG112" s="43"/>
      <c r="AH112" s="43"/>
      <c r="AI112" s="43"/>
      <c r="AJ112" s="43"/>
      <c r="AK112" s="48"/>
      <c r="AL112" s="48"/>
      <c r="AM112" s="48"/>
      <c r="AN112" s="49"/>
    </row>
    <row r="113" spans="27:40" x14ac:dyDescent="0.25">
      <c r="AA113" s="44"/>
      <c r="AN113" s="50"/>
    </row>
    <row r="114" spans="27:40" x14ac:dyDescent="0.25">
      <c r="AA114" s="44"/>
      <c r="AN114" s="50"/>
    </row>
    <row r="115" spans="27:40" x14ac:dyDescent="0.25">
      <c r="AA115" s="42"/>
      <c r="AB115" s="43"/>
      <c r="AC115" s="43"/>
      <c r="AD115" s="43"/>
      <c r="AE115" s="43"/>
      <c r="AF115" s="43"/>
      <c r="AG115" s="43"/>
      <c r="AH115" s="43"/>
      <c r="AI115" s="43"/>
      <c r="AJ115" s="43"/>
      <c r="AK115" s="48"/>
      <c r="AL115" s="48"/>
      <c r="AM115" s="48"/>
      <c r="AN115" s="49"/>
    </row>
    <row r="116" spans="27:40" x14ac:dyDescent="0.25">
      <c r="AA116" s="44"/>
      <c r="AN116" s="50"/>
    </row>
    <row r="117" spans="27:40" x14ac:dyDescent="0.25">
      <c r="AA117" s="44"/>
      <c r="AN117" s="50"/>
    </row>
    <row r="118" spans="27:40" x14ac:dyDescent="0.25">
      <c r="AA118" s="42"/>
      <c r="AB118" s="43"/>
      <c r="AC118" s="43"/>
      <c r="AD118" s="43"/>
      <c r="AE118" s="43"/>
      <c r="AF118" s="43"/>
      <c r="AG118" s="43"/>
      <c r="AH118" s="43"/>
      <c r="AI118" s="43"/>
      <c r="AJ118" s="43"/>
      <c r="AK118" s="48"/>
      <c r="AL118" s="48"/>
      <c r="AM118" s="48"/>
      <c r="AN118" s="49"/>
    </row>
    <row r="119" spans="27:40" x14ac:dyDescent="0.25">
      <c r="AA119" s="44"/>
      <c r="AN119" s="50"/>
    </row>
    <row r="120" spans="27:40" x14ac:dyDescent="0.25">
      <c r="AA120" s="44"/>
      <c r="AN120" s="50"/>
    </row>
    <row r="121" spans="27:40" x14ac:dyDescent="0.25">
      <c r="AA121" s="42"/>
      <c r="AB121" s="43"/>
      <c r="AC121" s="43"/>
      <c r="AD121" s="43"/>
      <c r="AE121" s="43"/>
      <c r="AF121" s="43"/>
      <c r="AG121" s="43"/>
      <c r="AH121" s="43"/>
      <c r="AI121" s="43"/>
      <c r="AJ121" s="43"/>
      <c r="AK121" s="48"/>
      <c r="AL121" s="48"/>
      <c r="AM121" s="48"/>
      <c r="AN121" s="49"/>
    </row>
    <row r="122" spans="27:40" x14ac:dyDescent="0.25">
      <c r="AA122" s="44"/>
      <c r="AN122" s="50"/>
    </row>
    <row r="123" spans="27:40" x14ac:dyDescent="0.25">
      <c r="AA123" s="44"/>
      <c r="AN123" s="50"/>
    </row>
    <row r="124" spans="27:40" x14ac:dyDescent="0.25">
      <c r="AA124" s="42"/>
      <c r="AB124" s="43"/>
      <c r="AC124" s="43"/>
      <c r="AD124" s="43"/>
      <c r="AE124" s="43"/>
      <c r="AF124" s="43"/>
      <c r="AG124" s="43"/>
      <c r="AH124" s="43"/>
      <c r="AI124" s="43"/>
      <c r="AJ124" s="43"/>
      <c r="AK124" s="48"/>
      <c r="AL124" s="48"/>
      <c r="AM124" s="48"/>
      <c r="AN124" s="49"/>
    </row>
    <row r="125" spans="27:40" x14ac:dyDescent="0.25">
      <c r="AA125" s="44"/>
      <c r="AN125" s="50"/>
    </row>
    <row r="126" spans="27:40" x14ac:dyDescent="0.25">
      <c r="AA126" s="44"/>
      <c r="AN126" s="50"/>
    </row>
    <row r="127" spans="27:40" x14ac:dyDescent="0.25">
      <c r="AA127" s="42"/>
      <c r="AB127" s="43"/>
      <c r="AC127" s="43"/>
      <c r="AD127" s="43"/>
      <c r="AE127" s="43"/>
      <c r="AF127" s="43"/>
      <c r="AG127" s="43"/>
      <c r="AH127" s="43"/>
      <c r="AI127" s="43"/>
      <c r="AJ127" s="43"/>
      <c r="AK127" s="48"/>
      <c r="AL127" s="48"/>
      <c r="AM127" s="48"/>
      <c r="AN127" s="49"/>
    </row>
    <row r="128" spans="27:40" x14ac:dyDescent="0.25">
      <c r="AA128" s="44"/>
      <c r="AN128" s="50"/>
    </row>
    <row r="129" spans="27:40" x14ac:dyDescent="0.25">
      <c r="AA129" s="44"/>
      <c r="AN129" s="50"/>
    </row>
    <row r="130" spans="27:40" x14ac:dyDescent="0.25">
      <c r="AA130" s="42"/>
      <c r="AB130" s="43"/>
      <c r="AC130" s="43"/>
      <c r="AD130" s="43"/>
      <c r="AE130" s="43"/>
      <c r="AF130" s="43"/>
      <c r="AG130" s="43"/>
      <c r="AH130" s="43"/>
      <c r="AI130" s="43"/>
      <c r="AJ130" s="43"/>
      <c r="AK130" s="48"/>
      <c r="AL130" s="48"/>
      <c r="AM130" s="48"/>
      <c r="AN130" s="49"/>
    </row>
    <row r="131" spans="27:40" x14ac:dyDescent="0.25">
      <c r="AA131" s="44"/>
      <c r="AN131" s="50"/>
    </row>
    <row r="132" spans="27:40" x14ac:dyDescent="0.25">
      <c r="AA132" s="44"/>
      <c r="AN132" s="50"/>
    </row>
    <row r="133" spans="27:40" x14ac:dyDescent="0.25">
      <c r="AA133" s="42"/>
      <c r="AB133" s="43"/>
      <c r="AC133" s="43"/>
      <c r="AD133" s="43"/>
      <c r="AE133" s="43"/>
      <c r="AF133" s="43"/>
      <c r="AG133" s="43"/>
      <c r="AH133" s="43"/>
      <c r="AI133" s="43"/>
      <c r="AJ133" s="43"/>
      <c r="AK133" s="48"/>
      <c r="AL133" s="48"/>
      <c r="AM133" s="48"/>
      <c r="AN133" s="49"/>
    </row>
    <row r="134" spans="27:40" x14ac:dyDescent="0.25">
      <c r="AA134" s="44"/>
      <c r="AN134" s="50"/>
    </row>
    <row r="135" spans="27:40" x14ac:dyDescent="0.25">
      <c r="AA135" s="44"/>
      <c r="AN135" s="50"/>
    </row>
    <row r="136" spans="27:40" x14ac:dyDescent="0.25">
      <c r="AA136" s="42"/>
      <c r="AB136" s="43"/>
      <c r="AC136" s="43"/>
      <c r="AD136" s="43"/>
      <c r="AE136" s="43"/>
      <c r="AF136" s="43"/>
      <c r="AG136" s="43"/>
      <c r="AH136" s="43"/>
      <c r="AI136" s="43"/>
      <c r="AJ136" s="43"/>
      <c r="AK136" s="48"/>
      <c r="AL136" s="48"/>
      <c r="AM136" s="48"/>
      <c r="AN136" s="49"/>
    </row>
    <row r="137" spans="27:40" x14ac:dyDescent="0.25">
      <c r="AA137" s="44"/>
      <c r="AN137" s="50"/>
    </row>
    <row r="138" spans="27:40" x14ac:dyDescent="0.25">
      <c r="AA138" s="44"/>
      <c r="AN138" s="50"/>
    </row>
    <row r="139" spans="27:40" x14ac:dyDescent="0.25">
      <c r="AA139" s="42"/>
      <c r="AB139" s="43"/>
      <c r="AC139" s="43"/>
      <c r="AD139" s="43"/>
      <c r="AE139" s="43"/>
      <c r="AF139" s="43"/>
      <c r="AG139" s="43"/>
      <c r="AH139" s="43"/>
      <c r="AI139" s="43"/>
      <c r="AJ139" s="43"/>
      <c r="AK139" s="48"/>
      <c r="AL139" s="48"/>
      <c r="AM139" s="48"/>
      <c r="AN139" s="49"/>
    </row>
    <row r="140" spans="27:40" x14ac:dyDescent="0.25">
      <c r="AA140" s="44"/>
      <c r="AN140" s="50"/>
    </row>
    <row r="141" spans="27:40" x14ac:dyDescent="0.25">
      <c r="AA141" s="44"/>
      <c r="AN141" s="50"/>
    </row>
    <row r="142" spans="27:40" x14ac:dyDescent="0.25">
      <c r="AA142" s="42"/>
      <c r="AB142" s="43"/>
      <c r="AC142" s="43"/>
      <c r="AD142" s="43"/>
      <c r="AE142" s="43"/>
      <c r="AF142" s="43"/>
      <c r="AG142" s="43"/>
      <c r="AH142" s="43"/>
      <c r="AI142" s="43"/>
      <c r="AJ142" s="43"/>
      <c r="AK142" s="48"/>
      <c r="AL142" s="48"/>
      <c r="AM142" s="48"/>
      <c r="AN142" s="49"/>
    </row>
    <row r="143" spans="27:40" x14ac:dyDescent="0.25">
      <c r="AA143" s="44"/>
      <c r="AN143" s="50"/>
    </row>
    <row r="144" spans="27:40" x14ac:dyDescent="0.25">
      <c r="AA144" s="44"/>
      <c r="AN144" s="50"/>
    </row>
    <row r="145" spans="27:40" x14ac:dyDescent="0.25">
      <c r="AA145" s="42"/>
      <c r="AB145" s="43"/>
      <c r="AC145" s="43"/>
      <c r="AD145" s="43"/>
      <c r="AE145" s="43"/>
      <c r="AF145" s="43"/>
      <c r="AG145" s="43"/>
      <c r="AH145" s="43"/>
      <c r="AI145" s="43"/>
      <c r="AJ145" s="43"/>
      <c r="AK145" s="48"/>
      <c r="AL145" s="48"/>
      <c r="AM145" s="48"/>
      <c r="AN145" s="49"/>
    </row>
    <row r="146" spans="27:40" x14ac:dyDescent="0.25">
      <c r="AA146" s="44"/>
      <c r="AN146" s="50"/>
    </row>
    <row r="147" spans="27:40" x14ac:dyDescent="0.25">
      <c r="AA147" s="44"/>
      <c r="AN147" s="50"/>
    </row>
    <row r="148" spans="27:40" x14ac:dyDescent="0.25">
      <c r="AA148" s="42"/>
      <c r="AB148" s="43"/>
      <c r="AC148" s="43"/>
      <c r="AD148" s="43"/>
      <c r="AE148" s="43"/>
      <c r="AF148" s="43"/>
      <c r="AG148" s="43"/>
      <c r="AH148" s="43"/>
      <c r="AI148" s="43"/>
      <c r="AJ148" s="43"/>
      <c r="AK148" s="48"/>
      <c r="AL148" s="48"/>
      <c r="AM148" s="48"/>
      <c r="AN148" s="49"/>
    </row>
    <row r="149" spans="27:40" x14ac:dyDescent="0.25">
      <c r="AA149" s="44"/>
      <c r="AN149" s="50"/>
    </row>
    <row r="150" spans="27:40" x14ac:dyDescent="0.25">
      <c r="AA150" s="44"/>
      <c r="AN150" s="50"/>
    </row>
    <row r="151" spans="27:40" x14ac:dyDescent="0.25">
      <c r="AA151" s="42"/>
      <c r="AB151" s="43"/>
      <c r="AC151" s="43"/>
      <c r="AD151" s="43"/>
      <c r="AE151" s="43"/>
      <c r="AF151" s="43"/>
      <c r="AG151" s="43"/>
      <c r="AH151" s="43"/>
      <c r="AI151" s="43"/>
      <c r="AJ151" s="43"/>
      <c r="AK151" s="48"/>
      <c r="AL151" s="48"/>
      <c r="AM151" s="48"/>
      <c r="AN151" s="49"/>
    </row>
    <row r="152" spans="27:40" x14ac:dyDescent="0.25">
      <c r="AA152" s="44"/>
      <c r="AN152" s="50"/>
    </row>
    <row r="153" spans="27:40" x14ac:dyDescent="0.25">
      <c r="AA153" s="44"/>
      <c r="AN153" s="50"/>
    </row>
    <row r="154" spans="27:40" x14ac:dyDescent="0.25">
      <c r="AA154" s="42"/>
      <c r="AB154" s="43"/>
      <c r="AC154" s="43"/>
      <c r="AD154" s="43"/>
      <c r="AE154" s="43"/>
      <c r="AF154" s="43"/>
      <c r="AG154" s="43"/>
      <c r="AH154" s="43"/>
      <c r="AI154" s="43"/>
      <c r="AJ154" s="43"/>
      <c r="AK154" s="48"/>
      <c r="AL154" s="48"/>
      <c r="AM154" s="48"/>
      <c r="AN154" s="49"/>
    </row>
    <row r="155" spans="27:40" x14ac:dyDescent="0.25">
      <c r="AA155" s="44"/>
      <c r="AN155" s="50"/>
    </row>
    <row r="156" spans="27:40" x14ac:dyDescent="0.25">
      <c r="AA156" s="44"/>
      <c r="AN156" s="50"/>
    </row>
    <row r="157" spans="27:40" x14ac:dyDescent="0.25">
      <c r="AA157" s="42"/>
      <c r="AB157" s="43"/>
      <c r="AC157" s="43"/>
      <c r="AD157" s="43"/>
      <c r="AE157" s="43"/>
      <c r="AF157" s="43"/>
      <c r="AG157" s="43"/>
      <c r="AH157" s="43"/>
      <c r="AI157" s="43"/>
      <c r="AJ157" s="43"/>
      <c r="AK157" s="48"/>
      <c r="AL157" s="48"/>
      <c r="AM157" s="48"/>
      <c r="AN157" s="49"/>
    </row>
    <row r="158" spans="27:40" x14ac:dyDescent="0.25">
      <c r="AA158" s="44"/>
      <c r="AN158" s="50"/>
    </row>
    <row r="159" spans="27:40" x14ac:dyDescent="0.25">
      <c r="AA159" s="44"/>
      <c r="AN159" s="50"/>
    </row>
    <row r="160" spans="27:40" x14ac:dyDescent="0.25">
      <c r="AA160" s="42"/>
      <c r="AB160" s="43"/>
      <c r="AC160" s="43"/>
      <c r="AD160" s="43"/>
      <c r="AE160" s="43"/>
      <c r="AF160" s="43"/>
      <c r="AG160" s="43"/>
      <c r="AH160" s="43"/>
      <c r="AI160" s="43"/>
      <c r="AJ160" s="43"/>
      <c r="AK160" s="48"/>
      <c r="AL160" s="48"/>
      <c r="AM160" s="48"/>
      <c r="AN160" s="49"/>
    </row>
    <row r="161" spans="27:40" x14ac:dyDescent="0.25">
      <c r="AA161" s="44"/>
      <c r="AN161" s="50"/>
    </row>
    <row r="162" spans="27:40" x14ac:dyDescent="0.25">
      <c r="AA162" s="44"/>
      <c r="AN162" s="50"/>
    </row>
    <row r="163" spans="27:40" x14ac:dyDescent="0.25">
      <c r="AA163" s="42"/>
      <c r="AB163" s="43"/>
      <c r="AC163" s="43"/>
      <c r="AD163" s="43"/>
      <c r="AE163" s="43"/>
      <c r="AF163" s="43"/>
      <c r="AG163" s="43"/>
      <c r="AH163" s="43"/>
      <c r="AI163" s="43"/>
      <c r="AJ163" s="43"/>
      <c r="AK163" s="48"/>
      <c r="AL163" s="48"/>
      <c r="AM163" s="48"/>
      <c r="AN163" s="49"/>
    </row>
    <row r="164" spans="27:40" x14ac:dyDescent="0.25">
      <c r="AA164" s="44"/>
      <c r="AN164" s="50"/>
    </row>
    <row r="165" spans="27:40" x14ac:dyDescent="0.25">
      <c r="AA165" s="44"/>
      <c r="AN165" s="50"/>
    </row>
    <row r="166" spans="27:40" x14ac:dyDescent="0.25">
      <c r="AA166" s="42"/>
      <c r="AB166" s="43"/>
      <c r="AC166" s="43"/>
      <c r="AD166" s="43"/>
      <c r="AE166" s="43"/>
      <c r="AF166" s="43"/>
      <c r="AG166" s="43"/>
      <c r="AH166" s="43"/>
      <c r="AI166" s="43"/>
      <c r="AJ166" s="43"/>
      <c r="AK166" s="48"/>
      <c r="AL166" s="48"/>
      <c r="AM166" s="48"/>
      <c r="AN166" s="49"/>
    </row>
    <row r="167" spans="27:40" x14ac:dyDescent="0.25">
      <c r="AA167" s="44"/>
      <c r="AN167" s="50"/>
    </row>
    <row r="168" spans="27:40" x14ac:dyDescent="0.25">
      <c r="AA168" s="44"/>
      <c r="AN168" s="50"/>
    </row>
    <row r="169" spans="27:40" x14ac:dyDescent="0.25">
      <c r="AA169" s="42"/>
      <c r="AB169" s="43"/>
      <c r="AC169" s="43"/>
      <c r="AD169" s="43"/>
      <c r="AE169" s="43"/>
      <c r="AF169" s="43"/>
      <c r="AG169" s="43"/>
      <c r="AH169" s="43"/>
      <c r="AI169" s="43"/>
      <c r="AJ169" s="43"/>
      <c r="AK169" s="48"/>
      <c r="AL169" s="48"/>
      <c r="AM169" s="48"/>
      <c r="AN169" s="49"/>
    </row>
    <row r="170" spans="27:40" x14ac:dyDescent="0.25">
      <c r="AA170" s="44"/>
      <c r="AN170" s="50"/>
    </row>
    <row r="171" spans="27:40" x14ac:dyDescent="0.25">
      <c r="AA171" s="44"/>
      <c r="AN171" s="50"/>
    </row>
    <row r="172" spans="27:40" x14ac:dyDescent="0.25">
      <c r="AA172" s="42"/>
      <c r="AB172" s="43"/>
      <c r="AC172" s="43"/>
      <c r="AD172" s="43"/>
      <c r="AE172" s="43"/>
      <c r="AF172" s="43"/>
      <c r="AG172" s="43"/>
      <c r="AH172" s="43"/>
      <c r="AI172" s="43"/>
      <c r="AJ172" s="43"/>
      <c r="AK172" s="48"/>
      <c r="AL172" s="48"/>
      <c r="AM172" s="48"/>
      <c r="AN172" s="49"/>
    </row>
    <row r="173" spans="27:40" x14ac:dyDescent="0.25">
      <c r="AA173" s="44"/>
      <c r="AN173" s="50"/>
    </row>
    <row r="174" spans="27:40" x14ac:dyDescent="0.25">
      <c r="AA174" s="44"/>
      <c r="AN174" s="50"/>
    </row>
    <row r="175" spans="27:40" x14ac:dyDescent="0.25">
      <c r="AA175" s="42"/>
      <c r="AB175" s="43"/>
      <c r="AC175" s="43"/>
      <c r="AD175" s="43"/>
      <c r="AE175" s="43"/>
      <c r="AF175" s="43"/>
      <c r="AG175" s="43"/>
      <c r="AH175" s="43"/>
      <c r="AI175" s="43"/>
      <c r="AJ175" s="43"/>
      <c r="AK175" s="48"/>
      <c r="AL175" s="48"/>
      <c r="AM175" s="48"/>
      <c r="AN175" s="49"/>
    </row>
    <row r="176" spans="27:40" x14ac:dyDescent="0.25">
      <c r="AA176" s="44"/>
      <c r="AN176" s="50"/>
    </row>
    <row r="177" spans="27:40" x14ac:dyDescent="0.25">
      <c r="AA177" s="44"/>
      <c r="AN177" s="50"/>
    </row>
    <row r="178" spans="27:40" x14ac:dyDescent="0.25">
      <c r="AA178" s="42"/>
      <c r="AB178" s="43"/>
      <c r="AC178" s="43"/>
      <c r="AD178" s="43"/>
      <c r="AE178" s="43"/>
      <c r="AF178" s="43"/>
      <c r="AG178" s="43"/>
      <c r="AH178" s="43"/>
      <c r="AI178" s="43"/>
      <c r="AJ178" s="43"/>
      <c r="AK178" s="48"/>
      <c r="AL178" s="48"/>
      <c r="AM178" s="48"/>
      <c r="AN178" s="49"/>
    </row>
    <row r="179" spans="27:40" x14ac:dyDescent="0.25">
      <c r="AA179" s="44"/>
      <c r="AN179" s="50"/>
    </row>
    <row r="180" spans="27:40" x14ac:dyDescent="0.25">
      <c r="AA180" s="44"/>
      <c r="AN180" s="50"/>
    </row>
    <row r="181" spans="27:40" x14ac:dyDescent="0.25">
      <c r="AA181" s="42"/>
      <c r="AB181" s="43"/>
      <c r="AC181" s="43"/>
      <c r="AD181" s="43"/>
      <c r="AE181" s="43"/>
      <c r="AF181" s="43"/>
      <c r="AG181" s="43"/>
      <c r="AH181" s="43"/>
      <c r="AI181" s="43"/>
      <c r="AJ181" s="43"/>
      <c r="AK181" s="48"/>
      <c r="AL181" s="48"/>
      <c r="AM181" s="48"/>
      <c r="AN181" s="49"/>
    </row>
    <row r="182" spans="27:40" x14ac:dyDescent="0.25">
      <c r="AA182" s="44"/>
      <c r="AN182" s="50"/>
    </row>
    <row r="183" spans="27:40" x14ac:dyDescent="0.25">
      <c r="AA183" s="44"/>
      <c r="AN183" s="50"/>
    </row>
    <row r="184" spans="27:40" x14ac:dyDescent="0.25">
      <c r="AA184" s="42"/>
      <c r="AB184" s="43"/>
      <c r="AC184" s="43"/>
      <c r="AD184" s="43"/>
      <c r="AE184" s="43"/>
      <c r="AF184" s="43"/>
      <c r="AG184" s="43"/>
      <c r="AH184" s="43"/>
      <c r="AI184" s="43"/>
      <c r="AJ184" s="43"/>
      <c r="AK184" s="48"/>
      <c r="AL184" s="48"/>
      <c r="AM184" s="48"/>
      <c r="AN184" s="49"/>
    </row>
    <row r="185" spans="27:40" x14ac:dyDescent="0.25">
      <c r="AA185" s="44"/>
      <c r="AN185" s="50"/>
    </row>
    <row r="186" spans="27:40" x14ac:dyDescent="0.25">
      <c r="AA186" s="44"/>
      <c r="AN186" s="50"/>
    </row>
    <row r="187" spans="27:40" x14ac:dyDescent="0.25">
      <c r="AA187" s="42"/>
      <c r="AB187" s="43"/>
      <c r="AC187" s="43"/>
      <c r="AD187" s="43"/>
      <c r="AE187" s="43"/>
      <c r="AF187" s="43"/>
      <c r="AG187" s="43"/>
      <c r="AH187" s="43"/>
      <c r="AI187" s="43"/>
      <c r="AJ187" s="43"/>
      <c r="AK187" s="48"/>
      <c r="AL187" s="48"/>
      <c r="AM187" s="48"/>
      <c r="AN187" s="49"/>
    </row>
    <row r="188" spans="27:40" x14ac:dyDescent="0.25">
      <c r="AA188" s="44"/>
      <c r="AN188" s="50"/>
    </row>
    <row r="189" spans="27:40" x14ac:dyDescent="0.25">
      <c r="AA189" s="44"/>
      <c r="AN189" s="50"/>
    </row>
    <row r="190" spans="27:40" x14ac:dyDescent="0.25">
      <c r="AA190" s="42"/>
      <c r="AB190" s="43"/>
      <c r="AC190" s="43"/>
      <c r="AD190" s="43"/>
      <c r="AE190" s="43"/>
      <c r="AF190" s="43"/>
      <c r="AG190" s="43"/>
      <c r="AH190" s="43"/>
      <c r="AI190" s="43"/>
      <c r="AJ190" s="43"/>
      <c r="AK190" s="48"/>
      <c r="AL190" s="48"/>
      <c r="AM190" s="48"/>
      <c r="AN190" s="49"/>
    </row>
    <row r="191" spans="27:40" x14ac:dyDescent="0.25">
      <c r="AA191" s="44"/>
      <c r="AN191" s="50"/>
    </row>
    <row r="192" spans="27:40" x14ac:dyDescent="0.25">
      <c r="AA192" s="44"/>
      <c r="AN192" s="50"/>
    </row>
    <row r="193" spans="27:40" x14ac:dyDescent="0.25">
      <c r="AA193" s="42"/>
      <c r="AB193" s="43"/>
      <c r="AC193" s="43"/>
      <c r="AD193" s="43"/>
      <c r="AE193" s="43"/>
      <c r="AF193" s="43"/>
      <c r="AG193" s="43"/>
      <c r="AH193" s="43"/>
      <c r="AI193" s="43"/>
      <c r="AJ193" s="43"/>
      <c r="AK193" s="48"/>
      <c r="AL193" s="48"/>
      <c r="AM193" s="48"/>
      <c r="AN193" s="49"/>
    </row>
    <row r="194" spans="27:40" x14ac:dyDescent="0.25">
      <c r="AA194" s="44"/>
      <c r="AN194" s="50"/>
    </row>
    <row r="195" spans="27:40" x14ac:dyDescent="0.25">
      <c r="AA195" s="44"/>
      <c r="AN195" s="50"/>
    </row>
    <row r="196" spans="27:40" x14ac:dyDescent="0.25">
      <c r="AA196" s="42"/>
      <c r="AB196" s="43"/>
      <c r="AC196" s="43"/>
      <c r="AD196" s="43"/>
      <c r="AE196" s="43"/>
      <c r="AF196" s="43"/>
      <c r="AG196" s="43"/>
      <c r="AH196" s="43"/>
      <c r="AI196" s="43"/>
      <c r="AJ196" s="43"/>
      <c r="AK196" s="48"/>
      <c r="AL196" s="48"/>
      <c r="AM196" s="48"/>
      <c r="AN196" s="49"/>
    </row>
    <row r="197" spans="27:40" x14ac:dyDescent="0.25">
      <c r="AA197" s="44"/>
      <c r="AN197" s="50"/>
    </row>
    <row r="198" spans="27:40" x14ac:dyDescent="0.25">
      <c r="AA198" s="44"/>
      <c r="AN198" s="50"/>
    </row>
    <row r="199" spans="27:40" x14ac:dyDescent="0.25">
      <c r="AA199" s="42"/>
      <c r="AB199" s="43"/>
      <c r="AC199" s="43"/>
      <c r="AD199" s="43"/>
      <c r="AE199" s="43"/>
      <c r="AF199" s="43"/>
      <c r="AG199" s="43"/>
      <c r="AH199" s="43"/>
      <c r="AI199" s="43"/>
      <c r="AJ199" s="43"/>
      <c r="AK199" s="48"/>
      <c r="AL199" s="48"/>
      <c r="AM199" s="48"/>
      <c r="AN199" s="49"/>
    </row>
    <row r="200" spans="27:40" x14ac:dyDescent="0.25">
      <c r="AA200" s="44"/>
      <c r="AN200" s="50"/>
    </row>
    <row r="201" spans="27:40" x14ac:dyDescent="0.25">
      <c r="AA201" s="44"/>
      <c r="AN201" s="50"/>
    </row>
    <row r="202" spans="27:40" x14ac:dyDescent="0.25">
      <c r="AA202" s="42"/>
      <c r="AB202" s="43"/>
      <c r="AC202" s="43"/>
      <c r="AD202" s="43"/>
      <c r="AE202" s="43"/>
      <c r="AF202" s="43"/>
      <c r="AG202" s="43"/>
      <c r="AH202" s="43"/>
      <c r="AI202" s="43"/>
      <c r="AJ202" s="43"/>
      <c r="AK202" s="48"/>
      <c r="AL202" s="48"/>
      <c r="AM202" s="48"/>
      <c r="AN202" s="49"/>
    </row>
    <row r="203" spans="27:40" x14ac:dyDescent="0.25">
      <c r="AA203" s="44"/>
      <c r="AN203" s="50"/>
    </row>
    <row r="204" spans="27:40" x14ac:dyDescent="0.25">
      <c r="AA204" s="44"/>
      <c r="AN204" s="50"/>
    </row>
    <row r="205" spans="27:40" x14ac:dyDescent="0.25">
      <c r="AA205" s="42"/>
      <c r="AB205" s="43"/>
      <c r="AC205" s="43"/>
      <c r="AD205" s="43"/>
      <c r="AE205" s="43"/>
      <c r="AF205" s="43"/>
      <c r="AG205" s="43"/>
      <c r="AH205" s="43"/>
      <c r="AI205" s="43"/>
      <c r="AJ205" s="43"/>
      <c r="AK205" s="48"/>
      <c r="AL205" s="48"/>
      <c r="AM205" s="48"/>
      <c r="AN205" s="49"/>
    </row>
    <row r="206" spans="27:40" x14ac:dyDescent="0.25">
      <c r="AA206" s="44"/>
      <c r="AN206" s="50"/>
    </row>
    <row r="207" spans="27:40" x14ac:dyDescent="0.25">
      <c r="AA207" s="44"/>
      <c r="AN207" s="50"/>
    </row>
    <row r="208" spans="27:40" x14ac:dyDescent="0.25">
      <c r="AA208" s="42"/>
      <c r="AB208" s="43"/>
      <c r="AC208" s="43"/>
      <c r="AD208" s="43"/>
      <c r="AE208" s="43"/>
      <c r="AF208" s="43"/>
      <c r="AG208" s="43"/>
      <c r="AH208" s="43"/>
      <c r="AI208" s="43"/>
      <c r="AJ208" s="43"/>
      <c r="AK208" s="48"/>
      <c r="AL208" s="48"/>
      <c r="AM208" s="48"/>
      <c r="AN208" s="49"/>
    </row>
    <row r="209" spans="27:40" x14ac:dyDescent="0.25">
      <c r="AA209" s="44"/>
      <c r="AN209" s="50"/>
    </row>
    <row r="210" spans="27:40" x14ac:dyDescent="0.25">
      <c r="AA210" s="44"/>
      <c r="AN210" s="50"/>
    </row>
    <row r="211" spans="27:40" x14ac:dyDescent="0.25">
      <c r="AA211" s="42"/>
      <c r="AB211" s="43"/>
      <c r="AC211" s="43"/>
      <c r="AD211" s="43"/>
      <c r="AE211" s="43"/>
      <c r="AF211" s="43"/>
      <c r="AG211" s="43"/>
      <c r="AH211" s="43"/>
      <c r="AI211" s="43"/>
      <c r="AJ211" s="43"/>
      <c r="AK211" s="48"/>
      <c r="AL211" s="48"/>
      <c r="AM211" s="48"/>
      <c r="AN211" s="49"/>
    </row>
    <row r="212" spans="27:40" x14ac:dyDescent="0.25">
      <c r="AA212" s="44"/>
      <c r="AN212" s="50"/>
    </row>
    <row r="213" spans="27:40" x14ac:dyDescent="0.25">
      <c r="AA213" s="44"/>
      <c r="AN213" s="50"/>
    </row>
    <row r="214" spans="27:40" x14ac:dyDescent="0.25">
      <c r="AA214" s="42"/>
      <c r="AB214" s="43"/>
      <c r="AC214" s="43"/>
      <c r="AD214" s="43"/>
      <c r="AE214" s="43"/>
      <c r="AF214" s="43"/>
      <c r="AG214" s="43"/>
      <c r="AH214" s="43"/>
      <c r="AI214" s="43"/>
      <c r="AJ214" s="43"/>
      <c r="AK214" s="48"/>
      <c r="AL214" s="48"/>
      <c r="AM214" s="48"/>
      <c r="AN214" s="49"/>
    </row>
    <row r="215" spans="27:40" x14ac:dyDescent="0.25">
      <c r="AA215" s="44"/>
      <c r="AN215" s="50"/>
    </row>
    <row r="216" spans="27:40" x14ac:dyDescent="0.25">
      <c r="AA216" s="44"/>
      <c r="AN216" s="50"/>
    </row>
    <row r="217" spans="27:40" x14ac:dyDescent="0.25">
      <c r="AA217" s="42"/>
      <c r="AB217" s="43"/>
      <c r="AC217" s="43"/>
      <c r="AD217" s="43"/>
      <c r="AE217" s="43"/>
      <c r="AF217" s="43"/>
      <c r="AG217" s="43"/>
      <c r="AH217" s="43"/>
      <c r="AI217" s="43"/>
      <c r="AJ217" s="43"/>
      <c r="AK217" s="48"/>
      <c r="AL217" s="48"/>
      <c r="AM217" s="48"/>
      <c r="AN217" s="49"/>
    </row>
    <row r="218" spans="27:40" x14ac:dyDescent="0.25">
      <c r="AA218" s="44"/>
      <c r="AN218" s="50"/>
    </row>
    <row r="219" spans="27:40" x14ac:dyDescent="0.25">
      <c r="AA219" s="44"/>
      <c r="AN219" s="50"/>
    </row>
    <row r="220" spans="27:40" x14ac:dyDescent="0.25">
      <c r="AA220" s="42"/>
      <c r="AB220" s="43"/>
      <c r="AC220" s="43"/>
      <c r="AD220" s="43"/>
      <c r="AE220" s="43"/>
      <c r="AF220" s="43"/>
      <c r="AG220" s="43"/>
      <c r="AH220" s="43"/>
      <c r="AI220" s="43"/>
      <c r="AJ220" s="43"/>
      <c r="AK220" s="48"/>
      <c r="AL220" s="48"/>
      <c r="AM220" s="48"/>
      <c r="AN220" s="49"/>
    </row>
    <row r="221" spans="27:40" x14ac:dyDescent="0.25">
      <c r="AA221" s="44"/>
      <c r="AN221" s="50"/>
    </row>
    <row r="222" spans="27:40" x14ac:dyDescent="0.25">
      <c r="AA222" s="44"/>
      <c r="AN222" s="50"/>
    </row>
    <row r="223" spans="27:40" x14ac:dyDescent="0.25">
      <c r="AA223" s="42"/>
      <c r="AB223" s="43"/>
      <c r="AC223" s="43"/>
      <c r="AD223" s="43"/>
      <c r="AE223" s="43"/>
      <c r="AF223" s="43"/>
      <c r="AG223" s="43"/>
      <c r="AH223" s="43"/>
      <c r="AI223" s="43"/>
      <c r="AJ223" s="43"/>
      <c r="AK223" s="48"/>
      <c r="AL223" s="48"/>
      <c r="AM223" s="48"/>
      <c r="AN223" s="49"/>
    </row>
    <row r="224" spans="27:40" x14ac:dyDescent="0.25">
      <c r="AA224" s="44"/>
      <c r="AN224" s="50"/>
    </row>
    <row r="225" spans="27:40" x14ac:dyDescent="0.25">
      <c r="AA225" s="44"/>
      <c r="AN225" s="50"/>
    </row>
    <row r="226" spans="27:40" x14ac:dyDescent="0.25">
      <c r="AA226" s="42"/>
      <c r="AB226" s="43"/>
      <c r="AC226" s="43"/>
      <c r="AD226" s="43"/>
      <c r="AE226" s="43"/>
      <c r="AF226" s="43"/>
      <c r="AG226" s="43"/>
      <c r="AH226" s="43"/>
      <c r="AI226" s="43"/>
      <c r="AJ226" s="43"/>
      <c r="AK226" s="48"/>
      <c r="AL226" s="48"/>
      <c r="AM226" s="48"/>
      <c r="AN226" s="49"/>
    </row>
    <row r="227" spans="27:40" x14ac:dyDescent="0.25">
      <c r="AA227" s="44"/>
      <c r="AN227" s="50"/>
    </row>
    <row r="228" spans="27:40" x14ac:dyDescent="0.25">
      <c r="AA228" s="44"/>
      <c r="AN228" s="50"/>
    </row>
    <row r="229" spans="27:40" x14ac:dyDescent="0.25">
      <c r="AA229" s="42"/>
      <c r="AB229" s="43"/>
      <c r="AC229" s="43"/>
      <c r="AD229" s="43"/>
      <c r="AE229" s="43"/>
      <c r="AF229" s="43"/>
      <c r="AG229" s="43"/>
      <c r="AH229" s="43"/>
      <c r="AI229" s="43"/>
      <c r="AJ229" s="43"/>
      <c r="AK229" s="48"/>
      <c r="AL229" s="48"/>
      <c r="AM229" s="48"/>
      <c r="AN229" s="49"/>
    </row>
    <row r="230" spans="27:40" x14ac:dyDescent="0.25">
      <c r="AA230" s="44"/>
      <c r="AN230" s="50"/>
    </row>
    <row r="231" spans="27:40" x14ac:dyDescent="0.25">
      <c r="AA231" s="44"/>
      <c r="AN231" s="50"/>
    </row>
    <row r="232" spans="27:40" x14ac:dyDescent="0.25">
      <c r="AA232" s="42"/>
      <c r="AB232" s="43"/>
      <c r="AC232" s="43"/>
      <c r="AD232" s="43"/>
      <c r="AE232" s="43"/>
      <c r="AF232" s="43"/>
      <c r="AG232" s="43"/>
      <c r="AH232" s="43"/>
      <c r="AI232" s="43"/>
      <c r="AJ232" s="43"/>
      <c r="AK232" s="48"/>
      <c r="AL232" s="48"/>
      <c r="AM232" s="48"/>
      <c r="AN232" s="49"/>
    </row>
    <row r="233" spans="27:40" x14ac:dyDescent="0.25">
      <c r="AA233" s="44"/>
      <c r="AN233" s="50"/>
    </row>
    <row r="234" spans="27:40" x14ac:dyDescent="0.25">
      <c r="AA234" s="44"/>
      <c r="AN234" s="50"/>
    </row>
    <row r="235" spans="27:40" x14ac:dyDescent="0.25">
      <c r="AA235" s="42"/>
      <c r="AB235" s="43"/>
      <c r="AC235" s="43"/>
      <c r="AD235" s="43"/>
      <c r="AE235" s="43"/>
      <c r="AF235" s="43"/>
      <c r="AG235" s="43"/>
      <c r="AH235" s="43"/>
      <c r="AI235" s="43"/>
      <c r="AJ235" s="43"/>
      <c r="AK235" s="48"/>
      <c r="AL235" s="48"/>
      <c r="AM235" s="48"/>
      <c r="AN235" s="49"/>
    </row>
    <row r="236" spans="27:40" x14ac:dyDescent="0.25">
      <c r="AA236" s="44"/>
      <c r="AN236" s="50"/>
    </row>
    <row r="237" spans="27:40" x14ac:dyDescent="0.25">
      <c r="AA237" s="44"/>
      <c r="AN237" s="50"/>
    </row>
    <row r="238" spans="27:40" x14ac:dyDescent="0.25">
      <c r="AA238" s="42"/>
      <c r="AB238" s="43"/>
      <c r="AC238" s="43"/>
      <c r="AD238" s="43"/>
      <c r="AE238" s="43"/>
      <c r="AF238" s="43"/>
      <c r="AG238" s="43"/>
      <c r="AH238" s="43"/>
      <c r="AI238" s="43"/>
      <c r="AJ238" s="43"/>
      <c r="AK238" s="48"/>
      <c r="AL238" s="48"/>
      <c r="AM238" s="48"/>
      <c r="AN238" s="49"/>
    </row>
    <row r="239" spans="27:40" x14ac:dyDescent="0.25">
      <c r="AA239" s="44"/>
      <c r="AN239" s="50"/>
    </row>
    <row r="240" spans="27:40" x14ac:dyDescent="0.25">
      <c r="AA240" s="44"/>
      <c r="AN240" s="50"/>
    </row>
    <row r="241" spans="27:40" x14ac:dyDescent="0.25">
      <c r="AA241" s="42"/>
      <c r="AB241" s="43"/>
      <c r="AC241" s="43"/>
      <c r="AD241" s="43"/>
      <c r="AE241" s="43"/>
      <c r="AF241" s="43"/>
      <c r="AG241" s="43"/>
      <c r="AH241" s="43"/>
      <c r="AI241" s="43"/>
      <c r="AJ241" s="43"/>
      <c r="AK241" s="48"/>
      <c r="AL241" s="48"/>
      <c r="AM241" s="48"/>
      <c r="AN241" s="49"/>
    </row>
    <row r="242" spans="27:40" x14ac:dyDescent="0.25">
      <c r="AA242" s="44"/>
      <c r="AN242" s="50"/>
    </row>
    <row r="243" spans="27:40" x14ac:dyDescent="0.25">
      <c r="AA243" s="44"/>
      <c r="AN243" s="50"/>
    </row>
    <row r="244" spans="27:40" x14ac:dyDescent="0.25">
      <c r="AA244" s="42"/>
      <c r="AB244" s="43"/>
      <c r="AC244" s="43"/>
      <c r="AD244" s="43"/>
      <c r="AE244" s="43"/>
      <c r="AF244" s="43"/>
      <c r="AG244" s="43"/>
      <c r="AH244" s="43"/>
      <c r="AI244" s="43"/>
      <c r="AJ244" s="43"/>
      <c r="AK244" s="48"/>
      <c r="AL244" s="48"/>
      <c r="AM244" s="48"/>
      <c r="AN244" s="49"/>
    </row>
    <row r="245" spans="27:40" x14ac:dyDescent="0.25">
      <c r="AA245" s="44"/>
      <c r="AN245" s="50"/>
    </row>
    <row r="246" spans="27:40" x14ac:dyDescent="0.25">
      <c r="AA246" s="44"/>
      <c r="AN246" s="50"/>
    </row>
    <row r="247" spans="27:40" x14ac:dyDescent="0.25">
      <c r="AA247" s="42"/>
      <c r="AB247" s="43"/>
      <c r="AC247" s="43"/>
      <c r="AD247" s="43"/>
      <c r="AE247" s="43"/>
      <c r="AF247" s="43"/>
      <c r="AG247" s="43"/>
      <c r="AH247" s="43"/>
      <c r="AI247" s="43"/>
      <c r="AJ247" s="43"/>
      <c r="AK247" s="48"/>
      <c r="AL247" s="48"/>
      <c r="AM247" s="48"/>
      <c r="AN247" s="49"/>
    </row>
    <row r="248" spans="27:40" x14ac:dyDescent="0.25">
      <c r="AA248" s="44"/>
      <c r="AN248" s="50"/>
    </row>
    <row r="249" spans="27:40" x14ac:dyDescent="0.25">
      <c r="AA249" s="44"/>
      <c r="AN249" s="50"/>
    </row>
    <row r="250" spans="27:40" x14ac:dyDescent="0.25">
      <c r="AA250" s="42"/>
      <c r="AB250" s="43"/>
      <c r="AC250" s="43"/>
      <c r="AD250" s="43"/>
      <c r="AE250" s="43"/>
      <c r="AF250" s="43"/>
      <c r="AG250" s="43"/>
      <c r="AH250" s="43"/>
      <c r="AI250" s="43"/>
      <c r="AJ250" s="43"/>
      <c r="AK250" s="48"/>
      <c r="AL250" s="48"/>
      <c r="AM250" s="48"/>
      <c r="AN250" s="49"/>
    </row>
    <row r="251" spans="27:40" x14ac:dyDescent="0.25">
      <c r="AA251" s="44"/>
      <c r="AN251" s="50"/>
    </row>
    <row r="252" spans="27:40" x14ac:dyDescent="0.25">
      <c r="AA252" s="44"/>
      <c r="AN252" s="50"/>
    </row>
    <row r="253" spans="27:40" x14ac:dyDescent="0.25">
      <c r="AA253" s="42"/>
      <c r="AB253" s="43"/>
      <c r="AC253" s="43"/>
      <c r="AD253" s="43"/>
      <c r="AE253" s="43"/>
      <c r="AF253" s="43"/>
      <c r="AG253" s="43"/>
      <c r="AH253" s="43"/>
      <c r="AI253" s="43"/>
      <c r="AJ253" s="43"/>
      <c r="AK253" s="48"/>
      <c r="AL253" s="48"/>
      <c r="AM253" s="48"/>
      <c r="AN253" s="49"/>
    </row>
    <row r="254" spans="27:40" x14ac:dyDescent="0.25">
      <c r="AA254" s="44"/>
      <c r="AN254" s="50"/>
    </row>
    <row r="255" spans="27:40" x14ac:dyDescent="0.25">
      <c r="AA255" s="44"/>
      <c r="AN255" s="50"/>
    </row>
    <row r="256" spans="27:40" x14ac:dyDescent="0.25">
      <c r="AA256" s="42"/>
      <c r="AB256" s="43"/>
      <c r="AC256" s="43"/>
      <c r="AD256" s="43"/>
      <c r="AE256" s="43"/>
      <c r="AF256" s="43"/>
      <c r="AG256" s="43"/>
      <c r="AH256" s="43"/>
      <c r="AI256" s="43"/>
      <c r="AJ256" s="43"/>
      <c r="AK256" s="48"/>
      <c r="AL256" s="48"/>
      <c r="AM256" s="48"/>
      <c r="AN256" s="49"/>
    </row>
    <row r="257" spans="27:40" x14ac:dyDescent="0.25">
      <c r="AA257" s="44"/>
      <c r="AN257" s="50"/>
    </row>
    <row r="258" spans="27:40" x14ac:dyDescent="0.25">
      <c r="AA258" s="44"/>
      <c r="AN258" s="50"/>
    </row>
    <row r="259" spans="27:40" x14ac:dyDescent="0.25">
      <c r="AA259" s="42"/>
      <c r="AB259" s="43"/>
      <c r="AC259" s="43"/>
      <c r="AD259" s="43"/>
      <c r="AE259" s="43"/>
      <c r="AF259" s="43"/>
      <c r="AG259" s="43"/>
      <c r="AH259" s="43"/>
      <c r="AI259" s="43"/>
      <c r="AJ259" s="43"/>
      <c r="AK259" s="48"/>
      <c r="AL259" s="48"/>
      <c r="AM259" s="48"/>
      <c r="AN259" s="49"/>
    </row>
    <row r="260" spans="27:40" x14ac:dyDescent="0.25">
      <c r="AA260" s="44"/>
      <c r="AN260" s="50"/>
    </row>
    <row r="261" spans="27:40" x14ac:dyDescent="0.25">
      <c r="AA261" s="44"/>
      <c r="AN261" s="50"/>
    </row>
    <row r="262" spans="27:40" x14ac:dyDescent="0.25">
      <c r="AA262" s="42"/>
      <c r="AB262" s="43"/>
      <c r="AC262" s="43"/>
      <c r="AD262" s="43"/>
      <c r="AE262" s="43"/>
      <c r="AF262" s="43"/>
      <c r="AG262" s="43"/>
      <c r="AH262" s="43"/>
      <c r="AI262" s="43"/>
      <c r="AJ262" s="43"/>
      <c r="AK262" s="48"/>
      <c r="AL262" s="48"/>
      <c r="AM262" s="48"/>
      <c r="AN262" s="49"/>
    </row>
    <row r="263" spans="27:40" x14ac:dyDescent="0.25">
      <c r="AA263" s="44"/>
      <c r="AN263" s="50"/>
    </row>
    <row r="264" spans="27:40" x14ac:dyDescent="0.25">
      <c r="AA264" s="44"/>
      <c r="AN264" s="50"/>
    </row>
    <row r="265" spans="27:40" x14ac:dyDescent="0.25">
      <c r="AA265" s="42"/>
      <c r="AB265" s="43"/>
      <c r="AC265" s="43"/>
      <c r="AD265" s="43"/>
      <c r="AE265" s="43"/>
      <c r="AF265" s="43"/>
      <c r="AG265" s="43"/>
      <c r="AH265" s="43"/>
      <c r="AI265" s="43"/>
      <c r="AJ265" s="43"/>
      <c r="AK265" s="48"/>
      <c r="AL265" s="48"/>
      <c r="AM265" s="48"/>
      <c r="AN265" s="49"/>
    </row>
    <row r="266" spans="27:40" x14ac:dyDescent="0.25">
      <c r="AA266" s="44"/>
      <c r="AN266" s="50"/>
    </row>
    <row r="267" spans="27:40" x14ac:dyDescent="0.25">
      <c r="AA267" s="44"/>
      <c r="AN267" s="50"/>
    </row>
    <row r="268" spans="27:40" x14ac:dyDescent="0.25">
      <c r="AA268" s="42"/>
      <c r="AB268" s="43"/>
      <c r="AC268" s="43"/>
      <c r="AD268" s="43"/>
      <c r="AE268" s="43"/>
      <c r="AF268" s="43"/>
      <c r="AG268" s="43"/>
      <c r="AH268" s="43"/>
      <c r="AI268" s="43"/>
      <c r="AJ268" s="43"/>
      <c r="AK268" s="48"/>
      <c r="AL268" s="48"/>
      <c r="AM268" s="48"/>
      <c r="AN268" s="49"/>
    </row>
    <row r="269" spans="27:40" x14ac:dyDescent="0.25">
      <c r="AA269" s="44"/>
      <c r="AN269" s="50"/>
    </row>
    <row r="270" spans="27:40" x14ac:dyDescent="0.25">
      <c r="AA270" s="44"/>
      <c r="AN270" s="50"/>
    </row>
    <row r="271" spans="27:40" x14ac:dyDescent="0.25">
      <c r="AA271" s="42"/>
      <c r="AB271" s="43"/>
      <c r="AC271" s="43"/>
      <c r="AD271" s="43"/>
      <c r="AE271" s="43"/>
      <c r="AF271" s="43"/>
      <c r="AG271" s="43"/>
      <c r="AH271" s="43"/>
      <c r="AI271" s="43"/>
      <c r="AJ271" s="43"/>
      <c r="AK271" s="48"/>
      <c r="AL271" s="48"/>
      <c r="AM271" s="48"/>
      <c r="AN271" s="49"/>
    </row>
    <row r="272" spans="27:40" x14ac:dyDescent="0.25">
      <c r="AA272" s="44"/>
      <c r="AN272" s="50"/>
    </row>
    <row r="273" spans="27:40" x14ac:dyDescent="0.25">
      <c r="AA273" s="44"/>
      <c r="AN273" s="50"/>
    </row>
    <row r="274" spans="27:40" x14ac:dyDescent="0.25">
      <c r="AA274" s="42"/>
      <c r="AB274" s="43"/>
      <c r="AC274" s="43"/>
      <c r="AD274" s="43"/>
      <c r="AE274" s="43"/>
      <c r="AF274" s="43"/>
      <c r="AG274" s="43"/>
      <c r="AH274" s="43"/>
      <c r="AI274" s="43"/>
      <c r="AJ274" s="43"/>
      <c r="AK274" s="48"/>
      <c r="AL274" s="48"/>
      <c r="AM274" s="48"/>
      <c r="AN274" s="49"/>
    </row>
    <row r="275" spans="27:40" x14ac:dyDescent="0.25">
      <c r="AA275" s="44"/>
      <c r="AN275" s="50"/>
    </row>
    <row r="276" spans="27:40" x14ac:dyDescent="0.25">
      <c r="AA276" s="44"/>
      <c r="AN276" s="50"/>
    </row>
    <row r="277" spans="27:40" x14ac:dyDescent="0.25">
      <c r="AA277" s="42"/>
      <c r="AB277" s="43"/>
      <c r="AC277" s="43"/>
      <c r="AD277" s="43"/>
      <c r="AE277" s="43"/>
      <c r="AF277" s="43"/>
      <c r="AG277" s="43"/>
      <c r="AH277" s="43"/>
      <c r="AI277" s="43"/>
      <c r="AJ277" s="43"/>
      <c r="AK277" s="48"/>
      <c r="AL277" s="48"/>
      <c r="AM277" s="48"/>
      <c r="AN277" s="49"/>
    </row>
    <row r="278" spans="27:40" x14ac:dyDescent="0.25">
      <c r="AA278" s="44"/>
      <c r="AN278" s="50"/>
    </row>
    <row r="279" spans="27:40" x14ac:dyDescent="0.25">
      <c r="AA279" s="44"/>
      <c r="AN279" s="50"/>
    </row>
    <row r="280" spans="27:40" x14ac:dyDescent="0.25">
      <c r="AA280" s="42"/>
      <c r="AB280" s="43"/>
      <c r="AC280" s="43"/>
      <c r="AD280" s="43"/>
      <c r="AE280" s="43"/>
      <c r="AF280" s="43"/>
      <c r="AG280" s="43"/>
      <c r="AH280" s="43"/>
      <c r="AI280" s="43"/>
      <c r="AJ280" s="43"/>
      <c r="AK280" s="48"/>
      <c r="AL280" s="48"/>
      <c r="AM280" s="48"/>
      <c r="AN280" s="49"/>
    </row>
    <row r="281" spans="27:40" x14ac:dyDescent="0.25">
      <c r="AA281" s="44"/>
      <c r="AN281" s="50"/>
    </row>
    <row r="282" spans="27:40" x14ac:dyDescent="0.25">
      <c r="AA282" s="44"/>
      <c r="AN282" s="50"/>
    </row>
    <row r="283" spans="27:40" x14ac:dyDescent="0.25">
      <c r="AA283" s="42"/>
      <c r="AB283" s="43"/>
      <c r="AC283" s="43"/>
      <c r="AD283" s="43"/>
      <c r="AE283" s="43"/>
      <c r="AF283" s="43"/>
      <c r="AG283" s="43"/>
      <c r="AH283" s="43"/>
      <c r="AI283" s="43"/>
      <c r="AJ283" s="43"/>
      <c r="AK283" s="48"/>
      <c r="AL283" s="48"/>
      <c r="AM283" s="48"/>
      <c r="AN283" s="49"/>
    </row>
    <row r="284" spans="27:40" x14ac:dyDescent="0.25">
      <c r="AA284" s="44"/>
      <c r="AN284" s="50"/>
    </row>
    <row r="285" spans="27:40" x14ac:dyDescent="0.25">
      <c r="AA285" s="44"/>
      <c r="AN285" s="50"/>
    </row>
    <row r="286" spans="27:40" x14ac:dyDescent="0.25">
      <c r="AA286" s="42"/>
      <c r="AB286" s="43"/>
      <c r="AC286" s="43"/>
      <c r="AD286" s="43"/>
      <c r="AE286" s="43"/>
      <c r="AF286" s="43"/>
      <c r="AG286" s="43"/>
      <c r="AH286" s="43"/>
      <c r="AI286" s="43"/>
      <c r="AJ286" s="43"/>
      <c r="AK286" s="48"/>
      <c r="AL286" s="48"/>
      <c r="AM286" s="48"/>
      <c r="AN286" s="49"/>
    </row>
    <row r="287" spans="27:40" x14ac:dyDescent="0.25">
      <c r="AA287" s="44"/>
      <c r="AN287" s="50"/>
    </row>
    <row r="288" spans="27:40" x14ac:dyDescent="0.25">
      <c r="AA288" s="44"/>
      <c r="AN288" s="50"/>
    </row>
    <row r="289" spans="27:40" x14ac:dyDescent="0.25">
      <c r="AA289" s="42"/>
      <c r="AB289" s="43"/>
      <c r="AC289" s="43"/>
      <c r="AD289" s="43"/>
      <c r="AE289" s="43"/>
      <c r="AF289" s="43"/>
      <c r="AG289" s="43"/>
      <c r="AH289" s="43"/>
      <c r="AI289" s="43"/>
      <c r="AJ289" s="43"/>
      <c r="AK289" s="48"/>
      <c r="AL289" s="48"/>
      <c r="AM289" s="48"/>
      <c r="AN289" s="49"/>
    </row>
    <row r="290" spans="27:40" x14ac:dyDescent="0.25">
      <c r="AA290" s="44"/>
      <c r="AN290" s="50"/>
    </row>
    <row r="291" spans="27:40" x14ac:dyDescent="0.25">
      <c r="AA291" s="44"/>
      <c r="AN291" s="50"/>
    </row>
    <row r="292" spans="27:40" x14ac:dyDescent="0.25">
      <c r="AA292" s="42"/>
      <c r="AB292" s="43"/>
      <c r="AC292" s="43"/>
      <c r="AD292" s="43"/>
      <c r="AE292" s="43"/>
      <c r="AF292" s="43"/>
      <c r="AG292" s="43"/>
      <c r="AH292" s="43"/>
      <c r="AI292" s="43"/>
      <c r="AJ292" s="43"/>
      <c r="AK292" s="48"/>
      <c r="AL292" s="48"/>
      <c r="AM292" s="48"/>
      <c r="AN292" s="49"/>
    </row>
    <row r="293" spans="27:40" x14ac:dyDescent="0.25">
      <c r="AA293" s="44"/>
      <c r="AN293" s="50"/>
    </row>
    <row r="294" spans="27:40" x14ac:dyDescent="0.25">
      <c r="AA294" s="44"/>
      <c r="AN294" s="50"/>
    </row>
    <row r="295" spans="27:40" x14ac:dyDescent="0.25">
      <c r="AA295" s="42"/>
      <c r="AB295" s="43"/>
      <c r="AC295" s="43"/>
      <c r="AD295" s="43"/>
      <c r="AE295" s="43"/>
      <c r="AF295" s="43"/>
      <c r="AG295" s="43"/>
      <c r="AH295" s="43"/>
      <c r="AI295" s="43"/>
      <c r="AJ295" s="43"/>
      <c r="AK295" s="48"/>
      <c r="AL295" s="48"/>
      <c r="AM295" s="48"/>
      <c r="AN295" s="49"/>
    </row>
    <row r="296" spans="27:40" x14ac:dyDescent="0.25">
      <c r="AA296" s="44"/>
      <c r="AN296" s="50"/>
    </row>
    <row r="297" spans="27:40" x14ac:dyDescent="0.25">
      <c r="AA297" s="44"/>
      <c r="AN297" s="50"/>
    </row>
    <row r="298" spans="27:40" x14ac:dyDescent="0.25">
      <c r="AA298" s="42"/>
      <c r="AB298" s="43"/>
      <c r="AC298" s="43"/>
      <c r="AD298" s="43"/>
      <c r="AE298" s="43"/>
      <c r="AF298" s="43"/>
      <c r="AG298" s="43"/>
      <c r="AH298" s="43"/>
      <c r="AI298" s="43"/>
      <c r="AJ298" s="43"/>
      <c r="AK298" s="48"/>
      <c r="AL298" s="48"/>
      <c r="AM298" s="48"/>
      <c r="AN298" s="49"/>
    </row>
    <row r="299" spans="27:40" x14ac:dyDescent="0.25">
      <c r="AA299" s="44"/>
      <c r="AN299" s="50"/>
    </row>
    <row r="300" spans="27:40" x14ac:dyDescent="0.25">
      <c r="AA300" s="44"/>
      <c r="AN300" s="50"/>
    </row>
    <row r="301" spans="27:40" x14ac:dyDescent="0.25">
      <c r="AA301" s="42"/>
      <c r="AB301" s="43"/>
      <c r="AC301" s="43"/>
      <c r="AD301" s="43"/>
      <c r="AE301" s="43"/>
      <c r="AF301" s="43"/>
      <c r="AG301" s="43"/>
      <c r="AH301" s="43"/>
      <c r="AI301" s="43"/>
      <c r="AJ301" s="43"/>
      <c r="AK301" s="48"/>
      <c r="AL301" s="48"/>
      <c r="AM301" s="48"/>
      <c r="AN301" s="49"/>
    </row>
    <row r="302" spans="27:40" x14ac:dyDescent="0.25">
      <c r="AA302" s="44"/>
      <c r="AN302" s="50"/>
    </row>
    <row r="303" spans="27:40" x14ac:dyDescent="0.25">
      <c r="AA303" s="44"/>
      <c r="AN303" s="50"/>
    </row>
    <row r="304" spans="27:40" x14ac:dyDescent="0.25">
      <c r="AA304" s="42"/>
      <c r="AB304" s="43"/>
      <c r="AC304" s="43"/>
      <c r="AD304" s="43"/>
      <c r="AE304" s="43"/>
      <c r="AF304" s="43"/>
      <c r="AG304" s="43"/>
      <c r="AH304" s="43"/>
      <c r="AI304" s="43"/>
      <c r="AJ304" s="43"/>
      <c r="AK304" s="48"/>
      <c r="AL304" s="48"/>
      <c r="AM304" s="48"/>
      <c r="AN304" s="49"/>
    </row>
    <row r="305" spans="27:40" x14ac:dyDescent="0.25">
      <c r="AA305" s="44"/>
      <c r="AN305" s="50"/>
    </row>
    <row r="306" spans="27:40" x14ac:dyDescent="0.25">
      <c r="AA306" s="44"/>
      <c r="AN306" s="50"/>
    </row>
    <row r="307" spans="27:40" x14ac:dyDescent="0.25">
      <c r="AA307" s="42"/>
      <c r="AB307" s="43"/>
      <c r="AC307" s="43"/>
      <c r="AD307" s="43"/>
      <c r="AE307" s="43"/>
      <c r="AF307" s="43"/>
      <c r="AG307" s="43"/>
      <c r="AH307" s="43"/>
      <c r="AI307" s="43"/>
      <c r="AJ307" s="43"/>
      <c r="AK307" s="48"/>
      <c r="AL307" s="48"/>
      <c r="AM307" s="48"/>
      <c r="AN307" s="49"/>
    </row>
    <row r="308" spans="27:40" x14ac:dyDescent="0.25">
      <c r="AA308" s="44"/>
      <c r="AN308" s="50"/>
    </row>
    <row r="309" spans="27:40" x14ac:dyDescent="0.25">
      <c r="AA309" s="44"/>
      <c r="AN309" s="50"/>
    </row>
    <row r="310" spans="27:40" x14ac:dyDescent="0.25">
      <c r="AA310" s="42"/>
      <c r="AB310" s="43"/>
      <c r="AC310" s="43"/>
      <c r="AD310" s="43"/>
      <c r="AE310" s="43"/>
      <c r="AF310" s="43"/>
      <c r="AG310" s="43"/>
      <c r="AH310" s="43"/>
      <c r="AI310" s="43"/>
      <c r="AJ310" s="43"/>
      <c r="AK310" s="48"/>
      <c r="AL310" s="48"/>
      <c r="AM310" s="48"/>
      <c r="AN310" s="49"/>
    </row>
    <row r="311" spans="27:40" x14ac:dyDescent="0.25">
      <c r="AA311" s="44"/>
      <c r="AN311" s="50"/>
    </row>
    <row r="312" spans="27:40" x14ac:dyDescent="0.25">
      <c r="AA312" s="44"/>
      <c r="AN312" s="50"/>
    </row>
    <row r="313" spans="27:40" x14ac:dyDescent="0.25">
      <c r="AA313" s="42"/>
      <c r="AB313" s="43"/>
      <c r="AC313" s="43"/>
      <c r="AD313" s="43"/>
      <c r="AE313" s="43"/>
      <c r="AF313" s="43"/>
      <c r="AG313" s="43"/>
      <c r="AH313" s="43"/>
      <c r="AI313" s="43"/>
      <c r="AJ313" s="43"/>
      <c r="AK313" s="48"/>
      <c r="AL313" s="48"/>
      <c r="AM313" s="48"/>
      <c r="AN313" s="49"/>
    </row>
    <row r="314" spans="27:40" x14ac:dyDescent="0.25">
      <c r="AA314" s="44"/>
      <c r="AN314" s="50"/>
    </row>
    <row r="315" spans="27:40" x14ac:dyDescent="0.25">
      <c r="AA315" s="44"/>
      <c r="AN315" s="50"/>
    </row>
    <row r="316" spans="27:40" x14ac:dyDescent="0.25">
      <c r="AA316" s="42"/>
      <c r="AB316" s="43"/>
      <c r="AC316" s="43"/>
      <c r="AD316" s="43"/>
      <c r="AE316" s="43"/>
      <c r="AF316" s="43"/>
      <c r="AG316" s="43"/>
      <c r="AH316" s="43"/>
      <c r="AI316" s="43"/>
      <c r="AJ316" s="43"/>
      <c r="AK316" s="48"/>
      <c r="AL316" s="48"/>
      <c r="AM316" s="48"/>
      <c r="AN316" s="49"/>
    </row>
    <row r="317" spans="27:40" x14ac:dyDescent="0.25">
      <c r="AA317" s="44"/>
      <c r="AN317" s="50"/>
    </row>
    <row r="318" spans="27:40" x14ac:dyDescent="0.25">
      <c r="AA318" s="44"/>
      <c r="AN318" s="50"/>
    </row>
    <row r="319" spans="27:40" x14ac:dyDescent="0.25">
      <c r="AA319" s="42"/>
      <c r="AB319" s="43"/>
      <c r="AC319" s="43"/>
      <c r="AD319" s="43"/>
      <c r="AE319" s="43"/>
      <c r="AF319" s="43"/>
      <c r="AG319" s="43"/>
      <c r="AH319" s="43"/>
      <c r="AI319" s="43"/>
      <c r="AJ319" s="43"/>
      <c r="AK319" s="48"/>
      <c r="AL319" s="48"/>
      <c r="AM319" s="48"/>
      <c r="AN319" s="49"/>
    </row>
    <row r="320" spans="27:40" x14ac:dyDescent="0.25">
      <c r="AA320" s="44"/>
      <c r="AN320" s="50"/>
    </row>
    <row r="321" spans="27:40" x14ac:dyDescent="0.25">
      <c r="AA321" s="44"/>
      <c r="AN321" s="50"/>
    </row>
    <row r="322" spans="27:40" x14ac:dyDescent="0.25">
      <c r="AA322" s="42"/>
      <c r="AB322" s="43"/>
      <c r="AC322" s="43"/>
      <c r="AD322" s="43"/>
      <c r="AE322" s="43"/>
      <c r="AF322" s="43"/>
      <c r="AG322" s="43"/>
      <c r="AH322" s="43"/>
      <c r="AI322" s="43"/>
      <c r="AJ322" s="43"/>
      <c r="AK322" s="48"/>
      <c r="AL322" s="48"/>
      <c r="AM322" s="48"/>
      <c r="AN322" s="49"/>
    </row>
    <row r="323" spans="27:40" x14ac:dyDescent="0.25">
      <c r="AA323" s="44"/>
      <c r="AN323" s="50"/>
    </row>
    <row r="324" spans="27:40" x14ac:dyDescent="0.25">
      <c r="AA324" s="44"/>
      <c r="AN324" s="50"/>
    </row>
    <row r="325" spans="27:40" x14ac:dyDescent="0.25">
      <c r="AA325" s="42"/>
      <c r="AB325" s="43"/>
      <c r="AC325" s="43"/>
      <c r="AD325" s="43"/>
      <c r="AE325" s="43"/>
      <c r="AF325" s="43"/>
      <c r="AG325" s="43"/>
      <c r="AH325" s="43"/>
      <c r="AI325" s="43"/>
      <c r="AJ325" s="43"/>
      <c r="AK325" s="48"/>
      <c r="AL325" s="48"/>
      <c r="AM325" s="48"/>
      <c r="AN325" s="49"/>
    </row>
    <row r="326" spans="27:40" x14ac:dyDescent="0.25">
      <c r="AA326" s="44"/>
      <c r="AN326" s="50"/>
    </row>
    <row r="327" spans="27:40" x14ac:dyDescent="0.25">
      <c r="AA327" s="44"/>
      <c r="AN327" s="50"/>
    </row>
    <row r="328" spans="27:40" x14ac:dyDescent="0.25">
      <c r="AA328" s="42"/>
      <c r="AB328" s="43"/>
      <c r="AC328" s="43"/>
      <c r="AD328" s="43"/>
      <c r="AE328" s="43"/>
      <c r="AF328" s="43"/>
      <c r="AG328" s="43"/>
      <c r="AH328" s="43"/>
      <c r="AI328" s="43"/>
      <c r="AJ328" s="43"/>
      <c r="AK328" s="48"/>
      <c r="AL328" s="48"/>
      <c r="AM328" s="48"/>
      <c r="AN328" s="49"/>
    </row>
    <row r="329" spans="27:40" x14ac:dyDescent="0.25">
      <c r="AA329" s="44"/>
      <c r="AN329" s="50"/>
    </row>
    <row r="330" spans="27:40" x14ac:dyDescent="0.25">
      <c r="AA330" s="44"/>
      <c r="AN330" s="50"/>
    </row>
    <row r="331" spans="27:40" x14ac:dyDescent="0.25">
      <c r="AA331" s="42"/>
      <c r="AB331" s="43"/>
      <c r="AC331" s="43"/>
      <c r="AD331" s="43"/>
      <c r="AE331" s="43"/>
      <c r="AF331" s="43"/>
      <c r="AG331" s="43"/>
      <c r="AH331" s="43"/>
      <c r="AI331" s="43"/>
      <c r="AJ331" s="43"/>
      <c r="AK331" s="48"/>
      <c r="AL331" s="48"/>
      <c r="AM331" s="48"/>
      <c r="AN331" s="49"/>
    </row>
    <row r="332" spans="27:40" x14ac:dyDescent="0.25">
      <c r="AA332" s="44"/>
      <c r="AN332" s="50"/>
    </row>
    <row r="333" spans="27:40" x14ac:dyDescent="0.25">
      <c r="AA333" s="44"/>
      <c r="AN333" s="50"/>
    </row>
    <row r="334" spans="27:40" x14ac:dyDescent="0.25">
      <c r="AA334" s="42"/>
      <c r="AB334" s="43"/>
      <c r="AC334" s="43"/>
      <c r="AD334" s="43"/>
      <c r="AE334" s="43"/>
      <c r="AF334" s="43"/>
      <c r="AG334" s="43"/>
      <c r="AH334" s="43"/>
      <c r="AI334" s="43"/>
      <c r="AJ334" s="43"/>
      <c r="AK334" s="48"/>
      <c r="AL334" s="48"/>
      <c r="AM334" s="48"/>
      <c r="AN334" s="49"/>
    </row>
    <row r="335" spans="27:40" x14ac:dyDescent="0.25">
      <c r="AA335" s="44"/>
      <c r="AN335" s="50"/>
    </row>
    <row r="336" spans="27:40" x14ac:dyDescent="0.25">
      <c r="AA336" s="44"/>
      <c r="AN336" s="50"/>
    </row>
    <row r="337" spans="27:40" x14ac:dyDescent="0.25">
      <c r="AA337" s="42"/>
      <c r="AB337" s="43"/>
      <c r="AC337" s="43"/>
      <c r="AD337" s="43"/>
      <c r="AE337" s="43"/>
      <c r="AF337" s="43"/>
      <c r="AG337" s="43"/>
      <c r="AH337" s="43"/>
      <c r="AI337" s="43"/>
      <c r="AJ337" s="43"/>
      <c r="AK337" s="48"/>
      <c r="AL337" s="48"/>
      <c r="AM337" s="48"/>
      <c r="AN337" s="49"/>
    </row>
    <row r="338" spans="27:40" x14ac:dyDescent="0.25">
      <c r="AA338" s="44"/>
      <c r="AN338" s="50"/>
    </row>
    <row r="339" spans="27:40" x14ac:dyDescent="0.25">
      <c r="AA339" s="44"/>
      <c r="AN339" s="50"/>
    </row>
    <row r="340" spans="27:40" x14ac:dyDescent="0.25">
      <c r="AA340" s="42"/>
      <c r="AB340" s="43"/>
      <c r="AC340" s="43"/>
      <c r="AD340" s="43"/>
      <c r="AE340" s="43"/>
      <c r="AF340" s="43"/>
      <c r="AG340" s="43"/>
      <c r="AH340" s="43"/>
      <c r="AI340" s="43"/>
      <c r="AJ340" s="43"/>
      <c r="AK340" s="48"/>
      <c r="AL340" s="48"/>
      <c r="AM340" s="48"/>
      <c r="AN340" s="49"/>
    </row>
    <row r="341" spans="27:40" x14ac:dyDescent="0.25">
      <c r="AA341" s="44"/>
      <c r="AN341" s="50"/>
    </row>
    <row r="342" spans="27:40" x14ac:dyDescent="0.25">
      <c r="AA342" s="44"/>
      <c r="AN342" s="50"/>
    </row>
    <row r="343" spans="27:40" x14ac:dyDescent="0.25">
      <c r="AA343" s="42"/>
      <c r="AB343" s="43"/>
      <c r="AC343" s="43"/>
      <c r="AD343" s="43"/>
      <c r="AE343" s="43"/>
      <c r="AF343" s="43"/>
      <c r="AG343" s="43"/>
      <c r="AH343" s="43"/>
      <c r="AI343" s="43"/>
      <c r="AJ343" s="43"/>
      <c r="AK343" s="48"/>
      <c r="AL343" s="48"/>
      <c r="AM343" s="48"/>
      <c r="AN343" s="49"/>
    </row>
    <row r="344" spans="27:40" x14ac:dyDescent="0.25">
      <c r="AA344" s="44"/>
      <c r="AN344" s="50"/>
    </row>
    <row r="345" spans="27:40" x14ac:dyDescent="0.25">
      <c r="AA345" s="44"/>
      <c r="AN345" s="50"/>
    </row>
    <row r="346" spans="27:40" x14ac:dyDescent="0.25">
      <c r="AA346" s="42"/>
      <c r="AB346" s="43"/>
      <c r="AC346" s="43"/>
      <c r="AD346" s="43"/>
      <c r="AE346" s="43"/>
      <c r="AF346" s="43"/>
      <c r="AG346" s="43"/>
      <c r="AH346" s="43"/>
      <c r="AI346" s="43"/>
      <c r="AJ346" s="43"/>
      <c r="AK346" s="48"/>
      <c r="AL346" s="48"/>
      <c r="AM346" s="48"/>
      <c r="AN346" s="49"/>
    </row>
    <row r="347" spans="27:40" x14ac:dyDescent="0.25">
      <c r="AA347" s="44"/>
      <c r="AN347" s="50"/>
    </row>
    <row r="348" spans="27:40" x14ac:dyDescent="0.25">
      <c r="AA348" s="44"/>
      <c r="AN348" s="50"/>
    </row>
    <row r="349" spans="27:40" x14ac:dyDescent="0.25">
      <c r="AA349" s="42"/>
      <c r="AB349" s="43"/>
      <c r="AC349" s="43"/>
      <c r="AD349" s="43"/>
      <c r="AE349" s="43"/>
      <c r="AF349" s="43"/>
      <c r="AG349" s="43"/>
      <c r="AH349" s="43"/>
      <c r="AI349" s="43"/>
      <c r="AJ349" s="43"/>
      <c r="AK349" s="48"/>
      <c r="AL349" s="48"/>
      <c r="AM349" s="48"/>
      <c r="AN349" s="49"/>
    </row>
    <row r="350" spans="27:40" x14ac:dyDescent="0.25">
      <c r="AA350" s="44"/>
      <c r="AN350" s="50"/>
    </row>
    <row r="351" spans="27:40" x14ac:dyDescent="0.25">
      <c r="AA351" s="44"/>
      <c r="AN351" s="50"/>
    </row>
    <row r="352" spans="27:40" x14ac:dyDescent="0.25">
      <c r="AA352" s="42"/>
      <c r="AB352" s="43"/>
      <c r="AC352" s="43"/>
      <c r="AD352" s="43"/>
      <c r="AE352" s="43"/>
      <c r="AF352" s="43"/>
      <c r="AG352" s="43"/>
      <c r="AH352" s="43"/>
      <c r="AI352" s="43"/>
      <c r="AJ352" s="43"/>
      <c r="AK352" s="48"/>
      <c r="AL352" s="48"/>
      <c r="AM352" s="48"/>
      <c r="AN352" s="49"/>
    </row>
    <row r="353" spans="27:40" x14ac:dyDescent="0.25">
      <c r="AA353" s="44"/>
      <c r="AN353" s="50"/>
    </row>
    <row r="354" spans="27:40" x14ac:dyDescent="0.25">
      <c r="AA354" s="44"/>
      <c r="AN354" s="50"/>
    </row>
    <row r="355" spans="27:40" x14ac:dyDescent="0.25">
      <c r="AA355" s="42"/>
      <c r="AB355" s="43"/>
      <c r="AC355" s="43"/>
      <c r="AD355" s="43"/>
      <c r="AE355" s="43"/>
      <c r="AF355" s="43"/>
      <c r="AG355" s="43"/>
      <c r="AH355" s="43"/>
      <c r="AI355" s="43"/>
      <c r="AJ355" s="43"/>
      <c r="AK355" s="48"/>
      <c r="AL355" s="48"/>
      <c r="AM355" s="48"/>
      <c r="AN355" s="49"/>
    </row>
    <row r="356" spans="27:40" x14ac:dyDescent="0.25">
      <c r="AA356" s="44"/>
      <c r="AN356" s="50"/>
    </row>
    <row r="357" spans="27:40" x14ac:dyDescent="0.25">
      <c r="AA357" s="44"/>
      <c r="AN357" s="50"/>
    </row>
    <row r="358" spans="27:40" x14ac:dyDescent="0.25">
      <c r="AA358" s="42"/>
      <c r="AB358" s="43"/>
      <c r="AC358" s="43"/>
      <c r="AD358" s="43"/>
      <c r="AE358" s="43"/>
      <c r="AF358" s="43"/>
      <c r="AG358" s="43"/>
      <c r="AH358" s="43"/>
      <c r="AI358" s="43"/>
      <c r="AJ358" s="43"/>
      <c r="AK358" s="48"/>
      <c r="AL358" s="48"/>
      <c r="AM358" s="48"/>
      <c r="AN358" s="49"/>
    </row>
    <row r="359" spans="27:40" x14ac:dyDescent="0.25">
      <c r="AA359" s="44"/>
      <c r="AN359" s="50"/>
    </row>
    <row r="360" spans="27:40" x14ac:dyDescent="0.25">
      <c r="AA360" s="44"/>
      <c r="AN360" s="50"/>
    </row>
    <row r="361" spans="27:40" x14ac:dyDescent="0.25">
      <c r="AA361" s="42"/>
      <c r="AB361" s="43"/>
      <c r="AC361" s="43"/>
      <c r="AD361" s="43"/>
      <c r="AE361" s="43"/>
      <c r="AF361" s="43"/>
      <c r="AG361" s="43"/>
      <c r="AH361" s="43"/>
      <c r="AI361" s="43"/>
      <c r="AJ361" s="43"/>
      <c r="AK361" s="48"/>
      <c r="AL361" s="48"/>
      <c r="AM361" s="48"/>
      <c r="AN361" s="49"/>
    </row>
    <row r="362" spans="27:40" x14ac:dyDescent="0.25">
      <c r="AA362" s="44"/>
      <c r="AN362" s="50"/>
    </row>
    <row r="363" spans="27:40" x14ac:dyDescent="0.25">
      <c r="AA363" s="44"/>
      <c r="AN363" s="50"/>
    </row>
    <row r="364" spans="27:40" x14ac:dyDescent="0.25">
      <c r="AA364" s="42"/>
      <c r="AB364" s="43"/>
      <c r="AC364" s="43"/>
      <c r="AD364" s="43"/>
      <c r="AE364" s="43"/>
      <c r="AF364" s="43"/>
      <c r="AG364" s="43"/>
      <c r="AH364" s="43"/>
      <c r="AI364" s="43"/>
      <c r="AJ364" s="43"/>
      <c r="AK364" s="48"/>
      <c r="AL364" s="48"/>
      <c r="AM364" s="48"/>
      <c r="AN364" s="49"/>
    </row>
    <row r="365" spans="27:40" x14ac:dyDescent="0.25">
      <c r="AA365" s="44"/>
      <c r="AN365" s="50"/>
    </row>
    <row r="366" spans="27:40" x14ac:dyDescent="0.25">
      <c r="AA366" s="44"/>
      <c r="AN366" s="50"/>
    </row>
    <row r="367" spans="27:40" x14ac:dyDescent="0.25">
      <c r="AA367" s="42"/>
      <c r="AB367" s="43"/>
      <c r="AC367" s="43"/>
      <c r="AD367" s="43"/>
      <c r="AE367" s="43"/>
      <c r="AF367" s="43"/>
      <c r="AG367" s="43"/>
      <c r="AH367" s="43"/>
      <c r="AI367" s="43"/>
      <c r="AJ367" s="43"/>
      <c r="AK367" s="48"/>
      <c r="AL367" s="48"/>
      <c r="AM367" s="48"/>
      <c r="AN367" s="49"/>
    </row>
    <row r="368" spans="27:40" x14ac:dyDescent="0.25">
      <c r="AA368" s="44"/>
      <c r="AN368" s="50"/>
    </row>
    <row r="369" spans="27:40" x14ac:dyDescent="0.25">
      <c r="AA369" s="44"/>
      <c r="AN369" s="50"/>
    </row>
    <row r="370" spans="27:40" x14ac:dyDescent="0.25">
      <c r="AA370" s="42"/>
      <c r="AB370" s="43"/>
      <c r="AC370" s="43"/>
      <c r="AD370" s="43"/>
      <c r="AE370" s="43"/>
      <c r="AF370" s="43"/>
      <c r="AG370" s="43"/>
      <c r="AH370" s="43"/>
      <c r="AI370" s="43"/>
      <c r="AJ370" s="43"/>
      <c r="AK370" s="48"/>
      <c r="AL370" s="48"/>
      <c r="AM370" s="48"/>
      <c r="AN370" s="49"/>
    </row>
    <row r="371" spans="27:40" x14ac:dyDescent="0.25">
      <c r="AA371" s="44"/>
      <c r="AN371" s="50"/>
    </row>
    <row r="372" spans="27:40" x14ac:dyDescent="0.25">
      <c r="AA372" s="44"/>
      <c r="AN372" s="50"/>
    </row>
    <row r="373" spans="27:40" x14ac:dyDescent="0.25">
      <c r="AA373" s="42"/>
      <c r="AB373" s="43"/>
      <c r="AC373" s="43"/>
      <c r="AD373" s="43"/>
      <c r="AE373" s="43"/>
      <c r="AF373" s="43"/>
      <c r="AG373" s="43"/>
      <c r="AH373" s="43"/>
      <c r="AI373" s="43"/>
      <c r="AJ373" s="43"/>
      <c r="AK373" s="48"/>
      <c r="AL373" s="48"/>
      <c r="AM373" s="48"/>
      <c r="AN373" s="49"/>
    </row>
    <row r="374" spans="27:40" x14ac:dyDescent="0.25">
      <c r="AA374" s="44"/>
      <c r="AN374" s="50"/>
    </row>
    <row r="375" spans="27:40" x14ac:dyDescent="0.25">
      <c r="AA375" s="44"/>
      <c r="AN375" s="50"/>
    </row>
    <row r="376" spans="27:40" x14ac:dyDescent="0.25">
      <c r="AA376" s="42"/>
      <c r="AB376" s="43"/>
      <c r="AC376" s="43"/>
      <c r="AD376" s="43"/>
      <c r="AE376" s="43"/>
      <c r="AF376" s="43"/>
      <c r="AG376" s="43"/>
      <c r="AH376" s="43"/>
      <c r="AI376" s="43"/>
      <c r="AJ376" s="43"/>
      <c r="AK376" s="48"/>
      <c r="AL376" s="48"/>
      <c r="AM376" s="48"/>
      <c r="AN376" s="49"/>
    </row>
    <row r="377" spans="27:40" x14ac:dyDescent="0.25">
      <c r="AA377" s="44"/>
      <c r="AN377" s="50"/>
    </row>
    <row r="378" spans="27:40" x14ac:dyDescent="0.25">
      <c r="AA378" s="44"/>
      <c r="AN378" s="50"/>
    </row>
    <row r="379" spans="27:40" x14ac:dyDescent="0.25">
      <c r="AA379" s="42"/>
      <c r="AB379" s="43"/>
      <c r="AC379" s="43"/>
      <c r="AD379" s="43"/>
      <c r="AE379" s="43"/>
      <c r="AF379" s="43"/>
      <c r="AG379" s="43"/>
      <c r="AH379" s="43"/>
      <c r="AI379" s="43"/>
      <c r="AJ379" s="43"/>
      <c r="AK379" s="48"/>
      <c r="AL379" s="48"/>
      <c r="AM379" s="48"/>
      <c r="AN379" s="49"/>
    </row>
    <row r="380" spans="27:40" x14ac:dyDescent="0.25">
      <c r="AA380" s="44"/>
      <c r="AN380" s="50"/>
    </row>
    <row r="381" spans="27:40" x14ac:dyDescent="0.25">
      <c r="AA381" s="44"/>
      <c r="AN381" s="50"/>
    </row>
    <row r="382" spans="27:40" x14ac:dyDescent="0.25">
      <c r="AA382" s="42"/>
      <c r="AB382" s="43"/>
      <c r="AC382" s="43"/>
      <c r="AD382" s="43"/>
      <c r="AE382" s="43"/>
      <c r="AF382" s="43"/>
      <c r="AG382" s="43"/>
      <c r="AH382" s="43"/>
      <c r="AI382" s="43"/>
      <c r="AJ382" s="43"/>
      <c r="AK382" s="48"/>
      <c r="AL382" s="48"/>
      <c r="AM382" s="48"/>
      <c r="AN382" s="49"/>
    </row>
    <row r="383" spans="27:40" x14ac:dyDescent="0.25">
      <c r="AA383" s="44"/>
      <c r="AN383" s="50"/>
    </row>
    <row r="384" spans="27:40" x14ac:dyDescent="0.25">
      <c r="AA384" s="44"/>
      <c r="AN384" s="50"/>
    </row>
    <row r="385" spans="27:40" x14ac:dyDescent="0.25">
      <c r="AA385" s="42"/>
      <c r="AB385" s="43"/>
      <c r="AC385" s="43"/>
      <c r="AD385" s="43"/>
      <c r="AE385" s="43"/>
      <c r="AF385" s="43"/>
      <c r="AG385" s="43"/>
      <c r="AH385" s="43"/>
      <c r="AI385" s="43"/>
      <c r="AJ385" s="43"/>
      <c r="AK385" s="48"/>
      <c r="AL385" s="48"/>
      <c r="AM385" s="48"/>
      <c r="AN385" s="49"/>
    </row>
    <row r="386" spans="27:40" x14ac:dyDescent="0.25">
      <c r="AA386" s="44"/>
      <c r="AN386" s="50"/>
    </row>
    <row r="387" spans="27:40" x14ac:dyDescent="0.25">
      <c r="AA387" s="44"/>
      <c r="AN387" s="50"/>
    </row>
    <row r="388" spans="27:40" x14ac:dyDescent="0.25">
      <c r="AA388" s="42"/>
      <c r="AB388" s="43"/>
      <c r="AC388" s="43"/>
      <c r="AD388" s="43"/>
      <c r="AE388" s="43"/>
      <c r="AF388" s="43"/>
      <c r="AG388" s="43"/>
      <c r="AH388" s="43"/>
      <c r="AI388" s="43"/>
      <c r="AJ388" s="43"/>
      <c r="AK388" s="48"/>
      <c r="AL388" s="48"/>
      <c r="AM388" s="48"/>
      <c r="AN388" s="49"/>
    </row>
    <row r="389" spans="27:40" x14ac:dyDescent="0.25">
      <c r="AA389" s="44"/>
      <c r="AN389" s="50"/>
    </row>
    <row r="390" spans="27:40" x14ac:dyDescent="0.25">
      <c r="AA390" s="44"/>
      <c r="AN390" s="50"/>
    </row>
    <row r="391" spans="27:40" x14ac:dyDescent="0.25">
      <c r="AA391" s="42"/>
      <c r="AB391" s="43"/>
      <c r="AC391" s="43"/>
      <c r="AD391" s="43"/>
      <c r="AE391" s="43"/>
      <c r="AF391" s="43"/>
      <c r="AG391" s="43"/>
      <c r="AH391" s="43"/>
      <c r="AI391" s="43"/>
      <c r="AJ391" s="43"/>
      <c r="AK391" s="48"/>
      <c r="AL391" s="48"/>
      <c r="AM391" s="48"/>
      <c r="AN391" s="49"/>
    </row>
    <row r="392" spans="27:40" x14ac:dyDescent="0.25">
      <c r="AA392" s="44"/>
      <c r="AN392" s="50"/>
    </row>
    <row r="393" spans="27:40" x14ac:dyDescent="0.25">
      <c r="AA393" s="44"/>
      <c r="AN393" s="50"/>
    </row>
    <row r="394" spans="27:40" x14ac:dyDescent="0.25">
      <c r="AA394" s="42"/>
      <c r="AB394" s="43"/>
      <c r="AC394" s="43"/>
      <c r="AD394" s="43"/>
      <c r="AE394" s="43"/>
      <c r="AF394" s="43"/>
      <c r="AG394" s="43"/>
      <c r="AH394" s="43"/>
      <c r="AI394" s="43"/>
      <c r="AJ394" s="43"/>
      <c r="AK394" s="48"/>
      <c r="AL394" s="48"/>
      <c r="AM394" s="48"/>
      <c r="AN394" s="49"/>
    </row>
    <row r="395" spans="27:40" x14ac:dyDescent="0.25">
      <c r="AA395" s="44"/>
      <c r="AN395" s="50"/>
    </row>
    <row r="396" spans="27:40" x14ac:dyDescent="0.25">
      <c r="AA396" s="44"/>
      <c r="AN396" s="50"/>
    </row>
    <row r="397" spans="27:40" x14ac:dyDescent="0.25">
      <c r="AA397" s="42"/>
      <c r="AB397" s="43"/>
      <c r="AC397" s="43"/>
      <c r="AD397" s="43"/>
      <c r="AE397" s="43"/>
      <c r="AF397" s="43"/>
      <c r="AG397" s="43"/>
      <c r="AH397" s="43"/>
      <c r="AI397" s="43"/>
      <c r="AJ397" s="43"/>
      <c r="AK397" s="48"/>
      <c r="AL397" s="48"/>
      <c r="AM397" s="48"/>
      <c r="AN397" s="49"/>
    </row>
    <row r="398" spans="27:40" x14ac:dyDescent="0.25">
      <c r="AA398" s="44"/>
      <c r="AN398" s="50"/>
    </row>
    <row r="399" spans="27:40" x14ac:dyDescent="0.25">
      <c r="AA399" s="44"/>
      <c r="AN399" s="50"/>
    </row>
    <row r="400" spans="27:40" x14ac:dyDescent="0.25">
      <c r="AA400" s="42"/>
      <c r="AB400" s="43"/>
      <c r="AC400" s="43"/>
      <c r="AD400" s="43"/>
      <c r="AE400" s="43"/>
      <c r="AF400" s="43"/>
      <c r="AG400" s="43"/>
      <c r="AH400" s="43"/>
      <c r="AI400" s="43"/>
      <c r="AJ400" s="43"/>
      <c r="AK400" s="48"/>
      <c r="AL400" s="48"/>
      <c r="AM400" s="48"/>
      <c r="AN400" s="49"/>
    </row>
    <row r="401" spans="27:40" x14ac:dyDescent="0.25">
      <c r="AA401" s="44"/>
      <c r="AN401" s="50"/>
    </row>
    <row r="402" spans="27:40" x14ac:dyDescent="0.25">
      <c r="AA402" s="44"/>
      <c r="AN402" s="50"/>
    </row>
    <row r="403" spans="27:40" x14ac:dyDescent="0.25">
      <c r="AA403" s="42"/>
      <c r="AB403" s="43"/>
      <c r="AC403" s="43"/>
      <c r="AD403" s="43"/>
      <c r="AE403" s="43"/>
      <c r="AF403" s="43"/>
      <c r="AG403" s="43"/>
      <c r="AH403" s="43"/>
      <c r="AI403" s="43"/>
      <c r="AJ403" s="43"/>
      <c r="AK403" s="48"/>
      <c r="AL403" s="48"/>
      <c r="AM403" s="48"/>
      <c r="AN403" s="49"/>
    </row>
    <row r="404" spans="27:40" x14ac:dyDescent="0.25">
      <c r="AA404" s="44"/>
      <c r="AN404" s="50"/>
    </row>
    <row r="405" spans="27:40" x14ac:dyDescent="0.25">
      <c r="AA405" s="44"/>
      <c r="AN405" s="50"/>
    </row>
    <row r="406" spans="27:40" x14ac:dyDescent="0.25">
      <c r="AA406" s="42"/>
      <c r="AB406" s="43"/>
      <c r="AC406" s="43"/>
      <c r="AD406" s="43"/>
      <c r="AE406" s="43"/>
      <c r="AF406" s="43"/>
      <c r="AG406" s="43"/>
      <c r="AH406" s="43"/>
      <c r="AI406" s="43"/>
      <c r="AJ406" s="43"/>
      <c r="AK406" s="48"/>
      <c r="AL406" s="48"/>
      <c r="AM406" s="48"/>
      <c r="AN406" s="49"/>
    </row>
    <row r="407" spans="27:40" x14ac:dyDescent="0.25">
      <c r="AA407" s="44"/>
      <c r="AN407" s="50"/>
    </row>
    <row r="408" spans="27:40" x14ac:dyDescent="0.25">
      <c r="AA408" s="44"/>
      <c r="AN408" s="50"/>
    </row>
    <row r="409" spans="27:40" x14ac:dyDescent="0.25">
      <c r="AA409" s="42"/>
      <c r="AB409" s="43"/>
      <c r="AC409" s="43"/>
      <c r="AD409" s="43"/>
      <c r="AE409" s="43"/>
      <c r="AF409" s="43"/>
      <c r="AG409" s="43"/>
      <c r="AH409" s="43"/>
      <c r="AI409" s="43"/>
      <c r="AJ409" s="43"/>
      <c r="AK409" s="48"/>
      <c r="AL409" s="48"/>
      <c r="AM409" s="48"/>
      <c r="AN409" s="49"/>
    </row>
    <row r="410" spans="27:40" x14ac:dyDescent="0.25">
      <c r="AA410" s="44"/>
      <c r="AN410" s="50"/>
    </row>
    <row r="411" spans="27:40" x14ac:dyDescent="0.25">
      <c r="AA411" s="44"/>
      <c r="AN411" s="50"/>
    </row>
    <row r="412" spans="27:40" x14ac:dyDescent="0.25">
      <c r="AA412" s="42"/>
      <c r="AB412" s="43"/>
      <c r="AC412" s="43"/>
      <c r="AD412" s="43"/>
      <c r="AE412" s="43"/>
      <c r="AF412" s="43"/>
      <c r="AG412" s="43"/>
      <c r="AH412" s="43"/>
      <c r="AI412" s="43"/>
      <c r="AJ412" s="43"/>
      <c r="AK412" s="48"/>
      <c r="AL412" s="48"/>
      <c r="AM412" s="48"/>
      <c r="AN412" s="49"/>
    </row>
    <row r="413" spans="27:40" x14ac:dyDescent="0.25">
      <c r="AA413" s="44"/>
      <c r="AN413" s="50"/>
    </row>
    <row r="414" spans="27:40" x14ac:dyDescent="0.25">
      <c r="AA414" s="44"/>
      <c r="AN414" s="50"/>
    </row>
    <row r="415" spans="27:40" x14ac:dyDescent="0.25">
      <c r="AA415" s="42"/>
      <c r="AB415" s="43"/>
      <c r="AC415" s="43"/>
      <c r="AD415" s="43"/>
      <c r="AE415" s="43"/>
      <c r="AF415" s="43"/>
      <c r="AG415" s="43"/>
      <c r="AH415" s="43"/>
      <c r="AI415" s="43"/>
      <c r="AJ415" s="43"/>
      <c r="AK415" s="48"/>
      <c r="AL415" s="48"/>
      <c r="AM415" s="48"/>
      <c r="AN415" s="49"/>
    </row>
    <row r="416" spans="27:40" x14ac:dyDescent="0.25">
      <c r="AA416" s="44"/>
      <c r="AN416" s="50"/>
    </row>
    <row r="417" spans="27:40" x14ac:dyDescent="0.25">
      <c r="AA417" s="44"/>
      <c r="AN417" s="50"/>
    </row>
    <row r="418" spans="27:40" x14ac:dyDescent="0.25">
      <c r="AA418" s="42"/>
      <c r="AB418" s="43"/>
      <c r="AC418" s="43"/>
      <c r="AD418" s="43"/>
      <c r="AE418" s="43"/>
      <c r="AF418" s="43"/>
      <c r="AG418" s="43"/>
      <c r="AH418" s="43"/>
      <c r="AI418" s="43"/>
      <c r="AJ418" s="43"/>
      <c r="AK418" s="48"/>
      <c r="AL418" s="48"/>
      <c r="AM418" s="48"/>
      <c r="AN418" s="49"/>
    </row>
    <row r="419" spans="27:40" x14ac:dyDescent="0.25">
      <c r="AA419" s="44"/>
      <c r="AN419" s="50"/>
    </row>
    <row r="420" spans="27:40" x14ac:dyDescent="0.25">
      <c r="AA420" s="44"/>
      <c r="AN420" s="50"/>
    </row>
    <row r="421" spans="27:40" x14ac:dyDescent="0.25">
      <c r="AA421" s="42"/>
      <c r="AB421" s="43"/>
      <c r="AC421" s="43"/>
      <c r="AD421" s="43"/>
      <c r="AE421" s="43"/>
      <c r="AF421" s="43"/>
      <c r="AG421" s="43"/>
      <c r="AH421" s="43"/>
      <c r="AI421" s="43"/>
      <c r="AJ421" s="43"/>
      <c r="AK421" s="48"/>
      <c r="AL421" s="48"/>
      <c r="AM421" s="48"/>
      <c r="AN421" s="49"/>
    </row>
    <row r="422" spans="27:40" x14ac:dyDescent="0.25">
      <c r="AA422" s="44"/>
      <c r="AN422" s="50"/>
    </row>
    <row r="423" spans="27:40" x14ac:dyDescent="0.25">
      <c r="AA423" s="44"/>
      <c r="AN423" s="50"/>
    </row>
    <row r="424" spans="27:40" x14ac:dyDescent="0.25">
      <c r="AA424" s="42"/>
      <c r="AB424" s="43"/>
      <c r="AC424" s="43"/>
      <c r="AD424" s="43"/>
      <c r="AE424" s="43"/>
      <c r="AF424" s="43"/>
      <c r="AG424" s="43"/>
      <c r="AH424" s="43"/>
      <c r="AI424" s="43"/>
      <c r="AJ424" s="43"/>
      <c r="AK424" s="48"/>
      <c r="AL424" s="48"/>
      <c r="AM424" s="48"/>
      <c r="AN424" s="49"/>
    </row>
    <row r="425" spans="27:40" x14ac:dyDescent="0.25">
      <c r="AA425" s="44"/>
      <c r="AN425" s="50"/>
    </row>
    <row r="426" spans="27:40" x14ac:dyDescent="0.25">
      <c r="AA426" s="44"/>
      <c r="AN426" s="50"/>
    </row>
    <row r="427" spans="27:40" x14ac:dyDescent="0.25">
      <c r="AA427" s="42"/>
      <c r="AB427" s="43"/>
      <c r="AC427" s="43"/>
      <c r="AD427" s="43"/>
      <c r="AE427" s="43"/>
      <c r="AF427" s="43"/>
      <c r="AG427" s="43"/>
      <c r="AH427" s="43"/>
      <c r="AI427" s="43"/>
      <c r="AJ427" s="43"/>
      <c r="AK427" s="48"/>
      <c r="AL427" s="48"/>
      <c r="AM427" s="48"/>
      <c r="AN427" s="49"/>
    </row>
    <row r="428" spans="27:40" x14ac:dyDescent="0.25">
      <c r="AA428" s="44"/>
      <c r="AN428" s="50"/>
    </row>
    <row r="429" spans="27:40" x14ac:dyDescent="0.25">
      <c r="AA429" s="44"/>
      <c r="AN429" s="50"/>
    </row>
    <row r="430" spans="27:40" x14ac:dyDescent="0.25">
      <c r="AA430" s="42"/>
      <c r="AB430" s="43"/>
      <c r="AC430" s="43"/>
      <c r="AD430" s="43"/>
      <c r="AE430" s="43"/>
      <c r="AF430" s="43"/>
      <c r="AG430" s="43"/>
      <c r="AH430" s="43"/>
      <c r="AI430" s="43"/>
      <c r="AJ430" s="43"/>
      <c r="AK430" s="48"/>
      <c r="AL430" s="48"/>
      <c r="AM430" s="48"/>
      <c r="AN430" s="49"/>
    </row>
    <row r="431" spans="27:40" x14ac:dyDescent="0.25">
      <c r="AA431" s="44"/>
      <c r="AN431" s="50"/>
    </row>
    <row r="432" spans="27:40" x14ac:dyDescent="0.25">
      <c r="AA432" s="44"/>
      <c r="AN432" s="50"/>
    </row>
    <row r="433" spans="27:40" x14ac:dyDescent="0.25">
      <c r="AA433" s="42"/>
      <c r="AB433" s="43"/>
      <c r="AC433" s="43"/>
      <c r="AD433" s="43"/>
      <c r="AE433" s="43"/>
      <c r="AF433" s="43"/>
      <c r="AG433" s="43"/>
      <c r="AH433" s="43"/>
      <c r="AI433" s="43"/>
      <c r="AJ433" s="43"/>
      <c r="AK433" s="48"/>
      <c r="AL433" s="48"/>
      <c r="AM433" s="48"/>
      <c r="AN433" s="49"/>
    </row>
    <row r="434" spans="27:40" x14ac:dyDescent="0.25">
      <c r="AA434" s="44"/>
      <c r="AN434" s="50"/>
    </row>
    <row r="435" spans="27:40" x14ac:dyDescent="0.25">
      <c r="AA435" s="44"/>
      <c r="AN435" s="50"/>
    </row>
    <row r="436" spans="27:40" x14ac:dyDescent="0.25">
      <c r="AA436" s="42"/>
      <c r="AB436" s="43"/>
      <c r="AC436" s="43"/>
      <c r="AD436" s="43"/>
      <c r="AE436" s="43"/>
      <c r="AF436" s="43"/>
      <c r="AG436" s="43"/>
      <c r="AH436" s="43"/>
      <c r="AI436" s="43"/>
      <c r="AJ436" s="43"/>
      <c r="AK436" s="48"/>
      <c r="AL436" s="48"/>
      <c r="AM436" s="48"/>
      <c r="AN436" s="49"/>
    </row>
    <row r="437" spans="27:40" x14ac:dyDescent="0.25">
      <c r="AA437" s="44"/>
      <c r="AN437" s="50"/>
    </row>
    <row r="438" spans="27:40" x14ac:dyDescent="0.25">
      <c r="AA438" s="44"/>
      <c r="AN438" s="50"/>
    </row>
    <row r="439" spans="27:40" x14ac:dyDescent="0.25">
      <c r="AA439" s="42"/>
      <c r="AB439" s="43"/>
      <c r="AC439" s="43"/>
      <c r="AD439" s="43"/>
      <c r="AE439" s="43"/>
      <c r="AF439" s="43"/>
      <c r="AG439" s="43"/>
      <c r="AH439" s="43"/>
      <c r="AI439" s="43"/>
      <c r="AJ439" s="43"/>
      <c r="AK439" s="48"/>
      <c r="AL439" s="48"/>
      <c r="AM439" s="48"/>
      <c r="AN439" s="49"/>
    </row>
    <row r="440" spans="27:40" x14ac:dyDescent="0.25">
      <c r="AA440" s="44"/>
      <c r="AN440" s="50"/>
    </row>
    <row r="441" spans="27:40" x14ac:dyDescent="0.25">
      <c r="AA441" s="44"/>
      <c r="AN441" s="50"/>
    </row>
    <row r="442" spans="27:40" x14ac:dyDescent="0.25">
      <c r="AA442" s="42"/>
      <c r="AB442" s="43"/>
      <c r="AC442" s="43"/>
      <c r="AD442" s="43"/>
      <c r="AE442" s="43"/>
      <c r="AF442" s="43"/>
      <c r="AG442" s="43"/>
      <c r="AH442" s="43"/>
      <c r="AI442" s="43"/>
      <c r="AJ442" s="43"/>
      <c r="AK442" s="48"/>
      <c r="AL442" s="48"/>
      <c r="AM442" s="48"/>
      <c r="AN442" s="49"/>
    </row>
    <row r="443" spans="27:40" x14ac:dyDescent="0.25">
      <c r="AA443" s="44"/>
      <c r="AN443" s="50"/>
    </row>
    <row r="444" spans="27:40" x14ac:dyDescent="0.25">
      <c r="AA444" s="44"/>
      <c r="AN444" s="50"/>
    </row>
    <row r="445" spans="27:40" x14ac:dyDescent="0.25">
      <c r="AA445" s="42"/>
      <c r="AB445" s="43"/>
      <c r="AC445" s="43"/>
      <c r="AD445" s="43"/>
      <c r="AE445" s="43"/>
      <c r="AF445" s="43"/>
      <c r="AG445" s="43"/>
      <c r="AH445" s="43"/>
      <c r="AI445" s="43"/>
      <c r="AJ445" s="43"/>
      <c r="AK445" s="48"/>
      <c r="AL445" s="48"/>
      <c r="AM445" s="48"/>
      <c r="AN445" s="49"/>
    </row>
    <row r="446" spans="27:40" x14ac:dyDescent="0.25">
      <c r="AA446" s="44"/>
      <c r="AN446" s="50"/>
    </row>
    <row r="447" spans="27:40" x14ac:dyDescent="0.25">
      <c r="AA447" s="44"/>
      <c r="AN447" s="50"/>
    </row>
    <row r="448" spans="27:40" x14ac:dyDescent="0.25">
      <c r="AA448" s="42"/>
      <c r="AB448" s="43"/>
      <c r="AC448" s="43"/>
      <c r="AD448" s="43"/>
      <c r="AE448" s="43"/>
      <c r="AF448" s="43"/>
      <c r="AG448" s="43"/>
      <c r="AH448" s="43"/>
      <c r="AI448" s="43"/>
      <c r="AJ448" s="43"/>
      <c r="AK448" s="48"/>
      <c r="AL448" s="48"/>
      <c r="AM448" s="48"/>
      <c r="AN448" s="49"/>
    </row>
    <row r="449" spans="27:40" x14ac:dyDescent="0.25">
      <c r="AA449" s="44"/>
      <c r="AN449" s="50"/>
    </row>
    <row r="450" spans="27:40" x14ac:dyDescent="0.25">
      <c r="AA450" s="44"/>
      <c r="AN450" s="50"/>
    </row>
    <row r="451" spans="27:40" x14ac:dyDescent="0.25">
      <c r="AA451" s="42"/>
      <c r="AB451" s="43"/>
      <c r="AC451" s="43"/>
      <c r="AD451" s="43"/>
      <c r="AE451" s="43"/>
      <c r="AF451" s="43"/>
      <c r="AG451" s="43"/>
      <c r="AH451" s="43"/>
      <c r="AI451" s="43"/>
      <c r="AJ451" s="43"/>
      <c r="AK451" s="48"/>
      <c r="AL451" s="48"/>
      <c r="AM451" s="48"/>
      <c r="AN451" s="49"/>
    </row>
    <row r="452" spans="27:40" x14ac:dyDescent="0.25">
      <c r="AA452" s="44"/>
      <c r="AN452" s="50"/>
    </row>
    <row r="453" spans="27:40" x14ac:dyDescent="0.25">
      <c r="AA453" s="44"/>
      <c r="AN453" s="50"/>
    </row>
    <row r="454" spans="27:40" x14ac:dyDescent="0.25">
      <c r="AA454" s="42"/>
      <c r="AB454" s="43"/>
      <c r="AC454" s="43"/>
      <c r="AD454" s="43"/>
      <c r="AE454" s="43"/>
      <c r="AF454" s="43"/>
      <c r="AG454" s="43"/>
      <c r="AH454" s="43"/>
      <c r="AI454" s="43"/>
      <c r="AJ454" s="43"/>
      <c r="AK454" s="48"/>
      <c r="AL454" s="48"/>
      <c r="AM454" s="48"/>
      <c r="AN454" s="49"/>
    </row>
    <row r="455" spans="27:40" x14ac:dyDescent="0.25">
      <c r="AA455" s="44"/>
      <c r="AN455" s="50"/>
    </row>
    <row r="456" spans="27:40" x14ac:dyDescent="0.25">
      <c r="AA456" s="44"/>
      <c r="AN456" s="50"/>
    </row>
    <row r="457" spans="27:40" x14ac:dyDescent="0.25">
      <c r="AA457" s="42"/>
      <c r="AB457" s="43"/>
      <c r="AC457" s="43"/>
      <c r="AD457" s="43"/>
      <c r="AE457" s="43"/>
      <c r="AF457" s="43"/>
      <c r="AG457" s="43"/>
      <c r="AH457" s="43"/>
      <c r="AI457" s="43"/>
      <c r="AJ457" s="43"/>
      <c r="AK457" s="48"/>
      <c r="AL457" s="48"/>
      <c r="AM457" s="48"/>
      <c r="AN457" s="49"/>
    </row>
    <row r="458" spans="27:40" x14ac:dyDescent="0.25">
      <c r="AA458" s="44"/>
      <c r="AN458" s="50"/>
    </row>
    <row r="459" spans="27:40" x14ac:dyDescent="0.25">
      <c r="AA459" s="44"/>
      <c r="AN459" s="50"/>
    </row>
    <row r="460" spans="27:40" x14ac:dyDescent="0.25">
      <c r="AA460" s="42"/>
      <c r="AB460" s="43"/>
      <c r="AC460" s="43"/>
      <c r="AD460" s="43"/>
      <c r="AE460" s="43"/>
      <c r="AF460" s="43"/>
      <c r="AG460" s="43"/>
      <c r="AH460" s="43"/>
      <c r="AI460" s="43"/>
      <c r="AJ460" s="43"/>
      <c r="AK460" s="48"/>
      <c r="AL460" s="48"/>
      <c r="AM460" s="48"/>
      <c r="AN460" s="49"/>
    </row>
    <row r="461" spans="27:40" x14ac:dyDescent="0.25">
      <c r="AA461" s="44"/>
      <c r="AN461" s="50"/>
    </row>
    <row r="462" spans="27:40" x14ac:dyDescent="0.25">
      <c r="AA462" s="44"/>
      <c r="AN462" s="50"/>
    </row>
    <row r="463" spans="27:40" x14ac:dyDescent="0.25">
      <c r="AA463" s="42"/>
      <c r="AB463" s="43"/>
      <c r="AC463" s="43"/>
      <c r="AD463" s="43"/>
      <c r="AE463" s="43"/>
      <c r="AF463" s="43"/>
      <c r="AG463" s="43"/>
      <c r="AH463" s="43"/>
      <c r="AI463" s="43"/>
      <c r="AJ463" s="43"/>
      <c r="AK463" s="48"/>
      <c r="AL463" s="48"/>
      <c r="AM463" s="48"/>
      <c r="AN463" s="49"/>
    </row>
    <row r="464" spans="27:40" x14ac:dyDescent="0.25">
      <c r="AA464" s="44"/>
      <c r="AN464" s="50"/>
    </row>
    <row r="465" spans="27:40" x14ac:dyDescent="0.25">
      <c r="AA465" s="44"/>
      <c r="AN465" s="50"/>
    </row>
    <row r="466" spans="27:40" x14ac:dyDescent="0.25">
      <c r="AA466" s="42"/>
      <c r="AB466" s="43"/>
      <c r="AC466" s="43"/>
      <c r="AD466" s="43"/>
      <c r="AE466" s="43"/>
      <c r="AF466" s="43"/>
      <c r="AG466" s="43"/>
      <c r="AH466" s="43"/>
      <c r="AI466" s="43"/>
      <c r="AJ466" s="43"/>
      <c r="AK466" s="48"/>
      <c r="AL466" s="48"/>
      <c r="AM466" s="48"/>
      <c r="AN466" s="49"/>
    </row>
    <row r="467" spans="27:40" x14ac:dyDescent="0.25">
      <c r="AA467" s="44"/>
      <c r="AN467" s="50"/>
    </row>
    <row r="468" spans="27:40" x14ac:dyDescent="0.25">
      <c r="AA468" s="44"/>
      <c r="AN468" s="50"/>
    </row>
    <row r="469" spans="27:40" x14ac:dyDescent="0.25">
      <c r="AA469" s="42"/>
      <c r="AB469" s="43"/>
      <c r="AC469" s="43"/>
      <c r="AD469" s="43"/>
      <c r="AE469" s="43"/>
      <c r="AF469" s="43"/>
      <c r="AG469" s="43"/>
      <c r="AH469" s="43"/>
      <c r="AI469" s="43"/>
      <c r="AJ469" s="43"/>
      <c r="AK469" s="48"/>
      <c r="AL469" s="48"/>
      <c r="AM469" s="48"/>
      <c r="AN469" s="49"/>
    </row>
    <row r="470" spans="27:40" x14ac:dyDescent="0.25">
      <c r="AA470" s="44"/>
      <c r="AN470" s="50"/>
    </row>
    <row r="471" spans="27:40" x14ac:dyDescent="0.25">
      <c r="AA471" s="44"/>
      <c r="AN471" s="50"/>
    </row>
    <row r="472" spans="27:40" x14ac:dyDescent="0.25">
      <c r="AA472" s="42"/>
      <c r="AB472" s="43"/>
      <c r="AC472" s="43"/>
      <c r="AD472" s="43"/>
      <c r="AE472" s="43"/>
      <c r="AF472" s="43"/>
      <c r="AG472" s="43"/>
      <c r="AH472" s="43"/>
      <c r="AI472" s="43"/>
      <c r="AJ472" s="43"/>
      <c r="AK472" s="48"/>
      <c r="AL472" s="48"/>
      <c r="AM472" s="48"/>
      <c r="AN472" s="49"/>
    </row>
    <row r="473" spans="27:40" x14ac:dyDescent="0.25">
      <c r="AA473" s="44"/>
      <c r="AN473" s="50"/>
    </row>
    <row r="474" spans="27:40" x14ac:dyDescent="0.25">
      <c r="AA474" s="44"/>
      <c r="AN474" s="50"/>
    </row>
    <row r="475" spans="27:40" x14ac:dyDescent="0.25">
      <c r="AA475" s="42"/>
      <c r="AB475" s="43"/>
      <c r="AC475" s="43"/>
      <c r="AD475" s="43"/>
      <c r="AE475" s="43"/>
      <c r="AF475" s="43"/>
      <c r="AG475" s="43"/>
      <c r="AH475" s="43"/>
      <c r="AI475" s="43"/>
      <c r="AJ475" s="43"/>
      <c r="AK475" s="48"/>
      <c r="AL475" s="48"/>
      <c r="AM475" s="48"/>
      <c r="AN475" s="49"/>
    </row>
    <row r="476" spans="27:40" x14ac:dyDescent="0.25">
      <c r="AA476" s="44"/>
      <c r="AN476" s="50"/>
    </row>
    <row r="477" spans="27:40" x14ac:dyDescent="0.25">
      <c r="AA477" s="44"/>
      <c r="AN477" s="50"/>
    </row>
    <row r="478" spans="27:40" x14ac:dyDescent="0.25">
      <c r="AA478" s="42"/>
      <c r="AB478" s="43"/>
      <c r="AC478" s="43"/>
      <c r="AD478" s="43"/>
      <c r="AE478" s="43"/>
      <c r="AF478" s="43"/>
      <c r="AG478" s="43"/>
      <c r="AH478" s="43"/>
      <c r="AI478" s="43"/>
      <c r="AJ478" s="43"/>
      <c r="AK478" s="48"/>
      <c r="AL478" s="48"/>
      <c r="AM478" s="48"/>
      <c r="AN478" s="49"/>
    </row>
    <row r="479" spans="27:40" x14ac:dyDescent="0.25">
      <c r="AA479" s="44"/>
      <c r="AN479" s="50"/>
    </row>
    <row r="480" spans="27:40" x14ac:dyDescent="0.25">
      <c r="AA480" s="44"/>
      <c r="AN480" s="50"/>
    </row>
    <row r="481" spans="27:40" x14ac:dyDescent="0.25">
      <c r="AA481" s="42"/>
      <c r="AB481" s="43"/>
      <c r="AC481" s="43"/>
      <c r="AD481" s="43"/>
      <c r="AE481" s="43"/>
      <c r="AF481" s="43"/>
      <c r="AG481" s="43"/>
      <c r="AH481" s="43"/>
      <c r="AI481" s="43"/>
      <c r="AJ481" s="43"/>
      <c r="AK481" s="48"/>
      <c r="AL481" s="48"/>
      <c r="AM481" s="48"/>
      <c r="AN481" s="49"/>
    </row>
    <row r="482" spans="27:40" x14ac:dyDescent="0.25">
      <c r="AA482" s="44"/>
      <c r="AN482" s="50"/>
    </row>
    <row r="483" spans="27:40" x14ac:dyDescent="0.25">
      <c r="AA483" s="44"/>
      <c r="AN483" s="50"/>
    </row>
    <row r="484" spans="27:40" x14ac:dyDescent="0.25">
      <c r="AA484" s="42"/>
      <c r="AB484" s="43"/>
      <c r="AC484" s="43"/>
      <c r="AD484" s="43"/>
      <c r="AE484" s="43"/>
      <c r="AF484" s="43"/>
      <c r="AG484" s="43"/>
      <c r="AH484" s="43"/>
      <c r="AI484" s="43"/>
      <c r="AJ484" s="43"/>
      <c r="AK484" s="48"/>
      <c r="AL484" s="48"/>
      <c r="AM484" s="48"/>
      <c r="AN484" s="49"/>
    </row>
    <row r="485" spans="27:40" x14ac:dyDescent="0.25">
      <c r="AA485" s="44"/>
      <c r="AN485" s="50"/>
    </row>
    <row r="486" spans="27:40" x14ac:dyDescent="0.25">
      <c r="AA486" s="44"/>
      <c r="AN486" s="50"/>
    </row>
    <row r="487" spans="27:40" x14ac:dyDescent="0.25">
      <c r="AA487" s="42"/>
      <c r="AB487" s="43"/>
      <c r="AC487" s="43"/>
      <c r="AD487" s="43"/>
      <c r="AE487" s="43"/>
      <c r="AF487" s="43"/>
      <c r="AG487" s="43"/>
      <c r="AH487" s="43"/>
      <c r="AI487" s="43"/>
      <c r="AJ487" s="43"/>
      <c r="AK487" s="48"/>
      <c r="AL487" s="48"/>
      <c r="AM487" s="48"/>
      <c r="AN487" s="49"/>
    </row>
    <row r="488" spans="27:40" x14ac:dyDescent="0.25">
      <c r="AA488" s="44"/>
      <c r="AN488" s="50"/>
    </row>
    <row r="489" spans="27:40" x14ac:dyDescent="0.25">
      <c r="AA489" s="44"/>
      <c r="AN489" s="50"/>
    </row>
    <row r="490" spans="27:40" x14ac:dyDescent="0.25">
      <c r="AA490" s="42"/>
      <c r="AB490" s="43"/>
      <c r="AC490" s="43"/>
      <c r="AD490" s="43"/>
      <c r="AE490" s="43"/>
      <c r="AF490" s="43"/>
      <c r="AG490" s="43"/>
      <c r="AH490" s="43"/>
      <c r="AI490" s="43"/>
      <c r="AJ490" s="43"/>
      <c r="AK490" s="48"/>
      <c r="AL490" s="48"/>
      <c r="AM490" s="48"/>
      <c r="AN490" s="49"/>
    </row>
    <row r="491" spans="27:40" x14ac:dyDescent="0.25">
      <c r="AA491" s="44"/>
      <c r="AN491" s="50"/>
    </row>
    <row r="492" spans="27:40" x14ac:dyDescent="0.25">
      <c r="AA492" s="44"/>
      <c r="AN492" s="50"/>
    </row>
    <row r="493" spans="27:40" x14ac:dyDescent="0.25">
      <c r="AA493" s="42"/>
      <c r="AB493" s="43"/>
      <c r="AC493" s="43"/>
      <c r="AD493" s="43"/>
      <c r="AE493" s="43"/>
      <c r="AF493" s="43"/>
      <c r="AG493" s="43"/>
      <c r="AH493" s="43"/>
      <c r="AI493" s="43"/>
      <c r="AJ493" s="43"/>
      <c r="AK493" s="48"/>
      <c r="AL493" s="48"/>
      <c r="AM493" s="48"/>
      <c r="AN493" s="49"/>
    </row>
    <row r="494" spans="27:40" x14ac:dyDescent="0.25">
      <c r="AA494" s="44"/>
      <c r="AN494" s="50"/>
    </row>
    <row r="495" spans="27:40" x14ac:dyDescent="0.25">
      <c r="AA495" s="44"/>
      <c r="AN495" s="50"/>
    </row>
    <row r="496" spans="27:40" x14ac:dyDescent="0.25">
      <c r="AA496" s="42"/>
      <c r="AB496" s="43"/>
      <c r="AC496" s="43"/>
      <c r="AD496" s="43"/>
      <c r="AE496" s="43"/>
      <c r="AF496" s="43"/>
      <c r="AG496" s="43"/>
      <c r="AH496" s="43"/>
      <c r="AI496" s="43"/>
      <c r="AJ496" s="43"/>
      <c r="AK496" s="48"/>
      <c r="AL496" s="48"/>
      <c r="AM496" s="48"/>
      <c r="AN496" s="49"/>
    </row>
    <row r="497" spans="27:40" x14ac:dyDescent="0.25">
      <c r="AA497" s="44"/>
      <c r="AN497" s="50"/>
    </row>
    <row r="498" spans="27:40" x14ac:dyDescent="0.25">
      <c r="AA498" s="44"/>
      <c r="AN498" s="50"/>
    </row>
    <row r="499" spans="27:40" x14ac:dyDescent="0.25">
      <c r="AA499" s="42"/>
      <c r="AB499" s="43"/>
      <c r="AC499" s="43"/>
      <c r="AD499" s="43"/>
      <c r="AE499" s="43"/>
      <c r="AF499" s="43"/>
      <c r="AG499" s="43"/>
      <c r="AH499" s="43"/>
      <c r="AI499" s="43"/>
      <c r="AJ499" s="43"/>
      <c r="AK499" s="48"/>
      <c r="AL499" s="48"/>
      <c r="AM499" s="48"/>
      <c r="AN499" s="49"/>
    </row>
    <row r="500" spans="27:40" x14ac:dyDescent="0.25">
      <c r="AA500" s="44"/>
      <c r="AN500" s="50"/>
    </row>
    <row r="501" spans="27:40" x14ac:dyDescent="0.25">
      <c r="AA501" s="44"/>
      <c r="AN501" s="50"/>
    </row>
    <row r="502" spans="27:40" x14ac:dyDescent="0.25">
      <c r="AA502" s="42"/>
      <c r="AB502" s="43"/>
      <c r="AC502" s="43"/>
      <c r="AD502" s="43"/>
      <c r="AE502" s="43"/>
      <c r="AF502" s="43"/>
      <c r="AG502" s="43"/>
      <c r="AH502" s="43"/>
      <c r="AI502" s="43"/>
      <c r="AJ502" s="43"/>
      <c r="AK502" s="48"/>
      <c r="AL502" s="48"/>
      <c r="AM502" s="48"/>
      <c r="AN502" s="49"/>
    </row>
    <row r="503" spans="27:40" x14ac:dyDescent="0.25">
      <c r="AA503" s="44"/>
      <c r="AN503" s="50"/>
    </row>
    <row r="504" spans="27:40" x14ac:dyDescent="0.25">
      <c r="AA504" s="44"/>
      <c r="AN504" s="50"/>
    </row>
    <row r="505" spans="27:40" x14ac:dyDescent="0.25">
      <c r="AA505" s="42"/>
      <c r="AB505" s="43"/>
      <c r="AC505" s="43"/>
      <c r="AD505" s="43"/>
      <c r="AE505" s="43"/>
      <c r="AF505" s="43"/>
      <c r="AG505" s="43"/>
      <c r="AH505" s="43"/>
      <c r="AI505" s="43"/>
      <c r="AJ505" s="43"/>
      <c r="AK505" s="48"/>
      <c r="AL505" s="48"/>
      <c r="AM505" s="48"/>
      <c r="AN505" s="49"/>
    </row>
    <row r="506" spans="27:40" x14ac:dyDescent="0.25">
      <c r="AA506" s="44"/>
      <c r="AN506" s="50"/>
    </row>
    <row r="507" spans="27:40" x14ac:dyDescent="0.25">
      <c r="AA507" s="44"/>
      <c r="AN507" s="50"/>
    </row>
    <row r="508" spans="27:40" x14ac:dyDescent="0.25">
      <c r="AA508" s="42"/>
      <c r="AB508" s="43"/>
      <c r="AC508" s="43"/>
      <c r="AD508" s="43"/>
      <c r="AE508" s="43"/>
      <c r="AF508" s="43"/>
      <c r="AG508" s="43"/>
      <c r="AH508" s="43"/>
      <c r="AI508" s="43"/>
      <c r="AJ508" s="43"/>
      <c r="AK508" s="48"/>
      <c r="AL508" s="48"/>
      <c r="AM508" s="48"/>
      <c r="AN508" s="49"/>
    </row>
    <row r="509" spans="27:40" x14ac:dyDescent="0.25">
      <c r="AA509" s="44"/>
      <c r="AN509" s="50"/>
    </row>
    <row r="510" spans="27:40" x14ac:dyDescent="0.25">
      <c r="AA510" s="44"/>
      <c r="AN510" s="50"/>
    </row>
    <row r="511" spans="27:40" x14ac:dyDescent="0.25">
      <c r="AA511" s="42"/>
      <c r="AB511" s="43"/>
      <c r="AC511" s="43"/>
      <c r="AD511" s="43"/>
      <c r="AE511" s="43"/>
      <c r="AF511" s="43"/>
      <c r="AG511" s="43"/>
      <c r="AH511" s="43"/>
      <c r="AI511" s="43"/>
      <c r="AJ511" s="43"/>
      <c r="AK511" s="48"/>
      <c r="AL511" s="48"/>
      <c r="AM511" s="48"/>
      <c r="AN511" s="49"/>
    </row>
    <row r="512" spans="27:40" x14ac:dyDescent="0.25">
      <c r="AA512" s="44"/>
      <c r="AN512" s="50"/>
    </row>
    <row r="513" spans="27:40" x14ac:dyDescent="0.25">
      <c r="AA513" s="44"/>
      <c r="AN513" s="50"/>
    </row>
    <row r="514" spans="27:40" x14ac:dyDescent="0.25">
      <c r="AA514" s="42"/>
      <c r="AB514" s="43"/>
      <c r="AC514" s="43"/>
      <c r="AD514" s="43"/>
      <c r="AE514" s="43"/>
      <c r="AF514" s="43"/>
      <c r="AG514" s="43"/>
      <c r="AH514" s="43"/>
      <c r="AI514" s="43"/>
      <c r="AJ514" s="43"/>
      <c r="AK514" s="48"/>
      <c r="AL514" s="48"/>
      <c r="AM514" s="48"/>
      <c r="AN514" s="49"/>
    </row>
    <row r="515" spans="27:40" x14ac:dyDescent="0.25">
      <c r="AA515" s="44"/>
      <c r="AN515" s="50"/>
    </row>
    <row r="516" spans="27:40" x14ac:dyDescent="0.25">
      <c r="AA516" s="44"/>
      <c r="AN516" s="50"/>
    </row>
    <row r="517" spans="27:40" x14ac:dyDescent="0.25">
      <c r="AA517" s="42"/>
      <c r="AB517" s="43"/>
      <c r="AC517" s="43"/>
      <c r="AD517" s="43"/>
      <c r="AE517" s="43"/>
      <c r="AF517" s="43"/>
      <c r="AG517" s="43"/>
      <c r="AH517" s="43"/>
      <c r="AI517" s="43"/>
      <c r="AJ517" s="43"/>
      <c r="AK517" s="48"/>
      <c r="AL517" s="48"/>
      <c r="AM517" s="48"/>
      <c r="AN517" s="49"/>
    </row>
    <row r="518" spans="27:40" x14ac:dyDescent="0.25">
      <c r="AA518" s="44"/>
      <c r="AN518" s="50"/>
    </row>
    <row r="519" spans="27:40" x14ac:dyDescent="0.25">
      <c r="AA519" s="44"/>
      <c r="AN519" s="50"/>
    </row>
    <row r="520" spans="27:40" x14ac:dyDescent="0.25">
      <c r="AA520" s="42"/>
      <c r="AB520" s="43"/>
      <c r="AC520" s="43"/>
      <c r="AD520" s="43"/>
      <c r="AE520" s="43"/>
      <c r="AF520" s="43"/>
      <c r="AG520" s="43"/>
      <c r="AH520" s="43"/>
      <c r="AI520" s="43"/>
      <c r="AJ520" s="43"/>
      <c r="AK520" s="48"/>
      <c r="AL520" s="48"/>
      <c r="AM520" s="48"/>
      <c r="AN520" s="49"/>
    </row>
    <row r="521" spans="27:40" x14ac:dyDescent="0.25">
      <c r="AA521" s="44"/>
      <c r="AN521" s="50"/>
    </row>
    <row r="522" spans="27:40" x14ac:dyDescent="0.25">
      <c r="AA522" s="44"/>
      <c r="AN522" s="50"/>
    </row>
    <row r="523" spans="27:40" x14ac:dyDescent="0.25">
      <c r="AA523" s="42"/>
      <c r="AB523" s="43"/>
      <c r="AC523" s="43"/>
      <c r="AD523" s="43"/>
      <c r="AE523" s="43"/>
      <c r="AF523" s="43"/>
      <c r="AG523" s="43"/>
      <c r="AH523" s="43"/>
      <c r="AI523" s="43"/>
      <c r="AJ523" s="43"/>
      <c r="AK523" s="48"/>
      <c r="AL523" s="48"/>
      <c r="AM523" s="48"/>
      <c r="AN523" s="49"/>
    </row>
    <row r="524" spans="27:40" x14ac:dyDescent="0.25">
      <c r="AA524" s="44"/>
      <c r="AN524" s="50"/>
    </row>
    <row r="525" spans="27:40" x14ac:dyDescent="0.25">
      <c r="AA525" s="44"/>
      <c r="AN525" s="50"/>
    </row>
    <row r="526" spans="27:40" x14ac:dyDescent="0.25">
      <c r="AA526" s="42"/>
      <c r="AB526" s="43"/>
      <c r="AC526" s="43"/>
      <c r="AD526" s="43"/>
      <c r="AE526" s="43"/>
      <c r="AF526" s="43"/>
      <c r="AG526" s="43"/>
      <c r="AH526" s="43"/>
      <c r="AI526" s="43"/>
      <c r="AJ526" s="43"/>
      <c r="AK526" s="48"/>
      <c r="AL526" s="48"/>
      <c r="AM526" s="48"/>
      <c r="AN526" s="49"/>
    </row>
    <row r="527" spans="27:40" x14ac:dyDescent="0.25">
      <c r="AA527" s="44"/>
      <c r="AN527" s="50"/>
    </row>
    <row r="528" spans="27:40" x14ac:dyDescent="0.25">
      <c r="AA528" s="44"/>
      <c r="AN528" s="50"/>
    </row>
    <row r="529" spans="27:40" x14ac:dyDescent="0.25">
      <c r="AA529" s="42"/>
      <c r="AB529" s="43"/>
      <c r="AC529" s="43"/>
      <c r="AD529" s="43"/>
      <c r="AE529" s="43"/>
      <c r="AF529" s="43"/>
      <c r="AG529" s="43"/>
      <c r="AH529" s="43"/>
      <c r="AI529" s="43"/>
      <c r="AJ529" s="43"/>
      <c r="AK529" s="48"/>
      <c r="AL529" s="48"/>
      <c r="AM529" s="48"/>
      <c r="AN529" s="49"/>
    </row>
    <row r="530" spans="27:40" x14ac:dyDescent="0.25">
      <c r="AA530" s="44"/>
      <c r="AN530" s="50"/>
    </row>
    <row r="531" spans="27:40" x14ac:dyDescent="0.25">
      <c r="AA531" s="44"/>
      <c r="AN531" s="50"/>
    </row>
    <row r="532" spans="27:40" x14ac:dyDescent="0.25">
      <c r="AA532" s="42"/>
      <c r="AB532" s="43"/>
      <c r="AC532" s="43"/>
      <c r="AD532" s="43"/>
      <c r="AE532" s="43"/>
      <c r="AF532" s="43"/>
      <c r="AG532" s="43"/>
      <c r="AH532" s="43"/>
      <c r="AI532" s="43"/>
      <c r="AJ532" s="43"/>
      <c r="AK532" s="48"/>
      <c r="AL532" s="48"/>
      <c r="AM532" s="48"/>
      <c r="AN532" s="49"/>
    </row>
    <row r="533" spans="27:40" x14ac:dyDescent="0.25">
      <c r="AA533" s="44"/>
      <c r="AN533" s="50"/>
    </row>
    <row r="534" spans="27:40" x14ac:dyDescent="0.25">
      <c r="AA534" s="44"/>
      <c r="AN534" s="50"/>
    </row>
    <row r="535" spans="27:40" x14ac:dyDescent="0.25">
      <c r="AA535" s="42"/>
      <c r="AB535" s="43"/>
      <c r="AC535" s="43"/>
      <c r="AD535" s="43"/>
      <c r="AE535" s="43"/>
      <c r="AF535" s="43"/>
      <c r="AG535" s="43"/>
      <c r="AH535" s="43"/>
      <c r="AI535" s="43"/>
      <c r="AJ535" s="43"/>
      <c r="AK535" s="48"/>
      <c r="AL535" s="48"/>
      <c r="AM535" s="48"/>
      <c r="AN535" s="49"/>
    </row>
    <row r="536" spans="27:40" x14ac:dyDescent="0.25">
      <c r="AA536" s="44"/>
      <c r="AN536" s="50"/>
    </row>
    <row r="537" spans="27:40" x14ac:dyDescent="0.25">
      <c r="AA537" s="44"/>
      <c r="AN537" s="50"/>
    </row>
    <row r="538" spans="27:40" x14ac:dyDescent="0.25">
      <c r="AA538" s="42"/>
      <c r="AB538" s="43"/>
      <c r="AC538" s="43"/>
      <c r="AD538" s="43"/>
      <c r="AE538" s="43"/>
      <c r="AF538" s="43"/>
      <c r="AG538" s="43"/>
      <c r="AH538" s="43"/>
      <c r="AI538" s="43"/>
      <c r="AJ538" s="43"/>
      <c r="AK538" s="48"/>
      <c r="AL538" s="48"/>
      <c r="AM538" s="48"/>
      <c r="AN538" s="49"/>
    </row>
    <row r="539" spans="27:40" x14ac:dyDescent="0.25">
      <c r="AA539" s="44"/>
      <c r="AN539" s="50"/>
    </row>
    <row r="540" spans="27:40" x14ac:dyDescent="0.25">
      <c r="AA540" s="44"/>
      <c r="AN540" s="50"/>
    </row>
    <row r="541" spans="27:40" x14ac:dyDescent="0.25">
      <c r="AA541" s="42"/>
      <c r="AB541" s="43"/>
      <c r="AC541" s="43"/>
      <c r="AD541" s="43"/>
      <c r="AE541" s="43"/>
      <c r="AF541" s="43"/>
      <c r="AG541" s="43"/>
      <c r="AH541" s="43"/>
      <c r="AI541" s="43"/>
      <c r="AJ541" s="43"/>
      <c r="AK541" s="48"/>
      <c r="AL541" s="48"/>
      <c r="AM541" s="48"/>
      <c r="AN541" s="49"/>
    </row>
    <row r="542" spans="27:40" x14ac:dyDescent="0.25">
      <c r="AA542" s="44"/>
      <c r="AN542" s="50"/>
    </row>
    <row r="543" spans="27:40" x14ac:dyDescent="0.25">
      <c r="AA543" s="44"/>
      <c r="AN543" s="50"/>
    </row>
    <row r="544" spans="27:40" x14ac:dyDescent="0.25">
      <c r="AA544" s="42"/>
      <c r="AB544" s="43"/>
      <c r="AC544" s="43"/>
      <c r="AD544" s="43"/>
      <c r="AE544" s="43"/>
      <c r="AF544" s="43"/>
      <c r="AG544" s="43"/>
      <c r="AH544" s="43"/>
      <c r="AI544" s="43"/>
      <c r="AJ544" s="43"/>
      <c r="AK544" s="48"/>
      <c r="AL544" s="48"/>
      <c r="AM544" s="48"/>
      <c r="AN544" s="49"/>
    </row>
    <row r="545" spans="27:40" x14ac:dyDescent="0.25">
      <c r="AA545" s="44"/>
      <c r="AN545" s="50"/>
    </row>
    <row r="546" spans="27:40" x14ac:dyDescent="0.25">
      <c r="AA546" s="44"/>
      <c r="AN546" s="50"/>
    </row>
    <row r="547" spans="27:40" x14ac:dyDescent="0.25">
      <c r="AA547" s="42"/>
      <c r="AB547" s="43"/>
      <c r="AC547" s="43"/>
      <c r="AD547" s="43"/>
      <c r="AE547" s="43"/>
      <c r="AF547" s="43"/>
      <c r="AG547" s="43"/>
      <c r="AH547" s="43"/>
      <c r="AI547" s="43"/>
      <c r="AJ547" s="43"/>
      <c r="AK547" s="48"/>
      <c r="AL547" s="48"/>
      <c r="AM547" s="48"/>
      <c r="AN547" s="49"/>
    </row>
    <row r="548" spans="27:40" x14ac:dyDescent="0.25">
      <c r="AA548" s="44"/>
      <c r="AN548" s="50"/>
    </row>
    <row r="549" spans="27:40" x14ac:dyDescent="0.25">
      <c r="AA549" s="44"/>
      <c r="AN549" s="50"/>
    </row>
    <row r="550" spans="27:40" x14ac:dyDescent="0.25">
      <c r="AA550" s="42"/>
      <c r="AB550" s="43"/>
      <c r="AC550" s="43"/>
      <c r="AD550" s="43"/>
      <c r="AE550" s="43"/>
      <c r="AF550" s="43"/>
      <c r="AG550" s="43"/>
      <c r="AH550" s="43"/>
      <c r="AI550" s="43"/>
      <c r="AJ550" s="43"/>
      <c r="AK550" s="48"/>
      <c r="AL550" s="48"/>
      <c r="AM550" s="48"/>
      <c r="AN550" s="49"/>
    </row>
    <row r="551" spans="27:40" x14ac:dyDescent="0.25">
      <c r="AA551" s="44"/>
      <c r="AN551" s="50"/>
    </row>
    <row r="552" spans="27:40" x14ac:dyDescent="0.25">
      <c r="AA552" s="44"/>
      <c r="AN552" s="50"/>
    </row>
    <row r="553" spans="27:40" x14ac:dyDescent="0.25">
      <c r="AA553" s="42"/>
      <c r="AB553" s="43"/>
      <c r="AC553" s="43"/>
      <c r="AD553" s="43"/>
      <c r="AE553" s="43"/>
      <c r="AF553" s="43"/>
      <c r="AG553" s="43"/>
      <c r="AH553" s="43"/>
      <c r="AI553" s="43"/>
      <c r="AJ553" s="43"/>
      <c r="AK553" s="48"/>
      <c r="AL553" s="48"/>
      <c r="AM553" s="48"/>
      <c r="AN553" s="49"/>
    </row>
    <row r="554" spans="27:40" x14ac:dyDescent="0.25">
      <c r="AA554" s="44"/>
      <c r="AN554" s="50"/>
    </row>
    <row r="555" spans="27:40" x14ac:dyDescent="0.25">
      <c r="AA555" s="44"/>
      <c r="AN555" s="50"/>
    </row>
    <row r="556" spans="27:40" x14ac:dyDescent="0.25">
      <c r="AA556" s="42"/>
      <c r="AB556" s="43"/>
      <c r="AC556" s="43"/>
      <c r="AD556" s="43"/>
      <c r="AE556" s="43"/>
      <c r="AF556" s="43"/>
      <c r="AG556" s="43"/>
      <c r="AH556" s="43"/>
      <c r="AI556" s="43"/>
      <c r="AJ556" s="43"/>
      <c r="AK556" s="48"/>
      <c r="AL556" s="48"/>
      <c r="AM556" s="48"/>
      <c r="AN556" s="49"/>
    </row>
    <row r="557" spans="27:40" x14ac:dyDescent="0.25">
      <c r="AA557" s="44"/>
      <c r="AN557" s="50"/>
    </row>
    <row r="558" spans="27:40" x14ac:dyDescent="0.25">
      <c r="AA558" s="44"/>
      <c r="AN558" s="50"/>
    </row>
    <row r="559" spans="27:40" x14ac:dyDescent="0.25">
      <c r="AA559" s="42"/>
      <c r="AB559" s="43"/>
      <c r="AC559" s="43"/>
      <c r="AD559" s="43"/>
      <c r="AE559" s="43"/>
      <c r="AF559" s="43"/>
      <c r="AG559" s="43"/>
      <c r="AH559" s="43"/>
      <c r="AI559" s="43"/>
      <c r="AJ559" s="43"/>
      <c r="AK559" s="48"/>
      <c r="AL559" s="48"/>
      <c r="AM559" s="48"/>
      <c r="AN559" s="49"/>
    </row>
    <row r="560" spans="27:40" x14ac:dyDescent="0.25">
      <c r="AA560" s="44"/>
      <c r="AN560" s="50"/>
    </row>
    <row r="561" spans="27:40" x14ac:dyDescent="0.25">
      <c r="AA561" s="44"/>
      <c r="AN561" s="50"/>
    </row>
    <row r="562" spans="27:40" x14ac:dyDescent="0.25">
      <c r="AA562" s="42"/>
      <c r="AB562" s="43"/>
      <c r="AC562" s="43"/>
      <c r="AD562" s="43"/>
      <c r="AE562" s="43"/>
      <c r="AF562" s="43"/>
      <c r="AG562" s="43"/>
      <c r="AH562" s="43"/>
      <c r="AI562" s="43"/>
      <c r="AJ562" s="43"/>
      <c r="AK562" s="48"/>
      <c r="AL562" s="48"/>
      <c r="AM562" s="48"/>
      <c r="AN562" s="49"/>
    </row>
    <row r="563" spans="27:40" x14ac:dyDescent="0.25">
      <c r="AA563" s="44"/>
      <c r="AN563" s="50"/>
    </row>
    <row r="564" spans="27:40" x14ac:dyDescent="0.25">
      <c r="AA564" s="44"/>
      <c r="AN564" s="50"/>
    </row>
    <row r="565" spans="27:40" x14ac:dyDescent="0.25">
      <c r="AA565" s="42"/>
      <c r="AB565" s="43"/>
      <c r="AC565" s="43"/>
      <c r="AD565" s="43"/>
      <c r="AE565" s="43"/>
      <c r="AF565" s="43"/>
      <c r="AG565" s="43"/>
      <c r="AH565" s="43"/>
      <c r="AI565" s="43"/>
      <c r="AJ565" s="43"/>
      <c r="AK565" s="48"/>
      <c r="AL565" s="48"/>
      <c r="AM565" s="48"/>
      <c r="AN565" s="49"/>
    </row>
    <row r="566" spans="27:40" x14ac:dyDescent="0.25">
      <c r="AA566" s="44"/>
      <c r="AN566" s="50"/>
    </row>
    <row r="567" spans="27:40" x14ac:dyDescent="0.25">
      <c r="AA567" s="44"/>
      <c r="AN567" s="50"/>
    </row>
    <row r="568" spans="27:40" x14ac:dyDescent="0.25">
      <c r="AA568" s="42"/>
      <c r="AB568" s="43"/>
      <c r="AC568" s="43"/>
      <c r="AD568" s="43"/>
      <c r="AE568" s="43"/>
      <c r="AF568" s="43"/>
      <c r="AG568" s="43"/>
      <c r="AH568" s="43"/>
      <c r="AI568" s="43"/>
      <c r="AJ568" s="43"/>
      <c r="AK568" s="48"/>
      <c r="AL568" s="48"/>
      <c r="AM568" s="48"/>
      <c r="AN568" s="49"/>
    </row>
    <row r="569" spans="27:40" x14ac:dyDescent="0.25">
      <c r="AA569" s="44"/>
      <c r="AN569" s="50"/>
    </row>
    <row r="570" spans="27:40" x14ac:dyDescent="0.25">
      <c r="AA570" s="44"/>
      <c r="AN570" s="50"/>
    </row>
    <row r="571" spans="27:40" x14ac:dyDescent="0.25">
      <c r="AA571" s="42"/>
      <c r="AB571" s="43"/>
      <c r="AC571" s="43"/>
      <c r="AD571" s="43"/>
      <c r="AE571" s="43"/>
      <c r="AF571" s="43"/>
      <c r="AG571" s="43"/>
      <c r="AH571" s="43"/>
      <c r="AI571" s="43"/>
      <c r="AJ571" s="43"/>
      <c r="AK571" s="48"/>
      <c r="AL571" s="48"/>
      <c r="AM571" s="48"/>
      <c r="AN571" s="49"/>
    </row>
    <row r="572" spans="27:40" x14ac:dyDescent="0.25">
      <c r="AA572" s="44"/>
      <c r="AN572" s="50"/>
    </row>
    <row r="573" spans="27:40" x14ac:dyDescent="0.25">
      <c r="AA573" s="44"/>
      <c r="AN573" s="50"/>
    </row>
    <row r="574" spans="27:40" x14ac:dyDescent="0.25">
      <c r="AA574" s="42"/>
      <c r="AB574" s="43"/>
      <c r="AC574" s="43"/>
      <c r="AD574" s="43"/>
      <c r="AE574" s="43"/>
      <c r="AF574" s="43"/>
      <c r="AG574" s="43"/>
      <c r="AH574" s="43"/>
      <c r="AI574" s="43"/>
      <c r="AJ574" s="43"/>
      <c r="AK574" s="48"/>
      <c r="AL574" s="48"/>
      <c r="AM574" s="48"/>
      <c r="AN574" s="49"/>
    </row>
    <row r="575" spans="27:40" x14ac:dyDescent="0.25">
      <c r="AA575" s="44"/>
      <c r="AN575" s="50"/>
    </row>
    <row r="576" spans="27:40" x14ac:dyDescent="0.25">
      <c r="AA576" s="44"/>
      <c r="AN576" s="50"/>
    </row>
    <row r="577" spans="27:40" x14ac:dyDescent="0.25">
      <c r="AA577" s="42"/>
      <c r="AB577" s="43"/>
      <c r="AC577" s="43"/>
      <c r="AD577" s="43"/>
      <c r="AE577" s="43"/>
      <c r="AF577" s="43"/>
      <c r="AG577" s="43"/>
      <c r="AH577" s="43"/>
      <c r="AI577" s="43"/>
      <c r="AJ577" s="43"/>
      <c r="AK577" s="48"/>
      <c r="AL577" s="48"/>
      <c r="AM577" s="48"/>
      <c r="AN577" s="49"/>
    </row>
    <row r="578" spans="27:40" x14ac:dyDescent="0.25">
      <c r="AA578" s="44"/>
      <c r="AN578" s="50"/>
    </row>
    <row r="579" spans="27:40" x14ac:dyDescent="0.25">
      <c r="AA579" s="44"/>
      <c r="AN579" s="50"/>
    </row>
    <row r="580" spans="27:40" x14ac:dyDescent="0.25">
      <c r="AA580" s="42"/>
      <c r="AB580" s="43"/>
      <c r="AC580" s="43"/>
      <c r="AD580" s="43"/>
      <c r="AE580" s="43"/>
      <c r="AF580" s="43"/>
      <c r="AG580" s="43"/>
      <c r="AH580" s="43"/>
      <c r="AI580" s="43"/>
      <c r="AJ580" s="43"/>
      <c r="AK580" s="48"/>
      <c r="AL580" s="48"/>
      <c r="AM580" s="48"/>
      <c r="AN580" s="49"/>
    </row>
    <row r="581" spans="27:40" x14ac:dyDescent="0.25">
      <c r="AA581" s="44"/>
      <c r="AN581" s="50"/>
    </row>
    <row r="582" spans="27:40" x14ac:dyDescent="0.25">
      <c r="AA582" s="44"/>
      <c r="AN582" s="50"/>
    </row>
    <row r="583" spans="27:40" x14ac:dyDescent="0.25">
      <c r="AA583" s="42"/>
      <c r="AB583" s="43"/>
      <c r="AC583" s="43"/>
      <c r="AD583" s="43"/>
      <c r="AE583" s="43"/>
      <c r="AF583" s="43"/>
      <c r="AG583" s="43"/>
      <c r="AH583" s="43"/>
      <c r="AI583" s="43"/>
      <c r="AJ583" s="43"/>
      <c r="AK583" s="48"/>
      <c r="AL583" s="48"/>
      <c r="AM583" s="48"/>
      <c r="AN583" s="49"/>
    </row>
    <row r="584" spans="27:40" x14ac:dyDescent="0.25">
      <c r="AA584" s="44"/>
      <c r="AN584" s="50"/>
    </row>
    <row r="585" spans="27:40" x14ac:dyDescent="0.25">
      <c r="AA585" s="44"/>
      <c r="AN585" s="50"/>
    </row>
    <row r="586" spans="27:40" x14ac:dyDescent="0.25">
      <c r="AA586" s="42"/>
      <c r="AB586" s="43"/>
      <c r="AC586" s="43"/>
      <c r="AD586" s="43"/>
      <c r="AE586" s="43"/>
      <c r="AF586" s="43"/>
      <c r="AG586" s="43"/>
      <c r="AH586" s="43"/>
      <c r="AI586" s="43"/>
      <c r="AJ586" s="43"/>
      <c r="AK586" s="48"/>
      <c r="AL586" s="48"/>
      <c r="AM586" s="48"/>
      <c r="AN586" s="49"/>
    </row>
    <row r="587" spans="27:40" x14ac:dyDescent="0.25">
      <c r="AA587" s="44"/>
      <c r="AN587" s="50"/>
    </row>
    <row r="588" spans="27:40" x14ac:dyDescent="0.25">
      <c r="AA588" s="44"/>
      <c r="AN588" s="50"/>
    </row>
    <row r="589" spans="27:40" x14ac:dyDescent="0.25">
      <c r="AA589" s="42"/>
      <c r="AB589" s="43"/>
      <c r="AC589" s="43"/>
      <c r="AD589" s="43"/>
      <c r="AE589" s="43"/>
      <c r="AF589" s="43"/>
      <c r="AG589" s="43"/>
      <c r="AH589" s="43"/>
      <c r="AI589" s="43"/>
      <c r="AJ589" s="43"/>
      <c r="AK589" s="48"/>
      <c r="AL589" s="48"/>
      <c r="AM589" s="48"/>
      <c r="AN589" s="49"/>
    </row>
    <row r="590" spans="27:40" x14ac:dyDescent="0.25">
      <c r="AA590" s="44"/>
      <c r="AN590" s="50"/>
    </row>
    <row r="591" spans="27:40" x14ac:dyDescent="0.25">
      <c r="AA591" s="44"/>
      <c r="AN591" s="50"/>
    </row>
    <row r="592" spans="27:40" x14ac:dyDescent="0.25">
      <c r="AA592" s="42"/>
      <c r="AB592" s="43"/>
      <c r="AC592" s="43"/>
      <c r="AD592" s="43"/>
      <c r="AE592" s="43"/>
      <c r="AF592" s="43"/>
      <c r="AG592" s="43"/>
      <c r="AH592" s="43"/>
      <c r="AI592" s="43"/>
      <c r="AJ592" s="43"/>
      <c r="AK592" s="48"/>
      <c r="AL592" s="48"/>
      <c r="AM592" s="48"/>
      <c r="AN592" s="49"/>
    </row>
    <row r="593" spans="27:40" x14ac:dyDescent="0.25">
      <c r="AA593" s="44"/>
      <c r="AN593" s="50"/>
    </row>
    <row r="594" spans="27:40" x14ac:dyDescent="0.25">
      <c r="AA594" s="44"/>
      <c r="AN594" s="50"/>
    </row>
    <row r="595" spans="27:40" x14ac:dyDescent="0.25">
      <c r="AA595" s="42"/>
      <c r="AB595" s="43"/>
      <c r="AC595" s="43"/>
      <c r="AD595" s="43"/>
      <c r="AE595" s="43"/>
      <c r="AF595" s="43"/>
      <c r="AG595" s="43"/>
      <c r="AH595" s="43"/>
      <c r="AI595" s="43"/>
      <c r="AJ595" s="43"/>
      <c r="AK595" s="48"/>
      <c r="AL595" s="48"/>
      <c r="AM595" s="48"/>
      <c r="AN595" s="49"/>
    </row>
    <row r="596" spans="27:40" x14ac:dyDescent="0.25">
      <c r="AA596" s="44"/>
      <c r="AN596" s="50"/>
    </row>
    <row r="597" spans="27:40" x14ac:dyDescent="0.25">
      <c r="AA597" s="44"/>
      <c r="AN597" s="50"/>
    </row>
    <row r="598" spans="27:40" x14ac:dyDescent="0.25">
      <c r="AA598" s="42"/>
      <c r="AB598" s="43"/>
      <c r="AC598" s="43"/>
      <c r="AD598" s="43"/>
      <c r="AE598" s="43"/>
      <c r="AF598" s="43"/>
      <c r="AG598" s="43"/>
      <c r="AH598" s="43"/>
      <c r="AI598" s="43"/>
      <c r="AJ598" s="43"/>
      <c r="AK598" s="48"/>
      <c r="AL598" s="48"/>
      <c r="AM598" s="48"/>
      <c r="AN598" s="49"/>
    </row>
    <row r="599" spans="27:40" x14ac:dyDescent="0.25">
      <c r="AA599" s="44"/>
      <c r="AN599" s="50"/>
    </row>
    <row r="600" spans="27:40" x14ac:dyDescent="0.25">
      <c r="AA600" s="44"/>
      <c r="AN600" s="50"/>
    </row>
    <row r="601" spans="27:40" x14ac:dyDescent="0.25">
      <c r="AA601" s="42"/>
      <c r="AB601" s="43"/>
      <c r="AC601" s="43"/>
      <c r="AD601" s="43"/>
      <c r="AE601" s="43"/>
      <c r="AF601" s="43"/>
      <c r="AG601" s="43"/>
      <c r="AH601" s="43"/>
      <c r="AI601" s="43"/>
      <c r="AJ601" s="43"/>
      <c r="AK601" s="48"/>
      <c r="AL601" s="48"/>
      <c r="AM601" s="48"/>
      <c r="AN601" s="49"/>
    </row>
    <row r="602" spans="27:40" x14ac:dyDescent="0.25">
      <c r="AA602" s="44"/>
      <c r="AN602" s="50"/>
    </row>
    <row r="603" spans="27:40" x14ac:dyDescent="0.25">
      <c r="AA603" s="44"/>
      <c r="AN603" s="50"/>
    </row>
    <row r="604" spans="27:40" x14ac:dyDescent="0.25">
      <c r="AA604" s="42"/>
      <c r="AB604" s="43"/>
      <c r="AC604" s="43"/>
      <c r="AD604" s="43"/>
      <c r="AE604" s="43"/>
      <c r="AF604" s="43"/>
      <c r="AG604" s="43"/>
      <c r="AH604" s="43"/>
      <c r="AI604" s="43"/>
      <c r="AJ604" s="43"/>
      <c r="AK604" s="48"/>
      <c r="AL604" s="48"/>
      <c r="AM604" s="48"/>
      <c r="AN604" s="49"/>
    </row>
    <row r="605" spans="27:40" x14ac:dyDescent="0.25">
      <c r="AA605" s="44"/>
      <c r="AN605" s="50"/>
    </row>
    <row r="606" spans="27:40" x14ac:dyDescent="0.25">
      <c r="AA606" s="44"/>
      <c r="AN606" s="50"/>
    </row>
    <row r="607" spans="27:40" x14ac:dyDescent="0.25">
      <c r="AA607" s="42"/>
      <c r="AB607" s="43"/>
      <c r="AC607" s="43"/>
      <c r="AD607" s="43"/>
      <c r="AE607" s="43"/>
      <c r="AF607" s="43"/>
      <c r="AG607" s="43"/>
      <c r="AH607" s="43"/>
      <c r="AI607" s="43"/>
      <c r="AJ607" s="43"/>
      <c r="AK607" s="48"/>
      <c r="AL607" s="48"/>
      <c r="AM607" s="48"/>
      <c r="AN607" s="49"/>
    </row>
    <row r="608" spans="27:40" x14ac:dyDescent="0.25">
      <c r="AA608" s="44"/>
      <c r="AN608" s="50"/>
    </row>
    <row r="609" spans="27:40" x14ac:dyDescent="0.25">
      <c r="AA609" s="44"/>
      <c r="AN609" s="50"/>
    </row>
    <row r="610" spans="27:40" x14ac:dyDescent="0.25">
      <c r="AA610" s="42"/>
      <c r="AB610" s="43"/>
      <c r="AC610" s="43"/>
      <c r="AD610" s="43"/>
      <c r="AE610" s="43"/>
      <c r="AF610" s="43"/>
      <c r="AG610" s="43"/>
      <c r="AH610" s="43"/>
      <c r="AI610" s="43"/>
      <c r="AJ610" s="43"/>
      <c r="AK610" s="48"/>
      <c r="AL610" s="48"/>
      <c r="AM610" s="48"/>
      <c r="AN610" s="49"/>
    </row>
    <row r="611" spans="27:40" x14ac:dyDescent="0.25">
      <c r="AA611" s="44"/>
      <c r="AN611" s="50"/>
    </row>
    <row r="612" spans="27:40" x14ac:dyDescent="0.25">
      <c r="AA612" s="44"/>
      <c r="AN612" s="50"/>
    </row>
    <row r="613" spans="27:40" x14ac:dyDescent="0.25">
      <c r="AA613" s="42"/>
      <c r="AB613" s="43"/>
      <c r="AC613" s="43"/>
      <c r="AD613" s="43"/>
      <c r="AE613" s="43"/>
      <c r="AF613" s="43"/>
      <c r="AG613" s="43"/>
      <c r="AH613" s="43"/>
      <c r="AI613" s="43"/>
      <c r="AJ613" s="43"/>
      <c r="AK613" s="48"/>
      <c r="AL613" s="48"/>
      <c r="AM613" s="48"/>
      <c r="AN613" s="49"/>
    </row>
    <row r="614" spans="27:40" x14ac:dyDescent="0.25">
      <c r="AA614" s="44"/>
      <c r="AN614" s="50"/>
    </row>
    <row r="615" spans="27:40" x14ac:dyDescent="0.25">
      <c r="AA615" s="44"/>
      <c r="AN615" s="50"/>
    </row>
    <row r="616" spans="27:40" x14ac:dyDescent="0.25">
      <c r="AA616" s="42"/>
      <c r="AB616" s="43"/>
      <c r="AC616" s="43"/>
      <c r="AD616" s="43"/>
      <c r="AE616" s="43"/>
      <c r="AF616" s="43"/>
      <c r="AG616" s="43"/>
      <c r="AH616" s="43"/>
      <c r="AI616" s="43"/>
      <c r="AJ616" s="43"/>
      <c r="AK616" s="48"/>
      <c r="AL616" s="48"/>
      <c r="AM616" s="48"/>
      <c r="AN616" s="49"/>
    </row>
    <row r="617" spans="27:40" x14ac:dyDescent="0.25">
      <c r="AA617" s="44"/>
      <c r="AN617" s="50"/>
    </row>
    <row r="618" spans="27:40" x14ac:dyDescent="0.25">
      <c r="AA618" s="44"/>
      <c r="AN618" s="50"/>
    </row>
    <row r="619" spans="27:40" x14ac:dyDescent="0.25">
      <c r="AA619" s="42"/>
      <c r="AB619" s="43"/>
      <c r="AC619" s="43"/>
      <c r="AD619" s="43"/>
      <c r="AE619" s="43"/>
      <c r="AF619" s="43"/>
      <c r="AG619" s="43"/>
      <c r="AH619" s="43"/>
      <c r="AI619" s="43"/>
      <c r="AJ619" s="43"/>
      <c r="AK619" s="48"/>
      <c r="AL619" s="48"/>
      <c r="AM619" s="48"/>
      <c r="AN619" s="49"/>
    </row>
    <row r="620" spans="27:40" x14ac:dyDescent="0.25">
      <c r="AA620" s="44"/>
      <c r="AN620" s="50"/>
    </row>
    <row r="621" spans="27:40" x14ac:dyDescent="0.25">
      <c r="AA621" s="44"/>
      <c r="AN621" s="50"/>
    </row>
    <row r="622" spans="27:40" x14ac:dyDescent="0.25">
      <c r="AA622" s="42"/>
      <c r="AB622" s="43"/>
      <c r="AC622" s="43"/>
      <c r="AD622" s="43"/>
      <c r="AE622" s="43"/>
      <c r="AF622" s="43"/>
      <c r="AG622" s="43"/>
      <c r="AH622" s="43"/>
      <c r="AI622" s="43"/>
      <c r="AJ622" s="43"/>
      <c r="AK622" s="48"/>
      <c r="AL622" s="48"/>
      <c r="AM622" s="48"/>
      <c r="AN622" s="49"/>
    </row>
    <row r="623" spans="27:40" x14ac:dyDescent="0.25">
      <c r="AA623" s="44"/>
      <c r="AN623" s="50"/>
    </row>
    <row r="624" spans="27:40" x14ac:dyDescent="0.25">
      <c r="AA624" s="44"/>
      <c r="AN624" s="50"/>
    </row>
    <row r="625" spans="27:40" x14ac:dyDescent="0.25">
      <c r="AA625" s="42"/>
      <c r="AB625" s="43"/>
      <c r="AC625" s="43"/>
      <c r="AD625" s="43"/>
      <c r="AE625" s="43"/>
      <c r="AF625" s="43"/>
      <c r="AG625" s="43"/>
      <c r="AH625" s="43"/>
      <c r="AI625" s="43"/>
      <c r="AJ625" s="43"/>
      <c r="AK625" s="48"/>
      <c r="AL625" s="48"/>
      <c r="AM625" s="48"/>
      <c r="AN625" s="49"/>
    </row>
    <row r="626" spans="27:40" x14ac:dyDescent="0.25">
      <c r="AA626" s="44"/>
      <c r="AN626" s="50"/>
    </row>
    <row r="627" spans="27:40" x14ac:dyDescent="0.25">
      <c r="AA627" s="44"/>
      <c r="AN627" s="50"/>
    </row>
    <row r="628" spans="27:40" x14ac:dyDescent="0.25">
      <c r="AA628" s="42"/>
      <c r="AB628" s="43"/>
      <c r="AC628" s="43"/>
      <c r="AD628" s="43"/>
      <c r="AE628" s="43"/>
      <c r="AF628" s="43"/>
      <c r="AG628" s="43"/>
      <c r="AH628" s="43"/>
      <c r="AI628" s="43"/>
      <c r="AJ628" s="43"/>
      <c r="AK628" s="48"/>
      <c r="AL628" s="48"/>
      <c r="AM628" s="48"/>
      <c r="AN628" s="49"/>
    </row>
    <row r="629" spans="27:40" x14ac:dyDescent="0.25">
      <c r="AA629" s="44"/>
      <c r="AN629" s="50"/>
    </row>
    <row r="630" spans="27:40" x14ac:dyDescent="0.25">
      <c r="AA630" s="44"/>
      <c r="AN630" s="50"/>
    </row>
    <row r="631" spans="27:40" x14ac:dyDescent="0.25">
      <c r="AA631" s="42"/>
      <c r="AB631" s="43"/>
      <c r="AC631" s="43"/>
      <c r="AD631" s="43"/>
      <c r="AE631" s="43"/>
      <c r="AF631" s="43"/>
      <c r="AG631" s="43"/>
      <c r="AH631" s="43"/>
      <c r="AI631" s="43"/>
      <c r="AJ631" s="43"/>
      <c r="AK631" s="48"/>
      <c r="AL631" s="48"/>
      <c r="AM631" s="48"/>
      <c r="AN631" s="49"/>
    </row>
    <row r="632" spans="27:40" x14ac:dyDescent="0.25">
      <c r="AA632" s="44"/>
      <c r="AN632" s="50"/>
    </row>
    <row r="633" spans="27:40" x14ac:dyDescent="0.25">
      <c r="AA633" s="44"/>
      <c r="AN633" s="50"/>
    </row>
    <row r="634" spans="27:40" x14ac:dyDescent="0.25">
      <c r="AA634" s="42"/>
      <c r="AB634" s="43"/>
      <c r="AC634" s="43"/>
      <c r="AD634" s="43"/>
      <c r="AE634" s="43"/>
      <c r="AF634" s="43"/>
      <c r="AG634" s="43"/>
      <c r="AH634" s="43"/>
      <c r="AI634" s="43"/>
      <c r="AJ634" s="43"/>
      <c r="AK634" s="48"/>
      <c r="AL634" s="48"/>
      <c r="AM634" s="48"/>
      <c r="AN634" s="49"/>
    </row>
    <row r="635" spans="27:40" x14ac:dyDescent="0.25">
      <c r="AA635" s="44"/>
      <c r="AN635" s="50"/>
    </row>
    <row r="636" spans="27:40" x14ac:dyDescent="0.25">
      <c r="AA636" s="44"/>
      <c r="AN636" s="50"/>
    </row>
    <row r="637" spans="27:40" x14ac:dyDescent="0.25">
      <c r="AA637" s="42"/>
      <c r="AB637" s="43"/>
      <c r="AC637" s="43"/>
      <c r="AD637" s="43"/>
      <c r="AE637" s="43"/>
      <c r="AF637" s="43"/>
      <c r="AG637" s="43"/>
      <c r="AH637" s="43"/>
      <c r="AI637" s="43"/>
      <c r="AJ637" s="43"/>
      <c r="AK637" s="48"/>
      <c r="AL637" s="48"/>
      <c r="AM637" s="48"/>
      <c r="AN637" s="49"/>
    </row>
    <row r="638" spans="27:40" x14ac:dyDescent="0.25">
      <c r="AA638" s="44"/>
      <c r="AN638" s="50"/>
    </row>
    <row r="639" spans="27:40" x14ac:dyDescent="0.25">
      <c r="AA639" s="44"/>
      <c r="AN639" s="50"/>
    </row>
    <row r="640" spans="27:40" x14ac:dyDescent="0.25">
      <c r="AA640" s="42"/>
      <c r="AB640" s="43"/>
      <c r="AC640" s="43"/>
      <c r="AD640" s="43"/>
      <c r="AE640" s="43"/>
      <c r="AF640" s="43"/>
      <c r="AG640" s="43"/>
      <c r="AH640" s="43"/>
      <c r="AI640" s="43"/>
      <c r="AJ640" s="43"/>
      <c r="AK640" s="48"/>
      <c r="AL640" s="48"/>
      <c r="AM640" s="48"/>
      <c r="AN640" s="49"/>
    </row>
    <row r="641" spans="27:40" x14ac:dyDescent="0.25">
      <c r="AA641" s="44"/>
      <c r="AN641" s="50"/>
    </row>
    <row r="642" spans="27:40" x14ac:dyDescent="0.25">
      <c r="AA642" s="44"/>
      <c r="AN642" s="50"/>
    </row>
    <row r="643" spans="27:40" x14ac:dyDescent="0.25">
      <c r="AA643" s="42"/>
      <c r="AB643" s="43"/>
      <c r="AC643" s="43"/>
      <c r="AD643" s="43"/>
      <c r="AE643" s="43"/>
      <c r="AF643" s="43"/>
      <c r="AG643" s="43"/>
      <c r="AH643" s="43"/>
      <c r="AI643" s="43"/>
      <c r="AJ643" s="43"/>
      <c r="AK643" s="48"/>
      <c r="AL643" s="48"/>
      <c r="AM643" s="48"/>
      <c r="AN643" s="49"/>
    </row>
    <row r="644" spans="27:40" x14ac:dyDescent="0.25">
      <c r="AA644" s="44"/>
      <c r="AN644" s="50"/>
    </row>
    <row r="645" spans="27:40" x14ac:dyDescent="0.25">
      <c r="AA645" s="44"/>
      <c r="AN645" s="50"/>
    </row>
    <row r="646" spans="27:40" x14ac:dyDescent="0.25">
      <c r="AA646" s="42"/>
      <c r="AB646" s="43"/>
      <c r="AC646" s="43"/>
      <c r="AD646" s="43"/>
      <c r="AE646" s="43"/>
      <c r="AF646" s="43"/>
      <c r="AG646" s="43"/>
      <c r="AH646" s="43"/>
      <c r="AI646" s="43"/>
      <c r="AJ646" s="43"/>
      <c r="AK646" s="48"/>
      <c r="AL646" s="48"/>
      <c r="AM646" s="48"/>
      <c r="AN646" s="49"/>
    </row>
    <row r="647" spans="27:40" x14ac:dyDescent="0.25">
      <c r="AA647" s="44"/>
      <c r="AN647" s="50"/>
    </row>
    <row r="648" spans="27:40" x14ac:dyDescent="0.25">
      <c r="AA648" s="44"/>
      <c r="AN648" s="50"/>
    </row>
    <row r="649" spans="27:40" x14ac:dyDescent="0.25">
      <c r="AA649" s="42"/>
      <c r="AB649" s="43"/>
      <c r="AC649" s="43"/>
      <c r="AD649" s="43"/>
      <c r="AE649" s="43"/>
      <c r="AF649" s="43"/>
      <c r="AG649" s="43"/>
      <c r="AH649" s="43"/>
      <c r="AI649" s="43"/>
      <c r="AJ649" s="43"/>
      <c r="AK649" s="48"/>
      <c r="AL649" s="48"/>
      <c r="AM649" s="48"/>
      <c r="AN649" s="49"/>
    </row>
    <row r="650" spans="27:40" x14ac:dyDescent="0.25">
      <c r="AA650" s="44"/>
      <c r="AN650" s="50"/>
    </row>
    <row r="651" spans="27:40" x14ac:dyDescent="0.25">
      <c r="AA651" s="44"/>
      <c r="AN651" s="50"/>
    </row>
    <row r="652" spans="27:40" x14ac:dyDescent="0.25">
      <c r="AA652" s="42"/>
      <c r="AB652" s="43"/>
      <c r="AC652" s="43"/>
      <c r="AD652" s="43"/>
      <c r="AE652" s="43"/>
      <c r="AF652" s="43"/>
      <c r="AG652" s="43"/>
      <c r="AH652" s="43"/>
      <c r="AI652" s="43"/>
      <c r="AJ652" s="43"/>
      <c r="AK652" s="48"/>
      <c r="AL652" s="48"/>
      <c r="AM652" s="48"/>
      <c r="AN652" s="49"/>
    </row>
    <row r="653" spans="27:40" x14ac:dyDescent="0.25">
      <c r="AA653" s="44"/>
      <c r="AN653" s="50"/>
    </row>
    <row r="654" spans="27:40" x14ac:dyDescent="0.25">
      <c r="AA654" s="44"/>
      <c r="AN654" s="50"/>
    </row>
    <row r="655" spans="27:40" x14ac:dyDescent="0.25">
      <c r="AA655" s="42"/>
      <c r="AB655" s="43"/>
      <c r="AC655" s="43"/>
      <c r="AD655" s="43"/>
      <c r="AE655" s="43"/>
      <c r="AF655" s="43"/>
      <c r="AG655" s="43"/>
      <c r="AH655" s="43"/>
      <c r="AI655" s="43"/>
      <c r="AJ655" s="43"/>
      <c r="AK655" s="48"/>
      <c r="AL655" s="48"/>
      <c r="AM655" s="48"/>
      <c r="AN655" s="49"/>
    </row>
    <row r="656" spans="27:40" x14ac:dyDescent="0.25">
      <c r="AA656" s="44"/>
      <c r="AN656" s="50"/>
    </row>
    <row r="657" spans="27:40" x14ac:dyDescent="0.25">
      <c r="AA657" s="44"/>
      <c r="AN657" s="50"/>
    </row>
    <row r="658" spans="27:40" x14ac:dyDescent="0.25">
      <c r="AA658" s="42"/>
      <c r="AB658" s="43"/>
      <c r="AC658" s="43"/>
      <c r="AD658" s="43"/>
      <c r="AE658" s="43"/>
      <c r="AF658" s="43"/>
      <c r="AG658" s="43"/>
      <c r="AH658" s="43"/>
      <c r="AI658" s="43"/>
      <c r="AJ658" s="43"/>
      <c r="AK658" s="48"/>
      <c r="AL658" s="48"/>
      <c r="AM658" s="48"/>
      <c r="AN658" s="49"/>
    </row>
    <row r="659" spans="27:40" x14ac:dyDescent="0.25">
      <c r="AA659" s="44"/>
      <c r="AN659" s="50"/>
    </row>
    <row r="660" spans="27:40" x14ac:dyDescent="0.25">
      <c r="AA660" s="44"/>
      <c r="AN660" s="50"/>
    </row>
    <row r="661" spans="27:40" x14ac:dyDescent="0.25">
      <c r="AA661" s="42"/>
      <c r="AB661" s="43"/>
      <c r="AC661" s="43"/>
      <c r="AD661" s="43"/>
      <c r="AE661" s="43"/>
      <c r="AF661" s="43"/>
      <c r="AG661" s="43"/>
      <c r="AH661" s="43"/>
      <c r="AI661" s="43"/>
      <c r="AJ661" s="43"/>
      <c r="AK661" s="48"/>
      <c r="AL661" s="48"/>
      <c r="AM661" s="48"/>
      <c r="AN661" s="49"/>
    </row>
    <row r="662" spans="27:40" x14ac:dyDescent="0.25">
      <c r="AA662" s="44"/>
      <c r="AN662" s="50"/>
    </row>
    <row r="663" spans="27:40" x14ac:dyDescent="0.25">
      <c r="AA663" s="44"/>
      <c r="AN663" s="50"/>
    </row>
    <row r="664" spans="27:40" x14ac:dyDescent="0.25">
      <c r="AA664" s="42"/>
      <c r="AB664" s="43"/>
      <c r="AC664" s="43"/>
      <c r="AD664" s="43"/>
      <c r="AE664" s="43"/>
      <c r="AF664" s="43"/>
      <c r="AG664" s="43"/>
      <c r="AH664" s="43"/>
      <c r="AI664" s="43"/>
      <c r="AJ664" s="43"/>
      <c r="AK664" s="48"/>
      <c r="AL664" s="48"/>
      <c r="AM664" s="48"/>
      <c r="AN664" s="49"/>
    </row>
    <row r="665" spans="27:40" x14ac:dyDescent="0.25">
      <c r="AA665" s="44"/>
      <c r="AN665" s="50"/>
    </row>
    <row r="666" spans="27:40" x14ac:dyDescent="0.25">
      <c r="AA666" s="44"/>
      <c r="AN666" s="50"/>
    </row>
    <row r="667" spans="27:40" x14ac:dyDescent="0.25">
      <c r="AA667" s="42"/>
      <c r="AB667" s="43"/>
      <c r="AC667" s="43"/>
      <c r="AD667" s="43"/>
      <c r="AE667" s="43"/>
      <c r="AF667" s="43"/>
      <c r="AG667" s="43"/>
      <c r="AH667" s="43"/>
      <c r="AI667" s="43"/>
      <c r="AJ667" s="43"/>
      <c r="AK667" s="48"/>
      <c r="AL667" s="48"/>
      <c r="AM667" s="48"/>
      <c r="AN667" s="49"/>
    </row>
    <row r="668" spans="27:40" x14ac:dyDescent="0.25">
      <c r="AA668" s="44"/>
      <c r="AN668" s="50"/>
    </row>
    <row r="669" spans="27:40" x14ac:dyDescent="0.25">
      <c r="AA669" s="44"/>
      <c r="AN669" s="50"/>
    </row>
    <row r="670" spans="27:40" x14ac:dyDescent="0.25">
      <c r="AA670" s="42"/>
      <c r="AB670" s="43"/>
      <c r="AC670" s="43"/>
      <c r="AD670" s="43"/>
      <c r="AE670" s="43"/>
      <c r="AF670" s="43"/>
      <c r="AG670" s="43"/>
      <c r="AH670" s="43"/>
      <c r="AI670" s="43"/>
      <c r="AJ670" s="43"/>
      <c r="AK670" s="48"/>
      <c r="AL670" s="48"/>
      <c r="AM670" s="48"/>
      <c r="AN670" s="49"/>
    </row>
    <row r="671" spans="27:40" x14ac:dyDescent="0.25">
      <c r="AA671" s="44"/>
      <c r="AN671" s="50"/>
    </row>
    <row r="672" spans="27:40" x14ac:dyDescent="0.25">
      <c r="AA672" s="44"/>
      <c r="AN672" s="50"/>
    </row>
    <row r="673" spans="27:40" x14ac:dyDescent="0.25">
      <c r="AA673" s="42"/>
      <c r="AB673" s="43"/>
      <c r="AC673" s="43"/>
      <c r="AD673" s="43"/>
      <c r="AE673" s="43"/>
      <c r="AF673" s="43"/>
      <c r="AG673" s="43"/>
      <c r="AH673" s="43"/>
      <c r="AI673" s="43"/>
      <c r="AJ673" s="43"/>
      <c r="AK673" s="48"/>
      <c r="AL673" s="48"/>
      <c r="AM673" s="48"/>
      <c r="AN673" s="49"/>
    </row>
    <row r="674" spans="27:40" x14ac:dyDescent="0.25">
      <c r="AA674" s="44"/>
      <c r="AN674" s="50"/>
    </row>
    <row r="675" spans="27:40" x14ac:dyDescent="0.25">
      <c r="AA675" s="44"/>
      <c r="AN675" s="50"/>
    </row>
    <row r="676" spans="27:40" x14ac:dyDescent="0.25">
      <c r="AA676" s="42"/>
      <c r="AB676" s="43"/>
      <c r="AC676" s="43"/>
      <c r="AD676" s="43"/>
      <c r="AE676" s="43"/>
      <c r="AF676" s="43"/>
      <c r="AG676" s="43"/>
      <c r="AH676" s="43"/>
      <c r="AI676" s="43"/>
      <c r="AJ676" s="43"/>
      <c r="AK676" s="48"/>
      <c r="AL676" s="48"/>
      <c r="AM676" s="48"/>
      <c r="AN676" s="49"/>
    </row>
    <row r="677" spans="27:40" x14ac:dyDescent="0.25">
      <c r="AA677" s="44"/>
      <c r="AN677" s="50"/>
    </row>
    <row r="678" spans="27:40" x14ac:dyDescent="0.25">
      <c r="AA678" s="44"/>
      <c r="AN678" s="50"/>
    </row>
    <row r="679" spans="27:40" x14ac:dyDescent="0.25">
      <c r="AA679" s="42"/>
      <c r="AB679" s="43"/>
      <c r="AC679" s="43"/>
      <c r="AD679" s="43"/>
      <c r="AE679" s="43"/>
      <c r="AF679" s="43"/>
      <c r="AG679" s="43"/>
      <c r="AH679" s="43"/>
      <c r="AI679" s="43"/>
      <c r="AJ679" s="43"/>
      <c r="AK679" s="48"/>
      <c r="AL679" s="48"/>
      <c r="AM679" s="48"/>
      <c r="AN679" s="49"/>
    </row>
    <row r="680" spans="27:40" x14ac:dyDescent="0.25">
      <c r="AA680" s="44"/>
      <c r="AN680" s="50"/>
    </row>
    <row r="681" spans="27:40" x14ac:dyDescent="0.25">
      <c r="AA681" s="44"/>
      <c r="AN681" s="50"/>
    </row>
    <row r="682" spans="27:40" x14ac:dyDescent="0.25">
      <c r="AA682" s="42"/>
      <c r="AB682" s="43"/>
      <c r="AC682" s="43"/>
      <c r="AD682" s="43"/>
      <c r="AE682" s="43"/>
      <c r="AF682" s="43"/>
      <c r="AG682" s="43"/>
      <c r="AH682" s="43"/>
      <c r="AI682" s="43"/>
      <c r="AJ682" s="43"/>
      <c r="AK682" s="48"/>
      <c r="AL682" s="48"/>
      <c r="AM682" s="48"/>
      <c r="AN682" s="49"/>
    </row>
    <row r="683" spans="27:40" x14ac:dyDescent="0.25">
      <c r="AA683" s="44"/>
      <c r="AN683" s="50"/>
    </row>
    <row r="684" spans="27:40" x14ac:dyDescent="0.25">
      <c r="AA684" s="44"/>
      <c r="AN684" s="50"/>
    </row>
    <row r="685" spans="27:40" x14ac:dyDescent="0.25">
      <c r="AA685" s="42"/>
      <c r="AB685" s="43"/>
      <c r="AC685" s="43"/>
      <c r="AD685" s="43"/>
      <c r="AE685" s="43"/>
      <c r="AF685" s="43"/>
      <c r="AG685" s="43"/>
      <c r="AH685" s="43"/>
      <c r="AI685" s="43"/>
      <c r="AJ685" s="43"/>
      <c r="AK685" s="48"/>
      <c r="AL685" s="48"/>
      <c r="AM685" s="48"/>
      <c r="AN685" s="49"/>
    </row>
    <row r="686" spans="27:40" x14ac:dyDescent="0.25">
      <c r="AA686" s="44"/>
      <c r="AN686" s="50"/>
    </row>
    <row r="687" spans="27:40" x14ac:dyDescent="0.25">
      <c r="AA687" s="44"/>
      <c r="AN687" s="50"/>
    </row>
    <row r="688" spans="27:40" x14ac:dyDescent="0.25">
      <c r="AA688" s="42"/>
      <c r="AB688" s="43"/>
      <c r="AC688" s="43"/>
      <c r="AD688" s="43"/>
      <c r="AE688" s="43"/>
      <c r="AF688" s="43"/>
      <c r="AG688" s="43"/>
      <c r="AH688" s="43"/>
      <c r="AI688" s="43"/>
      <c r="AJ688" s="43"/>
      <c r="AK688" s="48"/>
      <c r="AL688" s="48"/>
      <c r="AM688" s="48"/>
      <c r="AN688" s="49"/>
    </row>
    <row r="689" spans="27:40" x14ac:dyDescent="0.25">
      <c r="AA689" s="44"/>
      <c r="AN689" s="50"/>
    </row>
    <row r="690" spans="27:40" x14ac:dyDescent="0.25">
      <c r="AA690" s="44"/>
      <c r="AN690" s="50"/>
    </row>
    <row r="691" spans="27:40" x14ac:dyDescent="0.25">
      <c r="AA691" s="42"/>
      <c r="AB691" s="43"/>
      <c r="AC691" s="43"/>
      <c r="AD691" s="43"/>
      <c r="AE691" s="43"/>
      <c r="AF691" s="43"/>
      <c r="AG691" s="43"/>
      <c r="AH691" s="43"/>
      <c r="AI691" s="43"/>
      <c r="AJ691" s="43"/>
      <c r="AK691" s="48"/>
      <c r="AL691" s="48"/>
      <c r="AM691" s="48"/>
      <c r="AN691" s="49"/>
    </row>
    <row r="692" spans="27:40" x14ac:dyDescent="0.25">
      <c r="AA692" s="44"/>
      <c r="AN692" s="50"/>
    </row>
    <row r="693" spans="27:40" x14ac:dyDescent="0.25">
      <c r="AA693" s="44"/>
      <c r="AN693" s="50"/>
    </row>
    <row r="694" spans="27:40" x14ac:dyDescent="0.25">
      <c r="AA694" s="42"/>
      <c r="AB694" s="43"/>
      <c r="AC694" s="43"/>
      <c r="AD694" s="43"/>
      <c r="AE694" s="43"/>
      <c r="AF694" s="43"/>
      <c r="AG694" s="43"/>
      <c r="AH694" s="43"/>
      <c r="AI694" s="43"/>
      <c r="AJ694" s="43"/>
      <c r="AK694" s="48"/>
      <c r="AL694" s="48"/>
      <c r="AM694" s="48"/>
      <c r="AN694" s="49"/>
    </row>
    <row r="695" spans="27:40" x14ac:dyDescent="0.25">
      <c r="AA695" s="44"/>
      <c r="AN695" s="50"/>
    </row>
    <row r="696" spans="27:40" x14ac:dyDescent="0.25">
      <c r="AA696" s="44"/>
      <c r="AN696" s="50"/>
    </row>
    <row r="697" spans="27:40" x14ac:dyDescent="0.25">
      <c r="AA697" s="42"/>
      <c r="AB697" s="43"/>
      <c r="AC697" s="43"/>
      <c r="AD697" s="43"/>
      <c r="AE697" s="43"/>
      <c r="AF697" s="43"/>
      <c r="AG697" s="43"/>
      <c r="AH697" s="43"/>
      <c r="AI697" s="43"/>
      <c r="AJ697" s="43"/>
      <c r="AK697" s="48"/>
      <c r="AL697" s="48"/>
      <c r="AM697" s="48"/>
      <c r="AN697" s="49"/>
    </row>
    <row r="698" spans="27:40" x14ac:dyDescent="0.25">
      <c r="AA698" s="44"/>
      <c r="AN698" s="50"/>
    </row>
    <row r="699" spans="27:40" x14ac:dyDescent="0.25">
      <c r="AA699" s="44"/>
      <c r="AN699" s="50"/>
    </row>
    <row r="700" spans="27:40" x14ac:dyDescent="0.25">
      <c r="AA700" s="42"/>
      <c r="AB700" s="43"/>
      <c r="AC700" s="43"/>
      <c r="AD700" s="43"/>
      <c r="AE700" s="43"/>
      <c r="AF700" s="43"/>
      <c r="AG700" s="43"/>
      <c r="AH700" s="43"/>
      <c r="AI700" s="43"/>
      <c r="AJ700" s="43"/>
      <c r="AK700" s="48"/>
      <c r="AL700" s="48"/>
      <c r="AM700" s="48"/>
      <c r="AN700" s="49"/>
    </row>
    <row r="701" spans="27:40" x14ac:dyDescent="0.25">
      <c r="AA701" s="44"/>
      <c r="AN701" s="50"/>
    </row>
    <row r="702" spans="27:40" x14ac:dyDescent="0.25">
      <c r="AA702" s="44"/>
      <c r="AN702" s="50"/>
    </row>
    <row r="703" spans="27:40" x14ac:dyDescent="0.25">
      <c r="AA703" s="42"/>
      <c r="AB703" s="43"/>
      <c r="AC703" s="43"/>
      <c r="AD703" s="43"/>
      <c r="AE703" s="43"/>
      <c r="AF703" s="43"/>
      <c r="AG703" s="43"/>
      <c r="AH703" s="43"/>
      <c r="AI703" s="43"/>
      <c r="AJ703" s="43"/>
      <c r="AK703" s="48"/>
      <c r="AL703" s="48"/>
      <c r="AM703" s="48"/>
      <c r="AN703" s="49"/>
    </row>
    <row r="704" spans="27:40" x14ac:dyDescent="0.25">
      <c r="AA704" s="44"/>
      <c r="AN704" s="50"/>
    </row>
    <row r="705" spans="27:40" x14ac:dyDescent="0.25">
      <c r="AA705" s="44"/>
      <c r="AN705" s="50"/>
    </row>
    <row r="706" spans="27:40" x14ac:dyDescent="0.25">
      <c r="AA706" s="42"/>
      <c r="AB706" s="43"/>
      <c r="AC706" s="43"/>
      <c r="AD706" s="43"/>
      <c r="AE706" s="43"/>
      <c r="AF706" s="43"/>
      <c r="AG706" s="43"/>
      <c r="AH706" s="43"/>
      <c r="AI706" s="43"/>
      <c r="AJ706" s="43"/>
      <c r="AK706" s="48"/>
      <c r="AL706" s="48"/>
      <c r="AM706" s="48"/>
      <c r="AN706" s="49"/>
    </row>
    <row r="707" spans="27:40" x14ac:dyDescent="0.25">
      <c r="AA707" s="44"/>
      <c r="AN707" s="50"/>
    </row>
    <row r="708" spans="27:40" x14ac:dyDescent="0.25">
      <c r="AA708" s="44"/>
      <c r="AN708" s="50"/>
    </row>
    <row r="709" spans="27:40" x14ac:dyDescent="0.25">
      <c r="AA709" s="42"/>
      <c r="AB709" s="43"/>
      <c r="AC709" s="43"/>
      <c r="AD709" s="43"/>
      <c r="AE709" s="43"/>
      <c r="AF709" s="43"/>
      <c r="AG709" s="43"/>
      <c r="AH709" s="43"/>
      <c r="AI709" s="43"/>
      <c r="AJ709" s="43"/>
      <c r="AK709" s="48"/>
      <c r="AL709" s="48"/>
      <c r="AM709" s="48"/>
      <c r="AN709" s="49"/>
    </row>
    <row r="710" spans="27:40" x14ac:dyDescent="0.25">
      <c r="AA710" s="44"/>
      <c r="AN710" s="50"/>
    </row>
    <row r="711" spans="27:40" x14ac:dyDescent="0.25">
      <c r="AA711" s="44"/>
      <c r="AN711" s="50"/>
    </row>
    <row r="712" spans="27:40" x14ac:dyDescent="0.25">
      <c r="AA712" s="42"/>
      <c r="AB712" s="43"/>
      <c r="AC712" s="43"/>
      <c r="AD712" s="43"/>
      <c r="AE712" s="43"/>
      <c r="AF712" s="43"/>
      <c r="AG712" s="43"/>
      <c r="AH712" s="43"/>
      <c r="AI712" s="43"/>
      <c r="AJ712" s="43"/>
      <c r="AK712" s="48"/>
      <c r="AL712" s="48"/>
      <c r="AM712" s="48"/>
      <c r="AN712" s="49"/>
    </row>
    <row r="713" spans="27:40" x14ac:dyDescent="0.25">
      <c r="AA713" s="44"/>
      <c r="AN713" s="50"/>
    </row>
    <row r="714" spans="27:40" x14ac:dyDescent="0.25">
      <c r="AA714" s="44"/>
      <c r="AN714" s="50"/>
    </row>
    <row r="715" spans="27:40" x14ac:dyDescent="0.25">
      <c r="AA715" s="42"/>
      <c r="AB715" s="43"/>
      <c r="AC715" s="43"/>
      <c r="AD715" s="43"/>
      <c r="AE715" s="43"/>
      <c r="AF715" s="43"/>
      <c r="AG715" s="43"/>
      <c r="AH715" s="43"/>
      <c r="AI715" s="43"/>
      <c r="AJ715" s="43"/>
      <c r="AK715" s="48"/>
      <c r="AL715" s="48"/>
      <c r="AM715" s="48"/>
      <c r="AN715" s="49"/>
    </row>
    <row r="716" spans="27:40" x14ac:dyDescent="0.25">
      <c r="AA716" s="44"/>
      <c r="AN716" s="50"/>
    </row>
    <row r="717" spans="27:40" x14ac:dyDescent="0.25">
      <c r="AA717" s="44"/>
      <c r="AN717" s="50"/>
    </row>
    <row r="718" spans="27:40" x14ac:dyDescent="0.25">
      <c r="AA718" s="42"/>
      <c r="AB718" s="43"/>
      <c r="AC718" s="43"/>
      <c r="AD718" s="43"/>
      <c r="AE718" s="43"/>
      <c r="AF718" s="43"/>
      <c r="AG718" s="43"/>
      <c r="AH718" s="43"/>
      <c r="AI718" s="43"/>
      <c r="AJ718" s="43"/>
      <c r="AK718" s="48"/>
      <c r="AL718" s="48"/>
      <c r="AM718" s="48"/>
      <c r="AN718" s="49"/>
    </row>
    <row r="719" spans="27:40" x14ac:dyDescent="0.25">
      <c r="AA719" s="44"/>
      <c r="AN719" s="50"/>
    </row>
    <row r="720" spans="27:40" x14ac:dyDescent="0.25">
      <c r="AA720" s="44"/>
      <c r="AN720" s="50"/>
    </row>
    <row r="721" spans="27:40" x14ac:dyDescent="0.25">
      <c r="AA721" s="42"/>
      <c r="AB721" s="43"/>
      <c r="AC721" s="43"/>
      <c r="AD721" s="43"/>
      <c r="AE721" s="43"/>
      <c r="AF721" s="43"/>
      <c r="AG721" s="43"/>
      <c r="AH721" s="43"/>
      <c r="AI721" s="43"/>
      <c r="AJ721" s="43"/>
      <c r="AK721" s="48"/>
      <c r="AL721" s="48"/>
      <c r="AM721" s="48"/>
      <c r="AN721" s="49"/>
    </row>
    <row r="722" spans="27:40" x14ac:dyDescent="0.25">
      <c r="AA722" s="44"/>
      <c r="AN722" s="50"/>
    </row>
    <row r="723" spans="27:40" x14ac:dyDescent="0.25">
      <c r="AA723" s="44"/>
      <c r="AN723" s="50"/>
    </row>
    <row r="724" spans="27:40" x14ac:dyDescent="0.25">
      <c r="AA724" s="42"/>
      <c r="AB724" s="43"/>
      <c r="AC724" s="43"/>
      <c r="AD724" s="43"/>
      <c r="AE724" s="43"/>
      <c r="AF724" s="43"/>
      <c r="AG724" s="43"/>
      <c r="AH724" s="43"/>
      <c r="AI724" s="43"/>
      <c r="AJ724" s="43"/>
      <c r="AK724" s="48"/>
      <c r="AL724" s="48"/>
      <c r="AM724" s="48"/>
      <c r="AN724" s="49"/>
    </row>
    <row r="725" spans="27:40" x14ac:dyDescent="0.25">
      <c r="AA725" s="44"/>
      <c r="AN725" s="50"/>
    </row>
    <row r="726" spans="27:40" x14ac:dyDescent="0.25">
      <c r="AA726" s="44"/>
      <c r="AN726" s="50"/>
    </row>
    <row r="727" spans="27:40" x14ac:dyDescent="0.25">
      <c r="AA727" s="42"/>
      <c r="AB727" s="43"/>
      <c r="AC727" s="43"/>
      <c r="AD727" s="43"/>
      <c r="AE727" s="43"/>
      <c r="AF727" s="43"/>
      <c r="AG727" s="43"/>
      <c r="AH727" s="43"/>
      <c r="AI727" s="43"/>
      <c r="AJ727" s="43"/>
      <c r="AK727" s="48"/>
      <c r="AL727" s="48"/>
      <c r="AM727" s="48"/>
      <c r="AN727" s="49"/>
    </row>
    <row r="728" spans="27:40" x14ac:dyDescent="0.25">
      <c r="AA728" s="44"/>
      <c r="AN728" s="50"/>
    </row>
    <row r="729" spans="27:40" x14ac:dyDescent="0.25">
      <c r="AA729" s="44"/>
      <c r="AN729" s="50"/>
    </row>
    <row r="730" spans="27:40" x14ac:dyDescent="0.25">
      <c r="AA730" s="42"/>
      <c r="AB730" s="43"/>
      <c r="AC730" s="43"/>
      <c r="AD730" s="43"/>
      <c r="AE730" s="43"/>
      <c r="AF730" s="43"/>
      <c r="AG730" s="43"/>
      <c r="AH730" s="43"/>
      <c r="AI730" s="43"/>
      <c r="AJ730" s="43"/>
      <c r="AK730" s="48"/>
      <c r="AL730" s="48"/>
      <c r="AM730" s="48"/>
      <c r="AN730" s="49"/>
    </row>
    <row r="731" spans="27:40" x14ac:dyDescent="0.25">
      <c r="AA731" s="44"/>
      <c r="AN731" s="50"/>
    </row>
    <row r="732" spans="27:40" x14ac:dyDescent="0.25">
      <c r="AA732" s="44"/>
      <c r="AN732" s="50"/>
    </row>
    <row r="733" spans="27:40" x14ac:dyDescent="0.25">
      <c r="AA733" s="42"/>
      <c r="AB733" s="43"/>
      <c r="AC733" s="43"/>
      <c r="AD733" s="43"/>
      <c r="AE733" s="43"/>
      <c r="AF733" s="43"/>
      <c r="AG733" s="43"/>
      <c r="AH733" s="43"/>
      <c r="AI733" s="43"/>
      <c r="AJ733" s="43"/>
      <c r="AK733" s="48"/>
      <c r="AL733" s="48"/>
      <c r="AM733" s="48"/>
      <c r="AN733" s="49"/>
    </row>
    <row r="734" spans="27:40" x14ac:dyDescent="0.25">
      <c r="AA734" s="44"/>
      <c r="AN734" s="50"/>
    </row>
    <row r="735" spans="27:40" x14ac:dyDescent="0.25">
      <c r="AA735" s="44"/>
      <c r="AN735" s="50"/>
    </row>
    <row r="736" spans="27:40" x14ac:dyDescent="0.25">
      <c r="AA736" s="42"/>
      <c r="AB736" s="43"/>
      <c r="AC736" s="43"/>
      <c r="AD736" s="43"/>
      <c r="AE736" s="43"/>
      <c r="AF736" s="43"/>
      <c r="AG736" s="43"/>
      <c r="AH736" s="43"/>
      <c r="AI736" s="43"/>
      <c r="AJ736" s="43"/>
      <c r="AK736" s="48"/>
      <c r="AL736" s="48"/>
      <c r="AM736" s="48"/>
      <c r="AN736" s="49"/>
    </row>
    <row r="737" spans="27:40" x14ac:dyDescent="0.25">
      <c r="AA737" s="44"/>
      <c r="AN737" s="50"/>
    </row>
    <row r="738" spans="27:40" x14ac:dyDescent="0.25">
      <c r="AA738" s="44"/>
      <c r="AN738" s="50"/>
    </row>
    <row r="739" spans="27:40" x14ac:dyDescent="0.25">
      <c r="AA739" s="42"/>
      <c r="AB739" s="43"/>
      <c r="AC739" s="43"/>
      <c r="AD739" s="43"/>
      <c r="AE739" s="43"/>
      <c r="AF739" s="43"/>
      <c r="AG739" s="43"/>
      <c r="AH739" s="43"/>
      <c r="AI739" s="43"/>
      <c r="AJ739" s="43"/>
      <c r="AK739" s="48"/>
      <c r="AL739" s="48"/>
      <c r="AM739" s="48"/>
      <c r="AN739" s="49"/>
    </row>
    <row r="740" spans="27:40" x14ac:dyDescent="0.25">
      <c r="AA740" s="44"/>
      <c r="AN740" s="50"/>
    </row>
    <row r="741" spans="27:40" x14ac:dyDescent="0.25">
      <c r="AA741" s="44"/>
      <c r="AN741" s="50"/>
    </row>
    <row r="742" spans="27:40" x14ac:dyDescent="0.25">
      <c r="AA742" s="42"/>
      <c r="AB742" s="43"/>
      <c r="AC742" s="43"/>
      <c r="AD742" s="43"/>
      <c r="AE742" s="43"/>
      <c r="AF742" s="43"/>
      <c r="AG742" s="43"/>
      <c r="AH742" s="43"/>
      <c r="AI742" s="43"/>
      <c r="AJ742" s="43"/>
      <c r="AK742" s="48"/>
      <c r="AL742" s="48"/>
      <c r="AM742" s="48"/>
      <c r="AN742" s="49"/>
    </row>
    <row r="743" spans="27:40" x14ac:dyDescent="0.25">
      <c r="AA743" s="44"/>
      <c r="AN743" s="50"/>
    </row>
    <row r="744" spans="27:40" x14ac:dyDescent="0.25">
      <c r="AA744" s="44"/>
      <c r="AN744" s="50"/>
    </row>
    <row r="745" spans="27:40" x14ac:dyDescent="0.25">
      <c r="AA745" s="42"/>
      <c r="AB745" s="43"/>
      <c r="AC745" s="43"/>
      <c r="AD745" s="43"/>
      <c r="AE745" s="43"/>
      <c r="AF745" s="43"/>
      <c r="AG745" s="43"/>
      <c r="AH745" s="43"/>
      <c r="AI745" s="43"/>
      <c r="AJ745" s="43"/>
      <c r="AK745" s="48"/>
      <c r="AL745" s="48"/>
      <c r="AM745" s="48"/>
      <c r="AN745" s="49"/>
    </row>
    <row r="746" spans="27:40" x14ac:dyDescent="0.25">
      <c r="AA746" s="44"/>
      <c r="AN746" s="50"/>
    </row>
    <row r="747" spans="27:40" x14ac:dyDescent="0.25">
      <c r="AA747" s="44"/>
      <c r="AN747" s="50"/>
    </row>
    <row r="748" spans="27:40" x14ac:dyDescent="0.25">
      <c r="AA748" s="42"/>
      <c r="AB748" s="43"/>
      <c r="AC748" s="43"/>
      <c r="AD748" s="43"/>
      <c r="AE748" s="43"/>
      <c r="AF748" s="43"/>
      <c r="AG748" s="43"/>
      <c r="AH748" s="43"/>
      <c r="AI748" s="43"/>
      <c r="AJ748" s="43"/>
      <c r="AK748" s="48"/>
      <c r="AL748" s="48"/>
      <c r="AM748" s="48"/>
      <c r="AN748" s="49"/>
    </row>
    <row r="749" spans="27:40" x14ac:dyDescent="0.25">
      <c r="AA749" s="44"/>
      <c r="AN749" s="50"/>
    </row>
    <row r="750" spans="27:40" x14ac:dyDescent="0.25">
      <c r="AA750" s="44"/>
      <c r="AN750" s="50"/>
    </row>
    <row r="751" spans="27:40" x14ac:dyDescent="0.25">
      <c r="AA751" s="42"/>
      <c r="AB751" s="43"/>
      <c r="AC751" s="43"/>
      <c r="AD751" s="43"/>
      <c r="AE751" s="43"/>
      <c r="AF751" s="43"/>
      <c r="AG751" s="43"/>
      <c r="AH751" s="43"/>
      <c r="AI751" s="43"/>
      <c r="AJ751" s="43"/>
      <c r="AK751" s="48"/>
      <c r="AL751" s="48"/>
      <c r="AM751" s="48"/>
      <c r="AN751" s="49"/>
    </row>
    <row r="752" spans="27:40" x14ac:dyDescent="0.25">
      <c r="AA752" s="44"/>
      <c r="AN752" s="50"/>
    </row>
    <row r="753" spans="27:40" x14ac:dyDescent="0.25">
      <c r="AA753" s="44"/>
      <c r="AN753" s="50"/>
    </row>
    <row r="754" spans="27:40" x14ac:dyDescent="0.25">
      <c r="AA754" s="42"/>
      <c r="AB754" s="43"/>
      <c r="AC754" s="43"/>
      <c r="AD754" s="43"/>
      <c r="AE754" s="43"/>
      <c r="AF754" s="43"/>
      <c r="AG754" s="43"/>
      <c r="AH754" s="43"/>
      <c r="AI754" s="43"/>
      <c r="AJ754" s="43"/>
      <c r="AK754" s="48"/>
      <c r="AL754" s="48"/>
      <c r="AM754" s="48"/>
      <c r="AN754" s="49"/>
    </row>
    <row r="755" spans="27:40" x14ac:dyDescent="0.25">
      <c r="AA755" s="44"/>
      <c r="AN755" s="50"/>
    </row>
    <row r="756" spans="27:40" x14ac:dyDescent="0.25">
      <c r="AA756" s="44"/>
      <c r="AN756" s="50"/>
    </row>
    <row r="757" spans="27:40" x14ac:dyDescent="0.25">
      <c r="AA757" s="42"/>
      <c r="AB757" s="43"/>
      <c r="AC757" s="43"/>
      <c r="AD757" s="43"/>
      <c r="AE757" s="43"/>
      <c r="AF757" s="43"/>
      <c r="AG757" s="43"/>
      <c r="AH757" s="43"/>
      <c r="AI757" s="43"/>
      <c r="AJ757" s="43"/>
      <c r="AK757" s="48"/>
      <c r="AL757" s="48"/>
      <c r="AM757" s="48"/>
      <c r="AN757" s="49"/>
    </row>
    <row r="758" spans="27:40" x14ac:dyDescent="0.25">
      <c r="AA758" s="44"/>
      <c r="AN758" s="50"/>
    </row>
    <row r="759" spans="27:40" x14ac:dyDescent="0.25">
      <c r="AA759" s="44"/>
      <c r="AN759" s="50"/>
    </row>
    <row r="760" spans="27:40" x14ac:dyDescent="0.25">
      <c r="AA760" s="42"/>
      <c r="AB760" s="43"/>
      <c r="AC760" s="43"/>
      <c r="AD760" s="43"/>
      <c r="AE760" s="43"/>
      <c r="AF760" s="43"/>
      <c r="AG760" s="43"/>
      <c r="AH760" s="43"/>
      <c r="AI760" s="43"/>
      <c r="AJ760" s="43"/>
      <c r="AK760" s="48"/>
      <c r="AL760" s="48"/>
      <c r="AM760" s="48"/>
      <c r="AN760" s="49"/>
    </row>
    <row r="761" spans="27:40" x14ac:dyDescent="0.25">
      <c r="AA761" s="44"/>
      <c r="AN761" s="50"/>
    </row>
    <row r="762" spans="27:40" x14ac:dyDescent="0.25">
      <c r="AA762" s="44"/>
      <c r="AN762" s="50"/>
    </row>
    <row r="763" spans="27:40" x14ac:dyDescent="0.25">
      <c r="AA763" s="42"/>
      <c r="AB763" s="43"/>
      <c r="AC763" s="43"/>
      <c r="AD763" s="43"/>
      <c r="AE763" s="43"/>
      <c r="AF763" s="43"/>
      <c r="AG763" s="43"/>
      <c r="AH763" s="43"/>
      <c r="AI763" s="43"/>
      <c r="AJ763" s="43"/>
      <c r="AK763" s="48"/>
      <c r="AL763" s="48"/>
      <c r="AM763" s="48"/>
      <c r="AN763" s="49"/>
    </row>
    <row r="764" spans="27:40" x14ac:dyDescent="0.25">
      <c r="AA764" s="44"/>
      <c r="AN764" s="50"/>
    </row>
    <row r="765" spans="27:40" x14ac:dyDescent="0.25">
      <c r="AA765" s="44"/>
      <c r="AN765" s="50"/>
    </row>
    <row r="766" spans="27:40" x14ac:dyDescent="0.25">
      <c r="AA766" s="42"/>
      <c r="AB766" s="43"/>
      <c r="AC766" s="43"/>
      <c r="AD766" s="43"/>
      <c r="AE766" s="43"/>
      <c r="AF766" s="43"/>
      <c r="AG766" s="43"/>
      <c r="AH766" s="43"/>
      <c r="AI766" s="43"/>
      <c r="AJ766" s="43"/>
      <c r="AK766" s="48"/>
      <c r="AL766" s="48"/>
      <c r="AM766" s="48"/>
      <c r="AN766" s="49"/>
    </row>
    <row r="767" spans="27:40" x14ac:dyDescent="0.25">
      <c r="AA767" s="44"/>
      <c r="AN767" s="50"/>
    </row>
    <row r="768" spans="27:40" x14ac:dyDescent="0.25">
      <c r="AA768" s="44"/>
      <c r="AN768" s="50"/>
    </row>
    <row r="769" spans="27:40" x14ac:dyDescent="0.25">
      <c r="AA769" s="42"/>
      <c r="AB769" s="43"/>
      <c r="AC769" s="43"/>
      <c r="AD769" s="43"/>
      <c r="AE769" s="43"/>
      <c r="AF769" s="43"/>
      <c r="AG769" s="43"/>
      <c r="AH769" s="43"/>
      <c r="AI769" s="43"/>
      <c r="AJ769" s="43"/>
      <c r="AK769" s="48"/>
      <c r="AL769" s="48"/>
      <c r="AM769" s="48"/>
      <c r="AN769" s="49"/>
    </row>
    <row r="770" spans="27:40" x14ac:dyDescent="0.25">
      <c r="AA770" s="44"/>
      <c r="AN770" s="50"/>
    </row>
    <row r="771" spans="27:40" x14ac:dyDescent="0.25">
      <c r="AA771" s="44"/>
      <c r="AN771" s="50"/>
    </row>
    <row r="772" spans="27:40" x14ac:dyDescent="0.25">
      <c r="AA772" s="42"/>
      <c r="AB772" s="43"/>
      <c r="AC772" s="43"/>
      <c r="AD772" s="43"/>
      <c r="AE772" s="43"/>
      <c r="AF772" s="43"/>
      <c r="AG772" s="43"/>
      <c r="AH772" s="43"/>
      <c r="AI772" s="43"/>
      <c r="AJ772" s="43"/>
      <c r="AK772" s="48"/>
      <c r="AL772" s="48"/>
      <c r="AM772" s="48"/>
      <c r="AN772" s="49"/>
    </row>
    <row r="773" spans="27:40" x14ac:dyDescent="0.25">
      <c r="AA773" s="44"/>
      <c r="AN773" s="50"/>
    </row>
    <row r="774" spans="27:40" x14ac:dyDescent="0.25">
      <c r="AA774" s="44"/>
      <c r="AN774" s="50"/>
    </row>
    <row r="775" spans="27:40" x14ac:dyDescent="0.25">
      <c r="AA775" s="42"/>
      <c r="AB775" s="43"/>
      <c r="AC775" s="43"/>
      <c r="AD775" s="43"/>
      <c r="AE775" s="43"/>
      <c r="AF775" s="43"/>
      <c r="AG775" s="43"/>
      <c r="AH775" s="43"/>
      <c r="AI775" s="43"/>
      <c r="AJ775" s="43"/>
      <c r="AK775" s="48"/>
      <c r="AL775" s="48"/>
      <c r="AM775" s="48"/>
      <c r="AN775" s="49"/>
    </row>
    <row r="776" spans="27:40" x14ac:dyDescent="0.25">
      <c r="AA776" s="44"/>
      <c r="AN776" s="50"/>
    </row>
    <row r="777" spans="27:40" x14ac:dyDescent="0.25">
      <c r="AA777" s="44"/>
      <c r="AN777" s="50"/>
    </row>
    <row r="778" spans="27:40" x14ac:dyDescent="0.25">
      <c r="AA778" s="42"/>
      <c r="AB778" s="43"/>
      <c r="AC778" s="43"/>
      <c r="AD778" s="43"/>
      <c r="AE778" s="43"/>
      <c r="AF778" s="43"/>
      <c r="AG778" s="43"/>
      <c r="AH778" s="43"/>
      <c r="AI778" s="43"/>
      <c r="AJ778" s="43"/>
      <c r="AK778" s="48"/>
      <c r="AL778" s="48"/>
      <c r="AM778" s="48"/>
      <c r="AN778" s="49"/>
    </row>
    <row r="779" spans="27:40" x14ac:dyDescent="0.25">
      <c r="AA779" s="44"/>
      <c r="AN779" s="50"/>
    </row>
    <row r="780" spans="27:40" x14ac:dyDescent="0.25">
      <c r="AA780" s="44"/>
      <c r="AN780" s="50"/>
    </row>
    <row r="781" spans="27:40" x14ac:dyDescent="0.25">
      <c r="AA781" s="42"/>
      <c r="AB781" s="43"/>
      <c r="AC781" s="43"/>
      <c r="AD781" s="43"/>
      <c r="AE781" s="43"/>
      <c r="AF781" s="43"/>
      <c r="AG781" s="43"/>
      <c r="AH781" s="43"/>
      <c r="AI781" s="43"/>
      <c r="AJ781" s="43"/>
      <c r="AK781" s="48"/>
      <c r="AL781" s="48"/>
      <c r="AM781" s="48"/>
      <c r="AN781" s="49"/>
    </row>
    <row r="782" spans="27:40" x14ac:dyDescent="0.25">
      <c r="AA782" s="44"/>
      <c r="AN782" s="50"/>
    </row>
    <row r="783" spans="27:40" x14ac:dyDescent="0.25">
      <c r="AA783" s="44"/>
      <c r="AN783" s="50"/>
    </row>
    <row r="784" spans="27:40" x14ac:dyDescent="0.25">
      <c r="AA784" s="42"/>
      <c r="AB784" s="43"/>
      <c r="AC784" s="43"/>
      <c r="AD784" s="43"/>
      <c r="AE784" s="43"/>
      <c r="AF784" s="43"/>
      <c r="AG784" s="43"/>
      <c r="AH784" s="43"/>
      <c r="AI784" s="43"/>
      <c r="AJ784" s="43"/>
      <c r="AK784" s="48"/>
      <c r="AL784" s="48"/>
      <c r="AM784" s="48"/>
      <c r="AN784" s="49"/>
    </row>
    <row r="785" spans="27:40" x14ac:dyDescent="0.25">
      <c r="AA785" s="44"/>
      <c r="AN785" s="50"/>
    </row>
    <row r="786" spans="27:40" x14ac:dyDescent="0.25">
      <c r="AA786" s="44"/>
      <c r="AN786" s="50"/>
    </row>
    <row r="787" spans="27:40" x14ac:dyDescent="0.25">
      <c r="AA787" s="42"/>
      <c r="AB787" s="43"/>
      <c r="AC787" s="43"/>
      <c r="AD787" s="43"/>
      <c r="AE787" s="43"/>
      <c r="AF787" s="43"/>
      <c r="AG787" s="43"/>
      <c r="AH787" s="43"/>
      <c r="AI787" s="43"/>
      <c r="AJ787" s="43"/>
      <c r="AK787" s="48"/>
      <c r="AL787" s="48"/>
      <c r="AM787" s="48"/>
      <c r="AN787" s="49"/>
    </row>
    <row r="788" spans="27:40" x14ac:dyDescent="0.25">
      <c r="AA788" s="44"/>
      <c r="AN788" s="50"/>
    </row>
    <row r="789" spans="27:40" x14ac:dyDescent="0.25">
      <c r="AA789" s="44"/>
      <c r="AN789" s="50"/>
    </row>
    <row r="790" spans="27:40" x14ac:dyDescent="0.25">
      <c r="AA790" s="42"/>
      <c r="AB790" s="43"/>
      <c r="AC790" s="43"/>
      <c r="AD790" s="43"/>
      <c r="AE790" s="43"/>
      <c r="AF790" s="43"/>
      <c r="AG790" s="43"/>
      <c r="AH790" s="43"/>
      <c r="AI790" s="43"/>
      <c r="AJ790" s="43"/>
      <c r="AK790" s="48"/>
      <c r="AL790" s="48"/>
      <c r="AM790" s="48"/>
      <c r="AN790" s="49"/>
    </row>
    <row r="791" spans="27:40" x14ac:dyDescent="0.25">
      <c r="AA791" s="44"/>
      <c r="AN791" s="50"/>
    </row>
    <row r="792" spans="27:40" x14ac:dyDescent="0.25">
      <c r="AA792" s="44"/>
      <c r="AN792" s="50"/>
    </row>
    <row r="793" spans="27:40" x14ac:dyDescent="0.25">
      <c r="AA793" s="42"/>
      <c r="AB793" s="43"/>
      <c r="AC793" s="43"/>
      <c r="AD793" s="43"/>
      <c r="AE793" s="43"/>
      <c r="AF793" s="43"/>
      <c r="AG793" s="43"/>
      <c r="AH793" s="43"/>
      <c r="AI793" s="43"/>
      <c r="AJ793" s="43"/>
      <c r="AK793" s="48"/>
      <c r="AL793" s="48"/>
      <c r="AM793" s="48"/>
      <c r="AN793" s="49"/>
    </row>
    <row r="794" spans="27:40" x14ac:dyDescent="0.25">
      <c r="AA794" s="44"/>
      <c r="AN794" s="50"/>
    </row>
    <row r="795" spans="27:40" x14ac:dyDescent="0.25">
      <c r="AA795" s="44"/>
      <c r="AN795" s="50"/>
    </row>
    <row r="796" spans="27:40" x14ac:dyDescent="0.25">
      <c r="AA796" s="42"/>
      <c r="AB796" s="43"/>
      <c r="AC796" s="43"/>
      <c r="AD796" s="43"/>
      <c r="AE796" s="43"/>
      <c r="AF796" s="43"/>
      <c r="AG796" s="43"/>
      <c r="AH796" s="43"/>
      <c r="AI796" s="43"/>
      <c r="AJ796" s="43"/>
      <c r="AK796" s="48"/>
      <c r="AL796" s="48"/>
      <c r="AM796" s="48"/>
      <c r="AN796" s="49"/>
    </row>
    <row r="797" spans="27:40" x14ac:dyDescent="0.25">
      <c r="AA797" s="44"/>
      <c r="AN797" s="50"/>
    </row>
    <row r="798" spans="27:40" x14ac:dyDescent="0.25">
      <c r="AA798" s="44"/>
      <c r="AN798" s="50"/>
    </row>
    <row r="799" spans="27:40" x14ac:dyDescent="0.25">
      <c r="AA799" s="42"/>
      <c r="AB799" s="43"/>
      <c r="AC799" s="43"/>
      <c r="AD799" s="43"/>
      <c r="AE799" s="43"/>
      <c r="AF799" s="43"/>
      <c r="AG799" s="43"/>
      <c r="AH799" s="43"/>
      <c r="AI799" s="43"/>
      <c r="AJ799" s="43"/>
      <c r="AK799" s="48"/>
      <c r="AL799" s="48"/>
      <c r="AM799" s="48"/>
      <c r="AN799" s="49"/>
    </row>
    <row r="800" spans="27:40" x14ac:dyDescent="0.25">
      <c r="AA800" s="44"/>
      <c r="AN800" s="50"/>
    </row>
    <row r="801" spans="27:40" x14ac:dyDescent="0.25">
      <c r="AA801" s="44"/>
      <c r="AN801" s="50"/>
    </row>
    <row r="802" spans="27:40" x14ac:dyDescent="0.25">
      <c r="AA802" s="42"/>
      <c r="AB802" s="43"/>
      <c r="AC802" s="43"/>
      <c r="AD802" s="43"/>
      <c r="AE802" s="43"/>
      <c r="AF802" s="43"/>
      <c r="AG802" s="43"/>
      <c r="AH802" s="43"/>
      <c r="AI802" s="43"/>
      <c r="AJ802" s="43"/>
      <c r="AK802" s="48"/>
      <c r="AL802" s="48"/>
      <c r="AM802" s="48"/>
      <c r="AN802" s="49"/>
    </row>
    <row r="803" spans="27:40" x14ac:dyDescent="0.25">
      <c r="AA803" s="44"/>
      <c r="AN803" s="50"/>
    </row>
    <row r="804" spans="27:40" x14ac:dyDescent="0.25">
      <c r="AA804" s="44"/>
      <c r="AN804" s="50"/>
    </row>
    <row r="805" spans="27:40" x14ac:dyDescent="0.25">
      <c r="AA805" s="42"/>
      <c r="AB805" s="43"/>
      <c r="AC805" s="43"/>
      <c r="AD805" s="43"/>
      <c r="AE805" s="43"/>
      <c r="AF805" s="43"/>
      <c r="AG805" s="43"/>
      <c r="AH805" s="43"/>
      <c r="AI805" s="43"/>
      <c r="AJ805" s="43"/>
      <c r="AK805" s="48"/>
      <c r="AL805" s="48"/>
      <c r="AM805" s="48"/>
      <c r="AN805" s="49"/>
    </row>
    <row r="806" spans="27:40" x14ac:dyDescent="0.25">
      <c r="AA806" s="44"/>
      <c r="AN806" s="50"/>
    </row>
    <row r="807" spans="27:40" x14ac:dyDescent="0.25">
      <c r="AA807" s="44"/>
      <c r="AN807" s="50"/>
    </row>
    <row r="808" spans="27:40" x14ac:dyDescent="0.25">
      <c r="AA808" s="42"/>
      <c r="AB808" s="43"/>
      <c r="AC808" s="43"/>
      <c r="AD808" s="43"/>
      <c r="AE808" s="43"/>
      <c r="AF808" s="43"/>
      <c r="AG808" s="43"/>
      <c r="AH808" s="43"/>
      <c r="AI808" s="43"/>
      <c r="AJ808" s="43"/>
      <c r="AK808" s="48"/>
      <c r="AL808" s="48"/>
      <c r="AM808" s="48"/>
      <c r="AN808" s="49"/>
    </row>
    <row r="809" spans="27:40" x14ac:dyDescent="0.25">
      <c r="AA809" s="44"/>
      <c r="AN809" s="50"/>
    </row>
    <row r="810" spans="27:40" x14ac:dyDescent="0.25">
      <c r="AA810" s="44"/>
      <c r="AN810" s="50"/>
    </row>
    <row r="811" spans="27:40" x14ac:dyDescent="0.25">
      <c r="AA811" s="42"/>
      <c r="AB811" s="43"/>
      <c r="AC811" s="43"/>
      <c r="AD811" s="43"/>
      <c r="AE811" s="43"/>
      <c r="AF811" s="43"/>
      <c r="AG811" s="43"/>
      <c r="AH811" s="43"/>
      <c r="AI811" s="43"/>
      <c r="AJ811" s="43"/>
      <c r="AK811" s="48"/>
      <c r="AL811" s="48"/>
      <c r="AM811" s="48"/>
      <c r="AN811" s="49"/>
    </row>
    <row r="812" spans="27:40" x14ac:dyDescent="0.25">
      <c r="AA812" s="44"/>
      <c r="AN812" s="50"/>
    </row>
    <row r="813" spans="27:40" x14ac:dyDescent="0.25">
      <c r="AA813" s="44"/>
      <c r="AN813" s="50"/>
    </row>
    <row r="814" spans="27:40" x14ac:dyDescent="0.25">
      <c r="AA814" s="42"/>
      <c r="AB814" s="43"/>
      <c r="AC814" s="43"/>
      <c r="AD814" s="43"/>
      <c r="AE814" s="43"/>
      <c r="AF814" s="43"/>
      <c r="AG814" s="43"/>
      <c r="AH814" s="43"/>
      <c r="AI814" s="43"/>
      <c r="AJ814" s="43"/>
      <c r="AK814" s="48"/>
      <c r="AL814" s="48"/>
      <c r="AM814" s="48"/>
      <c r="AN814" s="49"/>
    </row>
    <row r="815" spans="27:40" x14ac:dyDescent="0.25">
      <c r="AA815" s="44"/>
      <c r="AN815" s="50"/>
    </row>
    <row r="816" spans="27:40" x14ac:dyDescent="0.25">
      <c r="AA816" s="44"/>
      <c r="AN816" s="50"/>
    </row>
    <row r="817" spans="27:40" x14ac:dyDescent="0.25">
      <c r="AA817" s="42"/>
      <c r="AB817" s="43"/>
      <c r="AC817" s="43"/>
      <c r="AD817" s="43"/>
      <c r="AE817" s="43"/>
      <c r="AF817" s="43"/>
      <c r="AG817" s="43"/>
      <c r="AH817" s="43"/>
      <c r="AI817" s="43"/>
      <c r="AJ817" s="43"/>
      <c r="AK817" s="48"/>
      <c r="AL817" s="48"/>
      <c r="AM817" s="48"/>
      <c r="AN817" s="49"/>
    </row>
    <row r="818" spans="27:40" x14ac:dyDescent="0.25">
      <c r="AA818" s="44"/>
      <c r="AN818" s="50"/>
    </row>
    <row r="819" spans="27:40" x14ac:dyDescent="0.25">
      <c r="AA819" s="44"/>
      <c r="AN819" s="50"/>
    </row>
    <row r="820" spans="27:40" x14ac:dyDescent="0.25">
      <c r="AA820" s="42"/>
      <c r="AB820" s="43"/>
      <c r="AC820" s="43"/>
      <c r="AD820" s="43"/>
      <c r="AE820" s="43"/>
      <c r="AF820" s="43"/>
      <c r="AG820" s="43"/>
      <c r="AH820" s="43"/>
      <c r="AI820" s="43"/>
      <c r="AJ820" s="43"/>
      <c r="AK820" s="48"/>
      <c r="AL820" s="48"/>
      <c r="AM820" s="48"/>
      <c r="AN820" s="49"/>
    </row>
    <row r="821" spans="27:40" x14ac:dyDescent="0.25">
      <c r="AA821" s="44"/>
      <c r="AN821" s="50"/>
    </row>
    <row r="822" spans="27:40" x14ac:dyDescent="0.25">
      <c r="AA822" s="44"/>
      <c r="AN822" s="50"/>
    </row>
    <row r="823" spans="27:40" x14ac:dyDescent="0.25">
      <c r="AA823" s="42"/>
      <c r="AB823" s="43"/>
      <c r="AC823" s="43"/>
      <c r="AD823" s="43"/>
      <c r="AE823" s="43"/>
      <c r="AF823" s="43"/>
      <c r="AG823" s="43"/>
      <c r="AH823" s="43"/>
      <c r="AI823" s="43"/>
      <c r="AJ823" s="43"/>
      <c r="AK823" s="48"/>
      <c r="AL823" s="48"/>
      <c r="AM823" s="48"/>
      <c r="AN823" s="49"/>
    </row>
    <row r="824" spans="27:40" x14ac:dyDescent="0.25">
      <c r="AA824" s="44"/>
      <c r="AN824" s="50"/>
    </row>
    <row r="825" spans="27:40" x14ac:dyDescent="0.25">
      <c r="AA825" s="44"/>
      <c r="AN825" s="50"/>
    </row>
    <row r="826" spans="27:40" x14ac:dyDescent="0.25">
      <c r="AA826" s="42"/>
      <c r="AB826" s="43"/>
      <c r="AC826" s="43"/>
      <c r="AD826" s="43"/>
      <c r="AE826" s="43"/>
      <c r="AF826" s="43"/>
      <c r="AG826" s="43"/>
      <c r="AH826" s="43"/>
      <c r="AI826" s="43"/>
      <c r="AJ826" s="43"/>
      <c r="AK826" s="48"/>
      <c r="AL826" s="48"/>
      <c r="AM826" s="48"/>
      <c r="AN826" s="49"/>
    </row>
    <row r="827" spans="27:40" x14ac:dyDescent="0.25">
      <c r="AA827" s="44"/>
      <c r="AN827" s="50"/>
    </row>
    <row r="828" spans="27:40" x14ac:dyDescent="0.25">
      <c r="AA828" s="44"/>
      <c r="AN828" s="50"/>
    </row>
    <row r="829" spans="27:40" x14ac:dyDescent="0.25">
      <c r="AA829" s="42"/>
      <c r="AB829" s="43"/>
      <c r="AC829" s="43"/>
      <c r="AD829" s="43"/>
      <c r="AE829" s="43"/>
      <c r="AF829" s="43"/>
      <c r="AG829" s="43"/>
      <c r="AH829" s="43"/>
      <c r="AI829" s="43"/>
      <c r="AJ829" s="43"/>
      <c r="AK829" s="48"/>
      <c r="AL829" s="48"/>
      <c r="AM829" s="48"/>
      <c r="AN829" s="49"/>
    </row>
    <row r="830" spans="27:40" x14ac:dyDescent="0.25">
      <c r="AA830" s="44"/>
      <c r="AN830" s="50"/>
    </row>
    <row r="831" spans="27:40" x14ac:dyDescent="0.25">
      <c r="AA831" s="44"/>
      <c r="AN831" s="50"/>
    </row>
    <row r="832" spans="27:40" x14ac:dyDescent="0.25">
      <c r="AA832" s="42"/>
      <c r="AB832" s="43"/>
      <c r="AC832" s="43"/>
      <c r="AD832" s="43"/>
      <c r="AE832" s="43"/>
      <c r="AF832" s="43"/>
      <c r="AG832" s="43"/>
      <c r="AH832" s="43"/>
      <c r="AI832" s="43"/>
      <c r="AJ832" s="43"/>
      <c r="AK832" s="48"/>
      <c r="AL832" s="48"/>
      <c r="AM832" s="48"/>
      <c r="AN832" s="49"/>
    </row>
    <row r="833" spans="27:40" x14ac:dyDescent="0.25">
      <c r="AA833" s="44"/>
      <c r="AN833" s="50"/>
    </row>
    <row r="834" spans="27:40" x14ac:dyDescent="0.25">
      <c r="AA834" s="44"/>
      <c r="AN834" s="50"/>
    </row>
    <row r="835" spans="27:40" x14ac:dyDescent="0.25">
      <c r="AA835" s="42"/>
      <c r="AB835" s="43"/>
      <c r="AC835" s="43"/>
      <c r="AD835" s="43"/>
      <c r="AE835" s="43"/>
      <c r="AF835" s="43"/>
      <c r="AG835" s="43"/>
      <c r="AH835" s="43"/>
      <c r="AI835" s="43"/>
      <c r="AJ835" s="43"/>
      <c r="AK835" s="48"/>
      <c r="AL835" s="48"/>
      <c r="AM835" s="48"/>
      <c r="AN835" s="49"/>
    </row>
    <row r="836" spans="27:40" x14ac:dyDescent="0.25">
      <c r="AA836" s="44"/>
      <c r="AN836" s="50"/>
    </row>
    <row r="837" spans="27:40" x14ac:dyDescent="0.25">
      <c r="AA837" s="44"/>
      <c r="AN837" s="50"/>
    </row>
    <row r="838" spans="27:40" x14ac:dyDescent="0.25">
      <c r="AA838" s="42"/>
      <c r="AB838" s="43"/>
      <c r="AC838" s="43"/>
      <c r="AD838" s="43"/>
      <c r="AE838" s="43"/>
      <c r="AF838" s="43"/>
      <c r="AG838" s="43"/>
      <c r="AH838" s="43"/>
      <c r="AI838" s="43"/>
      <c r="AJ838" s="43"/>
      <c r="AK838" s="48"/>
      <c r="AL838" s="48"/>
      <c r="AM838" s="48"/>
      <c r="AN838" s="49"/>
    </row>
    <row r="839" spans="27:40" x14ac:dyDescent="0.25">
      <c r="AA839" s="44"/>
      <c r="AN839" s="50"/>
    </row>
    <row r="840" spans="27:40" x14ac:dyDescent="0.25">
      <c r="AA840" s="44"/>
      <c r="AN840" s="50"/>
    </row>
    <row r="841" spans="27:40" x14ac:dyDescent="0.25">
      <c r="AA841" s="42"/>
      <c r="AB841" s="43"/>
      <c r="AC841" s="43"/>
      <c r="AD841" s="43"/>
      <c r="AE841" s="43"/>
      <c r="AF841" s="43"/>
      <c r="AG841" s="43"/>
      <c r="AH841" s="43"/>
      <c r="AI841" s="43"/>
      <c r="AJ841" s="43"/>
      <c r="AK841" s="48"/>
      <c r="AL841" s="48"/>
      <c r="AM841" s="48"/>
      <c r="AN841" s="49"/>
    </row>
    <row r="842" spans="27:40" x14ac:dyDescent="0.25">
      <c r="AA842" s="44"/>
      <c r="AN842" s="50"/>
    </row>
    <row r="843" spans="27:40" x14ac:dyDescent="0.25">
      <c r="AA843" s="44"/>
      <c r="AN843" s="50"/>
    </row>
    <row r="844" spans="27:40" x14ac:dyDescent="0.25">
      <c r="AA844" s="42"/>
      <c r="AB844" s="43"/>
      <c r="AC844" s="43"/>
      <c r="AD844" s="43"/>
      <c r="AE844" s="43"/>
      <c r="AF844" s="43"/>
      <c r="AG844" s="43"/>
      <c r="AH844" s="43"/>
      <c r="AI844" s="43"/>
      <c r="AJ844" s="43"/>
      <c r="AK844" s="48"/>
      <c r="AL844" s="48"/>
      <c r="AM844" s="48"/>
      <c r="AN844" s="49"/>
    </row>
    <row r="845" spans="27:40" x14ac:dyDescent="0.25">
      <c r="AA845" s="44"/>
      <c r="AN845" s="50"/>
    </row>
    <row r="846" spans="27:40" x14ac:dyDescent="0.25">
      <c r="AA846" s="44"/>
      <c r="AN846" s="50"/>
    </row>
    <row r="847" spans="27:40" x14ac:dyDescent="0.25">
      <c r="AA847" s="42"/>
      <c r="AB847" s="43"/>
      <c r="AC847" s="43"/>
      <c r="AD847" s="43"/>
      <c r="AE847" s="43"/>
      <c r="AF847" s="43"/>
      <c r="AG847" s="43"/>
      <c r="AH847" s="43"/>
      <c r="AI847" s="43"/>
      <c r="AJ847" s="43"/>
      <c r="AK847" s="48"/>
      <c r="AL847" s="48"/>
      <c r="AM847" s="48"/>
      <c r="AN847" s="49"/>
    </row>
    <row r="848" spans="27:40" x14ac:dyDescent="0.25">
      <c r="AA848" s="44"/>
      <c r="AN848" s="50"/>
    </row>
    <row r="849" spans="27:40" x14ac:dyDescent="0.25">
      <c r="AA849" s="44"/>
      <c r="AN849" s="50"/>
    </row>
    <row r="850" spans="27:40" x14ac:dyDescent="0.25">
      <c r="AA850" s="42"/>
      <c r="AB850" s="43"/>
      <c r="AC850" s="43"/>
      <c r="AD850" s="43"/>
      <c r="AE850" s="43"/>
      <c r="AF850" s="43"/>
      <c r="AG850" s="43"/>
      <c r="AH850" s="43"/>
      <c r="AI850" s="43"/>
      <c r="AJ850" s="43"/>
      <c r="AK850" s="48"/>
      <c r="AL850" s="48"/>
      <c r="AM850" s="48"/>
      <c r="AN850" s="49"/>
    </row>
    <row r="851" spans="27:40" x14ac:dyDescent="0.25">
      <c r="AA851" s="44"/>
      <c r="AN851" s="50"/>
    </row>
    <row r="852" spans="27:40" x14ac:dyDescent="0.25">
      <c r="AA852" s="44"/>
      <c r="AN852" s="50"/>
    </row>
    <row r="853" spans="27:40" x14ac:dyDescent="0.25">
      <c r="AA853" s="42"/>
      <c r="AB853" s="43"/>
      <c r="AC853" s="43"/>
      <c r="AD853" s="43"/>
      <c r="AE853" s="43"/>
      <c r="AF853" s="43"/>
      <c r="AG853" s="43"/>
      <c r="AH853" s="43"/>
      <c r="AI853" s="43"/>
      <c r="AJ853" s="43"/>
      <c r="AK853" s="48"/>
      <c r="AL853" s="48"/>
      <c r="AM853" s="48"/>
      <c r="AN853" s="49"/>
    </row>
    <row r="854" spans="27:40" x14ac:dyDescent="0.25">
      <c r="AA854" s="44"/>
      <c r="AN854" s="50"/>
    </row>
    <row r="855" spans="27:40" x14ac:dyDescent="0.25">
      <c r="AA855" s="44"/>
      <c r="AN855" s="50"/>
    </row>
    <row r="856" spans="27:40" x14ac:dyDescent="0.25">
      <c r="AA856" s="42"/>
      <c r="AB856" s="43"/>
      <c r="AC856" s="43"/>
      <c r="AD856" s="43"/>
      <c r="AE856" s="43"/>
      <c r="AF856" s="43"/>
      <c r="AG856" s="43"/>
      <c r="AH856" s="43"/>
      <c r="AI856" s="43"/>
      <c r="AJ856" s="43"/>
      <c r="AK856" s="48"/>
      <c r="AL856" s="48"/>
      <c r="AM856" s="48"/>
      <c r="AN856" s="49"/>
    </row>
    <row r="857" spans="27:40" x14ac:dyDescent="0.25">
      <c r="AA857" s="44"/>
      <c r="AN857" s="50"/>
    </row>
    <row r="858" spans="27:40" x14ac:dyDescent="0.25">
      <c r="AA858" s="44"/>
      <c r="AN858" s="50"/>
    </row>
    <row r="859" spans="27:40" x14ac:dyDescent="0.25">
      <c r="AA859" s="42"/>
      <c r="AB859" s="43"/>
      <c r="AC859" s="43"/>
      <c r="AD859" s="43"/>
      <c r="AE859" s="43"/>
      <c r="AF859" s="43"/>
      <c r="AG859" s="43"/>
      <c r="AH859" s="43"/>
      <c r="AI859" s="43"/>
      <c r="AJ859" s="43"/>
      <c r="AK859" s="48"/>
      <c r="AL859" s="48"/>
      <c r="AM859" s="48"/>
      <c r="AN859" s="49"/>
    </row>
    <row r="860" spans="27:40" x14ac:dyDescent="0.25">
      <c r="AA860" s="44"/>
      <c r="AN860" s="50"/>
    </row>
    <row r="861" spans="27:40" x14ac:dyDescent="0.25">
      <c r="AA861" s="44"/>
      <c r="AN861" s="50"/>
    </row>
    <row r="862" spans="27:40" x14ac:dyDescent="0.25">
      <c r="AA862" s="42"/>
      <c r="AB862" s="43"/>
      <c r="AC862" s="43"/>
      <c r="AD862" s="43"/>
      <c r="AE862" s="43"/>
      <c r="AF862" s="43"/>
      <c r="AG862" s="43"/>
      <c r="AH862" s="43"/>
      <c r="AI862" s="43"/>
      <c r="AJ862" s="43"/>
      <c r="AK862" s="48"/>
      <c r="AL862" s="48"/>
      <c r="AM862" s="48"/>
      <c r="AN862" s="49"/>
    </row>
    <row r="863" spans="27:40" x14ac:dyDescent="0.25">
      <c r="AA863" s="44"/>
      <c r="AN863" s="50"/>
    </row>
    <row r="864" spans="27:40" x14ac:dyDescent="0.25">
      <c r="AA864" s="44"/>
      <c r="AN864" s="50"/>
    </row>
    <row r="865" spans="27:40" x14ac:dyDescent="0.25">
      <c r="AA865" s="42"/>
      <c r="AB865" s="43"/>
      <c r="AC865" s="43"/>
      <c r="AD865" s="43"/>
      <c r="AE865" s="43"/>
      <c r="AF865" s="43"/>
      <c r="AG865" s="43"/>
      <c r="AH865" s="43"/>
      <c r="AI865" s="43"/>
      <c r="AJ865" s="43"/>
      <c r="AK865" s="48"/>
      <c r="AL865" s="48"/>
      <c r="AM865" s="48"/>
      <c r="AN865" s="49"/>
    </row>
    <row r="866" spans="27:40" x14ac:dyDescent="0.25">
      <c r="AA866" s="44"/>
      <c r="AN866" s="50"/>
    </row>
    <row r="867" spans="27:40" x14ac:dyDescent="0.25">
      <c r="AA867" s="44"/>
      <c r="AN867" s="50"/>
    </row>
    <row r="868" spans="27:40" x14ac:dyDescent="0.25">
      <c r="AA868" s="42"/>
      <c r="AB868" s="43"/>
      <c r="AC868" s="43"/>
      <c r="AD868" s="43"/>
      <c r="AE868" s="43"/>
      <c r="AF868" s="43"/>
      <c r="AG868" s="43"/>
      <c r="AH868" s="43"/>
      <c r="AI868" s="43"/>
      <c r="AJ868" s="43"/>
      <c r="AK868" s="48"/>
      <c r="AL868" s="48"/>
      <c r="AM868" s="48"/>
      <c r="AN868" s="49"/>
    </row>
    <row r="869" spans="27:40" x14ac:dyDescent="0.25">
      <c r="AA869" s="44"/>
      <c r="AN869" s="50"/>
    </row>
    <row r="870" spans="27:40" x14ac:dyDescent="0.25">
      <c r="AA870" s="44"/>
      <c r="AN870" s="50"/>
    </row>
    <row r="871" spans="27:40" x14ac:dyDescent="0.25">
      <c r="AA871" s="42"/>
      <c r="AB871" s="43"/>
      <c r="AC871" s="43"/>
      <c r="AD871" s="43"/>
      <c r="AE871" s="43"/>
      <c r="AF871" s="43"/>
      <c r="AG871" s="43"/>
      <c r="AH871" s="43"/>
      <c r="AI871" s="43"/>
      <c r="AJ871" s="43"/>
      <c r="AK871" s="48"/>
      <c r="AL871" s="48"/>
      <c r="AM871" s="48"/>
      <c r="AN871" s="49"/>
    </row>
    <row r="872" spans="27:40" x14ac:dyDescent="0.25">
      <c r="AA872" s="44"/>
      <c r="AN872" s="50"/>
    </row>
    <row r="873" spans="27:40" x14ac:dyDescent="0.25">
      <c r="AA873" s="44"/>
      <c r="AN873" s="50"/>
    </row>
    <row r="874" spans="27:40" x14ac:dyDescent="0.25">
      <c r="AA874" s="42"/>
      <c r="AB874" s="43"/>
      <c r="AC874" s="43"/>
      <c r="AD874" s="43"/>
      <c r="AE874" s="43"/>
      <c r="AF874" s="43"/>
      <c r="AG874" s="43"/>
      <c r="AH874" s="43"/>
      <c r="AI874" s="43"/>
      <c r="AJ874" s="43"/>
      <c r="AK874" s="48"/>
      <c r="AL874" s="48"/>
      <c r="AM874" s="48"/>
      <c r="AN874" s="49"/>
    </row>
    <row r="875" spans="27:40" x14ac:dyDescent="0.25">
      <c r="AA875" s="44"/>
      <c r="AN875" s="50"/>
    </row>
    <row r="876" spans="27:40" x14ac:dyDescent="0.25">
      <c r="AA876" s="44"/>
      <c r="AN876" s="50"/>
    </row>
    <row r="877" spans="27:40" x14ac:dyDescent="0.25">
      <c r="AA877" s="42"/>
      <c r="AB877" s="43"/>
      <c r="AC877" s="43"/>
      <c r="AD877" s="43"/>
      <c r="AE877" s="43"/>
      <c r="AF877" s="43"/>
      <c r="AG877" s="43"/>
      <c r="AH877" s="43"/>
      <c r="AI877" s="43"/>
      <c r="AJ877" s="43"/>
      <c r="AK877" s="48"/>
      <c r="AL877" s="48"/>
      <c r="AM877" s="48"/>
      <c r="AN877" s="49"/>
    </row>
    <row r="878" spans="27:40" x14ac:dyDescent="0.25">
      <c r="AA878" s="44"/>
      <c r="AN878" s="50"/>
    </row>
    <row r="879" spans="27:40" x14ac:dyDescent="0.25">
      <c r="AA879" s="44"/>
      <c r="AN879" s="50"/>
    </row>
    <row r="880" spans="27:40" x14ac:dyDescent="0.25">
      <c r="AA880" s="42"/>
      <c r="AB880" s="43"/>
      <c r="AC880" s="43"/>
      <c r="AD880" s="43"/>
      <c r="AE880" s="43"/>
      <c r="AF880" s="43"/>
      <c r="AG880" s="43"/>
      <c r="AH880" s="43"/>
      <c r="AI880" s="43"/>
      <c r="AJ880" s="43"/>
      <c r="AK880" s="48"/>
      <c r="AL880" s="48"/>
      <c r="AM880" s="48"/>
      <c r="AN880" s="49"/>
    </row>
    <row r="881" spans="27:40" x14ac:dyDescent="0.25">
      <c r="AA881" s="44"/>
      <c r="AN881" s="50"/>
    </row>
    <row r="882" spans="27:40" x14ac:dyDescent="0.25">
      <c r="AA882" s="44"/>
      <c r="AN882" s="50"/>
    </row>
    <row r="883" spans="27:40" x14ac:dyDescent="0.25">
      <c r="AA883" s="42"/>
      <c r="AB883" s="43"/>
      <c r="AC883" s="43"/>
      <c r="AD883" s="43"/>
      <c r="AE883" s="43"/>
      <c r="AF883" s="43"/>
      <c r="AG883" s="43"/>
      <c r="AH883" s="43"/>
      <c r="AI883" s="43"/>
      <c r="AJ883" s="43"/>
      <c r="AK883" s="48"/>
      <c r="AL883" s="48"/>
      <c r="AM883" s="48"/>
      <c r="AN883" s="49"/>
    </row>
    <row r="884" spans="27:40" x14ac:dyDescent="0.25">
      <c r="AA884" s="44"/>
      <c r="AN884" s="50"/>
    </row>
    <row r="885" spans="27:40" x14ac:dyDescent="0.25">
      <c r="AA885" s="44"/>
      <c r="AN885" s="50"/>
    </row>
    <row r="886" spans="27:40" x14ac:dyDescent="0.25">
      <c r="AA886" s="42"/>
      <c r="AB886" s="43"/>
      <c r="AC886" s="43"/>
      <c r="AD886" s="43"/>
      <c r="AE886" s="43"/>
      <c r="AF886" s="43"/>
      <c r="AG886" s="43"/>
      <c r="AH886" s="43"/>
      <c r="AI886" s="43"/>
      <c r="AJ886" s="43"/>
      <c r="AK886" s="48"/>
      <c r="AL886" s="48"/>
      <c r="AM886" s="48"/>
      <c r="AN886" s="49"/>
    </row>
    <row r="887" spans="27:40" x14ac:dyDescent="0.25">
      <c r="AA887" s="44"/>
      <c r="AN887" s="50"/>
    </row>
    <row r="888" spans="27:40" x14ac:dyDescent="0.25">
      <c r="AA888" s="44"/>
      <c r="AN888" s="50"/>
    </row>
    <row r="889" spans="27:40" x14ac:dyDescent="0.25">
      <c r="AA889" s="42"/>
      <c r="AB889" s="43"/>
      <c r="AC889" s="43"/>
      <c r="AD889" s="43"/>
      <c r="AE889" s="43"/>
      <c r="AF889" s="43"/>
      <c r="AG889" s="43"/>
      <c r="AH889" s="43"/>
      <c r="AI889" s="43"/>
      <c r="AJ889" s="43"/>
      <c r="AK889" s="48"/>
      <c r="AL889" s="48"/>
      <c r="AM889" s="48"/>
      <c r="AN889" s="49"/>
    </row>
    <row r="890" spans="27:40" x14ac:dyDescent="0.25">
      <c r="AA890" s="44"/>
      <c r="AN890" s="50"/>
    </row>
    <row r="891" spans="27:40" x14ac:dyDescent="0.25">
      <c r="AA891" s="44"/>
      <c r="AN891" s="50"/>
    </row>
    <row r="892" spans="27:40" x14ac:dyDescent="0.25">
      <c r="AA892" s="42"/>
      <c r="AB892" s="43"/>
      <c r="AC892" s="43"/>
      <c r="AD892" s="43"/>
      <c r="AE892" s="43"/>
      <c r="AF892" s="43"/>
      <c r="AG892" s="43"/>
      <c r="AH892" s="43"/>
      <c r="AI892" s="43"/>
      <c r="AJ892" s="43"/>
      <c r="AK892" s="48"/>
      <c r="AL892" s="48"/>
      <c r="AM892" s="48"/>
      <c r="AN892" s="49"/>
    </row>
    <row r="893" spans="27:40" x14ac:dyDescent="0.25">
      <c r="AA893" s="44"/>
      <c r="AN893" s="50"/>
    </row>
    <row r="894" spans="27:40" x14ac:dyDescent="0.25">
      <c r="AA894" s="44"/>
      <c r="AN894" s="50"/>
    </row>
    <row r="895" spans="27:40" x14ac:dyDescent="0.25">
      <c r="AA895" s="42"/>
      <c r="AB895" s="43"/>
      <c r="AC895" s="43"/>
      <c r="AD895" s="43"/>
      <c r="AE895" s="43"/>
      <c r="AF895" s="43"/>
      <c r="AG895" s="43"/>
      <c r="AH895" s="43"/>
      <c r="AI895" s="43"/>
      <c r="AJ895" s="43"/>
      <c r="AK895" s="48"/>
      <c r="AL895" s="48"/>
      <c r="AM895" s="48"/>
      <c r="AN895" s="49"/>
    </row>
    <row r="896" spans="27:40" x14ac:dyDescent="0.25">
      <c r="AA896" s="44"/>
      <c r="AN896" s="50"/>
    </row>
    <row r="897" spans="27:40" x14ac:dyDescent="0.25">
      <c r="AA897" s="44"/>
      <c r="AN897" s="50"/>
    </row>
    <row r="898" spans="27:40" x14ac:dyDescent="0.25">
      <c r="AA898" s="42"/>
      <c r="AB898" s="43"/>
      <c r="AC898" s="43"/>
      <c r="AD898" s="43"/>
      <c r="AE898" s="43"/>
      <c r="AF898" s="43"/>
      <c r="AG898" s="43"/>
      <c r="AH898" s="43"/>
      <c r="AI898" s="43"/>
      <c r="AJ898" s="43"/>
      <c r="AK898" s="48"/>
      <c r="AL898" s="48"/>
      <c r="AM898" s="48"/>
      <c r="AN898" s="49"/>
    </row>
    <row r="899" spans="27:40" x14ac:dyDescent="0.25">
      <c r="AA899" s="44"/>
      <c r="AN899" s="50"/>
    </row>
    <row r="900" spans="27:40" x14ac:dyDescent="0.25">
      <c r="AA900" s="44"/>
      <c r="AN900" s="50"/>
    </row>
    <row r="901" spans="27:40" x14ac:dyDescent="0.25">
      <c r="AA901" s="42"/>
      <c r="AB901" s="43"/>
      <c r="AC901" s="43"/>
      <c r="AD901" s="43"/>
      <c r="AE901" s="43"/>
      <c r="AF901" s="43"/>
      <c r="AG901" s="43"/>
      <c r="AH901" s="43"/>
      <c r="AI901" s="43"/>
      <c r="AJ901" s="43"/>
      <c r="AK901" s="48"/>
      <c r="AL901" s="48"/>
      <c r="AM901" s="48"/>
      <c r="AN901" s="49"/>
    </row>
    <row r="902" spans="27:40" x14ac:dyDescent="0.25">
      <c r="AA902" s="44"/>
      <c r="AN902" s="50"/>
    </row>
    <row r="903" spans="27:40" x14ac:dyDescent="0.25">
      <c r="AA903" s="44"/>
      <c r="AN903" s="50"/>
    </row>
    <row r="904" spans="27:40" x14ac:dyDescent="0.25">
      <c r="AA904" s="42"/>
      <c r="AB904" s="43"/>
      <c r="AC904" s="43"/>
      <c r="AD904" s="43"/>
      <c r="AE904" s="43"/>
      <c r="AF904" s="43"/>
      <c r="AG904" s="43"/>
      <c r="AH904" s="43"/>
      <c r="AI904" s="43"/>
      <c r="AJ904" s="43"/>
      <c r="AK904" s="48"/>
      <c r="AL904" s="48"/>
      <c r="AM904" s="48"/>
      <c r="AN904" s="49"/>
    </row>
    <row r="905" spans="27:40" x14ac:dyDescent="0.25">
      <c r="AA905" s="44"/>
      <c r="AN905" s="50"/>
    </row>
    <row r="906" spans="27:40" x14ac:dyDescent="0.25">
      <c r="AA906" s="44"/>
      <c r="AN906" s="50"/>
    </row>
    <row r="907" spans="27:40" x14ac:dyDescent="0.25">
      <c r="AA907" s="42"/>
      <c r="AB907" s="43"/>
      <c r="AC907" s="43"/>
      <c r="AD907" s="43"/>
      <c r="AE907" s="43"/>
      <c r="AF907" s="43"/>
      <c r="AG907" s="43"/>
      <c r="AH907" s="43"/>
      <c r="AI907" s="43"/>
      <c r="AJ907" s="43"/>
      <c r="AK907" s="48"/>
      <c r="AL907" s="48"/>
      <c r="AM907" s="48"/>
      <c r="AN907" s="49"/>
    </row>
    <row r="908" spans="27:40" x14ac:dyDescent="0.25">
      <c r="AA908" s="44"/>
      <c r="AN908" s="50"/>
    </row>
    <row r="909" spans="27:40" x14ac:dyDescent="0.25">
      <c r="AA909" s="44"/>
      <c r="AN909" s="50"/>
    </row>
    <row r="910" spans="27:40" x14ac:dyDescent="0.25">
      <c r="AA910" s="42"/>
      <c r="AB910" s="43"/>
      <c r="AC910" s="43"/>
      <c r="AD910" s="43"/>
      <c r="AE910" s="43"/>
      <c r="AF910" s="43"/>
      <c r="AG910" s="43"/>
      <c r="AH910" s="43"/>
      <c r="AI910" s="43"/>
      <c r="AJ910" s="43"/>
      <c r="AK910" s="48"/>
      <c r="AL910" s="48"/>
      <c r="AM910" s="48"/>
      <c r="AN910" s="49"/>
    </row>
    <row r="911" spans="27:40" x14ac:dyDescent="0.25">
      <c r="AA911" s="44"/>
      <c r="AN911" s="50"/>
    </row>
    <row r="912" spans="27:40" x14ac:dyDescent="0.25">
      <c r="AA912" s="44"/>
      <c r="AN912" s="50"/>
    </row>
    <row r="913" spans="27:40" x14ac:dyDescent="0.25">
      <c r="AA913" s="42"/>
      <c r="AB913" s="43"/>
      <c r="AC913" s="43"/>
      <c r="AD913" s="43"/>
      <c r="AE913" s="43"/>
      <c r="AF913" s="43"/>
      <c r="AG913" s="43"/>
      <c r="AH913" s="43"/>
      <c r="AI913" s="43"/>
      <c r="AJ913" s="43"/>
      <c r="AK913" s="48"/>
      <c r="AL913" s="48"/>
      <c r="AM913" s="48"/>
      <c r="AN913" s="49"/>
    </row>
    <row r="914" spans="27:40" x14ac:dyDescent="0.25">
      <c r="AA914" s="44"/>
      <c r="AN914" s="50"/>
    </row>
    <row r="915" spans="27:40" x14ac:dyDescent="0.25">
      <c r="AA915" s="44"/>
      <c r="AN915" s="50"/>
    </row>
    <row r="916" spans="27:40" x14ac:dyDescent="0.25">
      <c r="AA916" s="42"/>
      <c r="AB916" s="43"/>
      <c r="AC916" s="43"/>
      <c r="AD916" s="43"/>
      <c r="AE916" s="43"/>
      <c r="AF916" s="43"/>
      <c r="AG916" s="43"/>
      <c r="AH916" s="43"/>
      <c r="AI916" s="43"/>
      <c r="AJ916" s="43"/>
      <c r="AK916" s="48"/>
      <c r="AL916" s="48"/>
      <c r="AM916" s="48"/>
      <c r="AN916" s="49"/>
    </row>
    <row r="917" spans="27:40" x14ac:dyDescent="0.25">
      <c r="AA917" s="44"/>
      <c r="AN917" s="50"/>
    </row>
    <row r="918" spans="27:40" x14ac:dyDescent="0.25">
      <c r="AA918" s="44"/>
      <c r="AN918" s="50"/>
    </row>
    <row r="919" spans="27:40" x14ac:dyDescent="0.25">
      <c r="AA919" s="42"/>
      <c r="AB919" s="43"/>
      <c r="AC919" s="43"/>
      <c r="AD919" s="43"/>
      <c r="AE919" s="43"/>
      <c r="AF919" s="43"/>
      <c r="AG919" s="43"/>
      <c r="AH919" s="43"/>
      <c r="AI919" s="43"/>
      <c r="AJ919" s="43"/>
      <c r="AK919" s="48"/>
      <c r="AL919" s="48"/>
      <c r="AM919" s="48"/>
      <c r="AN919" s="49"/>
    </row>
    <row r="920" spans="27:40" x14ac:dyDescent="0.25">
      <c r="AA920" s="44"/>
      <c r="AN920" s="50"/>
    </row>
    <row r="921" spans="27:40" x14ac:dyDescent="0.25">
      <c r="AA921" s="44"/>
      <c r="AN921" s="50"/>
    </row>
    <row r="922" spans="27:40" x14ac:dyDescent="0.25">
      <c r="AA922" s="42"/>
      <c r="AB922" s="43"/>
      <c r="AC922" s="43"/>
      <c r="AD922" s="43"/>
      <c r="AE922" s="43"/>
      <c r="AF922" s="43"/>
      <c r="AG922" s="43"/>
      <c r="AH922" s="43"/>
      <c r="AI922" s="43"/>
      <c r="AJ922" s="43"/>
      <c r="AK922" s="48"/>
      <c r="AL922" s="48"/>
      <c r="AM922" s="48"/>
      <c r="AN922" s="49"/>
    </row>
    <row r="923" spans="27:40" x14ac:dyDescent="0.25">
      <c r="AA923" s="44"/>
      <c r="AN923" s="50"/>
    </row>
    <row r="924" spans="27:40" x14ac:dyDescent="0.25">
      <c r="AA924" s="44"/>
      <c r="AN924" s="50"/>
    </row>
    <row r="925" spans="27:40" x14ac:dyDescent="0.25">
      <c r="AA925" s="42"/>
      <c r="AB925" s="43"/>
      <c r="AC925" s="43"/>
      <c r="AD925" s="43"/>
      <c r="AE925" s="43"/>
      <c r="AF925" s="43"/>
      <c r="AG925" s="43"/>
      <c r="AH925" s="43"/>
      <c r="AI925" s="43"/>
      <c r="AJ925" s="43"/>
      <c r="AK925" s="48"/>
      <c r="AL925" s="48"/>
      <c r="AM925" s="48"/>
      <c r="AN925" s="49"/>
    </row>
    <row r="926" spans="27:40" x14ac:dyDescent="0.25">
      <c r="AA926" s="44"/>
      <c r="AN926" s="50"/>
    </row>
    <row r="927" spans="27:40" x14ac:dyDescent="0.25">
      <c r="AA927" s="44"/>
      <c r="AN927" s="50"/>
    </row>
    <row r="928" spans="27:40" x14ac:dyDescent="0.25">
      <c r="AA928" s="42"/>
      <c r="AB928" s="43"/>
      <c r="AC928" s="43"/>
      <c r="AD928" s="43"/>
      <c r="AE928" s="43"/>
      <c r="AF928" s="43"/>
      <c r="AG928" s="43"/>
      <c r="AH928" s="43"/>
      <c r="AI928" s="43"/>
      <c r="AJ928" s="43"/>
      <c r="AK928" s="48"/>
      <c r="AL928" s="48"/>
      <c r="AM928" s="48"/>
      <c r="AN928" s="49"/>
    </row>
    <row r="929" spans="27:40" x14ac:dyDescent="0.25">
      <c r="AA929" s="44"/>
      <c r="AN929" s="50"/>
    </row>
    <row r="930" spans="27:40" x14ac:dyDescent="0.25">
      <c r="AA930" s="44"/>
      <c r="AN930" s="50"/>
    </row>
    <row r="931" spans="27:40" x14ac:dyDescent="0.25">
      <c r="AA931" s="42"/>
      <c r="AB931" s="43"/>
      <c r="AC931" s="43"/>
      <c r="AD931" s="43"/>
      <c r="AE931" s="43"/>
      <c r="AF931" s="43"/>
      <c r="AG931" s="43"/>
      <c r="AH931" s="43"/>
      <c r="AI931" s="43"/>
      <c r="AJ931" s="43"/>
      <c r="AK931" s="48"/>
      <c r="AL931" s="48"/>
      <c r="AM931" s="48"/>
      <c r="AN931" s="49"/>
    </row>
    <row r="932" spans="27:40" x14ac:dyDescent="0.25">
      <c r="AA932" s="44"/>
      <c r="AN932" s="50"/>
    </row>
    <row r="933" spans="27:40" x14ac:dyDescent="0.25">
      <c r="AA933" s="44"/>
      <c r="AN933" s="50"/>
    </row>
    <row r="934" spans="27:40" x14ac:dyDescent="0.25">
      <c r="AA934" s="42"/>
      <c r="AB934" s="43"/>
      <c r="AC934" s="43"/>
      <c r="AD934" s="43"/>
      <c r="AE934" s="43"/>
      <c r="AF934" s="43"/>
      <c r="AG934" s="43"/>
      <c r="AH934" s="43"/>
      <c r="AI934" s="43"/>
      <c r="AJ934" s="43"/>
      <c r="AK934" s="48"/>
      <c r="AL934" s="48"/>
      <c r="AM934" s="48"/>
      <c r="AN934" s="49"/>
    </row>
    <row r="935" spans="27:40" x14ac:dyDescent="0.25">
      <c r="AA935" s="44"/>
      <c r="AN935" s="50"/>
    </row>
    <row r="936" spans="27:40" x14ac:dyDescent="0.25">
      <c r="AA936" s="44"/>
      <c r="AN936" s="50"/>
    </row>
    <row r="937" spans="27:40" x14ac:dyDescent="0.25">
      <c r="AA937" s="42"/>
      <c r="AB937" s="43"/>
      <c r="AC937" s="43"/>
      <c r="AD937" s="43"/>
      <c r="AE937" s="43"/>
      <c r="AF937" s="43"/>
      <c r="AG937" s="43"/>
      <c r="AH937" s="43"/>
      <c r="AI937" s="43"/>
      <c r="AJ937" s="43"/>
      <c r="AK937" s="48"/>
      <c r="AL937" s="48"/>
      <c r="AM937" s="48"/>
      <c r="AN937" s="49"/>
    </row>
    <row r="938" spans="27:40" x14ac:dyDescent="0.25">
      <c r="AA938" s="44"/>
      <c r="AN938" s="50"/>
    </row>
    <row r="939" spans="27:40" x14ac:dyDescent="0.25">
      <c r="AA939" s="44"/>
      <c r="AN939" s="50"/>
    </row>
    <row r="940" spans="27:40" x14ac:dyDescent="0.25">
      <c r="AA940" s="42"/>
      <c r="AB940" s="43"/>
      <c r="AC940" s="43"/>
      <c r="AD940" s="43"/>
      <c r="AE940" s="43"/>
      <c r="AF940" s="43"/>
      <c r="AG940" s="43"/>
      <c r="AH940" s="43"/>
      <c r="AI940" s="43"/>
      <c r="AJ940" s="43"/>
      <c r="AK940" s="48"/>
      <c r="AL940" s="48"/>
      <c r="AM940" s="48"/>
      <c r="AN940" s="49"/>
    </row>
    <row r="941" spans="27:40" x14ac:dyDescent="0.25">
      <c r="AA941" s="44"/>
      <c r="AN941" s="50"/>
    </row>
    <row r="942" spans="27:40" x14ac:dyDescent="0.25">
      <c r="AA942" s="44"/>
      <c r="AN942" s="50"/>
    </row>
    <row r="943" spans="27:40" x14ac:dyDescent="0.25">
      <c r="AA943" s="42"/>
      <c r="AB943" s="43"/>
      <c r="AC943" s="43"/>
      <c r="AD943" s="43"/>
      <c r="AE943" s="43"/>
      <c r="AF943" s="43"/>
      <c r="AG943" s="43"/>
      <c r="AH943" s="43"/>
      <c r="AI943" s="43"/>
      <c r="AJ943" s="43"/>
      <c r="AK943" s="48"/>
      <c r="AL943" s="48"/>
      <c r="AM943" s="48"/>
      <c r="AN943" s="49"/>
    </row>
    <row r="944" spans="27:40" x14ac:dyDescent="0.25">
      <c r="AA944" s="44"/>
      <c r="AN944" s="50"/>
    </row>
    <row r="945" spans="27:40" x14ac:dyDescent="0.25">
      <c r="AA945" s="44"/>
      <c r="AN945" s="50"/>
    </row>
    <row r="946" spans="27:40" x14ac:dyDescent="0.25">
      <c r="AA946" s="42"/>
      <c r="AB946" s="43"/>
      <c r="AC946" s="43"/>
      <c r="AD946" s="43"/>
      <c r="AE946" s="43"/>
      <c r="AF946" s="43"/>
      <c r="AG946" s="43"/>
      <c r="AH946" s="43"/>
      <c r="AI946" s="43"/>
      <c r="AJ946" s="43"/>
      <c r="AK946" s="48"/>
      <c r="AL946" s="48"/>
      <c r="AM946" s="48"/>
      <c r="AN946" s="49"/>
    </row>
    <row r="947" spans="27:40" x14ac:dyDescent="0.25">
      <c r="AA947" s="44"/>
      <c r="AN947" s="50"/>
    </row>
    <row r="948" spans="27:40" x14ac:dyDescent="0.25">
      <c r="AA948" s="44"/>
      <c r="AN948" s="50"/>
    </row>
    <row r="949" spans="27:40" x14ac:dyDescent="0.25">
      <c r="AA949" s="42"/>
      <c r="AB949" s="43"/>
      <c r="AC949" s="43"/>
      <c r="AD949" s="43"/>
      <c r="AE949" s="43"/>
      <c r="AF949" s="43"/>
      <c r="AG949" s="43"/>
      <c r="AH949" s="43"/>
      <c r="AI949" s="43"/>
      <c r="AJ949" s="43"/>
      <c r="AK949" s="48"/>
      <c r="AL949" s="48"/>
      <c r="AM949" s="48"/>
      <c r="AN949" s="49"/>
    </row>
    <row r="950" spans="27:40" x14ac:dyDescent="0.25">
      <c r="AA950" s="44"/>
      <c r="AN950" s="50"/>
    </row>
    <row r="951" spans="27:40" x14ac:dyDescent="0.25">
      <c r="AA951" s="44"/>
      <c r="AN951" s="50"/>
    </row>
    <row r="952" spans="27:40" x14ac:dyDescent="0.25">
      <c r="AA952" s="42"/>
      <c r="AB952" s="43"/>
      <c r="AC952" s="43"/>
      <c r="AD952" s="43"/>
      <c r="AE952" s="43"/>
      <c r="AF952" s="43"/>
      <c r="AG952" s="43"/>
      <c r="AH952" s="43"/>
      <c r="AI952" s="43"/>
      <c r="AJ952" s="43"/>
      <c r="AK952" s="48"/>
      <c r="AL952" s="48"/>
      <c r="AM952" s="48"/>
      <c r="AN952" s="49"/>
    </row>
    <row r="953" spans="27:40" x14ac:dyDescent="0.25">
      <c r="AA953" s="44"/>
      <c r="AN953" s="50"/>
    </row>
    <row r="954" spans="27:40" x14ac:dyDescent="0.25">
      <c r="AA954" s="44"/>
      <c r="AN954" s="50"/>
    </row>
    <row r="955" spans="27:40" x14ac:dyDescent="0.25">
      <c r="AA955" s="42"/>
      <c r="AB955" s="43"/>
      <c r="AC955" s="43"/>
      <c r="AD955" s="43"/>
      <c r="AE955" s="43"/>
      <c r="AF955" s="43"/>
      <c r="AG955" s="43"/>
      <c r="AH955" s="43"/>
      <c r="AI955" s="43"/>
      <c r="AJ955" s="43"/>
      <c r="AK955" s="48"/>
      <c r="AL955" s="48"/>
      <c r="AM955" s="48"/>
      <c r="AN955" s="49"/>
    </row>
    <row r="956" spans="27:40" x14ac:dyDescent="0.25">
      <c r="AA956" s="44"/>
      <c r="AN956" s="50"/>
    </row>
    <row r="957" spans="27:40" x14ac:dyDescent="0.25">
      <c r="AA957" s="44"/>
      <c r="AN957" s="50"/>
    </row>
    <row r="958" spans="27:40" x14ac:dyDescent="0.25">
      <c r="AA958" s="42"/>
      <c r="AB958" s="43"/>
      <c r="AC958" s="43"/>
      <c r="AD958" s="43"/>
      <c r="AE958" s="43"/>
      <c r="AF958" s="43"/>
      <c r="AG958" s="43"/>
      <c r="AH958" s="43"/>
      <c r="AI958" s="43"/>
      <c r="AJ958" s="43"/>
      <c r="AK958" s="48"/>
      <c r="AL958" s="48"/>
      <c r="AM958" s="48"/>
      <c r="AN958" s="49"/>
    </row>
    <row r="959" spans="27:40" x14ac:dyDescent="0.25">
      <c r="AA959" s="44"/>
      <c r="AN959" s="50"/>
    </row>
    <row r="960" spans="27:40" x14ac:dyDescent="0.25">
      <c r="AA960" s="44"/>
      <c r="AN960" s="50"/>
    </row>
    <row r="961" spans="27:40" x14ac:dyDescent="0.25">
      <c r="AA961" s="42"/>
      <c r="AB961" s="43"/>
      <c r="AC961" s="43"/>
      <c r="AD961" s="43"/>
      <c r="AE961" s="43"/>
      <c r="AF961" s="43"/>
      <c r="AG961" s="43"/>
      <c r="AH961" s="43"/>
      <c r="AI961" s="43"/>
      <c r="AJ961" s="43"/>
      <c r="AK961" s="48"/>
      <c r="AL961" s="48"/>
      <c r="AM961" s="48"/>
      <c r="AN961" s="49"/>
    </row>
    <row r="962" spans="27:40" x14ac:dyDescent="0.25">
      <c r="AA962" s="44"/>
      <c r="AN962" s="50"/>
    </row>
    <row r="963" spans="27:40" x14ac:dyDescent="0.25">
      <c r="AA963" s="44"/>
      <c r="AN963" s="50"/>
    </row>
    <row r="964" spans="27:40" x14ac:dyDescent="0.25">
      <c r="AA964" s="42"/>
      <c r="AB964" s="43"/>
      <c r="AC964" s="43"/>
      <c r="AD964" s="43"/>
      <c r="AE964" s="43"/>
      <c r="AF964" s="43"/>
      <c r="AG964" s="43"/>
      <c r="AH964" s="43"/>
      <c r="AI964" s="43"/>
      <c r="AJ964" s="43"/>
      <c r="AK964" s="48"/>
      <c r="AL964" s="48"/>
      <c r="AM964" s="48"/>
      <c r="AN964" s="49"/>
    </row>
    <row r="965" spans="27:40" x14ac:dyDescent="0.25">
      <c r="AA965" s="44"/>
      <c r="AN965" s="50"/>
    </row>
    <row r="966" spans="27:40" x14ac:dyDescent="0.25">
      <c r="AA966" s="44"/>
      <c r="AN966" s="50"/>
    </row>
    <row r="967" spans="27:40" x14ac:dyDescent="0.25">
      <c r="AA967" s="42"/>
      <c r="AB967" s="43"/>
      <c r="AC967" s="43"/>
      <c r="AD967" s="43"/>
      <c r="AE967" s="43"/>
      <c r="AF967" s="43"/>
      <c r="AG967" s="43"/>
      <c r="AH967" s="43"/>
      <c r="AI967" s="43"/>
      <c r="AJ967" s="43"/>
      <c r="AK967" s="48"/>
      <c r="AL967" s="48"/>
      <c r="AM967" s="48"/>
      <c r="AN967" s="49"/>
    </row>
    <row r="968" spans="27:40" x14ac:dyDescent="0.25">
      <c r="AA968" s="44"/>
      <c r="AN968" s="50"/>
    </row>
    <row r="969" spans="27:40" x14ac:dyDescent="0.25">
      <c r="AA969" s="44"/>
      <c r="AN969" s="50"/>
    </row>
    <row r="970" spans="27:40" x14ac:dyDescent="0.25">
      <c r="AA970" s="42"/>
      <c r="AB970" s="43"/>
      <c r="AC970" s="43"/>
      <c r="AD970" s="43"/>
      <c r="AE970" s="43"/>
      <c r="AF970" s="43"/>
      <c r="AG970" s="43"/>
      <c r="AH970" s="43"/>
      <c r="AI970" s="43"/>
      <c r="AJ970" s="43"/>
      <c r="AK970" s="48"/>
      <c r="AL970" s="48"/>
      <c r="AM970" s="48"/>
      <c r="AN970" s="49"/>
    </row>
    <row r="971" spans="27:40" x14ac:dyDescent="0.25">
      <c r="AA971" s="44"/>
      <c r="AN971" s="50"/>
    </row>
    <row r="972" spans="27:40" x14ac:dyDescent="0.25">
      <c r="AA972" s="44"/>
      <c r="AN972" s="50"/>
    </row>
    <row r="973" spans="27:40" x14ac:dyDescent="0.25">
      <c r="AA973" s="42"/>
      <c r="AB973" s="43"/>
      <c r="AC973" s="43"/>
      <c r="AD973" s="43"/>
      <c r="AE973" s="43"/>
      <c r="AF973" s="43"/>
      <c r="AG973" s="43"/>
      <c r="AH973" s="43"/>
      <c r="AI973" s="43"/>
      <c r="AJ973" s="43"/>
      <c r="AK973" s="48"/>
      <c r="AL973" s="48"/>
      <c r="AM973" s="48"/>
      <c r="AN973" s="49"/>
    </row>
    <row r="974" spans="27:40" x14ac:dyDescent="0.25">
      <c r="AA974" s="44"/>
      <c r="AN974" s="50"/>
    </row>
    <row r="975" spans="27:40" x14ac:dyDescent="0.25">
      <c r="AA975" s="44"/>
      <c r="AN975" s="50"/>
    </row>
    <row r="976" spans="27:40" x14ac:dyDescent="0.25">
      <c r="AA976" s="42"/>
      <c r="AB976" s="43"/>
      <c r="AC976" s="43"/>
      <c r="AD976" s="43"/>
      <c r="AE976" s="43"/>
      <c r="AF976" s="43"/>
      <c r="AG976" s="43"/>
      <c r="AH976" s="43"/>
      <c r="AI976" s="43"/>
      <c r="AJ976" s="43"/>
      <c r="AK976" s="48"/>
      <c r="AL976" s="48"/>
      <c r="AM976" s="48"/>
      <c r="AN976" s="49"/>
    </row>
    <row r="977" spans="27:40" x14ac:dyDescent="0.25">
      <c r="AA977" s="44"/>
      <c r="AN977" s="50"/>
    </row>
    <row r="978" spans="27:40" x14ac:dyDescent="0.25">
      <c r="AA978" s="44"/>
      <c r="AN978" s="50"/>
    </row>
    <row r="979" spans="27:40" x14ac:dyDescent="0.25">
      <c r="AA979" s="42"/>
      <c r="AB979" s="43"/>
      <c r="AC979" s="43"/>
      <c r="AD979" s="43"/>
      <c r="AE979" s="43"/>
      <c r="AF979" s="43"/>
      <c r="AG979" s="43"/>
      <c r="AH979" s="43"/>
      <c r="AI979" s="43"/>
      <c r="AJ979" s="43"/>
      <c r="AK979" s="48"/>
      <c r="AL979" s="48"/>
      <c r="AM979" s="48"/>
      <c r="AN979" s="49"/>
    </row>
    <row r="980" spans="27:40" x14ac:dyDescent="0.25">
      <c r="AA980" s="44"/>
      <c r="AN980" s="50"/>
    </row>
    <row r="981" spans="27:40" x14ac:dyDescent="0.25">
      <c r="AA981" s="44"/>
      <c r="AN981" s="50"/>
    </row>
    <row r="982" spans="27:40" x14ac:dyDescent="0.25">
      <c r="AA982" s="42"/>
      <c r="AB982" s="43"/>
      <c r="AC982" s="43"/>
      <c r="AD982" s="43"/>
      <c r="AE982" s="43"/>
      <c r="AF982" s="43"/>
      <c r="AG982" s="43"/>
      <c r="AH982" s="43"/>
      <c r="AI982" s="43"/>
      <c r="AJ982" s="43"/>
      <c r="AK982" s="48"/>
      <c r="AL982" s="48"/>
      <c r="AM982" s="48"/>
      <c r="AN982" s="49"/>
    </row>
    <row r="983" spans="27:40" x14ac:dyDescent="0.25">
      <c r="AA983" s="44"/>
      <c r="AN983" s="50"/>
    </row>
    <row r="984" spans="27:40" x14ac:dyDescent="0.25">
      <c r="AA984" s="44"/>
      <c r="AN984" s="50"/>
    </row>
    <row r="985" spans="27:40" x14ac:dyDescent="0.25">
      <c r="AA985" s="42"/>
      <c r="AB985" s="43"/>
      <c r="AC985" s="43"/>
      <c r="AD985" s="43"/>
      <c r="AE985" s="43"/>
      <c r="AF985" s="43"/>
      <c r="AG985" s="43"/>
      <c r="AH985" s="43"/>
      <c r="AI985" s="43"/>
      <c r="AJ985" s="43"/>
      <c r="AK985" s="48"/>
      <c r="AL985" s="48"/>
      <c r="AM985" s="48"/>
      <c r="AN985" s="49"/>
    </row>
    <row r="986" spans="27:40" x14ac:dyDescent="0.25">
      <c r="AA986" s="44"/>
      <c r="AN986" s="50"/>
    </row>
    <row r="987" spans="27:40" x14ac:dyDescent="0.25">
      <c r="AA987" s="44"/>
      <c r="AN987" s="50"/>
    </row>
    <row r="988" spans="27:40" x14ac:dyDescent="0.25">
      <c r="AA988" s="42"/>
      <c r="AB988" s="43"/>
      <c r="AC988" s="43"/>
      <c r="AD988" s="43"/>
      <c r="AE988" s="43"/>
      <c r="AF988" s="43"/>
      <c r="AG988" s="43"/>
      <c r="AH988" s="43"/>
      <c r="AI988" s="43"/>
      <c r="AJ988" s="43"/>
      <c r="AK988" s="48"/>
      <c r="AL988" s="48"/>
      <c r="AM988" s="48"/>
      <c r="AN988" s="49"/>
    </row>
    <row r="989" spans="27:40" x14ac:dyDescent="0.25">
      <c r="AA989" s="44"/>
      <c r="AN989" s="50"/>
    </row>
    <row r="990" spans="27:40" x14ac:dyDescent="0.25">
      <c r="AA990" s="44"/>
      <c r="AN990" s="50"/>
    </row>
    <row r="991" spans="27:40" x14ac:dyDescent="0.25">
      <c r="AA991" s="42"/>
      <c r="AB991" s="43"/>
      <c r="AC991" s="43"/>
      <c r="AD991" s="43"/>
      <c r="AE991" s="43"/>
      <c r="AF991" s="43"/>
      <c r="AG991" s="43"/>
      <c r="AH991" s="43"/>
      <c r="AI991" s="43"/>
      <c r="AJ991" s="43"/>
      <c r="AK991" s="48"/>
      <c r="AL991" s="48"/>
      <c r="AM991" s="48"/>
      <c r="AN991" s="49"/>
    </row>
    <row r="992" spans="27:40" x14ac:dyDescent="0.25">
      <c r="AA992" s="44"/>
      <c r="AN992" s="50"/>
    </row>
    <row r="993" spans="27:40" x14ac:dyDescent="0.25">
      <c r="AA993" s="44"/>
      <c r="AN993" s="50"/>
    </row>
    <row r="994" spans="27:40" x14ac:dyDescent="0.25">
      <c r="AA994" s="42"/>
      <c r="AB994" s="43"/>
      <c r="AC994" s="43"/>
      <c r="AD994" s="43"/>
      <c r="AE994" s="43"/>
      <c r="AF994" s="43"/>
      <c r="AG994" s="43"/>
      <c r="AH994" s="43"/>
      <c r="AI994" s="43"/>
      <c r="AJ994" s="43"/>
      <c r="AK994" s="48"/>
      <c r="AL994" s="48"/>
      <c r="AM994" s="48"/>
      <c r="AN994" s="49"/>
    </row>
    <row r="995" spans="27:40" x14ac:dyDescent="0.25">
      <c r="AA995" s="44"/>
      <c r="AN995" s="50"/>
    </row>
    <row r="996" spans="27:40" x14ac:dyDescent="0.25">
      <c r="AA996" s="44"/>
      <c r="AN996" s="50"/>
    </row>
    <row r="997" spans="27:40" x14ac:dyDescent="0.25">
      <c r="AA997" s="42"/>
      <c r="AB997" s="43"/>
      <c r="AC997" s="43"/>
      <c r="AD997" s="43"/>
      <c r="AE997" s="43"/>
      <c r="AF997" s="43"/>
      <c r="AG997" s="43"/>
      <c r="AH997" s="43"/>
      <c r="AI997" s="43"/>
      <c r="AJ997" s="43"/>
      <c r="AK997" s="48"/>
      <c r="AL997" s="48"/>
      <c r="AM997" s="48"/>
      <c r="AN997" s="49"/>
    </row>
    <row r="998" spans="27:40" x14ac:dyDescent="0.25">
      <c r="AA998" s="44"/>
      <c r="AN998" s="50"/>
    </row>
    <row r="999" spans="27:40" x14ac:dyDescent="0.25">
      <c r="AA999" s="45"/>
      <c r="AB999" s="46"/>
      <c r="AC999" s="46"/>
      <c r="AD999" s="46"/>
      <c r="AE999" s="46"/>
      <c r="AF999" s="46"/>
      <c r="AG999" s="46"/>
      <c r="AH999" s="46"/>
      <c r="AI999" s="46"/>
      <c r="AJ999" s="46"/>
      <c r="AK999" s="51"/>
      <c r="AL999" s="51"/>
      <c r="AM999" s="51"/>
      <c r="AN999" s="52"/>
    </row>
  </sheetData>
  <mergeCells count="20">
    <mergeCell ref="A24:B24"/>
    <mergeCell ref="A6:E7"/>
    <mergeCell ref="A8:A9"/>
    <mergeCell ref="B8:B9"/>
    <mergeCell ref="C8:C9"/>
    <mergeCell ref="D8:D9"/>
    <mergeCell ref="E8:E9"/>
    <mergeCell ref="AN8:AN9"/>
    <mergeCell ref="AA6:AN7"/>
    <mergeCell ref="AG8:AG9"/>
    <mergeCell ref="AH8:AJ8"/>
    <mergeCell ref="AK8:AK9"/>
    <mergeCell ref="AL8:AL9"/>
    <mergeCell ref="AM8:AM9"/>
    <mergeCell ref="AA8:AA9"/>
    <mergeCell ref="AB8:AB9"/>
    <mergeCell ref="AC8:AC9"/>
    <mergeCell ref="AD8:AD9"/>
    <mergeCell ref="AF8:AF9"/>
    <mergeCell ref="AE8:AE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Tong hop</vt:lpstr>
      <vt:lpstr>ThepTam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2024-03-20T13:50:53Z</dcterms:created>
  <dcterms:modified xsi:type="dcterms:W3CDTF">2026-01-25T10:55:01Z</dcterms:modified>
</cp:coreProperties>
</file>