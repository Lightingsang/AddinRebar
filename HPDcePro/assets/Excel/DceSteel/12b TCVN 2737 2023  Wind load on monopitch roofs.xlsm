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DAD0D57D-C803-4BB5-9758-E25E168032EF}" xr6:coauthVersionLast="47" xr6:coauthVersionMax="47" xr10:uidLastSave="{00000000-0000-0000-0000-000000000000}"/>
  <bookViews>
    <workbookView xWindow="-28920" yWindow="-120" windowWidth="29040" windowHeight="15720" tabRatio="934" activeTab="2" xr2:uid="{00000000-000D-0000-FFFF-FFFF00000000}"/>
  </bookViews>
  <sheets>
    <sheet name="GustFactor" sheetId="151" r:id="rId1"/>
    <sheet name="MODEL" sheetId="150" r:id="rId2"/>
    <sheet name="TCVN" sheetId="149" r:id="rId3"/>
  </sheets>
  <functionGroups builtInGroupCount="19"/>
  <definedNames>
    <definedName name="_Fill" hidden="1">#REF!</definedName>
    <definedName name="_IND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AA">#REF!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Titles" localSheetId="0">GustFactor!#REF!</definedName>
    <definedName name="Shape">#REF!</definedName>
    <definedName name="Site_terrain_type">#REF!</definedName>
    <definedName name="Structural_type">#REF!</definedName>
    <definedName name="Structure">#REF!</definedName>
    <definedName name="Stype">#REF!</definedName>
    <definedName name="Type_of_surfac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7" i="149" l="1"/>
  <c r="D103" i="149"/>
  <c r="P103" i="149" s="1"/>
  <c r="D88" i="149"/>
  <c r="P88" i="149" s="1"/>
  <c r="P85" i="149"/>
  <c r="P69" i="149"/>
  <c r="C55" i="149"/>
  <c r="O40" i="149"/>
  <c r="M40" i="149"/>
  <c r="O37" i="149"/>
  <c r="M37" i="149"/>
  <c r="K40" i="149" a="1"/>
  <c r="K37" i="149" a="1"/>
  <c r="K40" i="149" l="1"/>
  <c r="K37" i="149"/>
  <c r="I37" i="149" l="1"/>
  <c r="I40" i="149"/>
  <c r="AF40" i="149"/>
  <c r="AF37" i="149"/>
  <c r="AF39" i="149"/>
  <c r="AF36" i="149"/>
  <c r="G37" i="149" s="1"/>
  <c r="AG40" i="149"/>
  <c r="AG39" i="149"/>
  <c r="M33" i="149"/>
  <c r="S33" i="149"/>
  <c r="Q33" i="149"/>
  <c r="O33" i="149"/>
  <c r="S32" i="149"/>
  <c r="Q32" i="149"/>
  <c r="O32" i="149"/>
  <c r="M32" i="149"/>
  <c r="O62" i="149" l="1"/>
  <c r="M62" i="149"/>
  <c r="K62" i="149"/>
  <c r="O61" i="149"/>
  <c r="M61" i="149"/>
  <c r="K61" i="149"/>
  <c r="I61" i="149"/>
  <c r="G61" i="149"/>
  <c r="E61" i="149"/>
  <c r="I62" i="149"/>
  <c r="G62" i="149"/>
  <c r="E62" i="149"/>
  <c r="G40" i="149"/>
  <c r="U47" i="149"/>
  <c r="Q47" i="149"/>
  <c r="O47" i="149"/>
  <c r="S47" i="149"/>
  <c r="W47" i="149"/>
  <c r="M48" i="149"/>
  <c r="G48" i="149"/>
  <c r="I48" i="149"/>
  <c r="E48" i="149"/>
  <c r="K48" i="149"/>
  <c r="G47" i="149"/>
  <c r="M47" i="149"/>
  <c r="E47" i="149"/>
  <c r="I47" i="149"/>
  <c r="K47" i="149"/>
  <c r="W48" i="149"/>
  <c r="O48" i="149"/>
  <c r="U48" i="149"/>
  <c r="S48" i="149"/>
  <c r="Q48" i="149"/>
  <c r="L54" i="151"/>
  <c r="J54" i="151"/>
  <c r="L53" i="151"/>
  <c r="H21" i="151" s="1"/>
  <c r="J53" i="151"/>
  <c r="L52" i="151"/>
  <c r="J52" i="151"/>
  <c r="K36" i="151"/>
  <c r="E36" i="151"/>
  <c r="K30" i="151"/>
  <c r="K29" i="151"/>
  <c r="K42" i="151" s="1"/>
  <c r="K45" i="151" s="1"/>
  <c r="B28" i="151"/>
  <c r="H24" i="151"/>
  <c r="H20" i="151"/>
  <c r="H19" i="151"/>
  <c r="H18" i="151"/>
  <c r="H23" i="151" s="1"/>
  <c r="H17" i="151"/>
  <c r="H22" i="151" s="1"/>
  <c r="H16" i="151"/>
  <c r="H15" i="151"/>
  <c r="H14" i="151"/>
  <c r="H13" i="151"/>
  <c r="H12" i="151"/>
  <c r="H25" i="151" s="1"/>
  <c r="H11" i="151"/>
  <c r="H10" i="151"/>
  <c r="E7" i="151"/>
  <c r="P76" i="149"/>
  <c r="C43" i="149"/>
  <c r="M22" i="149"/>
  <c r="AD85" i="149" s="1"/>
  <c r="K17" i="149"/>
  <c r="K16" i="149"/>
  <c r="T76" i="149"/>
  <c r="W76" i="149"/>
  <c r="C52" i="149"/>
  <c r="C51" i="149"/>
  <c r="C50" i="149"/>
  <c r="C49" i="149"/>
  <c r="C48" i="149"/>
  <c r="C47" i="149"/>
  <c r="C66" i="149"/>
  <c r="C65" i="149"/>
  <c r="C64" i="149"/>
  <c r="C63" i="149"/>
  <c r="C62" i="149"/>
  <c r="C61" i="149"/>
  <c r="C60" i="149"/>
  <c r="C59" i="149"/>
  <c r="C58" i="149"/>
  <c r="K33" i="149" s="1"/>
  <c r="C57" i="149"/>
  <c r="K32" i="149" s="1"/>
  <c r="N28" i="149"/>
  <c r="J28" i="149"/>
  <c r="N27" i="149"/>
  <c r="J27" i="149"/>
  <c r="E27" i="149"/>
  <c r="E28" i="149" s="1"/>
  <c r="I26" i="149"/>
  <c r="C26" i="149"/>
  <c r="C25" i="149"/>
  <c r="J21" i="149"/>
  <c r="J22" i="149"/>
  <c r="J20" i="149"/>
  <c r="J19" i="149"/>
  <c r="J18" i="149"/>
  <c r="C17" i="149"/>
  <c r="C16" i="149"/>
  <c r="C15" i="149"/>
  <c r="AJ85" i="149"/>
  <c r="AE85" i="149"/>
  <c r="AF85" i="149"/>
  <c r="AG85" i="149"/>
  <c r="AH85" i="149"/>
  <c r="AI85" i="149"/>
  <c r="Q37" i="149" l="1"/>
  <c r="Q40" i="149"/>
  <c r="K40" i="151"/>
  <c r="K39" i="151" s="1"/>
  <c r="E40" i="151"/>
  <c r="E39" i="151" s="1"/>
  <c r="E37" i="151"/>
  <c r="K41" i="151"/>
  <c r="K44" i="151" s="1"/>
  <c r="E41" i="151"/>
  <c r="E44" i="151" s="1"/>
  <c r="E43" i="151"/>
  <c r="E46" i="151" s="1"/>
  <c r="E42" i="151"/>
  <c r="E45" i="151" s="1"/>
  <c r="K43" i="151"/>
  <c r="K46" i="151" s="1"/>
  <c r="K37" i="151"/>
  <c r="AL85" i="149"/>
  <c r="AQ85" i="149"/>
  <c r="M58" i="149"/>
  <c r="K58" i="149"/>
  <c r="O58" i="149"/>
  <c r="M57" i="149"/>
  <c r="O57" i="149"/>
  <c r="AN85" i="149"/>
  <c r="AV85" i="149"/>
  <c r="AS85" i="149"/>
  <c r="AU85" i="149"/>
  <c r="AO85" i="149"/>
  <c r="AR85" i="149"/>
  <c r="AM85" i="149"/>
  <c r="AT85" i="149"/>
  <c r="K60" i="149" l="1"/>
  <c r="G63" i="149"/>
  <c r="O60" i="149"/>
  <c r="I64" i="149"/>
  <c r="S50" i="149"/>
  <c r="U49" i="149"/>
  <c r="E64" i="149"/>
  <c r="I49" i="149"/>
  <c r="K64" i="149"/>
  <c r="G49" i="149"/>
  <c r="Q50" i="149"/>
  <c r="I63" i="149"/>
  <c r="M64" i="149"/>
  <c r="O63" i="149"/>
  <c r="S49" i="149"/>
  <c r="W49" i="149"/>
  <c r="K59" i="149"/>
  <c r="O59" i="149"/>
  <c r="K50" i="149"/>
  <c r="M59" i="149"/>
  <c r="Q49" i="149"/>
  <c r="O50" i="149"/>
  <c r="E49" i="149"/>
  <c r="G50" i="149"/>
  <c r="U50" i="149"/>
  <c r="E63" i="149"/>
  <c r="M50" i="149"/>
  <c r="I50" i="149"/>
  <c r="M49" i="149"/>
  <c r="O49" i="149"/>
  <c r="E60" i="149"/>
  <c r="S46" i="149"/>
  <c r="K49" i="149"/>
  <c r="G64" i="149"/>
  <c r="M60" i="149"/>
  <c r="M63" i="149"/>
  <c r="W50" i="149"/>
  <c r="K63" i="149"/>
  <c r="O64" i="149"/>
  <c r="E50" i="149"/>
  <c r="E33" i="151"/>
  <c r="E38" i="151"/>
  <c r="K38" i="151"/>
  <c r="K33" i="151" s="1"/>
  <c r="G45" i="149"/>
  <c r="Q45" i="149" s="1"/>
  <c r="Q46" i="149" s="1"/>
  <c r="E45" i="149"/>
  <c r="O45" i="149" s="1"/>
  <c r="O46" i="149" s="1"/>
  <c r="M45" i="149"/>
  <c r="W45" i="149" s="1"/>
  <c r="W46" i="149" s="1"/>
  <c r="K45" i="149"/>
  <c r="U45" i="149" s="1"/>
  <c r="U46" i="149" s="1"/>
  <c r="I45" i="149"/>
  <c r="S45" i="149" s="1"/>
  <c r="E57" i="149"/>
  <c r="E58" i="149" s="1"/>
  <c r="G57" i="149"/>
  <c r="G58" i="149" s="1"/>
  <c r="G60" i="149" s="1"/>
  <c r="I57" i="149"/>
  <c r="I58" i="149" s="1"/>
  <c r="I60" i="149" s="1"/>
  <c r="I66" i="149" l="1"/>
  <c r="D95" i="149" s="1"/>
  <c r="G59" i="149"/>
  <c r="G65" i="149" s="1"/>
  <c r="G101" i="149" s="1"/>
  <c r="K46" i="149"/>
  <c r="G66" i="149"/>
  <c r="G102" i="149" s="1"/>
  <c r="G46" i="149"/>
  <c r="E66" i="149"/>
  <c r="D102" i="149" s="1"/>
  <c r="M46" i="149"/>
  <c r="I59" i="149"/>
  <c r="I65" i="149" s="1"/>
  <c r="D94" i="149" s="1"/>
  <c r="E46" i="149"/>
  <c r="I46" i="149"/>
  <c r="E59" i="149"/>
  <c r="E65" i="149" s="1"/>
  <c r="D101" i="149" s="1"/>
  <c r="O65" i="149"/>
  <c r="P97" i="149" s="1"/>
  <c r="E52" i="149" l="1"/>
  <c r="Q52" i="149"/>
  <c r="W72" i="149" s="1"/>
  <c r="Q51" i="149"/>
  <c r="W71" i="149" s="1"/>
  <c r="I52" i="149"/>
  <c r="D78" i="149" s="1"/>
  <c r="M52" i="149"/>
  <c r="J78" i="149" s="1"/>
  <c r="M66" i="149"/>
  <c r="S91" i="149" s="1"/>
  <c r="U51" i="149"/>
  <c r="T77" i="149" s="1"/>
  <c r="U52" i="149"/>
  <c r="T78" i="149" s="1"/>
  <c r="K52" i="149"/>
  <c r="O66" i="149"/>
  <c r="P98" i="149" s="1"/>
  <c r="G51" i="149"/>
  <c r="M65" i="149"/>
  <c r="S90" i="149" s="1"/>
  <c r="K66" i="149"/>
  <c r="P91" i="149" s="1"/>
  <c r="W91" i="149" s="1"/>
  <c r="K65" i="149"/>
  <c r="P90" i="149" s="1"/>
  <c r="W90" i="149" s="1"/>
  <c r="M51" i="149"/>
  <c r="J77" i="149" s="1"/>
  <c r="K51" i="149"/>
  <c r="I51" i="149"/>
  <c r="G52" i="149"/>
  <c r="E51" i="149"/>
  <c r="K101" i="149" l="1"/>
  <c r="K102" i="149"/>
  <c r="D71" i="149"/>
  <c r="G78" i="149"/>
  <c r="D83" i="149"/>
  <c r="G77" i="149"/>
  <c r="D72" i="149"/>
  <c r="D77" i="149"/>
  <c r="D84" i="149"/>
  <c r="S51" i="149"/>
  <c r="W77" i="149" s="1"/>
  <c r="S52" i="149"/>
  <c r="W78" i="149" s="1"/>
  <c r="O52" i="149"/>
  <c r="W84" i="149" s="1"/>
  <c r="O51" i="149"/>
  <c r="W83" i="149" s="1"/>
  <c r="W52" i="149"/>
  <c r="P78" i="149" s="1"/>
  <c r="W51" i="149"/>
  <c r="P77" i="14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<sst xmlns="http://schemas.openxmlformats.org/spreadsheetml/2006/main" count="412" uniqueCount="294">
  <si>
    <t>C</t>
  </si>
  <si>
    <t>B</t>
  </si>
  <si>
    <t>II</t>
  </si>
  <si>
    <t>III</t>
  </si>
  <si>
    <t>IV</t>
  </si>
  <si>
    <t>I</t>
  </si>
  <si>
    <t>Project's code:</t>
  </si>
  <si>
    <t>Rev. No.</t>
  </si>
  <si>
    <t>Project:</t>
  </si>
  <si>
    <t>Date:</t>
  </si>
  <si>
    <t>The owner:</t>
  </si>
  <si>
    <t>V</t>
  </si>
  <si>
    <t>Zone</t>
  </si>
  <si>
    <t>W3s,20</t>
  </si>
  <si>
    <t>A</t>
  </si>
  <si>
    <t xml:space="preserve">Terrain </t>
  </si>
  <si>
    <t>zg</t>
  </si>
  <si>
    <t>zmin</t>
  </si>
  <si>
    <t>a</t>
  </si>
  <si>
    <t>k(ze)max</t>
  </si>
  <si>
    <t>Wind pressure acting on the surfaces:</t>
  </si>
  <si>
    <t>F</t>
  </si>
  <si>
    <t>G</t>
  </si>
  <si>
    <t>H</t>
  </si>
  <si>
    <t>Góc dốc</t>
  </si>
  <si>
    <r>
      <t xml:space="preserve">Góc hướng gió </t>
    </r>
    <r>
      <rPr>
        <sz val="10"/>
        <color indexed="12"/>
        <rFont val="Symbol"/>
        <family val="1"/>
        <charset val="2"/>
      </rPr>
      <t>q</t>
    </r>
    <r>
      <rPr>
        <sz val="10"/>
        <color indexed="12"/>
        <rFont val="Arial"/>
        <family val="2"/>
      </rPr>
      <t>=0</t>
    </r>
    <r>
      <rPr>
        <vertAlign val="superscript"/>
        <sz val="10"/>
        <color rgb="FF0000FF"/>
        <rFont val="Arial"/>
        <family val="2"/>
      </rPr>
      <t>0</t>
    </r>
  </si>
  <si>
    <t>Tất cả giá trị âm</t>
  </si>
  <si>
    <t>Tất cả giá trị dương</t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</si>
  <si>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180</t>
    </r>
    <r>
      <rPr>
        <vertAlign val="superscript"/>
        <sz val="10"/>
        <color rgb="FF0000FF"/>
        <rFont val="Arial"/>
        <family val="2"/>
      </rPr>
      <t>0</t>
    </r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</si>
  <si>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90</t>
    </r>
    <r>
      <rPr>
        <vertAlign val="superscript"/>
        <sz val="10"/>
        <color rgb="FF0000FF"/>
        <rFont val="Arial"/>
        <family val="2"/>
      </rPr>
      <t>0</t>
    </r>
  </si>
  <si>
    <t>Fup</t>
  </si>
  <si>
    <t>Fdown</t>
  </si>
  <si>
    <t>BUILDING (STRUCTURE) DATA</t>
  </si>
  <si>
    <t>SITE DATA</t>
  </si>
  <si>
    <t>Structure:</t>
  </si>
  <si>
    <t>Site terrain type:</t>
  </si>
  <si>
    <t>Structural type:</t>
  </si>
  <si>
    <t>COEFFICIENTS AND FACTORS</t>
  </si>
  <si>
    <t>Monopitch roofs</t>
  </si>
  <si>
    <r>
      <t>c</t>
    </r>
    <r>
      <rPr>
        <vertAlign val="subscript"/>
        <sz val="11"/>
        <color theme="1"/>
        <rFont val="Calibri"/>
        <family val="2"/>
        <scheme val="minor"/>
      </rPr>
      <t>pe</t>
    </r>
    <r>
      <rPr>
        <sz val="11"/>
        <color theme="1"/>
        <rFont val="Calibri"/>
        <family val="2"/>
        <scheme val="minor"/>
      </rPr>
      <t xml:space="preserve"> =</t>
    </r>
  </si>
  <si>
    <t>Steel building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</si>
  <si>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</si>
  <si>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</si>
  <si>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</si>
  <si>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</si>
  <si>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</si>
  <si>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</si>
  <si>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Case 1</t>
  </si>
  <si>
    <t>Case 2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</si>
  <si>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</si>
  <si>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  <scheme val="minor"/>
      </rPr>
      <t>up</t>
    </r>
  </si>
  <si>
    <r>
      <t>F</t>
    </r>
    <r>
      <rPr>
        <vertAlign val="subscript"/>
        <sz val="11"/>
        <color theme="1"/>
        <rFont val="Calibri"/>
        <family val="2"/>
        <scheme val="minor"/>
      </rPr>
      <t>low</t>
    </r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</si>
  <si>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</si>
  <si>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</si>
  <si>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t>EN</t>
  </si>
  <si>
    <t>VN</t>
  </si>
  <si>
    <t>Mã dự án</t>
  </si>
  <si>
    <t>Dự án</t>
  </si>
  <si>
    <t>Chủ đầu tư</t>
  </si>
  <si>
    <t>Item</t>
  </si>
  <si>
    <t>Hạng mục</t>
  </si>
  <si>
    <t>Hiệu chỉnh</t>
  </si>
  <si>
    <t>Ngày</t>
  </si>
  <si>
    <t>Design</t>
  </si>
  <si>
    <t>Thiết kế</t>
  </si>
  <si>
    <t>Check</t>
  </si>
  <si>
    <t>Kiểm tra</t>
  </si>
  <si>
    <t>Design code:</t>
  </si>
  <si>
    <t>Tiêu chuẩn thiết kế:</t>
  </si>
  <si>
    <t>TCVN 2737:2023 Loads and Action - Design standard</t>
  </si>
  <si>
    <t>TCVN 2737:2023 Tải trọng và tác động - Tiêu chuẩn thiết kế</t>
  </si>
  <si>
    <t>Section F.2.1 Flat roofs are defined as having a angle</t>
  </si>
  <si>
    <t>Mục F.2.1 Mái bằng khi có góc dốc</t>
  </si>
  <si>
    <t>KÍCH THƯỚC HÌNH HỌC</t>
  </si>
  <si>
    <t>Kết cấu:</t>
  </si>
  <si>
    <t>Flat roof</t>
  </si>
  <si>
    <t>Mái bằng</t>
  </si>
  <si>
    <t>Loại kết cấu:</t>
  </si>
  <si>
    <t>Type of roof:</t>
  </si>
  <si>
    <t>Loại mái:</t>
  </si>
  <si>
    <t>Roof / building width</t>
  </si>
  <si>
    <t>Chiều rộng nhà / mái</t>
  </si>
  <si>
    <t>Roof / building length</t>
  </si>
  <si>
    <t>Chiều dài nhà / mái</t>
  </si>
  <si>
    <t>Building height</t>
  </si>
  <si>
    <t>Chiều cao nhà</t>
  </si>
  <si>
    <t>Parapet height</t>
  </si>
  <si>
    <t>Chiều cao tường chắn</t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</si>
  <si>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</si>
  <si>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</si>
  <si>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</si>
  <si>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</si>
  <si>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</si>
  <si>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</si>
  <si>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DỮ LIỆU CÔNG TRÌNH</t>
  </si>
  <si>
    <t>Vùng</t>
  </si>
  <si>
    <t>Dạng địa hình</t>
  </si>
  <si>
    <t>HỆ SỐ</t>
  </si>
  <si>
    <t>Internal pressure coefficient</t>
  </si>
  <si>
    <t>Hệ số khí động áp lực bên trong</t>
  </si>
  <si>
    <t>Trường hợp 1</t>
  </si>
  <si>
    <t>Trường hợp 2</t>
  </si>
  <si>
    <t>CALCULATIONS: WIND PRESSURES FOR ROOF</t>
  </si>
  <si>
    <t>TÍNH TOÁN ÁP LỰC GIÓ</t>
  </si>
  <si>
    <t>Reference height</t>
  </si>
  <si>
    <t>Chiều cao tham chiếu</t>
  </si>
  <si>
    <t xml:space="preserve">Terrain factor </t>
  </si>
  <si>
    <t>Hệ số thay đổi theo độ cao và địa hình</t>
  </si>
  <si>
    <t>(Section 10.2.2)</t>
  </si>
  <si>
    <t>(Mục 10.2.2)</t>
  </si>
  <si>
    <t>TH1</t>
  </si>
  <si>
    <t>TH2</t>
  </si>
  <si>
    <t>Áp lực gió tác dụng lên bề mặt:</t>
  </si>
  <si>
    <t>Roof angle</t>
  </si>
  <si>
    <t>Góc nghiêng mái</t>
  </si>
  <si>
    <t>Roof slope</t>
  </si>
  <si>
    <t>Độ dốc mái</t>
  </si>
  <si>
    <t>CALCULATIONS: WIND PRESSURES FOR ROOF (WIND X)</t>
  </si>
  <si>
    <t>TÍNH TOÁN ÁP LỰC GIÓ LÊN MÁI (PHƯƠNG X)</t>
  </si>
  <si>
    <t>CALCULATIONS: WIND PRESSURES FOR ROOF (WIND Y)</t>
  </si>
  <si>
    <t>TÍNH TOÁN ÁP LỰC GIÓ LÊN MÁI (PHƯƠNG Y)</t>
  </si>
  <si>
    <t>Ridge or trough</t>
  </si>
  <si>
    <t>Đường nóc</t>
  </si>
  <si>
    <t>RC building</t>
  </si>
  <si>
    <t>/ Nhà BTCT</t>
  </si>
  <si>
    <t>/ Nhà thép</t>
  </si>
  <si>
    <t>h [m] =</t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</si>
  <si>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[deg] =</t>
    </r>
  </si>
  <si>
    <t>i =</t>
  </si>
  <si>
    <t>HẠNG MỤC</t>
  </si>
  <si>
    <t>NHÀ KHO</t>
  </si>
  <si>
    <t>TÍNH TOÁN TẢI TRỌNG GIÓ THEO TIÊU CHUẨN VIỆT NAM 2737-2023
(ÁP DỤNG NHÀ MÁI DỐC MỘT PHÍA, MẶT BẰNG HÌNH CHỮ NHẬT)</t>
  </si>
  <si>
    <r>
      <t>Vùng F</t>
    </r>
    <r>
      <rPr>
        <vertAlign val="subscript"/>
        <sz val="11"/>
        <color theme="1"/>
        <rFont val="Calibri"/>
        <family val="2"/>
        <scheme val="minor"/>
      </rPr>
      <t>up</t>
    </r>
  </si>
  <si>
    <t>Vùng G</t>
  </si>
  <si>
    <t>Vùng H</t>
  </si>
  <si>
    <t>Vùng I</t>
  </si>
  <si>
    <r>
      <t>Vùng F</t>
    </r>
    <r>
      <rPr>
        <vertAlign val="subscript"/>
        <sz val="11"/>
        <color theme="1"/>
        <rFont val="Calibri"/>
        <family val="2"/>
        <scheme val="minor"/>
      </rPr>
      <t>low</t>
    </r>
  </si>
  <si>
    <t>Vùng F</t>
  </si>
  <si>
    <t>I. Kích thước hình học</t>
  </si>
  <si>
    <t>Bước cột dọc nhà</t>
  </si>
  <si>
    <t>6+7x8+6</t>
  </si>
  <si>
    <t>Bước cột khung giữa</t>
  </si>
  <si>
    <t>Bước cột khung đầu hồi</t>
  </si>
  <si>
    <t>4x7.5</t>
  </si>
  <si>
    <t>Cổ cột</t>
  </si>
  <si>
    <t>II. Vật liệu</t>
  </si>
  <si>
    <t>Bê tông</t>
  </si>
  <si>
    <t>B25</t>
  </si>
  <si>
    <t>Thép tổ hợp</t>
  </si>
  <si>
    <t>Q345</t>
  </si>
  <si>
    <t>Thép đai</t>
  </si>
  <si>
    <t>CB240-T</t>
  </si>
  <si>
    <t>Thép hình</t>
  </si>
  <si>
    <t>Q235</t>
  </si>
  <si>
    <t>Thép dọc</t>
  </si>
  <si>
    <t>CB400-V</t>
  </si>
  <si>
    <t>III. Tiết diện hình học</t>
  </si>
  <si>
    <t>Khung giữa</t>
  </si>
  <si>
    <t>Khung đầu hồi</t>
  </si>
  <si>
    <t>Kèo</t>
  </si>
  <si>
    <t>800x6+200x12</t>
  </si>
  <si>
    <t>400x6+200x10</t>
  </si>
  <si>
    <t>Cột biên</t>
  </si>
  <si>
    <t>(300-500)x5+200x10</t>
  </si>
  <si>
    <t>400x5+200x10</t>
  </si>
  <si>
    <t>Cột giữa</t>
  </si>
  <si>
    <t>500x5+200x8</t>
  </si>
  <si>
    <t>Giằng X</t>
  </si>
  <si>
    <t>Rod 20</t>
  </si>
  <si>
    <t>C500x500</t>
  </si>
  <si>
    <t>Giằng dọc</t>
  </si>
  <si>
    <t>SHS 100x3</t>
  </si>
  <si>
    <t>Dầm biên</t>
  </si>
  <si>
    <t>B300x600</t>
  </si>
  <si>
    <t>Chiều cao cột trục A</t>
  </si>
  <si>
    <t>Chiều cao cột trục B</t>
  </si>
  <si>
    <t>Cột</t>
  </si>
  <si>
    <t>Open ratio for each wind direction</t>
  </si>
  <si>
    <t>Độ hở của tường chắn</t>
  </si>
  <si>
    <t>Hệ số áp lực trong (phụ lục F12)</t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</si>
  <si>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</si>
  <si>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DIAGRAM: ZONES OF DUOPITCH ROOF</t>
  </si>
  <si>
    <t>SƠ ĐỒ PHÂN CHIA VÙNG ÁP LỰC GIÓ</t>
  </si>
  <si>
    <t>TÍNH TOÁN HỆ SỐ HIỆU ỨNG GIẬT Gf</t>
  </si>
  <si>
    <t>1. Dữ liệu tính toán</t>
  </si>
  <si>
    <t>Chiều cao nhà từ mặt đất (m)</t>
  </si>
  <si>
    <t>Chiều cao lan can tầng mái:</t>
  </si>
  <si>
    <t>m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</si>
  <si>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</si>
  <si>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</si>
  <si>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</si>
  <si>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</si>
  <si>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</si>
  <si>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</si>
  <si>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</si>
  <si>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</si>
  <si>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</si>
  <si>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</si>
  <si>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</si>
  <si>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</si>
  <si>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</si>
  <si>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</si>
  <si>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</si>
  <si>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</si>
  <si>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</si>
  <si>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</si>
  <si>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</si>
  <si>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</si>
  <si>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</si>
  <si>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</si>
  <si>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</si>
  <si>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</si>
  <si>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</si>
  <si>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</si>
  <si>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</si>
  <si>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</si>
  <si>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</si>
  <si>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</si>
  <si>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</si>
  <si>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</si>
  <si>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</si>
  <si>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</si>
  <si>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</si>
  <si>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</si>
  <si>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</si>
  <si>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</si>
  <si>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</si>
  <si>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</si>
  <si>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</si>
  <si>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</si>
  <si>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</si>
  <si>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</si>
  <si>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</si>
  <si>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</si>
  <si>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</si>
  <si>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</si>
  <si>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</si>
  <si>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</si>
  <si>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</si>
  <si>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</si>
  <si>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</si>
  <si>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</si>
  <si>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</si>
  <si>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</si>
  <si>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</si>
  <si>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</si>
  <si>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</si>
  <si>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</si>
  <si>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</si>
  <si>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</si>
  <si>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</si>
  <si>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</si>
  <si>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</si>
  <si>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</si>
  <si>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</si>
  <si>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</si>
  <si>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</si>
  <si>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</si>
  <si>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Ly [m] =</t>
  </si>
  <si>
    <t>Lx [m] =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</si>
  <si>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</si>
  <si>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</si>
  <si>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</si>
  <si>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ÁP LỰC GIÓ</t>
  </si>
  <si>
    <t>Wx+</t>
  </si>
  <si>
    <t>Wx-</t>
  </si>
  <si>
    <t>Wy+</t>
  </si>
  <si>
    <t>Wy-</t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</si>
  <si>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0"/>
        <rFont val="Arial"/>
      </rPr>
      <t xml:space="preserve"> -</t>
    </r>
  </si>
  <si>
    <t>Tải trọng</t>
  </si>
  <si>
    <r>
      <t>G</t>
    </r>
    <r>
      <rPr>
        <vertAlign val="subscript"/>
        <sz val="11"/>
        <rFont val="Calibri"/>
        <family val="2"/>
        <scheme val="minor"/>
      </rPr>
      <t>f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</si>
  <si>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</si>
  <si>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</si>
  <si>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t>b (m)</t>
  </si>
  <si>
    <t>d (m)</t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</si>
  <si>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</si>
  <si>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DIRECTION X / PHƯƠNG X</t>
  </si>
  <si>
    <t>DIRECTION Y / PHƯƠNG Y</t>
  </si>
  <si>
    <t>Lựa chọn giá trị phương thức</t>
  </si>
  <si>
    <t>Công thức tính toán sơ bộ theo phụ lục</t>
  </si>
  <si>
    <t>Phương
X</t>
  </si>
  <si>
    <t>Đơn giản</t>
  </si>
  <si>
    <t>Tính toán</t>
  </si>
  <si>
    <t>Công thức tính toán theo sheet bên cạnh</t>
  </si>
  <si>
    <t>Phương
Y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</si>
  <si>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k </t>
    </r>
    <r>
      <rPr>
        <sz val="11"/>
        <color theme="1"/>
        <rFont val="Calibri"/>
        <family val="2"/>
        <scheme val="minor"/>
      </rPr>
      <t>=</t>
    </r>
  </si>
  <si>
    <t>GIÓ X+</t>
  </si>
  <si>
    <t>GIÓ X-</t>
  </si>
  <si>
    <t>GIÓ Y+</t>
  </si>
  <si>
    <t>GIÓ Y-</t>
  </si>
  <si>
    <t>Đỉnh mái</t>
  </si>
  <si>
    <t>Chân mái</t>
  </si>
  <si>
    <t>SƠ ĐỒ PHÂN CHIA VÙNG ÁP LỰC GIÓ (GIÓ X)</t>
  </si>
  <si>
    <t>SƠ ĐỒ PHÂN CHIA VÙNG ÁP LỰC GIÓ (GIÓ 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</si>
</sst>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&quot;$&quot;#,##0\ ;\(&quot;$&quot;#,##0\)"/>
    <numFmt numFmtId="166" formatCode="0.0%"/>
    <numFmt numFmtId="167" formatCode="0.0"/>
  </numFmts>
  <fonts count="9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12"/>
      <name val="Symbol"/>
      <family val="1"/>
      <charset val="2"/>
    </font>
    <font>
      <sz val="10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sz val="10"/>
      <color rgb="FF0000FF"/>
      <name val="Arial"/>
      <family val="2"/>
    </font>
    <font>
      <vertAlign val="superscript"/>
      <sz val="10"/>
      <color rgb="FF0000FF"/>
      <name val="Arial"/>
      <family val="2"/>
    </font>
    <font>
      <sz val="10"/>
      <name val="Arial"/>
      <family val="2"/>
    </font>
    <font>
      <sz val="10"/>
      <name val="Arial CE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rgb="FFC00000"/>
      <name val="Arial"/>
      <family val="2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6"/>
      <color rgb="FFC00000"/>
      <name val="Arial"/>
      <family val="2"/>
    </font>
    <font>
      <sz val="16"/>
      <name val="Calibri"/>
      <family val="2"/>
      <scheme val="minor"/>
    </font>
    <font>
      <sz val="16"/>
      <color rgb="FFFF0000"/>
      <name val="Arial"/>
      <family val="2"/>
    </font>
    <font>
      <i/>
      <u/>
      <sz val="1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b/>
      <sz val="11"/>
      <color theme="0"/>
      <name val="Arial"/>
      <family val="2"/>
    </font>
    <font>
      <b/>
      <sz val="10"/>
      <color rgb="FF0070C0"/>
      <name val="Arial"/>
      <family val="2"/>
    </font>
    <font>
      <sz val="11"/>
      <color rgb="FF0000CC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theme="1"/>
      <name val="Calibri"/>
      <family val="2"/>
    </font>
    <font>
      <u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4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53">
    <xf numFmtId="0" fontId="0" fillId="0" borderId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9" borderId="0" applyNumberFormat="0" applyBorder="0" applyAlignment="0" applyProtection="0"/>
    <xf numFmtId="0" fontId="23" fillId="3" borderId="0" applyNumberFormat="0" applyBorder="0" applyAlignment="0" applyProtection="0"/>
    <xf numFmtId="0" fontId="24" fillId="20" borderId="1" applyNumberFormat="0" applyAlignment="0" applyProtection="0"/>
    <xf numFmtId="0" fontId="25" fillId="21" borderId="2" applyNumberFormat="0" applyAlignment="0" applyProtection="0"/>
    <xf numFmtId="3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26" fillId="0" borderId="0" applyNumberFormat="0" applyFill="0" applyBorder="0" applyAlignment="0" applyProtection="0"/>
    <xf numFmtId="2" fontId="18" fillId="0" borderId="0" applyFont="0" applyFill="0" applyBorder="0" applyAlignment="0" applyProtection="0"/>
    <xf numFmtId="0" fontId="27" fillId="4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8" fillId="0" borderId="3" applyNumberFormat="0" applyFill="0" applyAlignment="0" applyProtection="0"/>
    <xf numFmtId="0" fontId="28" fillId="0" borderId="0" applyNumberFormat="0" applyFill="0" applyBorder="0" applyAlignment="0" applyProtection="0"/>
    <xf numFmtId="0" fontId="29" fillId="7" borderId="1" applyNumberFormat="0" applyAlignment="0" applyProtection="0"/>
    <xf numFmtId="0" fontId="30" fillId="0" borderId="4" applyNumberFormat="0" applyFill="0" applyAlignment="0" applyProtection="0"/>
    <xf numFmtId="0" fontId="31" fillId="22" borderId="0" applyNumberFormat="0" applyBorder="0" applyAlignment="0" applyProtection="0"/>
    <xf numFmtId="0" fontId="13" fillId="0" borderId="0"/>
    <xf numFmtId="0" fontId="15" fillId="23" borderId="5" applyNumberFormat="0" applyFont="0" applyAlignment="0" applyProtection="0"/>
    <xf numFmtId="0" fontId="32" fillId="20" borderId="6" applyNumberFormat="0" applyAlignment="0" applyProtection="0"/>
    <xf numFmtId="49" fontId="35" fillId="0" borderId="0">
      <alignment horizontal="left" vertical="center"/>
    </xf>
    <xf numFmtId="0" fontId="33" fillId="0" borderId="0" applyNumberFormat="0" applyFill="0" applyBorder="0" applyAlignment="0" applyProtection="0"/>
    <xf numFmtId="0" fontId="18" fillId="0" borderId="7" applyNumberFormat="0" applyFont="0" applyFill="0" applyAlignment="0" applyProtection="0"/>
    <xf numFmtId="0" fontId="34" fillId="0" borderId="0" applyNumberFormat="0" applyFill="0" applyBorder="0" applyAlignment="0" applyProtection="0"/>
    <xf numFmtId="9" fontId="38" fillId="0" borderId="0" applyFont="0" applyFill="0" applyBorder="0" applyAlignment="0" applyProtection="0"/>
    <xf numFmtId="0" fontId="7" fillId="0" borderId="0"/>
    <xf numFmtId="0" fontId="78" fillId="32" borderId="0" applyNumberFormat="0" applyBorder="0" applyAlignment="0" applyProtection="0"/>
    <xf numFmtId="0" fontId="13" fillId="0" borderId="0"/>
    <xf numFmtId="0" fontId="88" fillId="0" borderId="0"/>
  </cellStyleXfs>
  <cellXfs count="373">
    <xf numFmtId="0" fontId="0" fillId="0" borderId="0" xfId="0"/>
    <xf numFmtId="0" fontId="0" fillId="24" borderId="8" xfId="0" applyFill="1" applyBorder="1" applyProtection="1">
      <protection hidden="1"/>
    </xf>
    <xf numFmtId="0" fontId="0" fillId="24" borderId="0" xfId="0" applyFill="1" applyProtection="1">
      <protection hidden="1"/>
    </xf>
    <xf numFmtId="0" fontId="0" fillId="24" borderId="9" xfId="0" applyFill="1" applyBorder="1" applyProtection="1">
      <protection hidden="1"/>
    </xf>
    <xf numFmtId="0" fontId="0" fillId="24" borderId="15" xfId="0" applyFill="1" applyBorder="1" applyProtection="1">
      <protection hidden="1"/>
    </xf>
    <xf numFmtId="0" fontId="14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2" fontId="0" fillId="24" borderId="0" xfId="0" applyNumberFormat="1" applyFill="1" applyAlignment="1" applyProtection="1">
      <alignment horizontal="center" vertical="center"/>
      <protection hidden="1"/>
    </xf>
    <xf numFmtId="0" fontId="17" fillId="0" borderId="10" xfId="0" applyFont="1" applyBorder="1" applyAlignment="1">
      <alignment horizontal="center"/>
    </xf>
    <xf numFmtId="0" fontId="36" fillId="0" borderId="10" xfId="0" applyFont="1" applyBorder="1" applyAlignment="1">
      <alignment horizontal="center" vertical="center"/>
    </xf>
    <xf numFmtId="0" fontId="39" fillId="24" borderId="0" xfId="0" applyFont="1" applyFill="1" applyProtection="1">
      <protection hidden="1"/>
    </xf>
    <xf numFmtId="0" fontId="0" fillId="24" borderId="0" xfId="0" applyFill="1"/>
    <xf numFmtId="0" fontId="41" fillId="25" borderId="12" xfId="0" applyFont="1" applyFill="1" applyBorder="1" applyAlignment="1">
      <alignment vertical="center"/>
    </xf>
    <xf numFmtId="0" fontId="41" fillId="25" borderId="8" xfId="0" applyFont="1" applyFill="1" applyBorder="1" applyAlignment="1">
      <alignment vertical="center" shrinkToFit="1"/>
    </xf>
    <xf numFmtId="2" fontId="41" fillId="25" borderId="9" xfId="0" applyNumberFormat="1" applyFont="1" applyFill="1" applyBorder="1" applyAlignment="1" applyProtection="1">
      <alignment vertical="center"/>
      <protection hidden="1"/>
    </xf>
    <xf numFmtId="0" fontId="14" fillId="24" borderId="10" xfId="0" applyFont="1" applyFill="1" applyBorder="1" applyAlignment="1">
      <alignment horizontal="center" vertical="center"/>
    </xf>
    <xf numFmtId="0" fontId="16" fillId="24" borderId="10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2" fontId="48" fillId="0" borderId="10" xfId="0" applyNumberFormat="1" applyFont="1" applyBorder="1" applyAlignment="1">
      <alignment horizontal="center" vertical="center"/>
    </xf>
    <xf numFmtId="0" fontId="48" fillId="0" borderId="10" xfId="0" applyFont="1" applyBorder="1" applyAlignment="1">
      <alignment horizontal="center" vertical="center"/>
    </xf>
    <xf numFmtId="0" fontId="48" fillId="0" borderId="0" xfId="0" applyFont="1"/>
    <xf numFmtId="0" fontId="11" fillId="25" borderId="26" xfId="0" applyFont="1" applyFill="1" applyBorder="1" applyAlignment="1" applyProtection="1">
      <alignment vertical="top"/>
      <protection hidden="1"/>
    </xf>
    <xf numFmtId="0" fontId="11" fillId="25" borderId="27" xfId="0" applyFont="1" applyFill="1" applyBorder="1" applyAlignment="1" applyProtection="1">
      <alignment vertical="top"/>
      <protection hidden="1"/>
    </xf>
    <xf numFmtId="0" fontId="11" fillId="25" borderId="28" xfId="0" applyFont="1" applyFill="1" applyBorder="1" applyAlignment="1" applyProtection="1">
      <alignment vertical="top"/>
      <protection hidden="1"/>
    </xf>
    <xf numFmtId="0" fontId="11" fillId="25" borderId="29" xfId="0" applyFont="1" applyFill="1" applyBorder="1" applyAlignment="1" applyProtection="1">
      <alignment vertical="top"/>
      <protection hidden="1"/>
    </xf>
    <xf numFmtId="0" fontId="11" fillId="25" borderId="21" xfId="0" applyFont="1" applyFill="1" applyBorder="1" applyAlignment="1" applyProtection="1">
      <alignment vertical="top"/>
      <protection hidden="1"/>
    </xf>
    <xf numFmtId="0" fontId="11" fillId="25" borderId="30" xfId="0" applyFont="1" applyFill="1" applyBorder="1" applyAlignment="1" applyProtection="1">
      <alignment vertical="top"/>
      <protection hidden="1"/>
    </xf>
    <xf numFmtId="0" fontId="11" fillId="25" borderId="25" xfId="0" applyFont="1" applyFill="1" applyBorder="1" applyAlignment="1" applyProtection="1">
      <alignment vertical="top"/>
      <protection hidden="1"/>
    </xf>
    <xf numFmtId="0" fontId="11" fillId="25" borderId="31" xfId="0" applyFont="1" applyFill="1" applyBorder="1" applyAlignment="1" applyProtection="1">
      <alignment vertical="top"/>
      <protection hidden="1"/>
    </xf>
    <xf numFmtId="0" fontId="0" fillId="26" borderId="10" xfId="0" applyFill="1" applyBorder="1" applyAlignment="1">
      <alignment horizontal="center" vertical="center"/>
    </xf>
    <xf numFmtId="0" fontId="13" fillId="26" borderId="10" xfId="0" applyFont="1" applyFill="1" applyBorder="1"/>
    <xf numFmtId="0" fontId="13" fillId="26" borderId="0" xfId="0" applyFont="1" applyFill="1"/>
    <xf numFmtId="0" fontId="0" fillId="26" borderId="10" xfId="0" applyFill="1" applyBorder="1"/>
    <xf numFmtId="0" fontId="42" fillId="25" borderId="12" xfId="0" applyFont="1" applyFill="1" applyBorder="1" applyAlignment="1" applyProtection="1">
      <alignment vertical="center"/>
      <protection locked="0"/>
    </xf>
    <xf numFmtId="0" fontId="42" fillId="25" borderId="11" xfId="0" applyFont="1" applyFill="1" applyBorder="1" applyAlignment="1" applyProtection="1">
      <alignment vertical="center"/>
      <protection locked="0"/>
    </xf>
    <xf numFmtId="0" fontId="41" fillId="25" borderId="12" xfId="0" applyFont="1" applyFill="1" applyBorder="1" applyAlignment="1" applyProtection="1">
      <alignment vertical="center"/>
      <protection locked="0"/>
    </xf>
    <xf numFmtId="0" fontId="13" fillId="28" borderId="0" xfId="0" applyFont="1" applyFill="1"/>
    <xf numFmtId="0" fontId="13" fillId="24" borderId="0" xfId="0" applyFont="1" applyFill="1" applyAlignment="1" applyProtection="1">
      <alignment horizontal="right" vertical="center" indent="1"/>
      <protection hidden="1"/>
    </xf>
    <xf numFmtId="0" fontId="49" fillId="25" borderId="29" xfId="0" applyFont="1" applyFill="1" applyBorder="1" applyAlignment="1" applyProtection="1">
      <alignment vertical="top"/>
      <protection hidden="1"/>
    </xf>
    <xf numFmtId="0" fontId="49" fillId="25" borderId="21" xfId="0" applyFont="1" applyFill="1" applyBorder="1" applyAlignment="1" applyProtection="1">
      <alignment vertical="top"/>
      <protection hidden="1"/>
    </xf>
    <xf numFmtId="0" fontId="49" fillId="25" borderId="26" xfId="0" applyFont="1" applyFill="1" applyBorder="1" applyAlignment="1" applyProtection="1">
      <alignment vertical="top"/>
      <protection hidden="1"/>
    </xf>
    <xf numFmtId="0" fontId="49" fillId="25" borderId="27" xfId="0" applyFont="1" applyFill="1" applyBorder="1" applyAlignment="1" applyProtection="1">
      <alignment vertical="top"/>
      <protection hidden="1"/>
    </xf>
    <xf numFmtId="0" fontId="49" fillId="25" borderId="28" xfId="0" applyFont="1" applyFill="1" applyBorder="1" applyAlignment="1" applyProtection="1">
      <alignment vertical="top"/>
      <protection hidden="1"/>
    </xf>
    <xf numFmtId="0" fontId="49" fillId="25" borderId="30" xfId="0" applyFont="1" applyFill="1" applyBorder="1" applyAlignment="1" applyProtection="1">
      <alignment vertical="top"/>
      <protection hidden="1"/>
    </xf>
    <xf numFmtId="0" fontId="49" fillId="25" borderId="25" xfId="0" applyFont="1" applyFill="1" applyBorder="1" applyAlignment="1" applyProtection="1">
      <alignment vertical="top"/>
      <protection hidden="1"/>
    </xf>
    <xf numFmtId="0" fontId="49" fillId="25" borderId="31" xfId="0" applyFont="1" applyFill="1" applyBorder="1" applyAlignment="1" applyProtection="1">
      <alignment vertical="top"/>
      <protection hidden="1"/>
    </xf>
    <xf numFmtId="0" fontId="9" fillId="25" borderId="26" xfId="0" applyFont="1" applyFill="1" applyBorder="1" applyAlignment="1" applyProtection="1">
      <alignment vertical="top"/>
      <protection hidden="1"/>
    </xf>
    <xf numFmtId="0" fontId="9" fillId="25" borderId="29" xfId="0" applyFont="1" applyFill="1" applyBorder="1" applyAlignment="1" applyProtection="1">
      <alignment vertical="top"/>
      <protection hidden="1"/>
    </xf>
    <xf numFmtId="0" fontId="9" fillId="25" borderId="27" xfId="0" applyFont="1" applyFill="1" applyBorder="1" applyAlignment="1" applyProtection="1">
      <alignment vertical="top"/>
      <protection hidden="1"/>
    </xf>
    <xf numFmtId="0" fontId="9" fillId="25" borderId="28" xfId="0" applyFont="1" applyFill="1" applyBorder="1" applyAlignment="1" applyProtection="1">
      <alignment vertical="top"/>
      <protection hidden="1"/>
    </xf>
    <xf numFmtId="0" fontId="9" fillId="25" borderId="21" xfId="0" applyFont="1" applyFill="1" applyBorder="1" applyAlignment="1" applyProtection="1">
      <alignment vertical="top"/>
      <protection hidden="1"/>
    </xf>
    <xf numFmtId="0" fontId="9" fillId="25" borderId="30" xfId="0" applyFont="1" applyFill="1" applyBorder="1" applyAlignment="1" applyProtection="1">
      <alignment vertical="top"/>
      <protection hidden="1"/>
    </xf>
    <xf numFmtId="0" fontId="9" fillId="25" borderId="25" xfId="0" applyFont="1" applyFill="1" applyBorder="1" applyAlignment="1" applyProtection="1">
      <alignment vertical="top"/>
      <protection hidden="1"/>
    </xf>
    <xf numFmtId="0" fontId="9" fillId="25" borderId="31" xfId="0" applyFont="1" applyFill="1" applyBorder="1" applyAlignment="1" applyProtection="1">
      <alignment vertical="top"/>
      <protection hidden="1"/>
    </xf>
    <xf numFmtId="0" fontId="50" fillId="25" borderId="21" xfId="0" applyFont="1" applyFill="1" applyBorder="1" applyAlignment="1" applyProtection="1">
      <alignment vertical="top"/>
      <protection hidden="1"/>
    </xf>
    <xf numFmtId="164" fontId="60" fillId="25" borderId="29" xfId="0" applyNumberFormat="1" applyFont="1" applyFill="1" applyBorder="1" applyAlignment="1" applyProtection="1">
      <alignment vertical="top"/>
      <protection hidden="1"/>
    </xf>
    <xf numFmtId="0" fontId="41" fillId="24" borderId="8" xfId="0" applyFont="1" applyFill="1" applyBorder="1" applyProtection="1">
      <protection hidden="1"/>
    </xf>
    <xf numFmtId="2" fontId="41" fillId="24" borderId="9" xfId="0" applyNumberFormat="1" applyFont="1" applyFill="1" applyBorder="1" applyProtection="1">
      <protection hidden="1"/>
    </xf>
    <xf numFmtId="0" fontId="51" fillId="24" borderId="0" xfId="0" applyFont="1" applyFill="1" applyAlignment="1">
      <alignment vertical="center"/>
    </xf>
    <xf numFmtId="0" fontId="60" fillId="25" borderId="12" xfId="0" applyFont="1" applyFill="1" applyBorder="1" applyAlignment="1" applyProtection="1">
      <alignment vertical="center"/>
      <protection locked="0"/>
    </xf>
    <xf numFmtId="0" fontId="7" fillId="0" borderId="0" xfId="49"/>
    <xf numFmtId="0" fontId="7" fillId="0" borderId="12" xfId="49" applyBorder="1"/>
    <xf numFmtId="0" fontId="7" fillId="0" borderId="11" xfId="49" applyBorder="1"/>
    <xf numFmtId="0" fontId="7" fillId="0" borderId="8" xfId="49" applyBorder="1"/>
    <xf numFmtId="0" fontId="7" fillId="0" borderId="9" xfId="49" applyBorder="1"/>
    <xf numFmtId="0" fontId="59" fillId="0" borderId="0" xfId="49" applyFont="1" applyAlignment="1">
      <alignment horizontal="center" vertical="center"/>
    </xf>
    <xf numFmtId="0" fontId="7" fillId="0" borderId="0" xfId="49" applyAlignment="1">
      <alignment horizontal="right" vertical="center"/>
    </xf>
    <xf numFmtId="0" fontId="7" fillId="0" borderId="14" xfId="49" applyBorder="1"/>
    <xf numFmtId="0" fontId="7" fillId="0" borderId="15" xfId="49" applyBorder="1"/>
    <xf numFmtId="0" fontId="6" fillId="0" borderId="0" xfId="49" applyFont="1"/>
    <xf numFmtId="0" fontId="13" fillId="26" borderId="10" xfId="41" applyFill="1" applyBorder="1"/>
    <xf numFmtId="0" fontId="13" fillId="0" borderId="10" xfId="41" applyBorder="1" applyAlignment="1">
      <alignment horizontal="center" vertical="center"/>
    </xf>
    <xf numFmtId="0" fontId="40" fillId="24" borderId="9" xfId="0" applyFont="1" applyFill="1" applyBorder="1" applyAlignment="1">
      <alignment vertical="center"/>
    </xf>
    <xf numFmtId="0" fontId="13" fillId="26" borderId="0" xfId="41" applyFill="1"/>
    <xf numFmtId="0" fontId="5" fillId="25" borderId="15" xfId="0" applyFont="1" applyFill="1" applyBorder="1" applyAlignment="1">
      <alignment horizontal="right" vertical="center"/>
    </xf>
    <xf numFmtId="0" fontId="5" fillId="25" borderId="8" xfId="0" applyFont="1" applyFill="1" applyBorder="1" applyAlignment="1">
      <alignment vertical="center"/>
    </xf>
    <xf numFmtId="0" fontId="5" fillId="25" borderId="14" xfId="0" applyFont="1" applyFill="1" applyBorder="1" applyAlignment="1" applyProtection="1">
      <alignment vertical="center"/>
      <protection hidden="1"/>
    </xf>
    <xf numFmtId="0" fontId="5" fillId="25" borderId="15" xfId="0" applyFont="1" applyFill="1" applyBorder="1" applyAlignment="1" applyProtection="1">
      <alignment vertical="center"/>
      <protection hidden="1"/>
    </xf>
    <xf numFmtId="0" fontId="5" fillId="25" borderId="22" xfId="0" applyFont="1" applyFill="1" applyBorder="1" applyAlignment="1">
      <alignment vertical="center"/>
    </xf>
    <xf numFmtId="0" fontId="5" fillId="25" borderId="23" xfId="0" applyFont="1" applyFill="1" applyBorder="1" applyAlignment="1">
      <alignment horizontal="right" vertical="center"/>
    </xf>
    <xf numFmtId="0" fontId="5" fillId="25" borderId="34" xfId="0" applyFont="1" applyFill="1" applyBorder="1" applyAlignment="1">
      <alignment vertical="center"/>
    </xf>
    <xf numFmtId="0" fontId="5" fillId="25" borderId="32" xfId="0" applyFont="1" applyFill="1" applyBorder="1" applyAlignment="1">
      <alignment horizontal="right" vertical="center"/>
    </xf>
    <xf numFmtId="0" fontId="5" fillId="25" borderId="14" xfId="0" applyFont="1" applyFill="1" applyBorder="1" applyAlignment="1">
      <alignment vertical="center"/>
    </xf>
    <xf numFmtId="0" fontId="5" fillId="25" borderId="35" xfId="0" applyFont="1" applyFill="1" applyBorder="1" applyAlignment="1">
      <alignment vertical="center"/>
    </xf>
    <xf numFmtId="0" fontId="5" fillId="25" borderId="20" xfId="0" applyFont="1" applyFill="1" applyBorder="1" applyAlignment="1">
      <alignment horizontal="right" vertical="center"/>
    </xf>
    <xf numFmtId="0" fontId="5" fillId="25" borderId="22" xfId="0" applyFont="1" applyFill="1" applyBorder="1" applyAlignment="1">
      <alignment horizontal="left" vertical="center"/>
    </xf>
    <xf numFmtId="0" fontId="5" fillId="25" borderId="23" xfId="0" applyFont="1" applyFill="1" applyBorder="1" applyAlignment="1">
      <alignment horizontal="center" vertical="center"/>
    </xf>
    <xf numFmtId="0" fontId="5" fillId="25" borderId="34" xfId="0" applyFont="1" applyFill="1" applyBorder="1" applyAlignment="1">
      <alignment horizontal="left" vertical="center"/>
    </xf>
    <xf numFmtId="0" fontId="5" fillId="25" borderId="32" xfId="0" applyFont="1" applyFill="1" applyBorder="1" applyAlignment="1">
      <alignment horizontal="center" vertical="center"/>
    </xf>
    <xf numFmtId="0" fontId="5" fillId="25" borderId="14" xfId="0" applyFont="1" applyFill="1" applyBorder="1" applyAlignment="1">
      <alignment horizontal="left" vertical="center"/>
    </xf>
    <xf numFmtId="9" fontId="13" fillId="0" borderId="10" xfId="41" applyNumberFormat="1" applyBorder="1" applyAlignment="1">
      <alignment horizontal="center" vertical="center"/>
    </xf>
    <xf numFmtId="0" fontId="13" fillId="24" borderId="0" xfId="0" applyFont="1" applyFill="1" applyAlignment="1">
      <alignment vertical="center"/>
    </xf>
    <xf numFmtId="0" fontId="13" fillId="31" borderId="0" xfId="0" applyFont="1" applyFill="1" applyAlignment="1">
      <alignment vertical="center"/>
    </xf>
    <xf numFmtId="0" fontId="67" fillId="31" borderId="0" xfId="0" applyFont="1" applyFill="1" applyAlignment="1">
      <alignment vertical="center" wrapText="1"/>
    </xf>
    <xf numFmtId="0" fontId="69" fillId="31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 vertical="center"/>
    </xf>
    <xf numFmtId="0" fontId="13" fillId="24" borderId="0" xfId="0" applyFont="1" applyFill="1" applyAlignment="1">
      <alignment horizontal="left" vertical="center" indent="1"/>
    </xf>
    <xf numFmtId="2" fontId="72" fillId="24" borderId="0" xfId="0" applyNumberFormat="1" applyFont="1" applyFill="1" applyAlignment="1">
      <alignment horizontal="left" vertical="center"/>
    </xf>
    <xf numFmtId="0" fontId="13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" fontId="72" fillId="24" borderId="0" xfId="0" applyNumberFormat="1" applyFont="1" applyFill="1" applyAlignment="1" applyProtection="1">
      <alignment horizontal="left" vertical="center"/>
      <protection locked="0"/>
    </xf>
    <xf numFmtId="2" fontId="13" fillId="24" borderId="0" xfId="0" applyNumberFormat="1" applyFont="1" applyFill="1" applyAlignment="1" applyProtection="1">
      <alignment horizontal="left" vertical="center"/>
      <protection locked="0"/>
    </xf>
    <xf numFmtId="0" fontId="14" fillId="24" borderId="0" xfId="0" applyFont="1" applyFill="1" applyAlignment="1">
      <alignment horizontal="left" vertical="center"/>
    </xf>
    <xf numFmtId="0" fontId="73" fillId="24" borderId="0" xfId="0" applyFont="1" applyFill="1" applyAlignment="1">
      <alignment horizontal="left" vertical="center"/>
    </xf>
    <xf numFmtId="2" fontId="14" fillId="24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 indent="1"/>
    </xf>
    <xf numFmtId="0" fontId="73" fillId="24" borderId="0" xfId="0" applyFont="1" applyFill="1" applyAlignment="1" applyProtection="1">
      <alignment horizontal="left" vertical="center"/>
      <protection locked="0"/>
    </xf>
    <xf numFmtId="0" fontId="0" fillId="31" borderId="0" xfId="0" applyFill="1" applyAlignment="1">
      <alignment horizontal="left" vertical="center"/>
    </xf>
    <xf numFmtId="164" fontId="13" fillId="24" borderId="0" xfId="0" applyNumberFormat="1" applyFont="1" applyFill="1" applyAlignment="1" applyProtection="1">
      <alignment horizontal="right" vertical="center"/>
      <protection locked="0"/>
    </xf>
    <xf numFmtId="164" fontId="13" fillId="24" borderId="0" xfId="0" applyNumberFormat="1" applyFont="1" applyFill="1" applyAlignment="1" applyProtection="1">
      <alignment horizontal="right" vertical="center"/>
      <protection hidden="1"/>
    </xf>
    <xf numFmtId="2" fontId="13" fillId="24" borderId="0" xfId="0" applyNumberFormat="1" applyFont="1" applyFill="1" applyAlignment="1" applyProtection="1">
      <alignment horizontal="right" vertical="center"/>
      <protection hidden="1"/>
    </xf>
    <xf numFmtId="0" fontId="13" fillId="24" borderId="0" xfId="0" applyFont="1" applyFill="1" applyAlignment="1">
      <alignment horizontal="right" vertical="center"/>
    </xf>
    <xf numFmtId="0" fontId="13" fillId="31" borderId="0" xfId="0" applyFont="1" applyFill="1" applyAlignment="1">
      <alignment horizontal="right" vertical="center"/>
    </xf>
    <xf numFmtId="0" fontId="13" fillId="24" borderId="0" xfId="0" applyFont="1" applyFill="1" applyAlignment="1">
      <alignment horizontal="center" vertical="center"/>
    </xf>
    <xf numFmtId="164" fontId="77" fillId="24" borderId="0" xfId="0" applyNumberFormat="1" applyFont="1" applyFill="1" applyAlignment="1">
      <alignment horizontal="right" vertical="center"/>
    </xf>
    <xf numFmtId="167" fontId="72" fillId="24" borderId="0" xfId="0" applyNumberFormat="1" applyFont="1" applyFill="1" applyAlignment="1">
      <alignment horizontal="right" vertical="center"/>
    </xf>
    <xf numFmtId="164" fontId="13" fillId="24" borderId="0" xfId="0" applyNumberFormat="1" applyFont="1" applyFill="1" applyAlignment="1">
      <alignment horizontal="right" vertical="center"/>
    </xf>
    <xf numFmtId="164" fontId="78" fillId="32" borderId="0" xfId="50" applyNumberFormat="1" applyBorder="1" applyAlignment="1" applyProtection="1">
      <alignment horizontal="right" vertical="center"/>
      <protection hidden="1"/>
    </xf>
    <xf numFmtId="0" fontId="13" fillId="31" borderId="0" xfId="0" applyFont="1" applyFill="1" applyAlignment="1">
      <alignment horizontal="left" vertical="center"/>
    </xf>
    <xf numFmtId="0" fontId="79" fillId="31" borderId="0" xfId="0" applyFont="1" applyFill="1" applyAlignment="1">
      <alignment vertical="center"/>
    </xf>
    <xf numFmtId="167" fontId="13" fillId="24" borderId="0" xfId="0" applyNumberFormat="1" applyFont="1" applyFill="1" applyAlignment="1">
      <alignment vertical="center"/>
    </xf>
    <xf numFmtId="0" fontId="80" fillId="0" borderId="10" xfId="51" applyFont="1" applyBorder="1" applyAlignment="1">
      <alignment horizontal="center" vertical="center"/>
    </xf>
    <xf numFmtId="0" fontId="84" fillId="0" borderId="10" xfId="51" applyFont="1" applyBorder="1" applyAlignment="1">
      <alignment horizontal="center" vertical="center"/>
    </xf>
    <xf numFmtId="0" fontId="87" fillId="0" borderId="10" xfId="51" applyFont="1" applyBorder="1" applyAlignment="1">
      <alignment horizontal="center" vertical="center"/>
    </xf>
    <xf numFmtId="0" fontId="13" fillId="0" borderId="10" xfId="51" applyBorder="1" applyAlignment="1">
      <alignment horizontal="center" vertical="center"/>
    </xf>
    <xf numFmtId="0" fontId="83" fillId="0" borderId="10" xfId="51" applyFont="1" applyBorder="1" applyAlignment="1">
      <alignment horizontal="center" vertical="center"/>
    </xf>
    <xf numFmtId="0" fontId="83" fillId="0" borderId="10" xfId="51" applyFont="1" applyBorder="1" applyAlignment="1">
      <alignment horizontal="left" vertical="center"/>
    </xf>
    <xf numFmtId="2" fontId="83" fillId="0" borderId="10" xfId="5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8" fillId="0" borderId="0" xfId="52"/>
    <xf numFmtId="0" fontId="41" fillId="25" borderId="14" xfId="0" applyFont="1" applyFill="1" applyBorder="1" applyAlignment="1">
      <alignment vertical="center" shrinkToFit="1"/>
    </xf>
    <xf numFmtId="0" fontId="41" fillId="25" borderId="15" xfId="0" applyFont="1" applyFill="1" applyBorder="1" applyAlignment="1">
      <alignment horizontal="right" vertical="center"/>
    </xf>
    <xf numFmtId="0" fontId="41" fillId="25" borderId="15" xfId="0" applyFont="1" applyFill="1" applyBorder="1" applyAlignment="1">
      <alignment vertical="center" shrinkToFit="1"/>
    </xf>
    <xf numFmtId="2" fontId="41" fillId="25" borderId="16" xfId="0" applyNumberFormat="1" applyFont="1" applyFill="1" applyBorder="1" applyAlignment="1" applyProtection="1">
      <alignment vertical="center"/>
      <protection hidden="1"/>
    </xf>
    <xf numFmtId="0" fontId="41" fillId="25" borderId="17" xfId="0" applyFont="1" applyFill="1" applyBorder="1" applyAlignment="1">
      <alignment horizontal="left" vertical="center"/>
    </xf>
    <xf numFmtId="0" fontId="41" fillId="25" borderId="12" xfId="0" applyFont="1" applyFill="1" applyBorder="1" applyAlignment="1">
      <alignment wrapText="1"/>
    </xf>
    <xf numFmtId="0" fontId="41" fillId="25" borderId="37" xfId="0" applyFont="1" applyFill="1" applyBorder="1" applyAlignment="1">
      <alignment horizontal="right" vertical="center"/>
    </xf>
    <xf numFmtId="0" fontId="41" fillId="25" borderId="8" xfId="0" applyFont="1" applyFill="1" applyBorder="1"/>
    <xf numFmtId="0" fontId="4" fillId="25" borderId="40" xfId="0" applyFont="1" applyFill="1" applyBorder="1" applyAlignment="1">
      <alignment vertical="center"/>
    </xf>
    <xf numFmtId="0" fontId="4" fillId="25" borderId="41" xfId="0" applyFont="1" applyFill="1" applyBorder="1" applyAlignment="1">
      <alignment vertical="center"/>
    </xf>
    <xf numFmtId="0" fontId="0" fillId="0" borderId="10" xfId="0" applyBorder="1"/>
    <xf numFmtId="2" fontId="41" fillId="34" borderId="10" xfId="0" applyNumberFormat="1" applyFont="1" applyFill="1" applyBorder="1" applyAlignment="1" applyProtection="1">
      <alignment horizontal="center" vertical="center"/>
      <protection hidden="1"/>
    </xf>
    <xf numFmtId="0" fontId="13" fillId="0" borderId="10" xfId="0" applyFont="1" applyBorder="1"/>
    <xf numFmtId="0" fontId="3" fillId="25" borderId="23" xfId="0" applyFont="1" applyFill="1" applyBorder="1" applyAlignment="1">
      <alignment horizontal="right" vertical="center"/>
    </xf>
    <xf numFmtId="0" fontId="3" fillId="25" borderId="15" xfId="0" applyFont="1" applyFill="1" applyBorder="1" applyAlignment="1">
      <alignment horizontal="right" vertical="center"/>
    </xf>
    <xf numFmtId="0" fontId="5" fillId="25" borderId="45" xfId="0" applyFont="1" applyFill="1" applyBorder="1" applyAlignment="1">
      <alignment vertical="center"/>
    </xf>
    <xf numFmtId="0" fontId="5" fillId="25" borderId="46" xfId="0" applyFont="1" applyFill="1" applyBorder="1" applyAlignment="1">
      <alignment horizontal="right" vertical="center"/>
    </xf>
    <xf numFmtId="0" fontId="5" fillId="25" borderId="0" xfId="0" applyFont="1" applyFill="1" applyAlignment="1">
      <alignment horizontal="right" vertical="center"/>
    </xf>
    <xf numFmtId="0" fontId="13" fillId="24" borderId="0" xfId="0" applyFont="1" applyFill="1"/>
    <xf numFmtId="0" fontId="40" fillId="24" borderId="0" xfId="0" applyFont="1" applyFill="1" applyAlignment="1">
      <alignment vertical="center"/>
    </xf>
    <xf numFmtId="0" fontId="41" fillId="24" borderId="0" xfId="0" applyFont="1" applyFill="1" applyAlignment="1" applyProtection="1">
      <alignment vertical="center"/>
      <protection hidden="1"/>
    </xf>
    <xf numFmtId="0" fontId="45" fillId="24" borderId="0" xfId="0" applyFont="1" applyFill="1" applyAlignment="1" applyProtection="1">
      <alignment horizontal="right" vertical="top" indent="1"/>
      <protection hidden="1"/>
    </xf>
    <xf numFmtId="2" fontId="41" fillId="24" borderId="0" xfId="0" applyNumberFormat="1" applyFont="1" applyFill="1" applyAlignment="1">
      <alignment horizontal="center" vertical="center" shrinkToFit="1"/>
    </xf>
    <xf numFmtId="0" fontId="54" fillId="24" borderId="0" xfId="41" applyFont="1" applyFill="1" applyAlignment="1" applyProtection="1">
      <alignment horizontal="right" vertical="center"/>
      <protection hidden="1"/>
    </xf>
    <xf numFmtId="0" fontId="41" fillId="24" borderId="0" xfId="41" applyFont="1" applyFill="1" applyAlignment="1" applyProtection="1">
      <alignment vertical="center"/>
      <protection hidden="1"/>
    </xf>
    <xf numFmtId="0" fontId="89" fillId="0" borderId="0" xfId="41" applyFont="1" applyAlignment="1" applyProtection="1">
      <alignment horizontal="right" vertical="center"/>
      <protection hidden="1"/>
    </xf>
    <xf numFmtId="0" fontId="41" fillId="0" borderId="0" xfId="41" applyFont="1" applyAlignment="1" applyProtection="1">
      <alignment vertical="center"/>
      <protection hidden="1"/>
    </xf>
    <xf numFmtId="0" fontId="41" fillId="24" borderId="0" xfId="0" applyFont="1" applyFill="1" applyAlignment="1">
      <alignment horizontal="center" vertical="center" textRotation="90"/>
    </xf>
    <xf numFmtId="0" fontId="41" fillId="24" borderId="0" xfId="0" applyFont="1" applyFill="1" applyAlignment="1">
      <alignment horizontal="center" vertical="center"/>
    </xf>
    <xf numFmtId="0" fontId="41" fillId="25" borderId="0" xfId="0" applyFont="1" applyFill="1" applyAlignment="1">
      <alignment horizontal="right" vertical="center"/>
    </xf>
    <xf numFmtId="0" fontId="41" fillId="25" borderId="0" xfId="0" applyFont="1" applyFill="1" applyAlignment="1">
      <alignment vertical="center" shrinkToFit="1"/>
    </xf>
    <xf numFmtId="0" fontId="41" fillId="25" borderId="0" xfId="0" applyFont="1" applyFill="1" applyAlignment="1">
      <alignment wrapText="1"/>
    </xf>
    <xf numFmtId="0" fontId="11" fillId="25" borderId="0" xfId="0" applyFont="1" applyFill="1" applyAlignment="1" applyProtection="1">
      <alignment vertical="top"/>
      <protection hidden="1"/>
    </xf>
    <xf numFmtId="0" fontId="9" fillId="25" borderId="0" xfId="0" applyFont="1" applyFill="1" applyAlignment="1" applyProtection="1">
      <alignment vertical="top"/>
      <protection hidden="1"/>
    </xf>
    <xf numFmtId="0" fontId="49" fillId="25" borderId="0" xfId="0" applyFont="1" applyFill="1" applyAlignment="1" applyProtection="1">
      <alignment vertical="top"/>
      <protection hidden="1"/>
    </xf>
    <xf numFmtId="164" fontId="49" fillId="25" borderId="0" xfId="0" applyNumberFormat="1" applyFont="1" applyFill="1" applyAlignment="1" applyProtection="1">
      <alignment vertical="top"/>
      <protection hidden="1"/>
    </xf>
    <xf numFmtId="164" fontId="50" fillId="25" borderId="0" xfId="0" applyNumberFormat="1" applyFont="1" applyFill="1" applyAlignment="1" applyProtection="1">
      <alignment vertical="top"/>
      <protection hidden="1"/>
    </xf>
    <xf numFmtId="0" fontId="50" fillId="25" borderId="0" xfId="0" applyFont="1" applyFill="1" applyAlignment="1" applyProtection="1">
      <alignment vertical="top"/>
      <protection hidden="1"/>
    </xf>
    <xf numFmtId="0" fontId="60" fillId="25" borderId="0" xfId="0" applyFont="1" applyFill="1" applyAlignment="1" applyProtection="1">
      <alignment vertical="top"/>
      <protection hidden="1"/>
    </xf>
    <xf numFmtId="164" fontId="60" fillId="25" borderId="0" xfId="0" applyNumberFormat="1" applyFont="1" applyFill="1" applyAlignment="1" applyProtection="1">
      <alignment vertical="top"/>
      <protection hidden="1"/>
    </xf>
    <xf numFmtId="0" fontId="41" fillId="24" borderId="14" xfId="0" applyFont="1" applyFill="1" applyBorder="1" applyProtection="1">
      <protection hidden="1"/>
    </xf>
    <xf numFmtId="2" fontId="41" fillId="24" borderId="16" xfId="0" applyNumberFormat="1" applyFont="1" applyFill="1" applyBorder="1" applyProtection="1">
      <protection hidden="1"/>
    </xf>
    <xf numFmtId="0" fontId="5" fillId="25" borderId="0" xfId="0" applyFont="1" applyFill="1" applyAlignment="1">
      <alignment vertical="center"/>
    </xf>
    <xf numFmtId="0" fontId="5" fillId="25" borderId="15" xfId="0" applyFont="1" applyFill="1" applyBorder="1" applyAlignment="1">
      <alignment vertical="center"/>
    </xf>
    <xf numFmtId="164" fontId="41" fillId="25" borderId="32" xfId="0" applyNumberFormat="1" applyFont="1" applyFill="1" applyBorder="1" applyAlignment="1">
      <alignment horizontal="center" vertical="center" shrinkToFit="1"/>
    </xf>
    <xf numFmtId="164" fontId="41" fillId="25" borderId="33" xfId="0" applyNumberFormat="1" applyFont="1" applyFill="1" applyBorder="1" applyAlignment="1">
      <alignment horizontal="center" vertical="center" shrinkToFit="1"/>
    </xf>
    <xf numFmtId="164" fontId="41" fillId="25" borderId="23" xfId="0" applyNumberFormat="1" applyFont="1" applyFill="1" applyBorder="1" applyAlignment="1">
      <alignment horizontal="center" vertical="center" shrinkToFit="1"/>
    </xf>
    <xf numFmtId="164" fontId="41" fillId="25" borderId="24" xfId="0" applyNumberFormat="1" applyFont="1" applyFill="1" applyBorder="1" applyAlignment="1">
      <alignment horizontal="center" vertical="center" shrinkToFit="1"/>
    </xf>
    <xf numFmtId="2" fontId="50" fillId="25" borderId="15" xfId="0" applyNumberFormat="1" applyFont="1" applyFill="1" applyBorder="1" applyAlignment="1">
      <alignment horizontal="center" vertical="center" shrinkToFit="1"/>
    </xf>
    <xf numFmtId="2" fontId="50" fillId="25" borderId="16" xfId="0" applyNumberFormat="1" applyFont="1" applyFill="1" applyBorder="1" applyAlignment="1">
      <alignment horizontal="center" vertical="center" shrinkToFit="1"/>
    </xf>
    <xf numFmtId="0" fontId="40" fillId="25" borderId="19" xfId="0" applyFont="1" applyFill="1" applyBorder="1" applyAlignment="1">
      <alignment horizontal="center" vertical="center" wrapText="1"/>
    </xf>
    <xf numFmtId="0" fontId="40" fillId="25" borderId="18" xfId="0" applyFont="1" applyFill="1" applyBorder="1" applyAlignment="1">
      <alignment horizontal="center" vertical="center" wrapText="1"/>
    </xf>
    <xf numFmtId="0" fontId="40" fillId="25" borderId="13" xfId="0" applyFont="1" applyFill="1" applyBorder="1" applyAlignment="1">
      <alignment horizontal="center" vertical="center" wrapText="1"/>
    </xf>
    <xf numFmtId="0" fontId="5" fillId="25" borderId="17" xfId="0" applyFont="1" applyFill="1" applyBorder="1" applyAlignment="1">
      <alignment horizontal="center" vertical="center"/>
    </xf>
    <xf numFmtId="0" fontId="5" fillId="25" borderId="11" xfId="0" applyFont="1" applyFill="1" applyBorder="1" applyAlignment="1">
      <alignment horizontal="center" vertical="center"/>
    </xf>
    <xf numFmtId="0" fontId="5" fillId="25" borderId="14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12" fillId="25" borderId="18" xfId="0" applyFont="1" applyFill="1" applyBorder="1" applyAlignment="1">
      <alignment horizontal="center" vertical="center"/>
    </xf>
    <xf numFmtId="0" fontId="12" fillId="25" borderId="13" xfId="0" applyFont="1" applyFill="1" applyBorder="1" applyAlignment="1">
      <alignment horizontal="center" vertical="center"/>
    </xf>
    <xf numFmtId="0" fontId="62" fillId="25" borderId="19" xfId="0" applyFont="1" applyFill="1" applyBorder="1" applyAlignment="1">
      <alignment horizontal="center" vertical="center"/>
    </xf>
    <xf numFmtId="0" fontId="62" fillId="25" borderId="18" xfId="0" applyFont="1" applyFill="1" applyBorder="1" applyAlignment="1">
      <alignment horizontal="center" vertical="center"/>
    </xf>
    <xf numFmtId="0" fontId="62" fillId="25" borderId="13" xfId="0" applyFont="1" applyFill="1" applyBorder="1" applyAlignment="1">
      <alignment horizontal="center" vertical="center"/>
    </xf>
    <xf numFmtId="2" fontId="63" fillId="25" borderId="23" xfId="0" applyNumberFormat="1" applyFont="1" applyFill="1" applyBorder="1" applyAlignment="1">
      <alignment horizontal="center" vertical="center" shrinkToFit="1"/>
    </xf>
    <xf numFmtId="2" fontId="63" fillId="25" borderId="24" xfId="0" applyNumberFormat="1" applyFont="1" applyFill="1" applyBorder="1" applyAlignment="1">
      <alignment horizontal="center" vertical="center" shrinkToFit="1"/>
    </xf>
    <xf numFmtId="0" fontId="5" fillId="25" borderId="18" xfId="0" applyFont="1" applyFill="1" applyBorder="1" applyAlignment="1">
      <alignment horizontal="center" vertical="center"/>
    </xf>
    <xf numFmtId="0" fontId="5" fillId="25" borderId="13" xfId="0" applyFont="1" applyFill="1" applyBorder="1" applyAlignment="1">
      <alignment horizontal="center" vertical="center"/>
    </xf>
    <xf numFmtId="0" fontId="13" fillId="24" borderId="0" xfId="0" applyFont="1" applyFill="1" applyAlignment="1" applyProtection="1">
      <alignment horizontal="center"/>
      <protection hidden="1"/>
    </xf>
    <xf numFmtId="0" fontId="8" fillId="25" borderId="26" xfId="0" applyFont="1" applyFill="1" applyBorder="1" applyAlignment="1" applyProtection="1">
      <alignment horizontal="center" vertical="top"/>
      <protection hidden="1"/>
    </xf>
    <xf numFmtId="0" fontId="11" fillId="25" borderId="27" xfId="0" applyFont="1" applyFill="1" applyBorder="1" applyAlignment="1" applyProtection="1">
      <alignment horizontal="center" vertical="top"/>
      <protection hidden="1"/>
    </xf>
    <xf numFmtId="0" fontId="11" fillId="25" borderId="28" xfId="0" applyFont="1" applyFill="1" applyBorder="1" applyAlignment="1" applyProtection="1">
      <alignment horizontal="center" vertical="top"/>
      <protection hidden="1"/>
    </xf>
    <xf numFmtId="164" fontId="63" fillId="25" borderId="29" xfId="0" applyNumberFormat="1" applyFont="1" applyFill="1" applyBorder="1" applyAlignment="1" applyProtection="1">
      <alignment horizontal="center" vertical="top"/>
      <protection hidden="1"/>
    </xf>
    <xf numFmtId="0" fontId="63" fillId="25" borderId="0" xfId="0" applyFont="1" applyFill="1" applyAlignment="1" applyProtection="1">
      <alignment horizontal="center" vertical="top"/>
      <protection hidden="1"/>
    </xf>
    <xf numFmtId="0" fontId="63" fillId="25" borderId="21" xfId="0" applyFont="1" applyFill="1" applyBorder="1" applyAlignment="1" applyProtection="1">
      <alignment horizontal="center" vertical="top"/>
      <protection hidden="1"/>
    </xf>
    <xf numFmtId="0" fontId="9" fillId="25" borderId="29" xfId="0" applyFont="1" applyFill="1" applyBorder="1" applyAlignment="1" applyProtection="1">
      <alignment horizontal="center" vertical="top"/>
      <protection hidden="1"/>
    </xf>
    <xf numFmtId="0" fontId="9" fillId="25" borderId="0" xfId="0" applyFont="1" applyFill="1" applyAlignment="1" applyProtection="1">
      <alignment horizontal="center" vertical="top"/>
      <protection hidden="1"/>
    </xf>
    <xf numFmtId="0" fontId="9" fillId="25" borderId="21" xfId="0" applyFont="1" applyFill="1" applyBorder="1" applyAlignment="1" applyProtection="1">
      <alignment horizontal="center" vertical="top"/>
      <protection hidden="1"/>
    </xf>
    <xf numFmtId="164" fontId="60" fillId="25" borderId="29" xfId="0" applyNumberFormat="1" applyFont="1" applyFill="1" applyBorder="1" applyAlignment="1" applyProtection="1">
      <alignment horizontal="center" vertical="top"/>
      <protection hidden="1"/>
    </xf>
    <xf numFmtId="0" fontId="60" fillId="25" borderId="0" xfId="0" applyFont="1" applyFill="1" applyAlignment="1" applyProtection="1">
      <alignment horizontal="center" vertical="top"/>
      <protection hidden="1"/>
    </xf>
    <xf numFmtId="0" fontId="60" fillId="25" borderId="21" xfId="0" applyFont="1" applyFill="1" applyBorder="1" applyAlignment="1" applyProtection="1">
      <alignment horizontal="center" vertical="top"/>
      <protection hidden="1"/>
    </xf>
    <xf numFmtId="0" fontId="90" fillId="33" borderId="8" xfId="0" applyFont="1" applyFill="1" applyBorder="1" applyAlignment="1">
      <alignment horizontal="center" vertical="center"/>
    </xf>
    <xf numFmtId="0" fontId="90" fillId="33" borderId="0" xfId="0" applyFont="1" applyFill="1" applyAlignment="1">
      <alignment horizontal="center" vertical="center"/>
    </xf>
    <xf numFmtId="0" fontId="90" fillId="33" borderId="9" xfId="0" applyFont="1" applyFill="1" applyBorder="1" applyAlignment="1">
      <alignment horizontal="center" vertical="center"/>
    </xf>
    <xf numFmtId="164" fontId="63" fillId="25" borderId="0" xfId="0" applyNumberFormat="1" applyFont="1" applyFill="1" applyAlignment="1" applyProtection="1">
      <alignment horizontal="center" vertical="top"/>
      <protection hidden="1"/>
    </xf>
    <xf numFmtId="164" fontId="63" fillId="25" borderId="21" xfId="0" applyNumberFormat="1" applyFont="1" applyFill="1" applyBorder="1" applyAlignment="1" applyProtection="1">
      <alignment horizontal="center" vertical="top"/>
      <protection hidden="1"/>
    </xf>
    <xf numFmtId="0" fontId="41" fillId="25" borderId="29" xfId="0" applyFont="1" applyFill="1" applyBorder="1" applyAlignment="1" applyProtection="1">
      <alignment horizontal="center" vertical="top"/>
      <protection hidden="1"/>
    </xf>
    <xf numFmtId="0" fontId="41" fillId="25" borderId="0" xfId="0" applyFont="1" applyFill="1" applyAlignment="1" applyProtection="1">
      <alignment horizontal="center" vertical="top"/>
      <protection hidden="1"/>
    </xf>
    <xf numFmtId="0" fontId="41" fillId="25" borderId="21" xfId="0" applyFont="1" applyFill="1" applyBorder="1" applyAlignment="1" applyProtection="1">
      <alignment horizontal="center" vertical="top"/>
      <protection hidden="1"/>
    </xf>
    <xf numFmtId="0" fontId="8" fillId="25" borderId="29" xfId="0" applyFont="1" applyFill="1" applyBorder="1" applyAlignment="1" applyProtection="1">
      <alignment horizontal="center" vertical="top"/>
      <protection hidden="1"/>
    </xf>
    <xf numFmtId="0" fontId="11" fillId="25" borderId="0" xfId="0" applyFont="1" applyFill="1" applyAlignment="1" applyProtection="1">
      <alignment horizontal="center" vertical="top"/>
      <protection hidden="1"/>
    </xf>
    <xf numFmtId="0" fontId="11" fillId="25" borderId="21" xfId="0" applyFont="1" applyFill="1" applyBorder="1" applyAlignment="1" applyProtection="1">
      <alignment horizontal="center" vertical="top"/>
      <protection hidden="1"/>
    </xf>
    <xf numFmtId="0" fontId="8" fillId="25" borderId="29" xfId="0" applyFont="1" applyFill="1" applyBorder="1" applyAlignment="1" applyProtection="1">
      <alignment horizontal="center" vertical="center"/>
      <protection hidden="1"/>
    </xf>
    <xf numFmtId="0" fontId="9" fillId="25" borderId="0" xfId="0" applyFont="1" applyFill="1" applyAlignment="1" applyProtection="1">
      <alignment horizontal="center" vertical="center"/>
      <protection hidden="1"/>
    </xf>
    <xf numFmtId="0" fontId="9" fillId="25" borderId="21" xfId="0" applyFont="1" applyFill="1" applyBorder="1" applyAlignment="1" applyProtection="1">
      <alignment horizontal="center" vertical="center"/>
      <protection hidden="1"/>
    </xf>
    <xf numFmtId="164" fontId="60" fillId="25" borderId="30" xfId="0" applyNumberFormat="1" applyFont="1" applyFill="1" applyBorder="1" applyAlignment="1" applyProtection="1">
      <alignment horizontal="center" vertical="top"/>
      <protection hidden="1"/>
    </xf>
    <xf numFmtId="0" fontId="60" fillId="25" borderId="25" xfId="0" applyFont="1" applyFill="1" applyBorder="1" applyAlignment="1" applyProtection="1">
      <alignment horizontal="center" vertical="top"/>
      <protection hidden="1"/>
    </xf>
    <xf numFmtId="0" fontId="60" fillId="25" borderId="31" xfId="0" applyFont="1" applyFill="1" applyBorder="1" applyAlignment="1" applyProtection="1">
      <alignment horizontal="center" vertical="top"/>
      <protection hidden="1"/>
    </xf>
    <xf numFmtId="0" fontId="9" fillId="25" borderId="27" xfId="0" applyFont="1" applyFill="1" applyBorder="1" applyAlignment="1" applyProtection="1">
      <alignment horizontal="center" vertical="top"/>
      <protection hidden="1"/>
    </xf>
    <xf numFmtId="0" fontId="9" fillId="25" borderId="28" xfId="0" applyFont="1" applyFill="1" applyBorder="1" applyAlignment="1" applyProtection="1">
      <alignment horizontal="center" vertical="top"/>
      <protection hidden="1"/>
    </xf>
    <xf numFmtId="164" fontId="60" fillId="25" borderId="25" xfId="0" applyNumberFormat="1" applyFont="1" applyFill="1" applyBorder="1" applyAlignment="1" applyProtection="1">
      <alignment horizontal="center" vertical="top"/>
      <protection hidden="1"/>
    </xf>
    <xf numFmtId="164" fontId="60" fillId="25" borderId="31" xfId="0" applyNumberFormat="1" applyFont="1" applyFill="1" applyBorder="1" applyAlignment="1" applyProtection="1">
      <alignment horizontal="center" vertical="top"/>
      <protection hidden="1"/>
    </xf>
    <xf numFmtId="0" fontId="51" fillId="24" borderId="0" xfId="0" applyFont="1" applyFill="1" applyAlignment="1">
      <alignment horizontal="center" vertical="center"/>
    </xf>
    <xf numFmtId="0" fontId="36" fillId="24" borderId="0" xfId="0" applyFont="1" applyFill="1" applyAlignment="1" applyProtection="1">
      <alignment horizontal="center"/>
      <protection hidden="1"/>
    </xf>
    <xf numFmtId="0" fontId="2" fillId="25" borderId="26" xfId="0" applyFont="1" applyFill="1" applyBorder="1" applyAlignment="1" applyProtection="1">
      <alignment horizontal="center" vertical="top"/>
      <protection hidden="1"/>
    </xf>
    <xf numFmtId="164" fontId="41" fillId="25" borderId="20" xfId="0" applyNumberFormat="1" applyFont="1" applyFill="1" applyBorder="1" applyAlignment="1">
      <alignment horizontal="center" vertical="center" shrinkToFit="1"/>
    </xf>
    <xf numFmtId="164" fontId="41" fillId="25" borderId="36" xfId="0" applyNumberFormat="1" applyFont="1" applyFill="1" applyBorder="1" applyAlignment="1">
      <alignment horizontal="center" vertical="center" shrinkToFit="1"/>
    </xf>
    <xf numFmtId="0" fontId="52" fillId="24" borderId="0" xfId="0" applyFont="1" applyFill="1" applyAlignment="1" applyProtection="1">
      <alignment horizontal="center" vertical="center"/>
      <protection hidden="1"/>
    </xf>
    <xf numFmtId="164" fontId="41" fillId="25" borderId="46" xfId="0" applyNumberFormat="1" applyFont="1" applyFill="1" applyBorder="1" applyAlignment="1">
      <alignment horizontal="center" vertical="center" shrinkToFit="1"/>
    </xf>
    <xf numFmtId="164" fontId="41" fillId="25" borderId="47" xfId="0" applyNumberFormat="1" applyFont="1" applyFill="1" applyBorder="1" applyAlignment="1">
      <alignment horizontal="center" vertical="center" shrinkToFit="1"/>
    </xf>
    <xf numFmtId="0" fontId="14" fillId="0" borderId="10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4" fontId="41" fillId="25" borderId="0" xfId="0" applyNumberFormat="1" applyFont="1" applyFill="1" applyAlignment="1">
      <alignment horizontal="center" vertical="center" shrinkToFit="1"/>
    </xf>
    <xf numFmtId="164" fontId="41" fillId="25" borderId="9" xfId="0" applyNumberFormat="1" applyFont="1" applyFill="1" applyBorder="1" applyAlignment="1">
      <alignment horizontal="center" vertical="center" shrinkToFit="1"/>
    </xf>
    <xf numFmtId="0" fontId="41" fillId="25" borderId="0" xfId="0" applyFont="1" applyFill="1" applyAlignment="1">
      <alignment horizontal="center" vertical="center" shrinkToFit="1"/>
    </xf>
    <xf numFmtId="0" fontId="46" fillId="25" borderId="0" xfId="0" applyFont="1" applyFill="1" applyAlignment="1">
      <alignment horizontal="right" vertical="center" shrinkToFit="1"/>
    </xf>
    <xf numFmtId="2" fontId="41" fillId="25" borderId="15" xfId="0" applyNumberFormat="1" applyFont="1" applyFill="1" applyBorder="1" applyAlignment="1">
      <alignment horizontal="center" vertical="center" shrinkToFit="1"/>
    </xf>
    <xf numFmtId="0" fontId="41" fillId="25" borderId="15" xfId="0" applyFont="1" applyFill="1" applyBorder="1" applyAlignment="1">
      <alignment horizontal="center" vertical="center" shrinkToFit="1"/>
    </xf>
    <xf numFmtId="166" fontId="59" fillId="25" borderId="0" xfId="41" applyNumberFormat="1" applyFont="1" applyFill="1" applyAlignment="1">
      <alignment horizontal="center" vertical="center"/>
    </xf>
    <xf numFmtId="166" fontId="59" fillId="25" borderId="9" xfId="41" applyNumberFormat="1" applyFont="1" applyFill="1" applyBorder="1" applyAlignment="1">
      <alignment horizontal="center" vertical="center"/>
    </xf>
    <xf numFmtId="0" fontId="0" fillId="25" borderId="41" xfId="0" applyFill="1" applyBorder="1" applyAlignment="1">
      <alignment horizontal="right" vertical="center"/>
    </xf>
    <xf numFmtId="0" fontId="4" fillId="25" borderId="41" xfId="0" applyFont="1" applyFill="1" applyBorder="1" applyAlignment="1">
      <alignment horizontal="right" vertical="center"/>
    </xf>
    <xf numFmtId="0" fontId="4" fillId="25" borderId="41" xfId="0" applyFont="1" applyFill="1" applyBorder="1" applyAlignment="1">
      <alignment horizontal="center" vertical="center"/>
    </xf>
    <xf numFmtId="2" fontId="41" fillId="25" borderId="42" xfId="0" applyNumberFormat="1" applyFont="1" applyFill="1" applyBorder="1" applyAlignment="1" applyProtection="1">
      <alignment horizontal="center" vertical="center"/>
      <protection locked="0"/>
    </xf>
    <xf numFmtId="2" fontId="41" fillId="25" borderId="41" xfId="0" applyNumberFormat="1" applyFont="1" applyFill="1" applyBorder="1" applyAlignment="1" applyProtection="1">
      <alignment horizontal="center" vertical="center"/>
      <protection locked="0"/>
    </xf>
    <xf numFmtId="2" fontId="41" fillId="25" borderId="43" xfId="0" applyNumberFormat="1" applyFont="1" applyFill="1" applyBorder="1" applyAlignment="1" applyProtection="1">
      <alignment horizontal="center" vertical="center"/>
      <protection locked="0"/>
    </xf>
    <xf numFmtId="0" fontId="41" fillId="25" borderId="10" xfId="0" applyFont="1" applyFill="1" applyBorder="1" applyAlignment="1" applyProtection="1">
      <alignment horizontal="center" vertical="center"/>
      <protection hidden="1"/>
    </xf>
    <xf numFmtId="0" fontId="41" fillId="25" borderId="15" xfId="0" applyFont="1" applyFill="1" applyBorder="1" applyAlignment="1" applyProtection="1">
      <alignment horizontal="right" vertical="center"/>
      <protection hidden="1"/>
    </xf>
    <xf numFmtId="2" fontId="60" fillId="25" borderId="15" xfId="0" applyNumberFormat="1" applyFont="1" applyFill="1" applyBorder="1" applyAlignment="1" applyProtection="1">
      <alignment horizontal="center"/>
      <protection locked="0"/>
    </xf>
    <xf numFmtId="2" fontId="60" fillId="25" borderId="16" xfId="0" applyNumberFormat="1" applyFont="1" applyFill="1" applyBorder="1" applyAlignment="1" applyProtection="1">
      <alignment horizontal="center"/>
      <protection locked="0"/>
    </xf>
    <xf numFmtId="0" fontId="40" fillId="25" borderId="17" xfId="0" applyFont="1" applyFill="1" applyBorder="1" applyAlignment="1">
      <alignment horizontal="center" vertical="center"/>
    </xf>
    <xf numFmtId="0" fontId="40" fillId="25" borderId="12" xfId="0" applyFont="1" applyFill="1" applyBorder="1" applyAlignment="1">
      <alignment horizontal="center" vertical="center"/>
    </xf>
    <xf numFmtId="0" fontId="40" fillId="25" borderId="11" xfId="0" applyFont="1" applyFill="1" applyBorder="1" applyAlignment="1">
      <alignment horizontal="center" vertical="center"/>
    </xf>
    <xf numFmtId="0" fontId="41" fillId="25" borderId="17" xfId="0" applyFont="1" applyFill="1" applyBorder="1" applyAlignment="1">
      <alignment horizontal="right" vertical="center"/>
    </xf>
    <xf numFmtId="0" fontId="41" fillId="25" borderId="12" xfId="0" applyFont="1" applyFill="1" applyBorder="1" applyAlignment="1">
      <alignment horizontal="right" vertical="center"/>
    </xf>
    <xf numFmtId="2" fontId="60" fillId="25" borderId="12" xfId="0" applyNumberFormat="1" applyFont="1" applyFill="1" applyBorder="1" applyAlignment="1">
      <alignment horizontal="center" vertical="center"/>
    </xf>
    <xf numFmtId="0" fontId="41" fillId="25" borderId="12" xfId="0" applyFont="1" applyFill="1" applyBorder="1" applyAlignment="1">
      <alignment horizontal="left" vertical="center"/>
    </xf>
    <xf numFmtId="0" fontId="60" fillId="25" borderId="12" xfId="0" applyFont="1" applyFill="1" applyBorder="1" applyAlignment="1">
      <alignment horizontal="center" vertical="center"/>
    </xf>
    <xf numFmtId="0" fontId="60" fillId="25" borderId="11" xfId="0" applyFont="1" applyFill="1" applyBorder="1" applyAlignment="1">
      <alignment horizontal="center" vertical="center"/>
    </xf>
    <xf numFmtId="0" fontId="5" fillId="25" borderId="0" xfId="0" applyFont="1" applyFill="1" applyAlignment="1">
      <alignment horizontal="right" vertical="center"/>
    </xf>
    <xf numFmtId="2" fontId="60" fillId="25" borderId="0" xfId="0" applyNumberFormat="1" applyFont="1" applyFill="1" applyAlignment="1">
      <alignment horizontal="center" vertical="center"/>
    </xf>
    <xf numFmtId="2" fontId="60" fillId="25" borderId="9" xfId="0" applyNumberFormat="1" applyFont="1" applyFill="1" applyBorder="1" applyAlignment="1">
      <alignment horizontal="center" vertical="center"/>
    </xf>
    <xf numFmtId="0" fontId="55" fillId="25" borderId="15" xfId="0" applyFont="1" applyFill="1" applyBorder="1" applyAlignment="1">
      <alignment horizontal="right" vertical="center"/>
    </xf>
    <xf numFmtId="0" fontId="10" fillId="25" borderId="15" xfId="0" applyFont="1" applyFill="1" applyBorder="1" applyAlignment="1">
      <alignment horizontal="right" vertical="center"/>
    </xf>
    <xf numFmtId="2" fontId="41" fillId="25" borderId="15" xfId="0" applyNumberFormat="1" applyFont="1" applyFill="1" applyBorder="1" applyAlignment="1" applyProtection="1">
      <alignment horizontal="center" vertical="center"/>
      <protection locked="0"/>
    </xf>
    <xf numFmtId="2" fontId="41" fillId="25" borderId="16" xfId="0" applyNumberFormat="1" applyFont="1" applyFill="1" applyBorder="1" applyAlignment="1" applyProtection="1">
      <alignment horizontal="center" vertical="center"/>
      <protection locked="0"/>
    </xf>
    <xf numFmtId="0" fontId="12" fillId="24" borderId="0" xfId="0" applyFont="1" applyFill="1" applyAlignment="1">
      <alignment horizontal="left"/>
    </xf>
    <xf numFmtId="0" fontId="12" fillId="24" borderId="0" xfId="0" applyFont="1" applyFill="1" applyAlignment="1">
      <alignment horizontal="right"/>
    </xf>
    <xf numFmtId="0" fontId="57" fillId="29" borderId="17" xfId="44" applyNumberFormat="1" applyFont="1" applyFill="1" applyBorder="1" applyAlignment="1">
      <alignment horizontal="center" vertical="center" wrapText="1"/>
    </xf>
    <xf numFmtId="0" fontId="57" fillId="29" borderId="12" xfId="44" applyNumberFormat="1" applyFont="1" applyFill="1" applyBorder="1" applyAlignment="1">
      <alignment horizontal="center" vertical="center"/>
    </xf>
    <xf numFmtId="0" fontId="57" fillId="29" borderId="8" xfId="44" applyNumberFormat="1" applyFont="1" applyFill="1" applyBorder="1" applyAlignment="1">
      <alignment horizontal="center" vertical="center"/>
    </xf>
    <xf numFmtId="0" fontId="57" fillId="29" borderId="0" xfId="44" applyNumberFormat="1" applyFont="1" applyFill="1" applyAlignment="1">
      <alignment horizontal="center" vertical="center"/>
    </xf>
    <xf numFmtId="0" fontId="57" fillId="29" borderId="14" xfId="44" applyNumberFormat="1" applyFont="1" applyFill="1" applyBorder="1" applyAlignment="1">
      <alignment horizontal="center" vertical="center"/>
    </xf>
    <xf numFmtId="0" fontId="57" fillId="29" borderId="15" xfId="44" applyNumberFormat="1" applyFont="1" applyFill="1" applyBorder="1" applyAlignment="1">
      <alignment horizontal="center" vertical="center"/>
    </xf>
    <xf numFmtId="0" fontId="58" fillId="30" borderId="12" xfId="44" applyNumberFormat="1" applyFont="1" applyFill="1" applyBorder="1" applyAlignment="1">
      <alignment horizontal="center" vertical="center"/>
    </xf>
    <xf numFmtId="0" fontId="58" fillId="30" borderId="0" xfId="44" applyNumberFormat="1" applyFont="1" applyFill="1" applyAlignment="1">
      <alignment horizontal="center" vertical="center"/>
    </xf>
    <xf numFmtId="0" fontId="58" fillId="30" borderId="15" xfId="44" applyNumberFormat="1" applyFont="1" applyFill="1" applyBorder="1" applyAlignment="1">
      <alignment horizontal="center" vertical="center"/>
    </xf>
    <xf numFmtId="0" fontId="58" fillId="30" borderId="11" xfId="44" applyNumberFormat="1" applyFont="1" applyFill="1" applyBorder="1" applyAlignment="1">
      <alignment horizontal="center" vertical="center"/>
    </xf>
    <xf numFmtId="0" fontId="58" fillId="30" borderId="9" xfId="44" applyNumberFormat="1" applyFont="1" applyFill="1" applyBorder="1" applyAlignment="1">
      <alignment horizontal="center" vertical="center"/>
    </xf>
    <xf numFmtId="0" fontId="58" fillId="30" borderId="16" xfId="44" applyNumberFormat="1" applyFont="1" applyFill="1" applyBorder="1" applyAlignment="1">
      <alignment horizontal="center" vertical="center"/>
    </xf>
    <xf numFmtId="0" fontId="53" fillId="27" borderId="0" xfId="0" applyFont="1" applyFill="1" applyAlignment="1">
      <alignment horizontal="center" vertical="center"/>
    </xf>
    <xf numFmtId="0" fontId="41" fillId="24" borderId="0" xfId="0" applyFont="1" applyFill="1" applyAlignment="1">
      <alignment horizontal="center" vertical="center"/>
    </xf>
    <xf numFmtId="9" fontId="60" fillId="25" borderId="0" xfId="48" applyFont="1" applyFill="1" applyBorder="1" applyAlignment="1" applyProtection="1">
      <alignment horizontal="center" vertical="center"/>
      <protection locked="0"/>
    </xf>
    <xf numFmtId="9" fontId="60" fillId="25" borderId="9" xfId="48" applyFont="1" applyFill="1" applyBorder="1" applyAlignment="1" applyProtection="1">
      <alignment horizontal="center" vertical="center"/>
      <protection locked="0"/>
    </xf>
    <xf numFmtId="0" fontId="40" fillId="25" borderId="19" xfId="0" applyFont="1" applyFill="1" applyBorder="1" applyAlignment="1">
      <alignment horizontal="center" vertical="center"/>
    </xf>
    <xf numFmtId="0" fontId="40" fillId="25" borderId="18" xfId="0" applyFont="1" applyFill="1" applyBorder="1" applyAlignment="1">
      <alignment horizontal="center" vertical="center"/>
    </xf>
    <xf numFmtId="0" fontId="40" fillId="25" borderId="13" xfId="0" applyFont="1" applyFill="1" applyBorder="1" applyAlignment="1">
      <alignment horizontal="center" vertical="center"/>
    </xf>
    <xf numFmtId="0" fontId="41" fillId="24" borderId="0" xfId="0" applyFont="1" applyFill="1" applyAlignment="1">
      <alignment horizontal="center" vertical="center" textRotation="90"/>
    </xf>
    <xf numFmtId="0" fontId="41" fillId="25" borderId="17" xfId="0" applyFont="1" applyFill="1" applyBorder="1" applyAlignment="1">
      <alignment horizontal="right" vertical="center" indent="1"/>
    </xf>
    <xf numFmtId="0" fontId="41" fillId="25" borderId="12" xfId="0" applyFont="1" applyFill="1" applyBorder="1" applyAlignment="1">
      <alignment horizontal="right" vertical="center" indent="1"/>
    </xf>
    <xf numFmtId="0" fontId="41" fillId="25" borderId="8" xfId="0" applyFont="1" applyFill="1" applyBorder="1" applyAlignment="1">
      <alignment horizontal="right" vertical="center" indent="1"/>
    </xf>
    <xf numFmtId="0" fontId="41" fillId="25" borderId="0" xfId="0" applyFont="1" applyFill="1" applyAlignment="1">
      <alignment horizontal="right" vertical="center" indent="1"/>
    </xf>
    <xf numFmtId="0" fontId="60" fillId="25" borderId="0" xfId="0" applyFont="1" applyFill="1" applyAlignment="1" applyProtection="1">
      <alignment horizontal="left" vertical="center"/>
      <protection locked="0"/>
    </xf>
    <xf numFmtId="0" fontId="41" fillId="25" borderId="0" xfId="0" applyFont="1" applyFill="1" applyAlignment="1" applyProtection="1">
      <alignment horizontal="left" vertical="center"/>
      <protection locked="0"/>
    </xf>
    <xf numFmtId="0" fontId="41" fillId="25" borderId="9" xfId="0" applyFont="1" applyFill="1" applyBorder="1" applyAlignment="1" applyProtection="1">
      <alignment horizontal="left" vertical="center"/>
      <protection locked="0"/>
    </xf>
    <xf numFmtId="0" fontId="4" fillId="25" borderId="0" xfId="0" applyFont="1" applyFill="1" applyAlignment="1">
      <alignment horizontal="right" vertical="center"/>
    </xf>
    <xf numFmtId="2" fontId="60" fillId="25" borderId="0" xfId="0" applyNumberFormat="1" applyFont="1" applyFill="1" applyAlignment="1" applyProtection="1">
      <alignment horizontal="center" vertical="center"/>
      <protection locked="0"/>
    </xf>
    <xf numFmtId="2" fontId="60" fillId="25" borderId="9" xfId="0" applyNumberFormat="1" applyFont="1" applyFill="1" applyBorder="1" applyAlignment="1" applyProtection="1">
      <alignment horizontal="center" vertical="center"/>
      <protection locked="0"/>
    </xf>
    <xf numFmtId="0" fontId="41" fillId="25" borderId="0" xfId="0" applyFont="1" applyFill="1" applyAlignment="1">
      <alignment horizontal="left" vertical="center" shrinkToFit="1"/>
    </xf>
    <xf numFmtId="0" fontId="41" fillId="25" borderId="15" xfId="0" applyFont="1" applyFill="1" applyBorder="1" applyAlignment="1">
      <alignment horizontal="left" vertical="center" shrinkToFit="1"/>
    </xf>
    <xf numFmtId="164" fontId="41" fillId="25" borderId="8" xfId="0" applyNumberFormat="1" applyFont="1" applyFill="1" applyBorder="1" applyAlignment="1">
      <alignment horizontal="center" vertical="center" shrinkToFit="1"/>
    </xf>
    <xf numFmtId="0" fontId="58" fillId="33" borderId="8" xfId="0" applyFont="1" applyFill="1" applyBorder="1" applyAlignment="1" applyProtection="1">
      <alignment horizontal="center"/>
      <protection hidden="1"/>
    </xf>
    <xf numFmtId="0" fontId="58" fillId="33" borderId="0" xfId="0" applyFont="1" applyFill="1" applyAlignment="1" applyProtection="1">
      <alignment horizontal="center"/>
      <protection hidden="1"/>
    </xf>
    <xf numFmtId="0" fontId="58" fillId="33" borderId="9" xfId="0" applyFont="1" applyFill="1" applyBorder="1" applyAlignment="1" applyProtection="1">
      <alignment horizontal="center"/>
      <protection hidden="1"/>
    </xf>
    <xf numFmtId="0" fontId="47" fillId="25" borderId="0" xfId="0" applyFont="1" applyFill="1" applyAlignment="1">
      <alignment horizontal="center" vertical="center"/>
    </xf>
    <xf numFmtId="0" fontId="41" fillId="25" borderId="0" xfId="0" applyFont="1" applyFill="1" applyAlignment="1">
      <alignment horizontal="center" vertical="center"/>
    </xf>
    <xf numFmtId="166" fontId="59" fillId="25" borderId="39" xfId="41" applyNumberFormat="1" applyFont="1" applyFill="1" applyBorder="1" applyAlignment="1">
      <alignment horizontal="center" vertical="center"/>
    </xf>
    <xf numFmtId="2" fontId="60" fillId="25" borderId="10" xfId="0" applyNumberFormat="1" applyFont="1" applyFill="1" applyBorder="1" applyAlignment="1" applyProtection="1">
      <alignment horizontal="center" vertical="center"/>
      <protection hidden="1"/>
    </xf>
    <xf numFmtId="0" fontId="60" fillId="25" borderId="10" xfId="0" applyFont="1" applyFill="1" applyBorder="1" applyAlignment="1" applyProtection="1">
      <alignment horizontal="center" vertical="center"/>
      <protection hidden="1"/>
    </xf>
    <xf numFmtId="2" fontId="41" fillId="25" borderId="10" xfId="0" applyNumberFormat="1" applyFont="1" applyFill="1" applyBorder="1" applyAlignment="1" applyProtection="1">
      <alignment horizontal="center" vertical="center"/>
      <protection hidden="1"/>
    </xf>
    <xf numFmtId="0" fontId="4" fillId="25" borderId="14" xfId="0" applyFont="1" applyFill="1" applyBorder="1" applyAlignment="1">
      <alignment horizontal="left" vertical="center"/>
    </xf>
    <xf numFmtId="0" fontId="4" fillId="25" borderId="15" xfId="0" applyFont="1" applyFill="1" applyBorder="1" applyAlignment="1">
      <alignment horizontal="left" vertical="center"/>
    </xf>
    <xf numFmtId="0" fontId="0" fillId="25" borderId="15" xfId="0" applyFill="1" applyBorder="1" applyAlignment="1">
      <alignment horizontal="right" vertical="center"/>
    </xf>
    <xf numFmtId="0" fontId="4" fillId="25" borderId="15" xfId="0" applyFont="1" applyFill="1" applyBorder="1" applyAlignment="1">
      <alignment horizontal="right" vertical="center"/>
    </xf>
    <xf numFmtId="0" fontId="4" fillId="25" borderId="15" xfId="0" applyFont="1" applyFill="1" applyBorder="1" applyAlignment="1">
      <alignment horizontal="center" vertical="center"/>
    </xf>
    <xf numFmtId="2" fontId="41" fillId="25" borderId="44" xfId="0" applyNumberFormat="1" applyFont="1" applyFill="1" applyBorder="1" applyAlignment="1" applyProtection="1">
      <alignment horizontal="center" vertical="center"/>
      <protection locked="0"/>
    </xf>
    <xf numFmtId="0" fontId="13" fillId="0" borderId="10" xfId="0" applyFont="1" applyBorder="1" applyAlignment="1">
      <alignment horizontal="center" vertical="center"/>
    </xf>
    <xf numFmtId="0" fontId="40" fillId="25" borderId="19" xfId="41" applyFont="1" applyFill="1" applyBorder="1" applyAlignment="1" applyProtection="1">
      <alignment horizontal="center" vertical="center" wrapText="1"/>
      <protection hidden="1"/>
    </xf>
    <xf numFmtId="0" fontId="40" fillId="25" borderId="18" xfId="41" applyFont="1" applyFill="1" applyBorder="1" applyAlignment="1" applyProtection="1">
      <alignment horizontal="center" vertical="center" wrapText="1"/>
      <protection hidden="1"/>
    </xf>
    <xf numFmtId="0" fontId="40" fillId="25" borderId="13" xfId="41" applyFont="1" applyFill="1" applyBorder="1" applyAlignment="1" applyProtection="1">
      <alignment horizontal="center" vertical="center" wrapText="1"/>
      <protection hidden="1"/>
    </xf>
    <xf numFmtId="0" fontId="41" fillId="25" borderId="8" xfId="41" applyFont="1" applyFill="1" applyBorder="1" applyAlignment="1" applyProtection="1">
      <alignment horizontal="center"/>
      <protection hidden="1"/>
    </xf>
    <xf numFmtId="0" fontId="41" fillId="25" borderId="0" xfId="41" applyFont="1" applyFill="1" applyAlignment="1" applyProtection="1">
      <alignment horizontal="center"/>
      <protection hidden="1"/>
    </xf>
    <xf numFmtId="0" fontId="41" fillId="25" borderId="9" xfId="41" applyFont="1" applyFill="1" applyBorder="1" applyAlignment="1" applyProtection="1">
      <alignment horizontal="center"/>
      <protection hidden="1"/>
    </xf>
    <xf numFmtId="0" fontId="41" fillId="25" borderId="14" xfId="41" applyFont="1" applyFill="1" applyBorder="1" applyAlignment="1" applyProtection="1">
      <alignment horizontal="center"/>
      <protection hidden="1"/>
    </xf>
    <xf numFmtId="0" fontId="41" fillId="25" borderId="15" xfId="41" applyFont="1" applyFill="1" applyBorder="1" applyAlignment="1" applyProtection="1">
      <alignment horizontal="center"/>
      <protection hidden="1"/>
    </xf>
    <xf numFmtId="0" fontId="41" fillId="25" borderId="16" xfId="41" applyFont="1" applyFill="1" applyBorder="1" applyAlignment="1" applyProtection="1">
      <alignment horizontal="center"/>
      <protection hidden="1"/>
    </xf>
    <xf numFmtId="0" fontId="41" fillId="25" borderId="38" xfId="0" applyFont="1" applyFill="1" applyBorder="1" applyAlignment="1">
      <alignment horizontal="center" vertical="center"/>
    </xf>
    <xf numFmtId="0" fontId="41" fillId="25" borderId="12" xfId="0" applyFont="1" applyFill="1" applyBorder="1" applyAlignment="1">
      <alignment horizontal="center" vertical="center"/>
    </xf>
    <xf numFmtId="0" fontId="41" fillId="25" borderId="11" xfId="0" applyFont="1" applyFill="1" applyBorder="1" applyAlignment="1">
      <alignment horizontal="center" vertical="center"/>
    </xf>
    <xf numFmtId="0" fontId="65" fillId="0" borderId="10" xfId="41" applyFont="1" applyBorder="1" applyAlignment="1">
      <alignment horizontal="center" vertical="center"/>
    </xf>
    <xf numFmtId="0" fontId="36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13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40" fillId="25" borderId="10" xfId="0" applyFont="1" applyFill="1" applyBorder="1" applyAlignment="1" applyProtection="1">
      <alignment horizontal="center" vertical="center" wrapText="1"/>
      <protection hidden="1"/>
    </xf>
    <xf numFmtId="2" fontId="41" fillId="25" borderId="19" xfId="0" applyNumberFormat="1" applyFont="1" applyFill="1" applyBorder="1" applyAlignment="1" applyProtection="1">
      <alignment horizontal="center" vertical="center"/>
      <protection hidden="1"/>
    </xf>
    <xf numFmtId="2" fontId="41" fillId="25" borderId="13" xfId="0" applyNumberFormat="1" applyFont="1" applyFill="1" applyBorder="1" applyAlignment="1" applyProtection="1">
      <alignment horizontal="center" vertical="center"/>
      <protection hidden="1"/>
    </xf>
    <xf numFmtId="0" fontId="13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3" fillId="24" borderId="0" xfId="0" applyFont="1" applyFill="1" applyAlignment="1">
      <alignment horizontal="left" vertical="center" indent="1"/>
    </xf>
    <xf numFmtId="0" fontId="70" fillId="24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3" fillId="24" borderId="0" xfId="0" applyFont="1" applyFill="1" applyAlignment="1">
      <alignment horizontal="center" vertical="center"/>
    </xf>
    <xf numFmtId="0" fontId="72" fillId="24" borderId="0" xfId="0" applyFont="1" applyFill="1" applyAlignment="1" applyProtection="1">
      <alignment horizontal="left" vertical="center"/>
      <protection locked="0"/>
    </xf>
    <xf numFmtId="0" fontId="65" fillId="0" borderId="0" xfId="0" applyFont="1" applyAlignment="1">
      <alignment horizontal="left" vertical="center"/>
    </xf>
    <xf numFmtId="0" fontId="74" fillId="31" borderId="0" xfId="0" applyFont="1" applyFill="1" applyAlignment="1">
      <alignment horizontal="center" vertical="center"/>
    </xf>
    <xf numFmtId="0" fontId="68" fillId="29" borderId="0" xfId="0" applyFont="1" applyFill="1" applyAlignment="1">
      <alignment horizontal="center" vertical="center"/>
    </xf>
    <xf numFmtId="0" fontId="59" fillId="0" borderId="0" xfId="49" applyFont="1" applyAlignment="1">
      <alignment horizontal="center"/>
    </xf>
    <xf numFmtId="0" fontId="59" fillId="0" borderId="9" xfId="49" applyFont="1" applyBorder="1" applyAlignment="1">
      <alignment horizontal="center"/>
    </xf>
    <xf numFmtId="0" fontId="59" fillId="0" borderId="15" xfId="49" applyFont="1" applyBorder="1" applyAlignment="1">
      <alignment horizontal="center"/>
    </xf>
    <xf numFmtId="0" fontId="59" fillId="0" borderId="16" xfId="49" applyFont="1" applyBorder="1" applyAlignment="1">
      <alignment horizontal="center"/>
    </xf>
    <xf numFmtId="0" fontId="61" fillId="29" borderId="8" xfId="49" applyFont="1" applyFill="1" applyBorder="1" applyAlignment="1">
      <alignment horizontal="left" vertical="center"/>
    </xf>
    <xf numFmtId="0" fontId="61" fillId="29" borderId="0" xfId="49" applyFont="1" applyFill="1" applyAlignment="1">
      <alignment horizontal="left" vertical="center"/>
    </xf>
    <xf numFmtId="0" fontId="64" fillId="0" borderId="0" xfId="49" applyFont="1" applyAlignment="1">
      <alignment horizontal="center"/>
    </xf>
    <xf numFmtId="0" fontId="64" fillId="0" borderId="9" xfId="49" applyFont="1" applyBorder="1" applyAlignment="1">
      <alignment horizontal="center"/>
    </xf>
    <xf numFmtId="0" fontId="61" fillId="29" borderId="17" xfId="49" applyFont="1" applyFill="1" applyBorder="1" applyAlignment="1">
      <alignment horizontal="left" vertical="center"/>
    </xf>
    <xf numFmtId="0" fontId="61" fillId="29" borderId="12" xfId="49" applyFont="1" applyFill="1" applyBorder="1" applyAlignment="1">
      <alignment horizontal="left" vertical="center"/>
    </xf>
  </cellXfs>
  <cellStyles count="5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Good 2" xfId="50" xr:uid="{FAD40DCC-9BE5-47EB-BABF-3FE5D0E80E45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rmal 3" xfId="49" xr:uid="{D379916C-027B-4881-990D-3D833DB4E555}"/>
    <cellStyle name="Normal 7" xfId="51" xr:uid="{3D3D05FD-CE76-4A35-85FE-AADB4902613F}"/>
    <cellStyle name="Normal 8" xfId="52" xr:uid="{4C261E26-32DA-4A49-94DE-BE0482A4C348}"/>
    <cellStyle name="Note" xfId="42" builtinId="10" customBuiltin="1"/>
    <cellStyle name="Output" xfId="43" builtinId="21" customBuiltin="1"/>
    <cellStyle name="Percent" xfId="48" builtinId="5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0"/>
  <tableStyles count="0" defaultTableStyle="TableStyleMedium9" defaultPivotStyle="PivotStyleLight16"/>
  <colors>
    <mruColors>
      <color rgb="FFFF00FF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B83A3D10-FADF-4560-AB6C-E9F09953C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E9617317-127D-40C7-84E7-3D252DAEF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572D0296-9729-4D9F-AB38-77022CECE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278423</xdr:colOff>
      <xdr:row>29</xdr:row>
      <xdr:rowOff>43962</xdr:rowOff>
    </xdr:from>
    <xdr:to>
      <xdr:col>17</xdr:col>
      <xdr:colOff>432288</xdr:colOff>
      <xdr:row>40</xdr:row>
      <xdr:rowOff>98518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4F7A0A-FAAB-5A03-F9A5-E002E8976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44308" y="2710962"/>
          <a:ext cx="4410807" cy="2150056"/>
        </a:xfrm>
        <a:prstGeom prst="rect">
          <a:avLst/>
        </a:prstGeom>
      </xdr:spPr>
    </xdr:pic>
    <xdr:clientData/>
  </xdr:twoCellAnchor>
  <xdr:twoCellAnchor editAs="oneCell">
    <xdr:from>
      <xdr:col>9</xdr:col>
      <xdr:colOff>36634</xdr:colOff>
      <xdr:row>0</xdr:row>
      <xdr:rowOff>0</xdr:rowOff>
    </xdr:from>
    <xdr:to>
      <xdr:col>18</xdr:col>
      <xdr:colOff>359804</xdr:colOff>
      <xdr:row>29</xdr:row>
      <xdr:rowOff>10833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8D893F-9E95-6655-FF1B-350209E34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4384" y="0"/>
          <a:ext cx="5796382" cy="2677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304801</xdr:colOff>
      <xdr:row>19</xdr:row>
      <xdr:rowOff>0</xdr:rowOff>
    </xdr:from>
    <xdr:to>
      <xdr:col>26</xdr:col>
      <xdr:colOff>200026</xdr:colOff>
      <xdr:row>19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5E4916A-6BFD-46FA-9925-446724075785}"/>
            </a:ext>
          </a:extLst>
        </xdr:cNvPr>
        <xdr:cNvSpPr txBox="1"/>
      </xdr:nvSpPr>
      <xdr:spPr>
        <a:xfrm>
          <a:off x="8010526" y="2171700"/>
          <a:ext cx="20955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l-PL" sz="1100">
              <a:solidFill>
                <a:srgbClr val="969696"/>
              </a:solidFill>
              <a:latin typeface="+mn-lt"/>
            </a:rPr>
            <a:t>    </a:t>
          </a:r>
          <a:endParaRPr lang="en-GB" sz="1100">
            <a:solidFill>
              <a:srgbClr val="969696"/>
            </a:solidFill>
            <a:latin typeface="+mn-lt"/>
          </a:endParaRPr>
        </a:p>
      </xdr:txBody>
    </xdr:sp>
    <xdr:clientData fPrintsWithSheet="0"/>
  </xdr:twoCellAnchor>
  <xdr:twoCellAnchor>
    <xdr:from>
      <xdr:col>2</xdr:col>
      <xdr:colOff>180977</xdr:colOff>
      <xdr:row>71</xdr:row>
      <xdr:rowOff>28576</xdr:rowOff>
    </xdr:from>
    <xdr:to>
      <xdr:col>3</xdr:col>
      <xdr:colOff>17183</xdr:colOff>
      <xdr:row>80</xdr:row>
      <xdr:rowOff>109632</xdr:rowOff>
    </xdr:to>
    <xdr:sp macro="" textlink="#REF!">
      <xdr:nvSpPr>
        <xdr:cNvPr id="18" name="TextBox 17">
          <a:extLst>
            <a:ext uri="{FF2B5EF4-FFF2-40B4-BE49-F238E27FC236}">
              <a16:creationId xmlns:a16="http://schemas.microsoft.com/office/drawing/2014/main" id="{01014FEF-6414-40CC-A0D1-7F01BCEBB2CD}"/>
            </a:ext>
          </a:extLst>
        </xdr:cNvPr>
        <xdr:cNvSpPr txBox="1"/>
      </xdr:nvSpPr>
      <xdr:spPr>
        <a:xfrm rot="16200000">
          <a:off x="-300036" y="16948619"/>
          <a:ext cx="1817967" cy="250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B2176D-F27C-492C-9337-0F09A571D20D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 </a:t>
          </a:fld>
          <a:endParaRPr lang="en-GB" sz="1100">
            <a:latin typeface="+mn-lt"/>
          </a:endParaRPr>
        </a:p>
      </xdr:txBody>
    </xdr:sp>
    <xdr:clientData/>
  </xdr:twoCellAnchor>
  <xdr:twoCellAnchor editAs="oneCell">
    <xdr:from>
      <xdr:col>44</xdr:col>
      <xdr:colOff>353524</xdr:colOff>
      <xdr:row>0</xdr:row>
      <xdr:rowOff>0</xdr:rowOff>
    </xdr:from>
    <xdr:to>
      <xdr:col>52</xdr:col>
      <xdr:colOff>552630</xdr:colOff>
      <xdr:row>16</xdr:row>
      <xdr:rowOff>180715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6ED145-6CD9-45A7-B40B-5CA5275C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65274" y="0"/>
          <a:ext cx="5144486" cy="1803775"/>
        </a:xfrm>
        <a:prstGeom prst="rect">
          <a:avLst/>
        </a:prstGeom>
      </xdr:spPr>
    </xdr:pic>
    <xdr:clientData/>
  </xdr:twoCellAnchor>
  <xdr:twoCellAnchor editAs="oneCell">
    <xdr:from>
      <xdr:col>44</xdr:col>
      <xdr:colOff>565639</xdr:colOff>
      <xdr:row>18</xdr:row>
      <xdr:rowOff>11684</xdr:rowOff>
    </xdr:from>
    <xdr:to>
      <xdr:col>53</xdr:col>
      <xdr:colOff>124958</xdr:colOff>
      <xdr:row>35</xdr:row>
      <xdr:rowOff>163532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DB73376-9335-4F05-8661-CEBC502F3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7389" y="2011934"/>
          <a:ext cx="5127634" cy="3427057"/>
        </a:xfrm>
        <a:prstGeom prst="rect">
          <a:avLst/>
        </a:prstGeom>
      </xdr:spPr>
    </xdr:pic>
    <xdr:clientData/>
  </xdr:twoCellAnchor>
  <xdr:twoCellAnchor>
    <xdr:from>
      <xdr:col>1</xdr:col>
      <xdr:colOff>87923</xdr:colOff>
      <xdr:row>75</xdr:row>
      <xdr:rowOff>183173</xdr:rowOff>
    </xdr:from>
    <xdr:to>
      <xdr:col>2</xdr:col>
      <xdr:colOff>278423</xdr:colOff>
      <xdr:row>76</xdr:row>
      <xdr:rowOff>181459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B47D36A5-FBE8-44A5-8920-A6E49527484F}"/>
            </a:ext>
          </a:extLst>
        </xdr:cNvPr>
        <xdr:cNvSpPr/>
      </xdr:nvSpPr>
      <xdr:spPr bwMode="auto">
        <a:xfrm>
          <a:off x="256442" y="14060365"/>
          <a:ext cx="322385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124557</xdr:colOff>
      <xdr:row>76</xdr:row>
      <xdr:rowOff>21981</xdr:rowOff>
    </xdr:from>
    <xdr:to>
      <xdr:col>26</xdr:col>
      <xdr:colOff>219806</xdr:colOff>
      <xdr:row>77</xdr:row>
      <xdr:rowOff>20266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30E69EA5-7ACF-4AEF-ABE5-92EDBF431463}"/>
            </a:ext>
          </a:extLst>
        </xdr:cNvPr>
        <xdr:cNvSpPr/>
      </xdr:nvSpPr>
      <xdr:spPr bwMode="auto">
        <a:xfrm flipH="1">
          <a:off x="7832480" y="14089673"/>
          <a:ext cx="410307" cy="188785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228318</xdr:colOff>
      <xdr:row>103</xdr:row>
      <xdr:rowOff>51289</xdr:rowOff>
    </xdr:from>
    <xdr:to>
      <xdr:col>8</xdr:col>
      <xdr:colOff>104330</xdr:colOff>
      <xdr:row>105</xdr:row>
      <xdr:rowOff>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7243BAA6-54A4-431A-BFE1-06A74F47D5FA}"/>
            </a:ext>
          </a:extLst>
        </xdr:cNvPr>
        <xdr:cNvSpPr/>
      </xdr:nvSpPr>
      <xdr:spPr bwMode="auto">
        <a:xfrm rot="5400000" flipH="1">
          <a:off x="2126276" y="19533292"/>
          <a:ext cx="337038" cy="19107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256441</xdr:colOff>
      <xdr:row>102</xdr:row>
      <xdr:rowOff>189527</xdr:rowOff>
    </xdr:from>
    <xdr:to>
      <xdr:col>20</xdr:col>
      <xdr:colOff>88491</xdr:colOff>
      <xdr:row>104</xdr:row>
      <xdr:rowOff>146543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449B9C26-0E1E-4650-816F-A94709D1A323}"/>
            </a:ext>
          </a:extLst>
        </xdr:cNvPr>
        <xdr:cNvSpPr/>
      </xdr:nvSpPr>
      <xdr:spPr bwMode="auto">
        <a:xfrm rot="16200000" flipH="1" flipV="1">
          <a:off x="5956583" y="19481519"/>
          <a:ext cx="338016" cy="19107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91732</xdr:colOff>
      <xdr:row>14</xdr:row>
      <xdr:rowOff>36529</xdr:rowOff>
    </xdr:from>
    <xdr:to>
      <xdr:col>25</xdr:col>
      <xdr:colOff>49676</xdr:colOff>
      <xdr:row>23</xdr:row>
      <xdr:rowOff>109059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A807B66-0CD4-6FF4-4E59-357475C4E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63732" y="1260125"/>
          <a:ext cx="3284367" cy="15379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6542A-14A4-45A9-BAF3-3E94A1ED3C77}">
  <sheetPr codeName="Sheet1">
    <tabColor rgb="FFFF0000"/>
  </sheetPr>
  <dimension ref="A1:AA61"/>
  <sheetViews>
    <sheetView showGridLines="0" view="pageBreakPreview" topLeftCell="A6" zoomScaleNormal="100" zoomScaleSheetLayoutView="100" workbookViewId="0">
      <selection activeCell="S11" sqref="S11"/>
    </sheetView>
  </sheetViews>
  <sheetFormatPr defaultColWidth="9.140625" defaultRowHeight="12.75"/>
  <cols>
    <col min="1" max="1" width="3" style="92" customWidth="1"/>
    <col min="2" max="2" width="11.85546875" style="91" customWidth="1"/>
    <col min="3" max="3" width="7.5703125" style="91" customWidth="1"/>
    <col min="4" max="4" width="7.7109375" style="91" customWidth="1"/>
    <col min="5" max="5" width="7.5703125" style="91" bestFit="1" customWidth="1"/>
    <col min="6" max="6" width="5.28515625" style="91" customWidth="1"/>
    <col min="7" max="7" width="7.28515625" style="91" bestFit="1" customWidth="1"/>
    <col min="8" max="8" width="8.5703125" style="91" bestFit="1" customWidth="1"/>
    <col min="9" max="9" width="8.28515625" style="91" customWidth="1"/>
    <col min="10" max="10" width="6.5703125" style="91" bestFit="1" customWidth="1"/>
    <col min="11" max="11" width="7.5703125" style="91" bestFit="1" customWidth="1"/>
    <col min="12" max="12" width="7.28515625" style="91" bestFit="1" customWidth="1"/>
    <col min="13" max="13" width="6.85546875" style="91" customWidth="1"/>
    <col min="14" max="14" width="8.85546875" style="91" customWidth="1"/>
    <col min="15" max="15" width="8.85546875" style="92" customWidth="1"/>
    <col min="16" max="16" width="12.85546875" style="92" bestFit="1" customWidth="1"/>
    <col min="17" max="16384" width="9.140625" style="92"/>
  </cols>
  <sheetData>
    <row r="1" spans="1:27" ht="14.25" customHeight="1">
      <c r="A1" s="91"/>
      <c r="P1" s="93"/>
      <c r="Q1" s="93"/>
      <c r="R1" s="93"/>
    </row>
    <row r="2" spans="1:27" ht="24" customHeight="1">
      <c r="A2" s="91"/>
      <c r="B2" s="362" t="s">
        <v>183</v>
      </c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94"/>
      <c r="P2" s="93"/>
      <c r="Q2" s="93"/>
      <c r="R2" s="93"/>
    </row>
    <row r="3" spans="1:27" ht="12.75" customHeight="1">
      <c r="A3" s="91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4"/>
      <c r="P3" s="93"/>
      <c r="Q3" s="93"/>
      <c r="R3" s="93"/>
    </row>
    <row r="4" spans="1:27" ht="12.75" customHeight="1">
      <c r="A4" s="91"/>
      <c r="B4" s="356" t="s">
        <v>184</v>
      </c>
      <c r="C4" s="356"/>
      <c r="D4" s="96"/>
      <c r="E4" s="95"/>
      <c r="F4" s="95"/>
      <c r="G4" s="95"/>
      <c r="H4" s="95"/>
      <c r="I4" s="95"/>
      <c r="J4" s="95"/>
      <c r="K4" s="95"/>
      <c r="L4" s="95"/>
      <c r="M4" s="95"/>
      <c r="N4" s="95"/>
      <c r="O4" s="94"/>
      <c r="P4" s="93"/>
      <c r="Q4" s="93"/>
      <c r="R4" s="93"/>
    </row>
    <row r="5" spans="1:27">
      <c r="A5" s="91"/>
      <c r="B5" s="355" t="s">
        <v>185</v>
      </c>
      <c r="C5" s="355"/>
      <c r="D5" s="355"/>
      <c r="E5" s="98">
        <v>13.5</v>
      </c>
      <c r="F5" s="351" t="s">
        <v>186</v>
      </c>
      <c r="G5" s="352"/>
      <c r="H5" s="352"/>
      <c r="I5" s="352"/>
      <c r="J5" s="101">
        <v>0</v>
      </c>
      <c r="K5" s="102" t="s">
        <v>187</v>
      </c>
      <c r="M5" s="103"/>
    </row>
    <row r="6" spans="1:27">
      <c r="A6" s="91"/>
      <c r="B6" s="355" t="s">
        <v>188</v>
      </c>
      <c r="C6" s="355"/>
      <c r="D6" s="104" t="s">
        <v>2</v>
      </c>
      <c r="H6" s="99"/>
      <c r="I6" s="103"/>
      <c r="J6" s="103"/>
      <c r="K6" s="105"/>
      <c r="L6" s="99"/>
      <c r="M6" s="103"/>
    </row>
    <row r="7" spans="1:27">
      <c r="A7" s="91"/>
      <c r="B7" s="355" t="s">
        <v>189</v>
      </c>
      <c r="C7" s="357"/>
      <c r="D7" s="107" t="s">
        <v>1</v>
      </c>
      <c r="E7" s="351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352"/>
      <c r="G7" s="352"/>
      <c r="H7" s="352"/>
      <c r="I7" s="352"/>
      <c r="J7" s="352"/>
      <c r="K7" s="352"/>
      <c r="L7" s="352"/>
      <c r="M7" s="352"/>
      <c r="N7" s="352"/>
      <c r="O7" s="108"/>
    </row>
    <row r="8" spans="1:27">
      <c r="A8" s="91"/>
      <c r="B8" s="355" t="s">
        <v>77</v>
      </c>
      <c r="C8" s="355"/>
      <c r="D8" s="355"/>
      <c r="E8" s="357"/>
      <c r="F8" s="357"/>
      <c r="G8" s="357"/>
      <c r="H8" s="359" t="s">
        <v>190</v>
      </c>
      <c r="I8" s="360"/>
      <c r="J8" s="360"/>
    </row>
    <row r="9" spans="1:27">
      <c r="A9" s="91"/>
      <c r="B9" s="355" t="s">
        <v>191</v>
      </c>
      <c r="C9" s="357"/>
      <c r="D9" s="357"/>
      <c r="E9" s="357"/>
      <c r="F9" s="357"/>
      <c r="G9" s="357"/>
      <c r="H9" s="109">
        <v>1</v>
      </c>
      <c r="J9" s="351" t="s">
        <v>192</v>
      </c>
      <c r="K9" s="352"/>
      <c r="L9" s="352"/>
      <c r="M9" s="352"/>
      <c r="N9" s="352"/>
      <c r="O9" s="108"/>
      <c r="R9" s="361"/>
      <c r="S9" s="361"/>
      <c r="T9" s="361"/>
      <c r="U9" s="361"/>
      <c r="V9" s="361"/>
      <c r="W9" s="361"/>
      <c r="X9" s="361"/>
      <c r="Y9" s="361"/>
      <c r="Z9" s="361"/>
      <c r="AA9" s="361"/>
    </row>
    <row r="10" spans="1:27" ht="15.75">
      <c r="A10" s="91"/>
      <c r="B10" s="355" t="s">
        <v>193</v>
      </c>
      <c r="C10" s="357"/>
      <c r="D10" s="357"/>
      <c r="E10" s="357"/>
      <c r="F10" s="357"/>
      <c r="G10" s="357"/>
      <c r="H10" s="110">
        <f>VLOOKUP(D6,GustFactor!$F$57:$H$61,2,FALSE)</f>
        <v>0.95</v>
      </c>
      <c r="J10" s="351" t="s">
        <v>194</v>
      </c>
      <c r="K10" s="352"/>
      <c r="L10" s="352"/>
      <c r="M10" s="352"/>
      <c r="N10" s="352"/>
      <c r="O10" s="108"/>
      <c r="R10" s="361"/>
      <c r="S10" s="361"/>
      <c r="T10" s="361"/>
      <c r="U10" s="361"/>
      <c r="V10" s="361"/>
      <c r="W10" s="361"/>
      <c r="X10" s="361"/>
      <c r="Y10" s="361"/>
      <c r="Z10" s="361"/>
      <c r="AA10" s="361"/>
    </row>
    <row r="11" spans="1:27" ht="15.75">
      <c r="A11" s="91"/>
      <c r="B11" s="355" t="s">
        <v>195</v>
      </c>
      <c r="C11" s="357"/>
      <c r="D11" s="357"/>
      <c r="E11" s="357"/>
      <c r="F11" s="357"/>
      <c r="G11" s="357"/>
      <c r="H11" s="110">
        <f>H10*0.852</f>
        <v>0.8093999999999999</v>
      </c>
      <c r="J11" s="351" t="s">
        <v>196</v>
      </c>
      <c r="K11" s="352"/>
      <c r="L11" s="352"/>
      <c r="M11" s="352"/>
      <c r="N11" s="352"/>
      <c r="O11" s="108"/>
    </row>
    <row r="12" spans="1:27">
      <c r="A12" s="91"/>
      <c r="B12" s="355" t="s">
        <v>197</v>
      </c>
      <c r="C12" s="357"/>
      <c r="D12" s="357"/>
      <c r="E12" s="357"/>
      <c r="F12" s="357"/>
      <c r="G12" s="357"/>
      <c r="H12" s="111">
        <f>VLOOKUP(D6,GustFactor!$F$57:$H$61,3,FALSE)</f>
        <v>44</v>
      </c>
      <c r="J12" s="351" t="s">
        <v>194</v>
      </c>
      <c r="K12" s="352"/>
      <c r="L12" s="352"/>
      <c r="M12" s="352"/>
      <c r="N12" s="352"/>
      <c r="O12" s="108"/>
    </row>
    <row r="13" spans="1:27" ht="15.75">
      <c r="A13" s="91"/>
      <c r="B13" s="355" t="s">
        <v>198</v>
      </c>
      <c r="C13" s="357"/>
      <c r="D13" s="357"/>
      <c r="E13" s="357"/>
      <c r="F13" s="357"/>
      <c r="G13" s="357"/>
      <c r="H13" s="110">
        <f>VLOOKUP($D$7,Bang8_10,4)</f>
        <v>4.57</v>
      </c>
      <c r="J13" s="351" t="s">
        <v>199</v>
      </c>
      <c r="K13" s="352"/>
      <c r="L13" s="352"/>
      <c r="M13" s="352"/>
      <c r="N13" s="352"/>
      <c r="O13" s="108"/>
    </row>
    <row r="14" spans="1:27" ht="15.75">
      <c r="A14" s="91"/>
      <c r="B14" s="355" t="s">
        <v>200</v>
      </c>
      <c r="C14" s="357"/>
      <c r="D14" s="357"/>
      <c r="E14" s="357"/>
      <c r="F14" s="357"/>
      <c r="G14" s="357"/>
      <c r="H14" s="110">
        <f>VLOOKUP($D$7,Bang8_10,3)</f>
        <v>274.32</v>
      </c>
      <c r="J14" s="351" t="s">
        <v>199</v>
      </c>
      <c r="K14" s="352"/>
      <c r="L14" s="352"/>
      <c r="M14" s="352"/>
      <c r="N14" s="352"/>
      <c r="O14" s="108"/>
    </row>
    <row r="15" spans="1:27">
      <c r="A15" s="91"/>
      <c r="B15" s="355" t="s">
        <v>201</v>
      </c>
      <c r="C15" s="357"/>
      <c r="D15" s="357"/>
      <c r="E15" s="357"/>
      <c r="F15" s="357"/>
      <c r="G15" s="357"/>
      <c r="H15" s="110">
        <f>VLOOKUP($D$7,Bang8_10,5)</f>
        <v>9.5</v>
      </c>
      <c r="J15" s="351" t="s">
        <v>199</v>
      </c>
      <c r="K15" s="352"/>
      <c r="L15" s="352"/>
      <c r="M15" s="352"/>
      <c r="N15" s="352"/>
      <c r="O15" s="108"/>
    </row>
    <row r="16" spans="1:27" ht="15.75">
      <c r="A16" s="91"/>
      <c r="B16" s="355" t="s">
        <v>202</v>
      </c>
      <c r="C16" s="357"/>
      <c r="D16" s="357"/>
      <c r="E16" s="357"/>
      <c r="F16" s="357"/>
      <c r="G16" s="357"/>
      <c r="H16" s="110">
        <f>VLOOKUP(D7,Bang8_10,6)</f>
        <v>1.97</v>
      </c>
      <c r="J16" s="351" t="s">
        <v>199</v>
      </c>
      <c r="K16" s="352"/>
      <c r="L16" s="352"/>
      <c r="M16" s="352"/>
      <c r="N16" s="352"/>
      <c r="O16" s="108"/>
    </row>
    <row r="17" spans="1:15" ht="15.75">
      <c r="A17" s="91"/>
      <c r="B17" s="355" t="s">
        <v>203</v>
      </c>
      <c r="C17" s="357"/>
      <c r="D17" s="357"/>
      <c r="E17" s="357"/>
      <c r="F17" s="357"/>
      <c r="G17" s="357"/>
      <c r="H17" s="110">
        <f>VLOOKUP(D7,Bang8_10,7)</f>
        <v>0.2</v>
      </c>
      <c r="J17" s="351" t="s">
        <v>204</v>
      </c>
      <c r="K17" s="352"/>
      <c r="L17" s="352"/>
      <c r="M17" s="352"/>
      <c r="N17" s="352"/>
      <c r="O17" s="108"/>
    </row>
    <row r="18" spans="1:15">
      <c r="A18" s="91"/>
      <c r="B18" s="355" t="s">
        <v>205</v>
      </c>
      <c r="C18" s="357"/>
      <c r="D18" s="357"/>
      <c r="E18" s="357"/>
      <c r="F18" s="357"/>
      <c r="G18" s="357"/>
      <c r="H18" s="110">
        <f>VLOOKUP(D7,Bang8_10,8)</f>
        <v>152.4</v>
      </c>
      <c r="J18" s="351" t="s">
        <v>204</v>
      </c>
      <c r="K18" s="352"/>
      <c r="L18" s="352"/>
      <c r="M18" s="352"/>
      <c r="N18" s="352"/>
      <c r="O18" s="108"/>
    </row>
    <row r="19" spans="1:15">
      <c r="A19" s="91"/>
      <c r="B19" s="355" t="s">
        <v>206</v>
      </c>
      <c r="C19" s="357"/>
      <c r="D19" s="357"/>
      <c r="E19" s="357"/>
      <c r="F19" s="357"/>
      <c r="G19" s="357"/>
      <c r="H19" s="110">
        <f>VLOOKUP(D7,Bang8_10,9)</f>
        <v>0.2</v>
      </c>
      <c r="J19" s="351" t="s">
        <v>204</v>
      </c>
      <c r="K19" s="352"/>
      <c r="L19" s="352"/>
      <c r="M19" s="352"/>
      <c r="N19" s="352"/>
      <c r="O19" s="108"/>
    </row>
    <row r="20" spans="1:15">
      <c r="A20" s="91"/>
      <c r="B20" s="355" t="s">
        <v>207</v>
      </c>
      <c r="C20" s="357"/>
      <c r="D20" s="357"/>
      <c r="E20" s="357"/>
      <c r="F20" s="357"/>
      <c r="G20" s="357"/>
      <c r="H20" s="110">
        <f>VLOOKUP(D7,Bang8_10,10)</f>
        <v>0.65</v>
      </c>
      <c r="J20" s="351" t="s">
        <v>204</v>
      </c>
      <c r="K20" s="352"/>
      <c r="L20" s="352"/>
      <c r="M20" s="352"/>
      <c r="N20" s="352"/>
      <c r="O20" s="108"/>
    </row>
    <row r="21" spans="1:15">
      <c r="A21" s="91"/>
      <c r="B21" s="355" t="s">
        <v>208</v>
      </c>
      <c r="C21" s="357"/>
      <c r="D21" s="357"/>
      <c r="E21" s="357"/>
      <c r="F21" s="357"/>
      <c r="G21" s="357"/>
      <c r="H21" s="110">
        <f>VLOOKUP(D7,Bang8_10,11)</f>
        <v>0.15384615384615385</v>
      </c>
      <c r="J21" s="351" t="s">
        <v>204</v>
      </c>
      <c r="K21" s="352"/>
      <c r="L21" s="352"/>
      <c r="M21" s="352"/>
      <c r="N21" s="352"/>
      <c r="O21" s="108"/>
    </row>
    <row r="22" spans="1:15" ht="15.75">
      <c r="A22" s="91"/>
      <c r="B22" s="355" t="s">
        <v>209</v>
      </c>
      <c r="C22" s="357"/>
      <c r="D22" s="357"/>
      <c r="E22" s="357"/>
      <c r="F22" s="357"/>
      <c r="G22" s="357"/>
      <c r="H22" s="110">
        <f>$H$17*(10/(0.6*$E$5))^(1/6)</f>
        <v>0.20714883373025728</v>
      </c>
      <c r="J22" s="351" t="s">
        <v>210</v>
      </c>
      <c r="K22" s="352"/>
      <c r="L22" s="352"/>
      <c r="M22" s="352"/>
      <c r="N22" s="352"/>
      <c r="O22" s="108"/>
    </row>
    <row r="23" spans="1:15" ht="15.75">
      <c r="A23" s="91"/>
      <c r="B23" s="355" t="s">
        <v>211</v>
      </c>
      <c r="C23" s="357"/>
      <c r="D23" s="357"/>
      <c r="E23" s="357"/>
      <c r="F23" s="357"/>
      <c r="G23" s="357"/>
      <c r="H23" s="110">
        <f>H18*(0.6*E5/10)^H19</f>
        <v>146.11068296436144</v>
      </c>
      <c r="J23" s="351" t="s">
        <v>212</v>
      </c>
      <c r="K23" s="352"/>
      <c r="L23" s="352"/>
      <c r="M23" s="352"/>
      <c r="N23" s="352"/>
      <c r="O23" s="108"/>
    </row>
    <row r="24" spans="1:15">
      <c r="A24" s="91"/>
      <c r="B24" s="355" t="s">
        <v>213</v>
      </c>
      <c r="C24" s="357"/>
      <c r="D24" s="357"/>
      <c r="E24" s="357"/>
      <c r="F24" s="357"/>
      <c r="G24" s="357"/>
      <c r="H24" s="110">
        <f>IF(H8="Kết cấu BT và BTCT",0.02,IF(H8="Kết cấu thép",0.01,0.015))</f>
        <v>0.01</v>
      </c>
      <c r="J24" s="351" t="s">
        <v>214</v>
      </c>
      <c r="K24" s="352"/>
      <c r="L24" s="352"/>
      <c r="M24" s="352"/>
      <c r="N24" s="352"/>
      <c r="O24" s="108"/>
    </row>
    <row r="25" spans="1:15" ht="15.75">
      <c r="A25" s="91"/>
      <c r="B25" s="355" t="s">
        <v>215</v>
      </c>
      <c r="C25" s="357"/>
      <c r="D25" s="357"/>
      <c r="E25" s="357"/>
      <c r="F25" s="357"/>
      <c r="G25" s="357"/>
      <c r="H25" s="110">
        <f>H12*H20*(0.6*E5/10)^H21</f>
        <v>27.68769519252514</v>
      </c>
      <c r="J25" s="351" t="s">
        <v>216</v>
      </c>
      <c r="K25" s="352"/>
      <c r="L25" s="352"/>
      <c r="M25" s="352"/>
      <c r="N25" s="352"/>
      <c r="O25" s="108"/>
    </row>
    <row r="26" spans="1:15">
      <c r="A26" s="91"/>
      <c r="M26" s="99"/>
      <c r="N26" s="112"/>
      <c r="O26" s="113"/>
    </row>
    <row r="27" spans="1:15">
      <c r="A27" s="91"/>
      <c r="B27" s="358" t="s">
        <v>217</v>
      </c>
      <c r="C27" s="358"/>
      <c r="D27" s="358"/>
      <c r="E27" s="358"/>
      <c r="F27" s="358"/>
      <c r="G27" s="358" t="s">
        <v>218</v>
      </c>
      <c r="H27" s="358"/>
      <c r="I27" s="358"/>
      <c r="J27" s="358"/>
      <c r="K27" s="358"/>
      <c r="L27" s="358"/>
      <c r="M27" s="351" t="s">
        <v>219</v>
      </c>
      <c r="N27" s="352"/>
      <c r="O27" s="108"/>
    </row>
    <row r="28" spans="1:15">
      <c r="A28" s="91"/>
      <c r="B28" s="355" t="str">
        <f>"Chu kỳ dao động (s)"</f>
        <v>Chu kỳ dao động (s)</v>
      </c>
      <c r="C28" s="355"/>
      <c r="D28" s="355"/>
      <c r="E28" s="115">
        <v>1.45</v>
      </c>
      <c r="F28" s="114"/>
      <c r="G28" s="351" t="s">
        <v>220</v>
      </c>
      <c r="H28" s="351"/>
      <c r="I28" s="351"/>
      <c r="J28" s="351"/>
      <c r="K28" s="115">
        <v>1.5</v>
      </c>
      <c r="L28" s="114"/>
      <c r="M28" s="99"/>
      <c r="N28" s="100"/>
      <c r="O28" s="108"/>
    </row>
    <row r="29" spans="1:15">
      <c r="A29" s="91"/>
      <c r="B29" s="355" t="s">
        <v>221</v>
      </c>
      <c r="C29" s="355"/>
      <c r="D29" s="355"/>
      <c r="E29" s="116">
        <v>50</v>
      </c>
      <c r="F29" s="114"/>
      <c r="G29" s="351" t="s">
        <v>221</v>
      </c>
      <c r="H29" s="351"/>
      <c r="I29" s="351"/>
      <c r="J29" s="351"/>
      <c r="K29" s="117">
        <f>E30</f>
        <v>100</v>
      </c>
      <c r="L29" s="114"/>
      <c r="M29" s="99"/>
      <c r="N29" s="100"/>
      <c r="O29" s="108"/>
    </row>
    <row r="30" spans="1:15">
      <c r="A30" s="91"/>
      <c r="B30" s="355" t="s">
        <v>222</v>
      </c>
      <c r="C30" s="357"/>
      <c r="D30" s="357"/>
      <c r="E30" s="116">
        <v>100</v>
      </c>
      <c r="F30" s="114"/>
      <c r="G30" s="351" t="s">
        <v>222</v>
      </c>
      <c r="H30" s="352"/>
      <c r="I30" s="352"/>
      <c r="J30" s="352"/>
      <c r="K30" s="117">
        <f>E29</f>
        <v>50</v>
      </c>
      <c r="L30" s="114"/>
      <c r="M30" s="99"/>
      <c r="N30" s="100"/>
      <c r="O30" s="108"/>
    </row>
    <row r="31" spans="1:15">
      <c r="A31" s="91"/>
      <c r="B31" s="97"/>
      <c r="C31" s="106"/>
      <c r="D31" s="106"/>
      <c r="E31" s="116"/>
      <c r="F31" s="114"/>
      <c r="G31" s="99"/>
      <c r="H31" s="100"/>
      <c r="I31" s="100"/>
      <c r="J31" s="100"/>
      <c r="K31" s="117"/>
      <c r="L31" s="114"/>
      <c r="M31" s="99"/>
      <c r="N31" s="100"/>
      <c r="O31" s="108"/>
    </row>
    <row r="32" spans="1:15">
      <c r="A32" s="91"/>
      <c r="B32" s="356" t="s">
        <v>223</v>
      </c>
      <c r="C32" s="356"/>
      <c r="D32" s="100"/>
      <c r="E32" s="116"/>
      <c r="F32" s="114"/>
      <c r="G32" s="99"/>
      <c r="H32" s="100"/>
      <c r="I32" s="100"/>
      <c r="J32" s="100"/>
      <c r="K32" s="117"/>
      <c r="L32" s="114"/>
      <c r="M32" s="99"/>
      <c r="N32" s="100"/>
      <c r="O32" s="108"/>
    </row>
    <row r="33" spans="1:22" ht="15.75">
      <c r="A33" s="114"/>
      <c r="B33" s="355" t="s">
        <v>224</v>
      </c>
      <c r="C33" s="357"/>
      <c r="D33" s="357"/>
      <c r="E33" s="118">
        <f>IF($E$28&lt;=1,0.85,0.925*((1+1.7*H22*SQRT(3.4^2*E37^2+E36^2*E38^2))/(1+1.7*H22*3.4)))</f>
        <v>0.9438934308721264</v>
      </c>
      <c r="G33" s="351" t="s">
        <v>224</v>
      </c>
      <c r="H33" s="352"/>
      <c r="I33" s="352"/>
      <c r="J33" s="352"/>
      <c r="K33" s="118">
        <f>IF($K$28&lt;=1,0.85,0.925*((1+1.7*H22*SQRT(3.4^2*K37^2+K36^2*K38^2))/(1+1.7*H22*3.4)))</f>
        <v>0.88580526599160792</v>
      </c>
      <c r="M33" s="351" t="s">
        <v>225</v>
      </c>
      <c r="N33" s="352"/>
      <c r="O33" s="108"/>
    </row>
    <row r="34" spans="1:22">
      <c r="A34" s="114"/>
      <c r="B34" s="97"/>
      <c r="C34" s="106"/>
      <c r="D34" s="106"/>
      <c r="E34" s="106"/>
      <c r="G34" s="99"/>
      <c r="H34" s="100"/>
      <c r="I34" s="100"/>
      <c r="J34" s="100"/>
      <c r="K34" s="106"/>
      <c r="M34" s="99"/>
      <c r="N34" s="100"/>
      <c r="O34" s="108"/>
    </row>
    <row r="35" spans="1:22">
      <c r="A35" s="114"/>
      <c r="B35" s="356" t="s">
        <v>226</v>
      </c>
      <c r="C35" s="356"/>
      <c r="D35" s="100"/>
      <c r="E35" s="99"/>
      <c r="G35" s="99"/>
      <c r="H35" s="100"/>
      <c r="I35" s="100"/>
      <c r="J35" s="100"/>
      <c r="K35" s="99"/>
      <c r="M35" s="99"/>
      <c r="N35" s="100"/>
      <c r="O35" s="108"/>
    </row>
    <row r="36" spans="1:22">
      <c r="A36" s="114"/>
      <c r="B36" s="355" t="s">
        <v>227</v>
      </c>
      <c r="C36" s="355"/>
      <c r="D36" s="355"/>
      <c r="E36" s="110">
        <f>SQRT(2*LN(3600/$E$28))+0.577/SQRT(2*LN(3600/$E$28))</f>
        <v>4.0999446318121446</v>
      </c>
      <c r="F36" s="114"/>
      <c r="G36" s="351" t="s">
        <v>227</v>
      </c>
      <c r="H36" s="351"/>
      <c r="I36" s="351"/>
      <c r="J36" s="351"/>
      <c r="K36" s="117">
        <f>SQRT(2*LN(3600/$K$28))+0.577/SQRT(2*LN(3600/$K$28))</f>
        <v>4.0916788284258532</v>
      </c>
      <c r="L36" s="114"/>
      <c r="M36" s="351" t="s">
        <v>228</v>
      </c>
      <c r="N36" s="351"/>
      <c r="O36" s="119"/>
    </row>
    <row r="37" spans="1:22">
      <c r="A37" s="114"/>
      <c r="B37" s="355" t="s">
        <v>229</v>
      </c>
      <c r="C37" s="357"/>
      <c r="D37" s="357"/>
      <c r="E37" s="110">
        <f>SQRT(1/(1+0.63*((E5+E29)/H23)^0.63))</f>
        <v>0.85352262757816644</v>
      </c>
      <c r="G37" s="351" t="s">
        <v>230</v>
      </c>
      <c r="H37" s="352"/>
      <c r="I37" s="352"/>
      <c r="J37" s="352"/>
      <c r="K37" s="110">
        <f>SQRT(1/(1+0.63*((E5+K29)/H23)^0.63))</f>
        <v>0.8065233328361785</v>
      </c>
      <c r="M37" s="351" t="s">
        <v>231</v>
      </c>
      <c r="N37" s="352"/>
      <c r="O37" s="108"/>
    </row>
    <row r="38" spans="1:22">
      <c r="A38" s="114"/>
      <c r="B38" s="355" t="s">
        <v>232</v>
      </c>
      <c r="C38" s="355"/>
      <c r="D38" s="355"/>
      <c r="E38" s="110">
        <f>SQRT(E39*E44*E45*(0.53+0.47*E46)/H24)</f>
        <v>0.48911554289282133</v>
      </c>
      <c r="F38" s="114"/>
      <c r="G38" s="351" t="s">
        <v>232</v>
      </c>
      <c r="H38" s="351"/>
      <c r="I38" s="351"/>
      <c r="J38" s="352"/>
      <c r="K38" s="117">
        <f>SQRT(K39*K44*K45*(0.53+0.47*K46)/H24)</f>
        <v>0.37165376209058926</v>
      </c>
      <c r="L38" s="114"/>
      <c r="M38" s="351" t="s">
        <v>233</v>
      </c>
      <c r="N38" s="351"/>
      <c r="O38" s="119"/>
    </row>
    <row r="39" spans="1:22" ht="16.5">
      <c r="A39" s="114"/>
      <c r="B39" s="355" t="s">
        <v>234</v>
      </c>
      <c r="C39" s="355"/>
      <c r="D39" s="355"/>
      <c r="E39" s="110">
        <f>7.47*E40/(1+10.3*E40)^(5/3)</f>
        <v>6.1970374863139013E-2</v>
      </c>
      <c r="F39" s="114"/>
      <c r="G39" s="351" t="s">
        <v>234</v>
      </c>
      <c r="H39" s="351"/>
      <c r="I39" s="351"/>
      <c r="J39" s="352"/>
      <c r="K39" s="117">
        <f>7.47*K40/(1+10.3*K40)^(5/3)</f>
        <v>6.3292372875814254E-2</v>
      </c>
      <c r="L39" s="114"/>
      <c r="M39" s="351" t="s">
        <v>235</v>
      </c>
      <c r="N39" s="351"/>
      <c r="O39" s="119"/>
      <c r="T39" s="120"/>
      <c r="U39" s="120"/>
      <c r="V39" s="120"/>
    </row>
    <row r="40" spans="1:22" ht="16.5">
      <c r="A40" s="114"/>
      <c r="B40" s="97" t="s">
        <v>236</v>
      </c>
      <c r="C40" s="99"/>
      <c r="D40" s="99"/>
      <c r="E40" s="110">
        <f>H23/E28/H25</f>
        <v>3.6393779818295457</v>
      </c>
      <c r="F40" s="114"/>
      <c r="G40" s="351" t="s">
        <v>236</v>
      </c>
      <c r="H40" s="352"/>
      <c r="I40" s="352"/>
      <c r="J40" s="352"/>
      <c r="K40" s="117">
        <f>H23/K28/H25</f>
        <v>3.518065382435227</v>
      </c>
      <c r="L40" s="114"/>
      <c r="M40" s="351" t="s">
        <v>237</v>
      </c>
      <c r="N40" s="351"/>
      <c r="O40" s="119"/>
      <c r="T40" s="120"/>
      <c r="U40" s="120"/>
      <c r="V40" s="120"/>
    </row>
    <row r="41" spans="1:22" ht="16.5">
      <c r="A41" s="114"/>
      <c r="B41" s="97" t="s">
        <v>238</v>
      </c>
      <c r="C41" s="99"/>
      <c r="D41" s="99"/>
      <c r="E41" s="110">
        <f>4.6*E5/E28/H25</f>
        <v>1.5468093645605696</v>
      </c>
      <c r="F41" s="114"/>
      <c r="G41" s="351" t="s">
        <v>238</v>
      </c>
      <c r="H41" s="352"/>
      <c r="I41" s="352"/>
      <c r="J41" s="352"/>
      <c r="K41" s="117">
        <f>4.6*E5/K28/H25</f>
        <v>1.4952490524085507</v>
      </c>
      <c r="L41" s="114"/>
      <c r="M41" s="351" t="s">
        <v>239</v>
      </c>
      <c r="N41" s="351"/>
      <c r="O41" s="119"/>
      <c r="T41" s="120"/>
      <c r="U41" s="120"/>
      <c r="V41" s="120"/>
    </row>
    <row r="42" spans="1:22" ht="16.5">
      <c r="A42" s="114"/>
      <c r="B42" s="97" t="s">
        <v>240</v>
      </c>
      <c r="C42" s="99"/>
      <c r="D42" s="99"/>
      <c r="E42" s="110">
        <f>4.6*E29/E28/H25</f>
        <v>5.7289235724465541</v>
      </c>
      <c r="F42" s="114"/>
      <c r="G42" s="351" t="s">
        <v>240</v>
      </c>
      <c r="H42" s="352"/>
      <c r="I42" s="352"/>
      <c r="J42" s="352"/>
      <c r="K42" s="117">
        <f>4.6*K29/K28/H25</f>
        <v>11.075918906730003</v>
      </c>
      <c r="L42" s="114"/>
      <c r="M42" s="351" t="s">
        <v>239</v>
      </c>
      <c r="N42" s="351"/>
      <c r="O42" s="119"/>
      <c r="T42" s="120"/>
      <c r="U42" s="120"/>
      <c r="V42" s="120"/>
    </row>
    <row r="43" spans="1:22" ht="15.75">
      <c r="A43" s="114"/>
      <c r="B43" s="97" t="s">
        <v>241</v>
      </c>
      <c r="C43" s="99"/>
      <c r="D43" s="99"/>
      <c r="E43" s="110">
        <f>15.4*E30/E28/H25</f>
        <v>38.358879572033452</v>
      </c>
      <c r="F43" s="114"/>
      <c r="G43" s="351" t="s">
        <v>241</v>
      </c>
      <c r="H43" s="352"/>
      <c r="I43" s="352"/>
      <c r="J43" s="352"/>
      <c r="K43" s="117">
        <f>15.4*K30/K28/H25</f>
        <v>18.540125126482835</v>
      </c>
      <c r="L43" s="114"/>
      <c r="M43" s="351" t="s">
        <v>239</v>
      </c>
      <c r="N43" s="351"/>
      <c r="O43" s="119"/>
    </row>
    <row r="44" spans="1:22">
      <c r="A44" s="114"/>
      <c r="B44" s="97" t="s">
        <v>242</v>
      </c>
      <c r="C44" s="99"/>
      <c r="D44" s="99"/>
      <c r="E44" s="110">
        <f>IF(E41=0,1,(1/E41-(1-EXP(-2*E41))/(2*E41^2)))</f>
        <v>0.44699054338583177</v>
      </c>
      <c r="F44" s="114"/>
      <c r="G44" s="351" t="s">
        <v>242</v>
      </c>
      <c r="H44" s="352"/>
      <c r="I44" s="352"/>
      <c r="J44" s="352"/>
      <c r="K44" s="117">
        <f>IF(K41=0,1,(1/K41-(1-EXP(-2*K41))/(2*K41^2)))</f>
        <v>0.45638879378781028</v>
      </c>
      <c r="L44" s="114"/>
      <c r="M44" s="351" t="s">
        <v>239</v>
      </c>
      <c r="N44" s="351"/>
      <c r="O44" s="119"/>
    </row>
    <row r="45" spans="1:22">
      <c r="A45" s="114"/>
      <c r="B45" s="97" t="s">
        <v>243</v>
      </c>
      <c r="C45" s="99"/>
      <c r="D45" s="99"/>
      <c r="E45" s="110">
        <f>IF(E42=0,1,(1/E42-(1-EXP(-2*E42))/(2*E42^2)))</f>
        <v>0.15931867132505645</v>
      </c>
      <c r="F45" s="114"/>
      <c r="G45" s="351" t="s">
        <v>243</v>
      </c>
      <c r="H45" s="352"/>
      <c r="I45" s="352"/>
      <c r="J45" s="352"/>
      <c r="K45" s="117">
        <f>IF(K42=0,1,(1/K42-(1-EXP(-2*K42))/(2*K42^2)))</f>
        <v>8.6210185065409173E-2</v>
      </c>
      <c r="L45" s="114"/>
      <c r="M45" s="351" t="s">
        <v>239</v>
      </c>
      <c r="N45" s="351"/>
      <c r="O45" s="119"/>
    </row>
    <row r="46" spans="1:22">
      <c r="A46" s="114"/>
      <c r="B46" s="97" t="s">
        <v>244</v>
      </c>
      <c r="C46" s="99"/>
      <c r="D46" s="99"/>
      <c r="E46" s="110">
        <f>IF(E43=0,1,(1/E43-(1-EXP(-2*E43))/(2*E43^2)))</f>
        <v>2.5729771553381429E-2</v>
      </c>
      <c r="F46" s="114"/>
      <c r="G46" s="351" t="s">
        <v>244</v>
      </c>
      <c r="H46" s="352"/>
      <c r="I46" s="352"/>
      <c r="J46" s="352"/>
      <c r="K46" s="117">
        <f>IF(K43=0,1,(1/K43-(1-EXP(-2*K43))/(2*K43^2)))</f>
        <v>5.2482464874613062E-2</v>
      </c>
      <c r="L46" s="114"/>
      <c r="M46" s="351" t="s">
        <v>239</v>
      </c>
      <c r="N46" s="351"/>
      <c r="O46" s="119"/>
    </row>
    <row r="47" spans="1:22">
      <c r="A47" s="91"/>
      <c r="M47" s="121"/>
    </row>
    <row r="48" spans="1:22">
      <c r="M48" s="121"/>
    </row>
    <row r="49" spans="2:13">
      <c r="M49" s="121"/>
    </row>
    <row r="50" spans="2:13">
      <c r="B50" s="353" t="s">
        <v>245</v>
      </c>
      <c r="C50" s="353"/>
      <c r="D50" s="353"/>
      <c r="E50" s="353"/>
      <c r="F50" s="353"/>
      <c r="G50" s="353"/>
      <c r="H50" s="353" t="s">
        <v>246</v>
      </c>
      <c r="I50" s="354"/>
      <c r="J50" s="354"/>
      <c r="K50" s="354"/>
      <c r="L50" s="354"/>
      <c r="M50" s="121"/>
    </row>
    <row r="51" spans="2:13" ht="18.75">
      <c r="B51" s="122" t="s">
        <v>247</v>
      </c>
      <c r="C51" s="122" t="s">
        <v>248</v>
      </c>
      <c r="D51" s="122" t="s">
        <v>249</v>
      </c>
      <c r="E51" s="123" t="s">
        <v>250</v>
      </c>
      <c r="F51" s="122" t="s">
        <v>251</v>
      </c>
      <c r="G51" s="122" t="s">
        <v>252</v>
      </c>
      <c r="H51" s="124" t="s">
        <v>253</v>
      </c>
      <c r="I51" s="122" t="s">
        <v>254</v>
      </c>
      <c r="J51" s="125"/>
      <c r="K51" s="125"/>
      <c r="L51" s="125"/>
      <c r="M51" s="121"/>
    </row>
    <row r="52" spans="2:13" ht="14.25">
      <c r="B52" s="126" t="s">
        <v>14</v>
      </c>
      <c r="C52" s="127" t="s">
        <v>255</v>
      </c>
      <c r="D52" s="126">
        <v>213.36</v>
      </c>
      <c r="E52" s="126">
        <v>2.13</v>
      </c>
      <c r="F52" s="126">
        <v>11.5</v>
      </c>
      <c r="G52" s="126">
        <v>1.99</v>
      </c>
      <c r="H52" s="126">
        <v>0.15</v>
      </c>
      <c r="I52" s="126">
        <v>198.12</v>
      </c>
      <c r="J52" s="128">
        <f>1/8</f>
        <v>0.125</v>
      </c>
      <c r="K52" s="126">
        <v>0.8</v>
      </c>
      <c r="L52" s="128">
        <f>1/9</f>
        <v>0.1111111111111111</v>
      </c>
      <c r="M52" s="121"/>
    </row>
    <row r="53" spans="2:13" ht="14.25">
      <c r="B53" s="126" t="s">
        <v>1</v>
      </c>
      <c r="C53" s="127" t="s">
        <v>256</v>
      </c>
      <c r="D53" s="126">
        <v>274.32</v>
      </c>
      <c r="E53" s="126">
        <v>4.57</v>
      </c>
      <c r="F53" s="126">
        <v>9.5</v>
      </c>
      <c r="G53" s="126">
        <v>1.97</v>
      </c>
      <c r="H53" s="126">
        <v>0.2</v>
      </c>
      <c r="I53" s="126">
        <v>152.4</v>
      </c>
      <c r="J53" s="128">
        <f>1/5</f>
        <v>0.2</v>
      </c>
      <c r="K53" s="126">
        <v>0.65</v>
      </c>
      <c r="L53" s="128">
        <f>1/6.5</f>
        <v>0.15384615384615385</v>
      </c>
    </row>
    <row r="54" spans="2:13" ht="14.25">
      <c r="B54" s="126" t="s">
        <v>0</v>
      </c>
      <c r="C54" s="127" t="s">
        <v>257</v>
      </c>
      <c r="D54" s="126">
        <v>365.76</v>
      </c>
      <c r="E54" s="126">
        <v>9.14</v>
      </c>
      <c r="F54" s="126">
        <v>7</v>
      </c>
      <c r="G54" s="126">
        <v>1.98</v>
      </c>
      <c r="H54" s="126">
        <v>0.3</v>
      </c>
      <c r="I54" s="126">
        <v>97.54</v>
      </c>
      <c r="J54" s="128">
        <f>1/3</f>
        <v>0.33333333333333331</v>
      </c>
      <c r="K54" s="126">
        <v>0.45</v>
      </c>
      <c r="L54" s="128">
        <f>1/4</f>
        <v>0.25</v>
      </c>
    </row>
    <row r="55" spans="2:13">
      <c r="B55" s="129"/>
      <c r="C55" s="129"/>
      <c r="D55" s="129"/>
      <c r="E55" s="129"/>
      <c r="F55" s="129"/>
      <c r="G55" s="129"/>
      <c r="H55" s="129"/>
      <c r="I55" s="129"/>
      <c r="J55" s="129"/>
      <c r="K55" s="129"/>
      <c r="L55" s="129"/>
    </row>
    <row r="56" spans="2:13">
      <c r="B56" s="129"/>
      <c r="C56" s="129"/>
      <c r="D56" s="129"/>
      <c r="E56" s="129"/>
      <c r="F56" s="129"/>
      <c r="G56" s="129"/>
      <c r="H56" s="129"/>
      <c r="I56" s="129"/>
      <c r="J56" s="129"/>
      <c r="K56" s="129"/>
      <c r="L56" s="129"/>
    </row>
    <row r="57" spans="2:13" ht="15">
      <c r="B57" s="129"/>
      <c r="C57" s="129"/>
      <c r="D57" s="129"/>
      <c r="E57" s="129"/>
      <c r="F57" s="130" t="s">
        <v>5</v>
      </c>
      <c r="G57" s="130">
        <v>0.65</v>
      </c>
      <c r="H57" s="130">
        <v>36</v>
      </c>
      <c r="I57" s="129"/>
      <c r="J57" s="129"/>
      <c r="K57" s="129"/>
      <c r="L57" s="129"/>
    </row>
    <row r="58" spans="2:13" ht="15">
      <c r="B58" s="129"/>
      <c r="C58" s="129"/>
      <c r="D58" s="129"/>
      <c r="E58" s="129"/>
      <c r="F58" s="130" t="s">
        <v>2</v>
      </c>
      <c r="G58" s="130">
        <v>0.95</v>
      </c>
      <c r="H58" s="130">
        <v>44</v>
      </c>
      <c r="I58" s="129"/>
      <c r="J58" s="129"/>
      <c r="K58" s="129"/>
      <c r="L58" s="129"/>
    </row>
    <row r="59" spans="2:13" ht="15">
      <c r="B59" s="129"/>
      <c r="C59" s="129"/>
      <c r="D59" s="129"/>
      <c r="E59" s="129"/>
      <c r="F59" s="130" t="s">
        <v>3</v>
      </c>
      <c r="G59" s="130">
        <v>1.25</v>
      </c>
      <c r="H59" s="130">
        <v>50</v>
      </c>
      <c r="I59" s="129"/>
      <c r="J59" s="129"/>
      <c r="K59" s="129"/>
      <c r="L59" s="129"/>
    </row>
    <row r="60" spans="2:13" ht="15">
      <c r="B60" s="129"/>
      <c r="C60" s="129"/>
      <c r="D60" s="129"/>
      <c r="E60" s="129"/>
      <c r="F60" s="130" t="s">
        <v>4</v>
      </c>
      <c r="G60" s="130">
        <v>1.55</v>
      </c>
      <c r="H60" s="130">
        <v>56</v>
      </c>
      <c r="I60" s="129"/>
      <c r="J60" s="129"/>
      <c r="K60" s="129"/>
      <c r="L60" s="129"/>
    </row>
    <row r="61" spans="2:13" ht="15">
      <c r="B61" s="129"/>
      <c r="C61" s="129"/>
      <c r="D61" s="129"/>
      <c r="E61" s="129"/>
      <c r="F61" s="130" t="s">
        <v>11</v>
      </c>
      <c r="G61" s="130">
        <v>1.85</v>
      </c>
      <c r="H61" s="130">
        <v>61</v>
      </c>
      <c r="I61" s="129"/>
      <c r="J61" s="129"/>
      <c r="K61" s="129"/>
      <c r="L61" s="129"/>
    </row>
  </sheetData>
  <dataConsolidate/>
  <mergeCells count="86">
    <mergeCell ref="B7:C7"/>
    <mergeCell ref="E7:N7"/>
    <mergeCell ref="B2:N2"/>
    <mergeCell ref="B4:C4"/>
    <mergeCell ref="B5:D5"/>
    <mergeCell ref="F5:I5"/>
    <mergeCell ref="B6:C6"/>
    <mergeCell ref="B8:G8"/>
    <mergeCell ref="H8:J8"/>
    <mergeCell ref="B9:G9"/>
    <mergeCell ref="J9:N9"/>
    <mergeCell ref="R9:AA10"/>
    <mergeCell ref="B10:G10"/>
    <mergeCell ref="J10:N10"/>
    <mergeCell ref="B11:G11"/>
    <mergeCell ref="J11:N11"/>
    <mergeCell ref="B12:G12"/>
    <mergeCell ref="J12:N12"/>
    <mergeCell ref="B13:G13"/>
    <mergeCell ref="J13:N13"/>
    <mergeCell ref="B14:G14"/>
    <mergeCell ref="J14:N14"/>
    <mergeCell ref="B15:G15"/>
    <mergeCell ref="J15:N15"/>
    <mergeCell ref="B16:G16"/>
    <mergeCell ref="J16:N16"/>
    <mergeCell ref="B17:G17"/>
    <mergeCell ref="J17:N17"/>
    <mergeCell ref="B18:G18"/>
    <mergeCell ref="J18:N18"/>
    <mergeCell ref="B19:G19"/>
    <mergeCell ref="J19:N19"/>
    <mergeCell ref="B20:G20"/>
    <mergeCell ref="J20:N20"/>
    <mergeCell ref="B21:G21"/>
    <mergeCell ref="J21:N21"/>
    <mergeCell ref="B22:G22"/>
    <mergeCell ref="J22:N22"/>
    <mergeCell ref="B23:G23"/>
    <mergeCell ref="J23:N23"/>
    <mergeCell ref="B24:G24"/>
    <mergeCell ref="J24:N24"/>
    <mergeCell ref="B25:G25"/>
    <mergeCell ref="J25:N25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35:C35"/>
    <mergeCell ref="B36:D36"/>
    <mergeCell ref="G36:J36"/>
    <mergeCell ref="M36:N36"/>
    <mergeCell ref="B37:D37"/>
    <mergeCell ref="G37:J37"/>
    <mergeCell ref="M37:N37"/>
    <mergeCell ref="B38:D38"/>
    <mergeCell ref="G38:J38"/>
    <mergeCell ref="M38:N38"/>
    <mergeCell ref="B39:D39"/>
    <mergeCell ref="G39:J39"/>
    <mergeCell ref="M39:N39"/>
    <mergeCell ref="G40:J40"/>
    <mergeCell ref="M40:N40"/>
    <mergeCell ref="G41:J41"/>
    <mergeCell ref="M41:N41"/>
    <mergeCell ref="G42:J42"/>
    <mergeCell ref="M42:N42"/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</mergeCells>
  <dataValidations count="3">
    <dataValidation type="list" allowBlank="1" showInputMessage="1" showErrorMessage="1" sqref="D6" xr:uid="{72F6ACB0-A526-4432-BA2B-47B45663FD19}">
      <formula1>"I,II,III,IV,V"</formula1>
    </dataValidation>
    <dataValidation type="list" allowBlank="1" showInputMessage="1" showErrorMessage="1" sqref="D7" xr:uid="{AE356E17-9B9F-4FEB-9A38-09787E3980D9}">
      <formula1>"A,B,C"</formula1>
    </dataValidation>
    <dataValidation type="list" allowBlank="1" showInputMessage="1" showErrorMessage="1" sqref="H8" xr:uid="{477449DF-7626-4DBC-9F03-821BCB947CB9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0EEC-0114-4771-901C-C6327417ACD1}">
  <sheetPr codeName="Sheet2"/>
  <dimension ref="B1:Q40"/>
  <sheetViews>
    <sheetView showGridLines="0" topLeftCell="A6" zoomScale="130" zoomScaleNormal="130" workbookViewId="0">
      <selection activeCell="T39" sqref="T39"/>
    </sheetView>
  </sheetViews>
  <sheetFormatPr defaultColWidth="9.140625" defaultRowHeight="15"/>
  <cols>
    <col min="1" max="1" width="3.42578125" style="60" customWidth="1"/>
    <col min="2" max="2" width="4.140625" style="60" customWidth="1"/>
    <col min="3" max="3" width="9.140625" style="60"/>
    <col min="4" max="4" width="10.5703125" style="60" customWidth="1"/>
    <col min="5" max="16384" width="9.140625" style="60"/>
  </cols>
  <sheetData>
    <row r="1" spans="2:9" hidden="1"/>
    <row r="2" spans="2:9" hidden="1"/>
    <row r="3" spans="2:9" hidden="1"/>
    <row r="4" spans="2:9" hidden="1"/>
    <row r="5" spans="2:9" hidden="1"/>
    <row r="6" spans="2:9">
      <c r="B6" s="371" t="s">
        <v>138</v>
      </c>
      <c r="C6" s="372"/>
      <c r="D6" s="372"/>
      <c r="E6" s="61"/>
      <c r="F6" s="61"/>
      <c r="G6" s="61"/>
      <c r="H6" s="61"/>
      <c r="I6" s="62"/>
    </row>
    <row r="7" spans="2:9">
      <c r="B7" s="63"/>
      <c r="I7" s="64"/>
    </row>
    <row r="8" spans="2:9">
      <c r="B8" s="63"/>
      <c r="C8" s="60" t="s">
        <v>139</v>
      </c>
      <c r="F8" s="363" t="s">
        <v>140</v>
      </c>
      <c r="G8" s="363"/>
      <c r="I8" s="64"/>
    </row>
    <row r="9" spans="2:9">
      <c r="B9" s="63"/>
      <c r="C9" s="60" t="s">
        <v>141</v>
      </c>
      <c r="F9" s="363">
        <v>30</v>
      </c>
      <c r="G9" s="363"/>
      <c r="I9" s="64"/>
    </row>
    <row r="10" spans="2:9">
      <c r="B10" s="63"/>
      <c r="C10" s="60" t="s">
        <v>142</v>
      </c>
      <c r="F10" s="363" t="s">
        <v>143</v>
      </c>
      <c r="G10" s="363"/>
      <c r="I10" s="64"/>
    </row>
    <row r="11" spans="2:9">
      <c r="B11" s="63"/>
      <c r="C11" s="69" t="s">
        <v>174</v>
      </c>
      <c r="F11" s="363">
        <v>8</v>
      </c>
      <c r="G11" s="363"/>
      <c r="I11" s="64"/>
    </row>
    <row r="12" spans="2:9">
      <c r="B12" s="63"/>
      <c r="C12" s="69" t="s">
        <v>175</v>
      </c>
      <c r="F12" s="363">
        <v>11</v>
      </c>
      <c r="G12" s="363"/>
      <c r="I12" s="64"/>
    </row>
    <row r="13" spans="2:9">
      <c r="B13" s="63"/>
      <c r="C13" s="60" t="s">
        <v>144</v>
      </c>
      <c r="F13" s="363">
        <v>1.5</v>
      </c>
      <c r="G13" s="363"/>
      <c r="I13" s="64"/>
    </row>
    <row r="14" spans="2:9">
      <c r="B14" s="63"/>
      <c r="I14" s="64"/>
    </row>
    <row r="15" spans="2:9">
      <c r="B15" s="63"/>
      <c r="I15" s="64"/>
    </row>
    <row r="16" spans="2:9" hidden="1">
      <c r="B16" s="63"/>
      <c r="I16" s="64"/>
    </row>
    <row r="17" spans="2:17" hidden="1">
      <c r="B17" s="63"/>
      <c r="I17" s="64"/>
    </row>
    <row r="18" spans="2:17" hidden="1">
      <c r="B18" s="63"/>
      <c r="I18" s="64"/>
    </row>
    <row r="19" spans="2:17" hidden="1">
      <c r="B19" s="63"/>
      <c r="I19" s="64"/>
    </row>
    <row r="20" spans="2:17" hidden="1">
      <c r="B20" s="63"/>
      <c r="I20" s="64"/>
    </row>
    <row r="21" spans="2:17" hidden="1">
      <c r="B21" s="63"/>
      <c r="I21" s="64"/>
    </row>
    <row r="22" spans="2:17" hidden="1">
      <c r="B22" s="63"/>
      <c r="I22" s="64"/>
    </row>
    <row r="23" spans="2:17" hidden="1">
      <c r="B23" s="63"/>
      <c r="I23" s="64"/>
    </row>
    <row r="24" spans="2:17" hidden="1">
      <c r="B24" s="63"/>
      <c r="I24" s="64"/>
    </row>
    <row r="25" spans="2:17" hidden="1">
      <c r="B25" s="63"/>
      <c r="I25" s="64"/>
    </row>
    <row r="26" spans="2:17">
      <c r="B26" s="367" t="s">
        <v>145</v>
      </c>
      <c r="C26" s="368"/>
      <c r="D26" s="368"/>
      <c r="I26" s="64"/>
      <c r="Q26" s="69"/>
    </row>
    <row r="27" spans="2:17">
      <c r="B27" s="63"/>
      <c r="I27" s="64"/>
      <c r="Q27" s="69"/>
    </row>
    <row r="28" spans="2:17">
      <c r="B28" s="63"/>
      <c r="C28" s="60" t="s">
        <v>146</v>
      </c>
      <c r="D28" s="65" t="s">
        <v>147</v>
      </c>
      <c r="F28" s="66" t="s">
        <v>148</v>
      </c>
      <c r="G28" s="65" t="s">
        <v>149</v>
      </c>
      <c r="I28" s="64"/>
      <c r="Q28" s="69"/>
    </row>
    <row r="29" spans="2:17">
      <c r="B29" s="63"/>
      <c r="C29" s="60" t="s">
        <v>150</v>
      </c>
      <c r="D29" s="65" t="s">
        <v>151</v>
      </c>
      <c r="F29" s="66" t="s">
        <v>152</v>
      </c>
      <c r="G29" s="65" t="s">
        <v>153</v>
      </c>
      <c r="I29" s="64"/>
    </row>
    <row r="30" spans="2:17">
      <c r="B30" s="63"/>
      <c r="C30" s="60" t="s">
        <v>154</v>
      </c>
      <c r="D30" s="65" t="s">
        <v>155</v>
      </c>
      <c r="I30" s="64"/>
    </row>
    <row r="31" spans="2:17">
      <c r="B31" s="63"/>
      <c r="I31" s="64"/>
    </row>
    <row r="32" spans="2:17">
      <c r="B32" s="367" t="s">
        <v>156</v>
      </c>
      <c r="C32" s="368"/>
      <c r="D32" s="368"/>
      <c r="I32" s="64"/>
    </row>
    <row r="33" spans="2:17">
      <c r="B33" s="63"/>
      <c r="I33" s="64"/>
    </row>
    <row r="34" spans="2:17">
      <c r="B34" s="63"/>
      <c r="C34" s="369" t="s">
        <v>157</v>
      </c>
      <c r="D34" s="369"/>
      <c r="E34" s="369"/>
      <c r="G34" s="369" t="s">
        <v>158</v>
      </c>
      <c r="H34" s="369"/>
      <c r="I34" s="370"/>
    </row>
    <row r="35" spans="2:17">
      <c r="B35" s="63"/>
      <c r="C35" s="60" t="s">
        <v>159</v>
      </c>
      <c r="D35" s="363" t="s">
        <v>160</v>
      </c>
      <c r="E35" s="363"/>
      <c r="G35" s="60" t="s">
        <v>159</v>
      </c>
      <c r="H35" s="363" t="s">
        <v>161</v>
      </c>
      <c r="I35" s="364"/>
    </row>
    <row r="36" spans="2:17">
      <c r="B36" s="63"/>
      <c r="C36" s="60" t="s">
        <v>162</v>
      </c>
      <c r="D36" s="363" t="s">
        <v>163</v>
      </c>
      <c r="E36" s="363"/>
      <c r="G36" s="69" t="s">
        <v>176</v>
      </c>
      <c r="H36" s="363" t="s">
        <v>164</v>
      </c>
      <c r="I36" s="364"/>
      <c r="Q36" s="69"/>
    </row>
    <row r="37" spans="2:17">
      <c r="B37" s="63"/>
      <c r="C37" s="60" t="s">
        <v>165</v>
      </c>
      <c r="D37" s="363" t="s">
        <v>166</v>
      </c>
      <c r="E37" s="363"/>
      <c r="H37" s="363"/>
      <c r="I37" s="364"/>
    </row>
    <row r="38" spans="2:17">
      <c r="B38" s="63"/>
      <c r="I38" s="64"/>
    </row>
    <row r="39" spans="2:17">
      <c r="B39" s="63"/>
      <c r="C39" s="60" t="s">
        <v>167</v>
      </c>
      <c r="D39" s="363" t="s">
        <v>168</v>
      </c>
      <c r="E39" s="363"/>
      <c r="G39" s="60" t="s">
        <v>144</v>
      </c>
      <c r="H39" s="363" t="s">
        <v>169</v>
      </c>
      <c r="I39" s="364"/>
    </row>
    <row r="40" spans="2:17">
      <c r="B40" s="67"/>
      <c r="C40" s="68" t="s">
        <v>170</v>
      </c>
      <c r="D40" s="365" t="s">
        <v>171</v>
      </c>
      <c r="E40" s="365"/>
      <c r="F40" s="68"/>
      <c r="G40" s="68" t="s">
        <v>172</v>
      </c>
      <c r="H40" s="365" t="s">
        <v>173</v>
      </c>
      <c r="I40" s="366"/>
    </row>
  </sheetData>
  <mergeCells count="21">
    <mergeCell ref="F12:G12"/>
    <mergeCell ref="B6:D6"/>
    <mergeCell ref="F8:G8"/>
    <mergeCell ref="F9:G9"/>
    <mergeCell ref="F10:G10"/>
    <mergeCell ref="F11:G11"/>
    <mergeCell ref="F13:G13"/>
    <mergeCell ref="B26:D26"/>
    <mergeCell ref="B32:D32"/>
    <mergeCell ref="C34:E34"/>
    <mergeCell ref="G34:I34"/>
    <mergeCell ref="D39:E39"/>
    <mergeCell ref="H39:I39"/>
    <mergeCell ref="D40:E40"/>
    <mergeCell ref="H40:I40"/>
    <mergeCell ref="D35:E35"/>
    <mergeCell ref="H35:I35"/>
    <mergeCell ref="D36:E36"/>
    <mergeCell ref="H36:I36"/>
    <mergeCell ref="D37:E37"/>
    <mergeCell ref="H37:I3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DF1B-4993-4586-9CC7-BF6A82D9FD40}">
  <sheetPr codeName="Sheet3"/>
  <dimension ref="A1:BH110"/>
  <sheetViews>
    <sheetView tabSelected="1" topLeftCell="A88" zoomScale="130" zoomScaleNormal="130" workbookViewId="0">
      <selection activeCell="W32" sqref="W32"/>
    </sheetView>
  </sheetViews>
  <sheetFormatPr defaultColWidth="9.140625" defaultRowHeight="12.75"/>
  <cols>
    <col min="1" max="1" width="2.5703125" style="2" customWidth="1"/>
    <col min="2" max="2" width="2" style="2" customWidth="1"/>
    <col min="3" max="3" width="6.140625" style="2" customWidth="1"/>
    <col min="4" max="14" width="4.7109375" style="2" customWidth="1"/>
    <col min="15" max="15" width="4.42578125" style="2" customWidth="1"/>
    <col min="16" max="16" width="5.42578125" style="2" customWidth="1"/>
    <col min="17" max="19" width="4.7109375" style="2" customWidth="1"/>
    <col min="20" max="20" width="5.42578125" style="2" customWidth="1"/>
    <col min="21" max="27" width="4.7109375" style="2" customWidth="1"/>
    <col min="28" max="28" width="2" style="2" customWidth="1"/>
    <col min="29" max="29" width="2.5703125" style="2" customWidth="1"/>
    <col min="30" max="58" width="9.140625" style="11"/>
    <col min="59" max="60" width="26.28515625" style="11" customWidth="1"/>
    <col min="61" max="16384" width="9.140625" style="11"/>
  </cols>
  <sheetData>
    <row r="1" spans="1:60" hidden="1"/>
    <row r="2" spans="1:60" hidden="1"/>
    <row r="3" spans="1:60" hidden="1"/>
    <row r="4" spans="1:60" hidden="1"/>
    <row r="5" spans="1:60" hidden="1"/>
    <row r="6" spans="1:60" hidden="1"/>
    <row r="7" spans="1:60" hidden="1"/>
    <row r="8" spans="1:60" ht="15">
      <c r="A8" s="10"/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79"/>
      <c r="S8" s="280"/>
      <c r="T8" s="280"/>
      <c r="U8" s="280"/>
      <c r="V8" s="280"/>
      <c r="W8" s="280"/>
      <c r="X8" s="280"/>
      <c r="Y8" s="280"/>
      <c r="Z8" s="280"/>
      <c r="AA8" s="280"/>
      <c r="AB8" s="280"/>
    </row>
    <row r="9" spans="1:60">
      <c r="A9" s="10"/>
      <c r="B9" s="281" t="s">
        <v>131</v>
      </c>
      <c r="C9" s="282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282"/>
      <c r="O9" s="282"/>
      <c r="P9" s="282"/>
      <c r="Q9" s="282"/>
      <c r="R9" s="282"/>
      <c r="S9" s="282"/>
      <c r="T9" s="282"/>
      <c r="U9" s="282"/>
      <c r="V9" s="282"/>
      <c r="W9" s="287" t="s">
        <v>129</v>
      </c>
      <c r="X9" s="287"/>
      <c r="Y9" s="287"/>
      <c r="Z9" s="287" t="s">
        <v>130</v>
      </c>
      <c r="AA9" s="287"/>
      <c r="AB9" s="290"/>
      <c r="AC9" s="293" t="s">
        <v>55</v>
      </c>
      <c r="AD9" s="293"/>
      <c r="AE9" s="36" t="s">
        <v>123</v>
      </c>
      <c r="AF9" s="36" t="s">
        <v>124</v>
      </c>
      <c r="BF9" s="29"/>
      <c r="BG9" s="29" t="s">
        <v>54</v>
      </c>
      <c r="BH9" s="29" t="s">
        <v>55</v>
      </c>
    </row>
    <row r="10" spans="1:60">
      <c r="A10" s="10"/>
      <c r="B10" s="283"/>
      <c r="C10" s="284"/>
      <c r="D10" s="284"/>
      <c r="E10" s="284"/>
      <c r="F10" s="284"/>
      <c r="G10" s="284"/>
      <c r="H10" s="284"/>
      <c r="I10" s="284"/>
      <c r="J10" s="284"/>
      <c r="K10" s="284"/>
      <c r="L10" s="284"/>
      <c r="M10" s="284"/>
      <c r="N10" s="284"/>
      <c r="O10" s="284"/>
      <c r="P10" s="284"/>
      <c r="Q10" s="284"/>
      <c r="R10" s="284"/>
      <c r="S10" s="284"/>
      <c r="T10" s="284"/>
      <c r="U10" s="284"/>
      <c r="V10" s="284"/>
      <c r="W10" s="288"/>
      <c r="X10" s="288"/>
      <c r="Y10" s="288"/>
      <c r="Z10" s="288"/>
      <c r="AA10" s="288"/>
      <c r="AB10" s="291"/>
      <c r="AC10" s="293"/>
      <c r="AD10" s="293"/>
      <c r="AE10" s="36" t="s">
        <v>40</v>
      </c>
      <c r="AF10" s="36" t="s">
        <v>125</v>
      </c>
      <c r="BF10" s="29">
        <v>1</v>
      </c>
      <c r="BG10" s="30" t="s">
        <v>6</v>
      </c>
      <c r="BH10" s="30" t="s">
        <v>56</v>
      </c>
    </row>
    <row r="11" spans="1:60">
      <c r="A11" s="10"/>
      <c r="B11" s="283"/>
      <c r="C11" s="284"/>
      <c r="D11" s="284"/>
      <c r="E11" s="284"/>
      <c r="F11" s="284"/>
      <c r="G11" s="284"/>
      <c r="H11" s="284"/>
      <c r="I11" s="284"/>
      <c r="J11" s="284"/>
      <c r="K11" s="284"/>
      <c r="L11" s="284"/>
      <c r="M11" s="284"/>
      <c r="N11" s="284"/>
      <c r="O11" s="284"/>
      <c r="P11" s="284"/>
      <c r="Q11" s="284"/>
      <c r="R11" s="284"/>
      <c r="S11" s="284"/>
      <c r="T11" s="284"/>
      <c r="U11" s="284"/>
      <c r="V11" s="284"/>
      <c r="W11" s="288"/>
      <c r="X11" s="288"/>
      <c r="Y11" s="288"/>
      <c r="Z11" s="288"/>
      <c r="AA11" s="288"/>
      <c r="AB11" s="291"/>
      <c r="AC11" s="293"/>
      <c r="AD11" s="293"/>
      <c r="AI11" s="15" t="s">
        <v>12</v>
      </c>
      <c r="AJ11" s="15" t="s">
        <v>13</v>
      </c>
      <c r="BF11" s="29">
        <v>2</v>
      </c>
      <c r="BG11" s="30" t="s">
        <v>8</v>
      </c>
      <c r="BH11" s="30" t="s">
        <v>57</v>
      </c>
    </row>
    <row r="12" spans="1:60">
      <c r="A12" s="10"/>
      <c r="B12" s="285"/>
      <c r="C12" s="286"/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286"/>
      <c r="T12" s="286"/>
      <c r="U12" s="286"/>
      <c r="V12" s="286"/>
      <c r="W12" s="289"/>
      <c r="X12" s="289"/>
      <c r="Y12" s="289"/>
      <c r="Z12" s="289"/>
      <c r="AA12" s="289"/>
      <c r="AB12" s="292"/>
      <c r="AC12" s="293"/>
      <c r="AD12" s="293"/>
      <c r="AI12" s="17" t="s">
        <v>5</v>
      </c>
      <c r="AJ12" s="17">
        <v>0.65</v>
      </c>
      <c r="BF12" s="29">
        <v>3</v>
      </c>
      <c r="BG12" s="30" t="s">
        <v>10</v>
      </c>
      <c r="BH12" s="30" t="s">
        <v>58</v>
      </c>
    </row>
    <row r="13" spans="1:60" ht="15">
      <c r="A13" s="10"/>
      <c r="B13" s="56"/>
      <c r="C13" s="151"/>
      <c r="D13" s="151"/>
      <c r="E13" s="151"/>
      <c r="F13" s="151"/>
      <c r="G13" s="151"/>
      <c r="H13" s="151"/>
      <c r="I13" s="154" t="s">
        <v>67</v>
      </c>
      <c r="J13" s="155" t="s">
        <v>69</v>
      </c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57"/>
      <c r="AI13" s="17" t="s">
        <v>2</v>
      </c>
      <c r="AJ13" s="17">
        <v>0.95</v>
      </c>
      <c r="BF13" s="29">
        <v>4</v>
      </c>
      <c r="BG13" s="30" t="s">
        <v>59</v>
      </c>
      <c r="BH13" s="30" t="s">
        <v>60</v>
      </c>
    </row>
    <row r="14" spans="1:60" ht="15">
      <c r="B14" s="56"/>
      <c r="C14" s="151"/>
      <c r="D14" s="151"/>
      <c r="E14" s="151"/>
      <c r="F14" s="151"/>
      <c r="G14" s="151"/>
      <c r="H14" s="151"/>
      <c r="I14" s="156" t="s">
        <v>68</v>
      </c>
      <c r="J14" s="157" t="s">
        <v>70</v>
      </c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57"/>
      <c r="AI14" s="17" t="s">
        <v>3</v>
      </c>
      <c r="AJ14" s="17">
        <v>1.25</v>
      </c>
      <c r="BF14" s="29">
        <v>5</v>
      </c>
      <c r="BG14" s="30" t="s">
        <v>7</v>
      </c>
      <c r="BH14" s="30" t="s">
        <v>61</v>
      </c>
    </row>
    <row r="15" spans="1:60" ht="15">
      <c r="B15" s="56"/>
      <c r="C15" s="297" t="str">
        <f>VLOOKUP(12,$BF$10:$BH$106,1+MATCH($AC$9,$BG$9:$BH$9,0))</f>
        <v>KÍCH THƯỚC HÌNH HỌC</v>
      </c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9"/>
      <c r="O15" s="151"/>
      <c r="P15" s="150"/>
      <c r="Q15" s="150"/>
      <c r="R15" s="150"/>
      <c r="S15" s="150"/>
      <c r="T15" s="150"/>
      <c r="U15" s="150"/>
      <c r="V15" s="150"/>
      <c r="W15" s="150"/>
      <c r="X15" s="300"/>
      <c r="Y15" s="150"/>
      <c r="Z15" s="150"/>
      <c r="AA15" s="150"/>
      <c r="AB15" s="57"/>
      <c r="AD15" s="15" t="s">
        <v>15</v>
      </c>
      <c r="AE15" s="15" t="s">
        <v>16</v>
      </c>
      <c r="AF15" s="15" t="s">
        <v>17</v>
      </c>
      <c r="AG15" s="16" t="s">
        <v>18</v>
      </c>
      <c r="AH15" s="15" t="s">
        <v>19</v>
      </c>
      <c r="AI15" s="17" t="s">
        <v>4</v>
      </c>
      <c r="AJ15" s="17">
        <v>1.55</v>
      </c>
      <c r="BF15" s="29">
        <v>6</v>
      </c>
      <c r="BG15" s="30" t="s">
        <v>9</v>
      </c>
      <c r="BH15" s="30" t="s">
        <v>62</v>
      </c>
    </row>
    <row r="16" spans="1:60" ht="15">
      <c r="B16" s="56"/>
      <c r="C16" s="301" t="str">
        <f>VLOOKUP(13,$BF$10:$BH$106,1+MATCH($AC$9,$BG$9:$BH$9,0))</f>
        <v>Kết cấu:</v>
      </c>
      <c r="D16" s="302"/>
      <c r="E16" s="302"/>
      <c r="F16" s="302"/>
      <c r="G16" s="35" t="s">
        <v>38</v>
      </c>
      <c r="H16" s="59"/>
      <c r="I16" s="59"/>
      <c r="J16" s="59"/>
      <c r="K16" s="35" t="str">
        <f>IF(AC9="VN","/ Mái dốc một phía","")</f>
        <v>/ Mái dốc một phía</v>
      </c>
      <c r="L16" s="33"/>
      <c r="M16" s="33"/>
      <c r="N16" s="34"/>
      <c r="O16" s="151"/>
      <c r="P16" s="150"/>
      <c r="Q16" s="150"/>
      <c r="R16" s="150"/>
      <c r="S16" s="150"/>
      <c r="T16" s="150"/>
      <c r="U16" s="150"/>
      <c r="V16" s="150"/>
      <c r="W16" s="150"/>
      <c r="X16" s="300"/>
      <c r="Y16" s="150"/>
      <c r="Z16" s="150"/>
      <c r="AA16" s="150"/>
      <c r="AB16" s="57"/>
      <c r="AD16" s="15" t="s">
        <v>14</v>
      </c>
      <c r="AE16" s="15">
        <v>213.36</v>
      </c>
      <c r="AF16" s="15">
        <v>2.13</v>
      </c>
      <c r="AG16" s="15">
        <v>11.5</v>
      </c>
      <c r="AH16" s="15">
        <v>1.99</v>
      </c>
      <c r="AI16" s="17" t="s">
        <v>11</v>
      </c>
      <c r="AJ16" s="17">
        <v>1.85</v>
      </c>
      <c r="BF16" s="29">
        <v>7</v>
      </c>
      <c r="BG16" s="30" t="s">
        <v>63</v>
      </c>
      <c r="BH16" s="30" t="s">
        <v>64</v>
      </c>
    </row>
    <row r="17" spans="2:60" ht="15">
      <c r="B17" s="56"/>
      <c r="C17" s="303" t="str">
        <f>VLOOKUP(15,$BF$10:$BH$106,1+MATCH($AC$9,$BG$9:$BH$9,0))</f>
        <v>Loại kết cấu:</v>
      </c>
      <c r="D17" s="304"/>
      <c r="E17" s="304"/>
      <c r="F17" s="304"/>
      <c r="G17" s="305" t="s">
        <v>40</v>
      </c>
      <c r="H17" s="305"/>
      <c r="I17" s="305"/>
      <c r="J17" s="305"/>
      <c r="K17" s="306" t="str">
        <f>IF(AC9="VN",VLOOKUP(G17,$AE$9:$AF$10,2,TRUE),"")</f>
        <v>/ Nhà thép</v>
      </c>
      <c r="L17" s="306"/>
      <c r="M17" s="306"/>
      <c r="N17" s="307"/>
      <c r="O17" s="151"/>
      <c r="P17" s="150"/>
      <c r="Q17" s="150"/>
      <c r="R17" s="150"/>
      <c r="S17" s="150"/>
      <c r="T17" s="150"/>
      <c r="U17" s="150"/>
      <c r="V17" s="150"/>
      <c r="W17" s="150"/>
      <c r="X17" s="300"/>
      <c r="Y17" s="150"/>
      <c r="Z17" s="150"/>
      <c r="AA17" s="150"/>
      <c r="AB17" s="57"/>
      <c r="AD17" s="15" t="s">
        <v>1</v>
      </c>
      <c r="AE17" s="15">
        <v>274.32</v>
      </c>
      <c r="AF17" s="15">
        <v>4.57</v>
      </c>
      <c r="AG17" s="15">
        <v>9.5</v>
      </c>
      <c r="AH17" s="15">
        <v>1.97</v>
      </c>
      <c r="BF17" s="29">
        <v>8</v>
      </c>
      <c r="BG17" s="30" t="s">
        <v>65</v>
      </c>
      <c r="BH17" s="30" t="s">
        <v>66</v>
      </c>
    </row>
    <row r="18" spans="2:60" ht="15">
      <c r="B18" s="56"/>
      <c r="C18" s="75"/>
      <c r="D18" s="173"/>
      <c r="E18" s="173"/>
      <c r="F18" s="173"/>
      <c r="G18" s="173"/>
      <c r="H18" s="173"/>
      <c r="I18" s="173"/>
      <c r="J18" s="148" t="str">
        <f>VLOOKUP(17,$BF$10:$BH$106,1+MATCH($AC$9,$BG$9:$BH$9,0))</f>
        <v>Chiều rộng nhà / mái</v>
      </c>
      <c r="K18" s="308" t="s">
        <v>258</v>
      </c>
      <c r="L18" s="272"/>
      <c r="M18" s="309">
        <v>30</v>
      </c>
      <c r="N18" s="310"/>
      <c r="O18" s="151"/>
      <c r="P18" s="150"/>
      <c r="Q18" s="150"/>
      <c r="R18" s="150"/>
      <c r="S18" s="150"/>
      <c r="T18" s="150"/>
      <c r="U18" s="150"/>
      <c r="V18" s="150"/>
      <c r="W18" s="150"/>
      <c r="X18" s="300"/>
      <c r="Y18" s="150"/>
      <c r="Z18" s="150"/>
      <c r="AA18" s="150"/>
      <c r="AB18" s="57"/>
      <c r="AD18" s="15" t="s">
        <v>0</v>
      </c>
      <c r="AE18" s="15">
        <v>365.76</v>
      </c>
      <c r="AF18" s="15">
        <v>9.14</v>
      </c>
      <c r="AG18" s="15">
        <v>7</v>
      </c>
      <c r="AH18" s="15">
        <v>1.98</v>
      </c>
      <c r="BF18" s="29">
        <v>9</v>
      </c>
      <c r="BG18" s="30" t="s">
        <v>67</v>
      </c>
      <c r="BH18" s="30" t="s">
        <v>68</v>
      </c>
    </row>
    <row r="19" spans="2:60" ht="15">
      <c r="B19" s="56"/>
      <c r="C19" s="75"/>
      <c r="D19" s="173"/>
      <c r="E19" s="173"/>
      <c r="F19" s="173"/>
      <c r="G19" s="173"/>
      <c r="H19" s="173"/>
      <c r="I19" s="173"/>
      <c r="J19" s="148" t="str">
        <f>VLOOKUP(18,$BF$10:$BH$106,1+MATCH($AC$9,$BG$9:$BH$9,0))</f>
        <v>Chiều dài nhà / mái</v>
      </c>
      <c r="K19" s="308" t="s">
        <v>259</v>
      </c>
      <c r="L19" s="272"/>
      <c r="M19" s="309">
        <v>68</v>
      </c>
      <c r="N19" s="310"/>
      <c r="O19" s="151"/>
      <c r="P19" s="150"/>
      <c r="Q19" s="150"/>
      <c r="R19" s="150"/>
      <c r="S19" s="150"/>
      <c r="T19" s="150"/>
      <c r="U19" s="150"/>
      <c r="V19" s="150"/>
      <c r="W19" s="150"/>
      <c r="X19" s="300"/>
      <c r="Y19" s="150"/>
      <c r="Z19" s="150"/>
      <c r="AA19" s="150"/>
      <c r="AB19" s="57"/>
      <c r="BF19" s="29">
        <v>10</v>
      </c>
      <c r="BG19" s="30" t="s">
        <v>69</v>
      </c>
      <c r="BH19" s="30" t="s">
        <v>70</v>
      </c>
    </row>
    <row r="20" spans="2:60" ht="15">
      <c r="B20" s="56"/>
      <c r="C20" s="75"/>
      <c r="D20" s="173"/>
      <c r="E20" s="173"/>
      <c r="F20" s="173"/>
      <c r="G20" s="173"/>
      <c r="H20" s="173"/>
      <c r="I20" s="173"/>
      <c r="J20" s="148" t="str">
        <f>VLOOKUP(19,$BF$10:$BH$106,1+MATCH($AC$9,$BG$9:$BH$9,0))</f>
        <v>Chiều cao nhà</v>
      </c>
      <c r="K20" s="272" t="s">
        <v>126</v>
      </c>
      <c r="L20" s="272"/>
      <c r="M20" s="273">
        <v>10</v>
      </c>
      <c r="N20" s="274"/>
      <c r="O20" s="151"/>
      <c r="P20" s="150"/>
      <c r="Q20" s="150"/>
      <c r="R20" s="150"/>
      <c r="S20" s="150"/>
      <c r="T20" s="150"/>
      <c r="U20" s="150"/>
      <c r="V20" s="150"/>
      <c r="W20" s="150"/>
      <c r="X20" s="300"/>
      <c r="Y20" s="150"/>
      <c r="Z20" s="150"/>
      <c r="AA20" s="150"/>
      <c r="AB20" s="57"/>
      <c r="BF20" s="29">
        <v>11</v>
      </c>
      <c r="BG20" s="30" t="s">
        <v>71</v>
      </c>
      <c r="BH20" s="30" t="s">
        <v>72</v>
      </c>
    </row>
    <row r="21" spans="2:60" ht="15">
      <c r="B21" s="56"/>
      <c r="C21" s="75"/>
      <c r="D21" s="173"/>
      <c r="E21" s="173"/>
      <c r="F21" s="173"/>
      <c r="G21" s="173"/>
      <c r="H21" s="173"/>
      <c r="I21" s="173"/>
      <c r="J21" s="148" t="str">
        <f>VLOOKUP(39,$BF$10:$BH$106,1+MATCH($AC$9,$BG$9:$BH$9,0))</f>
        <v>Độ dốc mái</v>
      </c>
      <c r="K21" s="272" t="s">
        <v>128</v>
      </c>
      <c r="L21" s="272"/>
      <c r="M21" s="295">
        <v>0.12</v>
      </c>
      <c r="N21" s="296"/>
      <c r="O21" s="151"/>
      <c r="P21" s="150"/>
      <c r="Q21" s="150"/>
      <c r="R21" s="150"/>
      <c r="S21" s="294"/>
      <c r="T21" s="294"/>
      <c r="U21" s="294"/>
      <c r="V21" s="294"/>
      <c r="W21" s="294"/>
      <c r="X21" s="300"/>
      <c r="Y21" s="150"/>
      <c r="Z21" s="150"/>
      <c r="AA21" s="150"/>
      <c r="AB21" s="57"/>
      <c r="BF21" s="29">
        <v>12</v>
      </c>
      <c r="BG21" s="30" t="s">
        <v>32</v>
      </c>
      <c r="BH21" s="30" t="s">
        <v>73</v>
      </c>
    </row>
    <row r="22" spans="2:60" ht="15">
      <c r="B22" s="56"/>
      <c r="C22" s="82"/>
      <c r="D22" s="174"/>
      <c r="E22" s="174"/>
      <c r="F22" s="174"/>
      <c r="G22" s="174"/>
      <c r="H22" s="174"/>
      <c r="I22" s="174"/>
      <c r="J22" s="74" t="str">
        <f>VLOOKUP(38,$BF$10:$BH$106,1+MATCH($AC$9,$BG$9:$BH$9,0))</f>
        <v>Góc nghiêng mái</v>
      </c>
      <c r="K22" s="275" t="s">
        <v>127</v>
      </c>
      <c r="L22" s="276"/>
      <c r="M22" s="277">
        <f>DEGREES(ATAN(M21))</f>
        <v>6.8427734126309403</v>
      </c>
      <c r="N22" s="278"/>
      <c r="O22" s="151"/>
      <c r="P22" s="150"/>
      <c r="Q22" s="150"/>
      <c r="R22" s="150"/>
      <c r="S22" s="159"/>
      <c r="T22" s="159"/>
      <c r="U22" s="159"/>
      <c r="V22" s="159"/>
      <c r="W22" s="159"/>
      <c r="X22" s="158"/>
      <c r="Y22" s="150"/>
      <c r="Z22" s="150"/>
      <c r="AA22" s="150"/>
      <c r="AB22" s="57"/>
      <c r="BF22" s="29">
        <v>13</v>
      </c>
      <c r="BG22" s="30" t="s">
        <v>34</v>
      </c>
      <c r="BH22" s="30" t="s">
        <v>74</v>
      </c>
    </row>
    <row r="23" spans="2:60" ht="15" hidden="1">
      <c r="B23" s="56"/>
      <c r="C23" s="76"/>
      <c r="D23" s="77"/>
      <c r="E23" s="77"/>
      <c r="F23" s="77"/>
      <c r="G23" s="77"/>
      <c r="H23" s="77"/>
      <c r="I23" s="77"/>
      <c r="J23" s="74"/>
      <c r="K23" s="260"/>
      <c r="L23" s="260"/>
      <c r="M23" s="261"/>
      <c r="N23" s="262"/>
      <c r="O23" s="151"/>
      <c r="P23" s="150"/>
      <c r="Q23" s="150"/>
      <c r="R23" s="150"/>
      <c r="S23" s="11"/>
      <c r="T23" s="150"/>
      <c r="U23" s="150"/>
      <c r="V23" s="150"/>
      <c r="W23" s="150"/>
      <c r="X23" s="150"/>
      <c r="Y23" s="150"/>
      <c r="Z23" s="150"/>
      <c r="AA23" s="150"/>
      <c r="AB23" s="57"/>
      <c r="BF23" s="29">
        <v>14</v>
      </c>
      <c r="BG23" s="30" t="s">
        <v>75</v>
      </c>
      <c r="BH23" s="30" t="s">
        <v>76</v>
      </c>
    </row>
    <row r="24" spans="2:60" ht="15">
      <c r="B24" s="56"/>
      <c r="O24" s="151"/>
      <c r="P24" s="150"/>
      <c r="Q24" s="150"/>
      <c r="R24" s="150"/>
      <c r="S24" s="150"/>
      <c r="T24" s="150"/>
      <c r="V24" s="150"/>
      <c r="W24" s="150"/>
      <c r="X24" s="150"/>
      <c r="Y24" s="150"/>
      <c r="Z24" s="150"/>
      <c r="AA24" s="150"/>
      <c r="AB24" s="57"/>
      <c r="BF24" s="29">
        <v>15</v>
      </c>
      <c r="BG24" s="30" t="s">
        <v>36</v>
      </c>
      <c r="BH24" s="30" t="s">
        <v>77</v>
      </c>
    </row>
    <row r="25" spans="2:60" ht="15">
      <c r="B25" s="56"/>
      <c r="C25" s="263" t="str">
        <f>VLOOKUP(24,$BF$10:$BH$106,1+MATCH($AC$9,$BG$9:$BH$9,0))</f>
        <v>DỮ LIỆU CÔNG TRÌNH</v>
      </c>
      <c r="D25" s="264"/>
      <c r="E25" s="264"/>
      <c r="F25" s="264"/>
      <c r="G25" s="264"/>
      <c r="H25" s="264"/>
      <c r="I25" s="264"/>
      <c r="J25" s="264"/>
      <c r="K25" s="264"/>
      <c r="L25" s="264"/>
      <c r="M25" s="264"/>
      <c r="N25" s="265"/>
      <c r="O25" s="151"/>
      <c r="P25" s="330" t="s">
        <v>263</v>
      </c>
      <c r="Q25" s="331"/>
      <c r="R25" s="331"/>
      <c r="S25" s="331"/>
      <c r="T25" s="331"/>
      <c r="U25" s="331"/>
      <c r="V25" s="331"/>
      <c r="W25" s="331"/>
      <c r="X25" s="331"/>
      <c r="Y25" s="331"/>
      <c r="Z25" s="332"/>
      <c r="AB25" s="57"/>
      <c r="BF25" s="29">
        <v>16</v>
      </c>
      <c r="BG25" s="31" t="s">
        <v>78</v>
      </c>
      <c r="BH25" s="31" t="s">
        <v>79</v>
      </c>
    </row>
    <row r="26" spans="2:60" ht="18">
      <c r="B26" s="56"/>
      <c r="C26" s="266" t="str">
        <f>VLOOKUP(25,$BF$10:$BH$106,1+MATCH($AC$9,$BG$9:$BH$9,0))</f>
        <v>Vùng</v>
      </c>
      <c r="D26" s="267"/>
      <c r="E26" s="268" t="s">
        <v>2</v>
      </c>
      <c r="F26" s="268"/>
      <c r="G26" s="12"/>
      <c r="H26" s="12"/>
      <c r="I26" s="269" t="str">
        <f>VLOOKUP(26,$BF$10:$BH$106,1+MATCH($AC$9,$BG$9:$BH$9,0))</f>
        <v>Dạng địa hình</v>
      </c>
      <c r="J26" s="269"/>
      <c r="K26" s="269"/>
      <c r="L26" s="269"/>
      <c r="M26" s="270" t="s">
        <v>1</v>
      </c>
      <c r="N26" s="271"/>
      <c r="O26" s="151"/>
      <c r="P26" s="333" t="s">
        <v>260</v>
      </c>
      <c r="Q26" s="334"/>
      <c r="R26" s="334"/>
      <c r="S26" s="334"/>
      <c r="T26" s="334"/>
      <c r="U26" s="334"/>
      <c r="V26" s="334"/>
      <c r="W26" s="334"/>
      <c r="X26" s="334"/>
      <c r="Y26" s="334"/>
      <c r="Z26" s="335"/>
      <c r="AB26" s="72"/>
      <c r="BF26" s="29">
        <v>17</v>
      </c>
      <c r="BG26" s="30" t="s">
        <v>80</v>
      </c>
      <c r="BH26" s="30" t="s">
        <v>81</v>
      </c>
    </row>
    <row r="27" spans="2:60" ht="18">
      <c r="B27" s="56"/>
      <c r="C27" s="13"/>
      <c r="D27" s="160" t="s">
        <v>41</v>
      </c>
      <c r="E27" s="247">
        <f>VLOOKUP(E26,$AI$12:$AJ$16,2,FALSE)</f>
        <v>0.95</v>
      </c>
      <c r="F27" s="247"/>
      <c r="G27" s="311" t="s">
        <v>180</v>
      </c>
      <c r="H27" s="311"/>
      <c r="I27" s="161" t="s">
        <v>42</v>
      </c>
      <c r="J27" s="247">
        <f>VLOOKUP(M26,$AD$16:$AH$18,2,FALSE)</f>
        <v>274.32</v>
      </c>
      <c r="K27" s="247"/>
      <c r="L27" s="248" t="s">
        <v>43</v>
      </c>
      <c r="M27" s="248"/>
      <c r="N27" s="14">
        <f>VLOOKUP(M26,$AD$16:$AH$18,4,FALSE)</f>
        <v>9.5</v>
      </c>
      <c r="O27" s="151"/>
      <c r="P27" s="333" t="s">
        <v>261</v>
      </c>
      <c r="Q27" s="334"/>
      <c r="R27" s="334"/>
      <c r="S27" s="334"/>
      <c r="T27" s="334"/>
      <c r="U27" s="334"/>
      <c r="V27" s="334"/>
      <c r="W27" s="334"/>
      <c r="X27" s="334"/>
      <c r="Y27" s="334"/>
      <c r="Z27" s="335"/>
      <c r="AB27" s="72"/>
      <c r="BF27" s="29">
        <v>18</v>
      </c>
      <c r="BG27" s="30" t="s">
        <v>82</v>
      </c>
      <c r="BH27" s="30" t="s">
        <v>83</v>
      </c>
    </row>
    <row r="28" spans="2:60" ht="18">
      <c r="B28" s="56"/>
      <c r="C28" s="131"/>
      <c r="D28" s="132" t="s">
        <v>44</v>
      </c>
      <c r="E28" s="249">
        <f>0.852*E27</f>
        <v>0.8093999999999999</v>
      </c>
      <c r="F28" s="249"/>
      <c r="G28" s="312" t="s">
        <v>180</v>
      </c>
      <c r="H28" s="312"/>
      <c r="I28" s="133" t="s">
        <v>45</v>
      </c>
      <c r="J28" s="250">
        <f>VLOOKUP(M26,$AD$16:$AH$18,3,FALSE)</f>
        <v>4.57</v>
      </c>
      <c r="K28" s="250"/>
      <c r="L28" s="250" t="s">
        <v>46</v>
      </c>
      <c r="M28" s="250"/>
      <c r="N28" s="134">
        <f>VLOOKUP(M26,$AD$16:$AH$18,5,FALSE)</f>
        <v>1.97</v>
      </c>
      <c r="O28" s="151"/>
      <c r="P28" s="336" t="s">
        <v>262</v>
      </c>
      <c r="Q28" s="337"/>
      <c r="R28" s="337"/>
      <c r="S28" s="337"/>
      <c r="T28" s="337"/>
      <c r="U28" s="337"/>
      <c r="V28" s="337"/>
      <c r="W28" s="337"/>
      <c r="X28" s="337"/>
      <c r="Y28" s="337"/>
      <c r="Z28" s="338"/>
      <c r="AB28" s="57"/>
      <c r="AD28" s="342" t="s">
        <v>179</v>
      </c>
      <c r="AE28" s="342"/>
      <c r="AF28" s="342"/>
      <c r="BF28" s="29">
        <v>19</v>
      </c>
      <c r="BG28" s="30" t="s">
        <v>84</v>
      </c>
      <c r="BH28" s="30" t="s">
        <v>85</v>
      </c>
    </row>
    <row r="29" spans="2:60" ht="15">
      <c r="B29" s="56"/>
      <c r="O29" s="151"/>
      <c r="AB29" s="57"/>
      <c r="AD29" s="90">
        <v>0.05</v>
      </c>
      <c r="AE29" s="71">
        <v>0.2</v>
      </c>
      <c r="AF29" s="71">
        <v>-0.2</v>
      </c>
      <c r="BF29" s="29">
        <v>20</v>
      </c>
      <c r="BG29" s="30" t="s">
        <v>86</v>
      </c>
      <c r="BH29" s="31" t="s">
        <v>87</v>
      </c>
    </row>
    <row r="30" spans="2:60" ht="15">
      <c r="B30" s="56"/>
      <c r="C30" s="135" t="s">
        <v>177</v>
      </c>
      <c r="D30" s="136"/>
      <c r="E30" s="136"/>
      <c r="F30" s="136"/>
      <c r="G30" s="136"/>
      <c r="H30" s="136"/>
      <c r="I30" s="136"/>
      <c r="J30" s="136"/>
      <c r="K30" s="136"/>
      <c r="L30" s="137" t="s">
        <v>269</v>
      </c>
      <c r="M30" s="339" t="s">
        <v>264</v>
      </c>
      <c r="N30" s="340"/>
      <c r="O30" s="340" t="s">
        <v>265</v>
      </c>
      <c r="P30" s="340"/>
      <c r="Q30" s="340" t="s">
        <v>266</v>
      </c>
      <c r="R30" s="340"/>
      <c r="S30" s="340" t="s">
        <v>267</v>
      </c>
      <c r="T30" s="341"/>
      <c r="AB30" s="57"/>
      <c r="AD30" s="90">
        <v>0.3</v>
      </c>
      <c r="AE30" s="71">
        <v>0.8</v>
      </c>
      <c r="AF30" s="71">
        <v>-0.5</v>
      </c>
      <c r="BF30" s="29">
        <v>21</v>
      </c>
      <c r="BG30" s="31" t="s">
        <v>88</v>
      </c>
      <c r="BH30" s="30" t="s">
        <v>89</v>
      </c>
    </row>
    <row r="31" spans="2:60" ht="15">
      <c r="B31" s="56"/>
      <c r="C31" s="138" t="s">
        <v>178</v>
      </c>
      <c r="D31" s="162"/>
      <c r="E31" s="162"/>
      <c r="F31" s="162"/>
      <c r="G31" s="162"/>
      <c r="H31" s="162"/>
      <c r="I31" s="162"/>
      <c r="J31" s="162"/>
      <c r="K31" s="317" t="s">
        <v>187</v>
      </c>
      <c r="L31" s="318"/>
      <c r="M31" s="319">
        <v>0.05</v>
      </c>
      <c r="N31" s="251"/>
      <c r="O31" s="251">
        <v>0.05</v>
      </c>
      <c r="P31" s="251"/>
      <c r="Q31" s="251">
        <v>0.05</v>
      </c>
      <c r="R31" s="251"/>
      <c r="S31" s="251">
        <v>0.05</v>
      </c>
      <c r="T31" s="252"/>
      <c r="AB31" s="57"/>
      <c r="BF31" s="29">
        <v>22</v>
      </c>
      <c r="BG31" s="30" t="s">
        <v>90</v>
      </c>
      <c r="BH31" s="30" t="s">
        <v>91</v>
      </c>
    </row>
    <row r="32" spans="2:60" ht="18">
      <c r="B32" s="56"/>
      <c r="C32" s="139" t="s">
        <v>98</v>
      </c>
      <c r="D32" s="140"/>
      <c r="E32" s="140"/>
      <c r="F32" s="140"/>
      <c r="G32" s="140"/>
      <c r="H32" s="140"/>
      <c r="I32" s="253" t="s">
        <v>268</v>
      </c>
      <c r="J32" s="254"/>
      <c r="K32" s="255" t="str">
        <f>C57</f>
        <v>TH1</v>
      </c>
      <c r="L32" s="255"/>
      <c r="M32" s="256">
        <f>MIN(MAX(2.4*M31+0.08,$AE$29),$AE$30)</f>
        <v>0.2</v>
      </c>
      <c r="N32" s="257"/>
      <c r="O32" s="257">
        <f t="shared" ref="O32" si="0">MIN(MAX(2.4*O31+0.08,$AE$29),$AE$30)</f>
        <v>0.2</v>
      </c>
      <c r="P32" s="257"/>
      <c r="Q32" s="257">
        <f t="shared" ref="Q32" si="1">MIN(MAX(2.4*Q31+0.08,$AE$29),$AE$30)</f>
        <v>0.2</v>
      </c>
      <c r="R32" s="257"/>
      <c r="S32" s="257">
        <f t="shared" ref="S32" si="2">MIN(MAX(2.4*S31+0.08,$AE$29),$AE$30)</f>
        <v>0.2</v>
      </c>
      <c r="T32" s="258"/>
      <c r="AB32" s="57"/>
      <c r="BF32" s="29">
        <v>23</v>
      </c>
      <c r="BG32" s="30" t="s">
        <v>92</v>
      </c>
      <c r="BH32" s="30" t="s">
        <v>93</v>
      </c>
    </row>
    <row r="33" spans="2:60" ht="18">
      <c r="B33" s="56"/>
      <c r="C33" s="323" t="s">
        <v>99</v>
      </c>
      <c r="D33" s="324"/>
      <c r="E33" s="324"/>
      <c r="F33" s="324"/>
      <c r="G33" s="324"/>
      <c r="H33" s="324"/>
      <c r="I33" s="325" t="s">
        <v>268</v>
      </c>
      <c r="J33" s="326"/>
      <c r="K33" s="327" t="str">
        <f>C58</f>
        <v>TH2</v>
      </c>
      <c r="L33" s="327"/>
      <c r="M33" s="328">
        <f>MIN(MAX(-1.2*M31-0.14,$AF$30),$AF$29)</f>
        <v>-0.2</v>
      </c>
      <c r="N33" s="277"/>
      <c r="O33" s="277">
        <f t="shared" ref="O33" si="3">MIN(MAX(-1.2*O31-0.14,$AF$30),$AF$29)</f>
        <v>-0.2</v>
      </c>
      <c r="P33" s="277"/>
      <c r="Q33" s="277">
        <f t="shared" ref="Q33" si="4">MIN(MAX(-1.2*Q31-0.14,$AF$30),$AF$29)</f>
        <v>-0.2</v>
      </c>
      <c r="R33" s="277"/>
      <c r="S33" s="277">
        <f t="shared" ref="S33" si="5">MIN(MAX(-1.2*S31-0.14,$AF$30),$AF$29)</f>
        <v>-0.2</v>
      </c>
      <c r="T33" s="278"/>
      <c r="AB33" s="57"/>
      <c r="BF33" s="29">
        <v>24</v>
      </c>
      <c r="BG33" s="30" t="s">
        <v>33</v>
      </c>
      <c r="BH33" s="30" t="s">
        <v>94</v>
      </c>
    </row>
    <row r="34" spans="2:60" ht="15">
      <c r="B34" s="56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1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57"/>
      <c r="BF34" s="29">
        <v>25</v>
      </c>
      <c r="BG34" s="30" t="s">
        <v>12</v>
      </c>
      <c r="BH34" s="30" t="s">
        <v>95</v>
      </c>
    </row>
    <row r="35" spans="2:60" ht="15" customHeight="1">
      <c r="B35" s="314" t="s">
        <v>103</v>
      </c>
      <c r="C35" s="315"/>
      <c r="D35" s="315"/>
      <c r="E35" s="315"/>
      <c r="F35" s="315"/>
      <c r="G35" s="315"/>
      <c r="H35" s="315"/>
      <c r="I35" s="315"/>
      <c r="J35" s="315"/>
      <c r="K35" s="315"/>
      <c r="L35" s="315"/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5"/>
      <c r="X35" s="315"/>
      <c r="Y35" s="315"/>
      <c r="Z35" s="315"/>
      <c r="AA35" s="315"/>
      <c r="AB35" s="316"/>
      <c r="AD35" s="329" t="s">
        <v>278</v>
      </c>
      <c r="AE35" s="329"/>
      <c r="AF35" s="329"/>
      <c r="AG35" s="343" t="s">
        <v>279</v>
      </c>
      <c r="AH35" s="343"/>
      <c r="AI35" s="343"/>
      <c r="AJ35" s="343"/>
      <c r="BF35" s="29">
        <v>26</v>
      </c>
      <c r="BG35" s="30" t="s">
        <v>35</v>
      </c>
      <c r="BH35" s="30" t="s">
        <v>96</v>
      </c>
    </row>
    <row r="36" spans="2:60" ht="18">
      <c r="B36" s="56"/>
      <c r="C36" s="348" t="s">
        <v>276</v>
      </c>
      <c r="D36" s="348"/>
      <c r="E36" s="348"/>
      <c r="F36" s="348"/>
      <c r="G36" s="259" t="s">
        <v>270</v>
      </c>
      <c r="H36" s="259"/>
      <c r="I36" s="259" t="s">
        <v>271</v>
      </c>
      <c r="J36" s="259"/>
      <c r="K36" s="259" t="s">
        <v>272</v>
      </c>
      <c r="L36" s="259"/>
      <c r="M36" s="259" t="s">
        <v>273</v>
      </c>
      <c r="N36" s="259"/>
      <c r="O36" s="259" t="s">
        <v>274</v>
      </c>
      <c r="P36" s="259"/>
      <c r="Q36" s="259" t="s">
        <v>275</v>
      </c>
      <c r="R36" s="259"/>
      <c r="S36" s="150"/>
      <c r="T36" s="150"/>
      <c r="U36" s="150"/>
      <c r="V36" s="150"/>
      <c r="W36" s="150"/>
      <c r="X36" s="150"/>
      <c r="Y36" s="150"/>
      <c r="Z36" s="150"/>
      <c r="AA36" s="150"/>
      <c r="AB36" s="57"/>
      <c r="AD36" s="344" t="s">
        <v>280</v>
      </c>
      <c r="AE36" s="141" t="s">
        <v>281</v>
      </c>
      <c r="AF36" s="142">
        <f>IF(G17="RC building",0.85+M20/2840,0.85+M20/1010)</f>
        <v>0.85990099009900989</v>
      </c>
      <c r="AG36" s="143" t="s">
        <v>279</v>
      </c>
      <c r="AH36" s="141"/>
      <c r="AI36" s="141"/>
      <c r="AJ36" s="141"/>
      <c r="BF36" s="29">
        <v>27</v>
      </c>
      <c r="BG36" s="30" t="s">
        <v>37</v>
      </c>
      <c r="BH36" s="30" t="s">
        <v>97</v>
      </c>
    </row>
    <row r="37" spans="2:60" ht="15">
      <c r="B37" s="56"/>
      <c r="C37" s="348"/>
      <c r="D37" s="348"/>
      <c r="E37" s="348"/>
      <c r="F37" s="348"/>
      <c r="G37" s="320">
        <f>IF(AG35=AG36,AF36,AF37)</f>
        <v>0.85990099009900989</v>
      </c>
      <c r="H37" s="321"/>
      <c r="I37" s="320">
        <f>M20</f>
        <v>10</v>
      </c>
      <c r="J37" s="321"/>
      <c r="K37" s="322" cm="1">
        <f t="array" ref="K37">ze(I37, M37, M20, M26)</f>
        <v>10</v>
      </c>
      <c r="L37" s="322"/>
      <c r="M37" s="322">
        <f>M18</f>
        <v>30</v>
      </c>
      <c r="N37" s="322"/>
      <c r="O37" s="322">
        <f>M19</f>
        <v>68</v>
      </c>
      <c r="P37" s="322"/>
      <c r="Q37" s="322">
        <f>MIN(2.01*(K37/J27)^(2/N27),N28)</f>
        <v>1.0009330064908715</v>
      </c>
      <c r="R37" s="322"/>
      <c r="S37" s="150"/>
      <c r="T37" s="150"/>
      <c r="U37" s="150"/>
      <c r="V37" s="150"/>
      <c r="W37" s="150"/>
      <c r="X37" s="150"/>
      <c r="Y37" s="150"/>
      <c r="Z37" s="150"/>
      <c r="AA37" s="150"/>
      <c r="AB37" s="57"/>
      <c r="AD37" s="345"/>
      <c r="AE37" s="141" t="s">
        <v>282</v>
      </c>
      <c r="AF37" s="142">
        <f>GustFactor!E33</f>
        <v>0.9438934308721264</v>
      </c>
      <c r="AG37" s="143" t="s">
        <v>283</v>
      </c>
      <c r="AH37" s="141"/>
      <c r="AI37" s="141"/>
      <c r="AJ37" s="141"/>
      <c r="BF37" s="29">
        <v>28</v>
      </c>
      <c r="BG37" s="32" t="s">
        <v>98</v>
      </c>
      <c r="BH37" s="30" t="s">
        <v>99</v>
      </c>
    </row>
    <row r="38" spans="2:60" ht="15">
      <c r="B38" s="56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57"/>
      <c r="AD38"/>
      <c r="AE38"/>
      <c r="AF38"/>
      <c r="AG38"/>
      <c r="AH38"/>
      <c r="AI38"/>
      <c r="AJ38"/>
      <c r="BF38" s="29">
        <v>29</v>
      </c>
      <c r="BG38" s="30" t="s">
        <v>47</v>
      </c>
      <c r="BH38" s="30" t="s">
        <v>100</v>
      </c>
    </row>
    <row r="39" spans="2:60" ht="18">
      <c r="B39" s="56"/>
      <c r="C39" s="348" t="s">
        <v>277</v>
      </c>
      <c r="D39" s="348"/>
      <c r="E39" s="348"/>
      <c r="F39" s="348"/>
      <c r="G39" s="259" t="s">
        <v>270</v>
      </c>
      <c r="H39" s="259"/>
      <c r="I39" s="259" t="s">
        <v>271</v>
      </c>
      <c r="J39" s="259"/>
      <c r="K39" s="259" t="s">
        <v>272</v>
      </c>
      <c r="L39" s="259"/>
      <c r="M39" s="259" t="s">
        <v>273</v>
      </c>
      <c r="N39" s="259"/>
      <c r="O39" s="259" t="s">
        <v>274</v>
      </c>
      <c r="P39" s="259"/>
      <c r="Q39" s="259" t="s">
        <v>275</v>
      </c>
      <c r="R39" s="259"/>
      <c r="S39" s="150"/>
      <c r="T39" s="150"/>
      <c r="U39" s="150"/>
      <c r="V39" s="150"/>
      <c r="W39" s="150"/>
      <c r="X39" s="150"/>
      <c r="Y39" s="150"/>
      <c r="Z39" s="150"/>
      <c r="AA39" s="150"/>
      <c r="AB39" s="57"/>
      <c r="AD39" s="344" t="s">
        <v>284</v>
      </c>
      <c r="AE39" s="141" t="s">
        <v>281</v>
      </c>
      <c r="AF39" s="142">
        <f>IF(G17="RC building",0.85+M20/2840,0.85+M20/1010)</f>
        <v>0.85990099009900989</v>
      </c>
      <c r="AG39" s="346" t="str">
        <f>AG36</f>
        <v>Công thức tính toán sơ bộ theo phụ lục</v>
      </c>
      <c r="AH39" s="347"/>
      <c r="AI39" s="347"/>
      <c r="AJ39" s="347"/>
      <c r="BF39" s="29">
        <v>30</v>
      </c>
      <c r="BG39" s="30" t="s">
        <v>48</v>
      </c>
      <c r="BH39" s="30" t="s">
        <v>101</v>
      </c>
    </row>
    <row r="40" spans="2:60" ht="15">
      <c r="B40" s="56"/>
      <c r="C40" s="348"/>
      <c r="D40" s="348"/>
      <c r="E40" s="348"/>
      <c r="F40" s="348"/>
      <c r="G40" s="320">
        <f>IF(AG35=AG39,AF39,AF40)</f>
        <v>0.85990099009900989</v>
      </c>
      <c r="H40" s="321"/>
      <c r="I40" s="320">
        <f>M20</f>
        <v>10</v>
      </c>
      <c r="J40" s="321"/>
      <c r="K40" s="349" cm="1">
        <f t="array" ref="K40">ze(I40, M40, M20, M26)</f>
        <v>10</v>
      </c>
      <c r="L40" s="350"/>
      <c r="M40" s="322">
        <f>M19</f>
        <v>68</v>
      </c>
      <c r="N40" s="259"/>
      <c r="O40" s="322">
        <f>M18</f>
        <v>30</v>
      </c>
      <c r="P40" s="259"/>
      <c r="Q40" s="349">
        <f>MIN(2.01*(K40/J27)^(2/N27),N28)</f>
        <v>1.0009330064908715</v>
      </c>
      <c r="R40" s="350"/>
      <c r="S40" s="150"/>
      <c r="T40" s="150"/>
      <c r="U40" s="150"/>
      <c r="V40" s="150"/>
      <c r="W40" s="150"/>
      <c r="X40" s="150"/>
      <c r="Y40" s="150"/>
      <c r="Z40" s="150"/>
      <c r="AA40" s="150"/>
      <c r="AB40" s="57"/>
      <c r="AD40" s="345"/>
      <c r="AE40" s="141" t="s">
        <v>282</v>
      </c>
      <c r="AF40" s="142">
        <f>GustFactor!K33</f>
        <v>0.88580526599160792</v>
      </c>
      <c r="AG40" s="346" t="str">
        <f>AG37</f>
        <v>Công thức tính toán theo sheet bên cạnh</v>
      </c>
      <c r="AH40" s="347"/>
      <c r="AI40" s="347"/>
      <c r="AJ40" s="347"/>
      <c r="BF40" s="29">
        <v>31</v>
      </c>
      <c r="BG40" s="30" t="s">
        <v>102</v>
      </c>
      <c r="BH40" s="30" t="s">
        <v>103</v>
      </c>
    </row>
    <row r="41" spans="2:60" ht="15">
      <c r="B41" s="56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1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57"/>
      <c r="BF41" s="29">
        <v>32</v>
      </c>
      <c r="BG41" s="30" t="s">
        <v>104</v>
      </c>
      <c r="BH41" s="30" t="s">
        <v>105</v>
      </c>
    </row>
    <row r="42" spans="2:60" ht="15" customHeight="1">
      <c r="B42" s="56"/>
      <c r="C42" s="181" t="s">
        <v>118</v>
      </c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3"/>
      <c r="Y42" s="150"/>
      <c r="Z42" s="150"/>
      <c r="AA42" s="150"/>
      <c r="AB42" s="57"/>
      <c r="BF42" s="29">
        <v>33</v>
      </c>
      <c r="BG42" s="30" t="s">
        <v>106</v>
      </c>
      <c r="BH42" s="30" t="s">
        <v>107</v>
      </c>
    </row>
    <row r="43" spans="2:60" ht="15">
      <c r="B43" s="56"/>
      <c r="C43" s="184" t="str">
        <f>VLOOKUP(25,$BF$10:$BH$106,1+MATCH($AC$9,$BG$9:$BH$9,0))</f>
        <v>Vùng</v>
      </c>
      <c r="D43" s="185"/>
      <c r="E43" s="191" t="s">
        <v>286</v>
      </c>
      <c r="F43" s="191"/>
      <c r="G43" s="191"/>
      <c r="H43" s="191"/>
      <c r="I43" s="191"/>
      <c r="J43" s="191"/>
      <c r="K43" s="191"/>
      <c r="L43" s="191"/>
      <c r="M43" s="191"/>
      <c r="N43" s="192"/>
      <c r="O43" s="191" t="s">
        <v>287</v>
      </c>
      <c r="P43" s="191"/>
      <c r="Q43" s="191"/>
      <c r="R43" s="191"/>
      <c r="S43" s="191"/>
      <c r="T43" s="191"/>
      <c r="U43" s="191"/>
      <c r="V43" s="191"/>
      <c r="W43" s="191"/>
      <c r="X43" s="192"/>
      <c r="Y43" s="150"/>
      <c r="Z43" s="150"/>
      <c r="AA43" s="150"/>
      <c r="AB43" s="57"/>
      <c r="BF43" s="29">
        <v>34</v>
      </c>
      <c r="BG43" s="30" t="s">
        <v>108</v>
      </c>
      <c r="BH43" s="30" t="s">
        <v>109</v>
      </c>
    </row>
    <row r="44" spans="2:60" ht="18">
      <c r="B44" s="56"/>
      <c r="C44" s="186"/>
      <c r="D44" s="187"/>
      <c r="E44" s="195" t="s">
        <v>50</v>
      </c>
      <c r="F44" s="195"/>
      <c r="G44" s="195" t="s">
        <v>51</v>
      </c>
      <c r="H44" s="195"/>
      <c r="I44" s="195" t="s">
        <v>22</v>
      </c>
      <c r="J44" s="195"/>
      <c r="K44" s="195" t="s">
        <v>23</v>
      </c>
      <c r="L44" s="195"/>
      <c r="M44" s="195" t="s">
        <v>5</v>
      </c>
      <c r="N44" s="196"/>
      <c r="O44" s="195" t="s">
        <v>50</v>
      </c>
      <c r="P44" s="195"/>
      <c r="Q44" s="195" t="s">
        <v>51</v>
      </c>
      <c r="R44" s="195"/>
      <c r="S44" s="195" t="s">
        <v>22</v>
      </c>
      <c r="T44" s="195"/>
      <c r="U44" s="195" t="s">
        <v>23</v>
      </c>
      <c r="V44" s="195"/>
      <c r="W44" s="195" t="s">
        <v>5</v>
      </c>
      <c r="X44" s="196"/>
      <c r="Y44" s="150"/>
      <c r="Z44" s="150"/>
      <c r="AA44" s="150"/>
      <c r="AB44" s="57"/>
      <c r="BF44" s="29">
        <v>35</v>
      </c>
      <c r="BG44" s="30" t="s">
        <v>47</v>
      </c>
      <c r="BH44" s="30" t="s">
        <v>110</v>
      </c>
    </row>
    <row r="45" spans="2:60" ht="18">
      <c r="B45" s="56"/>
      <c r="C45" s="146"/>
      <c r="D45" s="147" t="s">
        <v>39</v>
      </c>
      <c r="E45" s="237">
        <f>AR85</f>
        <v>-2.1552832126617432</v>
      </c>
      <c r="F45" s="237"/>
      <c r="G45" s="237">
        <f>AS85</f>
        <v>-2.0078611373901367</v>
      </c>
      <c r="H45" s="237"/>
      <c r="I45" s="237">
        <f>AT85</f>
        <v>-1.8184276819229126</v>
      </c>
      <c r="J45" s="237"/>
      <c r="K45" s="237">
        <f>AU85</f>
        <v>-0.63685548305511475</v>
      </c>
      <c r="L45" s="237"/>
      <c r="M45" s="237">
        <f>AV85</f>
        <v>-0.53685545921325684</v>
      </c>
      <c r="N45" s="238"/>
      <c r="O45" s="237">
        <f>E45</f>
        <v>-2.1552832126617432</v>
      </c>
      <c r="P45" s="237"/>
      <c r="Q45" s="237">
        <f t="shared" ref="Q45" si="6">G45</f>
        <v>-2.0078611373901367</v>
      </c>
      <c r="R45" s="237"/>
      <c r="S45" s="237">
        <f t="shared" ref="S45" si="7">I45</f>
        <v>-1.8184276819229126</v>
      </c>
      <c r="T45" s="237"/>
      <c r="U45" s="237">
        <f t="shared" ref="U45" si="8">K45</f>
        <v>-0.63685548305511475</v>
      </c>
      <c r="V45" s="237"/>
      <c r="W45" s="237">
        <f t="shared" ref="W45" si="9">M45</f>
        <v>-0.53685545921325684</v>
      </c>
      <c r="X45" s="238"/>
      <c r="Y45" s="150"/>
      <c r="Z45" s="150"/>
      <c r="AA45" s="150"/>
      <c r="AB45" s="57"/>
      <c r="BF45" s="29">
        <v>36</v>
      </c>
      <c r="BG45" s="30" t="s">
        <v>48</v>
      </c>
      <c r="BH45" s="30" t="s">
        <v>111</v>
      </c>
    </row>
    <row r="46" spans="2:60" ht="18">
      <c r="B46" s="56"/>
      <c r="C46" s="83"/>
      <c r="D46" s="84" t="s">
        <v>52</v>
      </c>
      <c r="E46" s="234">
        <f>$E$28*$Q$37*E45*$G$37</f>
        <v>-1.5014850278441778</v>
      </c>
      <c r="F46" s="234"/>
      <c r="G46" s="234">
        <f t="shared" ref="G46" si="10">$E$28*$Q$37*G45*$G$37</f>
        <v>-1.398782961826289</v>
      </c>
      <c r="H46" s="234"/>
      <c r="I46" s="234">
        <f t="shared" ref="I46" si="11">$E$28*$Q$37*I45*$G$37</f>
        <v>-1.2668135317830069</v>
      </c>
      <c r="J46" s="234"/>
      <c r="K46" s="234">
        <f t="shared" ref="K46" si="12">$E$28*$Q$37*K45*$G$37</f>
        <v>-0.44366743409410109</v>
      </c>
      <c r="L46" s="234"/>
      <c r="M46" s="234">
        <f t="shared" ref="M46" si="13">$E$28*$Q$37*M45*$G$37</f>
        <v>-0.37400209373394522</v>
      </c>
      <c r="N46" s="235"/>
      <c r="O46" s="234">
        <f t="shared" ref="O46" si="14">$E$28*$Q$37*O45*$G$37</f>
        <v>-1.5014850278441778</v>
      </c>
      <c r="P46" s="234"/>
      <c r="Q46" s="234">
        <f t="shared" ref="Q46" si="15">$E$28*$Q$37*Q45*$G$37</f>
        <v>-1.398782961826289</v>
      </c>
      <c r="R46" s="234"/>
      <c r="S46" s="234">
        <f t="shared" ref="S46" si="16">$E$28*$Q$37*S45*$G$37</f>
        <v>-1.2668135317830069</v>
      </c>
      <c r="T46" s="234"/>
      <c r="U46" s="234">
        <f t="shared" ref="U46" si="17">$E$28*$Q$37*U45*$G$37</f>
        <v>-0.44366743409410109</v>
      </c>
      <c r="V46" s="234"/>
      <c r="W46" s="234">
        <f t="shared" ref="W46" si="18">$E$28*$Q$37*W45*$G$37</f>
        <v>-0.37400209373394522</v>
      </c>
      <c r="X46" s="235"/>
      <c r="Y46" s="150"/>
      <c r="Z46" s="150"/>
      <c r="AA46" s="150"/>
      <c r="AB46" s="57"/>
      <c r="BF46" s="29">
        <v>37</v>
      </c>
      <c r="BG46" s="31" t="s">
        <v>20</v>
      </c>
      <c r="BH46" s="31" t="s">
        <v>112</v>
      </c>
    </row>
    <row r="47" spans="2:60" ht="18">
      <c r="B47" s="56"/>
      <c r="C47" s="85" t="str">
        <f>VLOOKUP(35,$BF$10:$BH$106,1+MATCH($AC$9,$BG$9:$BH$9,0))</f>
        <v>TH1</v>
      </c>
      <c r="D47" s="86" t="s">
        <v>49</v>
      </c>
      <c r="E47" s="177">
        <f>$M$32</f>
        <v>0.2</v>
      </c>
      <c r="F47" s="177"/>
      <c r="G47" s="177">
        <f t="shared" ref="G47" si="19">$M$32</f>
        <v>0.2</v>
      </c>
      <c r="H47" s="177"/>
      <c r="I47" s="177">
        <f t="shared" ref="I47" si="20">$M$32</f>
        <v>0.2</v>
      </c>
      <c r="J47" s="177"/>
      <c r="K47" s="177">
        <f t="shared" ref="K47" si="21">$M$32</f>
        <v>0.2</v>
      </c>
      <c r="L47" s="177"/>
      <c r="M47" s="177">
        <f t="shared" ref="M47" si="22">$M$32</f>
        <v>0.2</v>
      </c>
      <c r="N47" s="178"/>
      <c r="O47" s="177">
        <f>$O$32</f>
        <v>0.2</v>
      </c>
      <c r="P47" s="177"/>
      <c r="Q47" s="177">
        <f t="shared" ref="Q47" si="23">$O$32</f>
        <v>0.2</v>
      </c>
      <c r="R47" s="177"/>
      <c r="S47" s="177">
        <f t="shared" ref="S47" si="24">$O$32</f>
        <v>0.2</v>
      </c>
      <c r="T47" s="177"/>
      <c r="U47" s="177">
        <f t="shared" ref="U47" si="25">$O$32</f>
        <v>0.2</v>
      </c>
      <c r="V47" s="177"/>
      <c r="W47" s="177">
        <f t="shared" ref="W47" si="26">$O$32</f>
        <v>0.2</v>
      </c>
      <c r="X47" s="178"/>
      <c r="Y47" s="150"/>
      <c r="Z47" s="150"/>
      <c r="AA47" s="150"/>
      <c r="AB47" s="57"/>
      <c r="BF47" s="29">
        <v>38</v>
      </c>
      <c r="BG47" s="30" t="s">
        <v>113</v>
      </c>
      <c r="BH47" s="30" t="s">
        <v>114</v>
      </c>
    </row>
    <row r="48" spans="2:60" ht="18">
      <c r="B48" s="56"/>
      <c r="C48" s="87" t="str">
        <f>VLOOKUP(36,$BF$10:$BH$106,1+MATCH($AC$9,$BG$9:$BH$9,0))</f>
        <v>TH2</v>
      </c>
      <c r="D48" s="88" t="s">
        <v>49</v>
      </c>
      <c r="E48" s="175">
        <f>$M$33</f>
        <v>-0.2</v>
      </c>
      <c r="F48" s="175"/>
      <c r="G48" s="175">
        <f t="shared" ref="G48" si="27">$M$33</f>
        <v>-0.2</v>
      </c>
      <c r="H48" s="175"/>
      <c r="I48" s="175">
        <f t="shared" ref="I48" si="28">$M$33</f>
        <v>-0.2</v>
      </c>
      <c r="J48" s="175"/>
      <c r="K48" s="175">
        <f t="shared" ref="K48" si="29">$M$33</f>
        <v>-0.2</v>
      </c>
      <c r="L48" s="175"/>
      <c r="M48" s="175">
        <f t="shared" ref="M48" si="30">$M$33</f>
        <v>-0.2</v>
      </c>
      <c r="N48" s="176"/>
      <c r="O48" s="175">
        <f>$O$33</f>
        <v>-0.2</v>
      </c>
      <c r="P48" s="175"/>
      <c r="Q48" s="175">
        <f t="shared" ref="Q48" si="31">$O$33</f>
        <v>-0.2</v>
      </c>
      <c r="R48" s="175"/>
      <c r="S48" s="175">
        <f t="shared" ref="S48" si="32">$O$33</f>
        <v>-0.2</v>
      </c>
      <c r="T48" s="175"/>
      <c r="U48" s="175">
        <f t="shared" ref="U48" si="33">$O$33</f>
        <v>-0.2</v>
      </c>
      <c r="V48" s="175"/>
      <c r="W48" s="175">
        <f t="shared" ref="W48" si="34">$O$33</f>
        <v>-0.2</v>
      </c>
      <c r="X48" s="176"/>
      <c r="Y48" s="150"/>
      <c r="Z48" s="150"/>
      <c r="AA48" s="150"/>
      <c r="AB48" s="57"/>
      <c r="BF48" s="29">
        <v>39</v>
      </c>
      <c r="BG48" s="30" t="s">
        <v>115</v>
      </c>
      <c r="BH48" s="30" t="s">
        <v>116</v>
      </c>
    </row>
    <row r="49" spans="2:60" ht="18">
      <c r="B49" s="56"/>
      <c r="C49" s="85" t="str">
        <f>VLOOKUP(35,$BF$10:$BH$106,1+MATCH($AC$9,$BG$9:$BH$9,0))</f>
        <v>TH1</v>
      </c>
      <c r="D49" s="79" t="s">
        <v>53</v>
      </c>
      <c r="E49" s="177">
        <f>$E$28*$Q$37*E47*$G$37</f>
        <v>0.1393306475012967</v>
      </c>
      <c r="F49" s="177"/>
      <c r="G49" s="177">
        <f t="shared" ref="G49" si="35">$E$28*$Q$37*G47*$G$37</f>
        <v>0.1393306475012967</v>
      </c>
      <c r="H49" s="177"/>
      <c r="I49" s="177">
        <f t="shared" ref="I49" si="36">$E$28*$Q$37*I47*$G$37</f>
        <v>0.1393306475012967</v>
      </c>
      <c r="J49" s="177"/>
      <c r="K49" s="177">
        <f t="shared" ref="K49" si="37">$E$28*$Q$37*K47*$G$37</f>
        <v>0.1393306475012967</v>
      </c>
      <c r="L49" s="177"/>
      <c r="M49" s="177">
        <f t="shared" ref="M49" si="38">$E$28*$Q$37*M47*$G$37</f>
        <v>0.1393306475012967</v>
      </c>
      <c r="N49" s="178"/>
      <c r="O49" s="177">
        <f t="shared" ref="O49" si="39">$E$28*$Q$37*O47*$G$37</f>
        <v>0.1393306475012967</v>
      </c>
      <c r="P49" s="177"/>
      <c r="Q49" s="177">
        <f t="shared" ref="Q49" si="40">$E$28*$Q$37*Q47*$G$37</f>
        <v>0.1393306475012967</v>
      </c>
      <c r="R49" s="177"/>
      <c r="S49" s="177">
        <f t="shared" ref="S49" si="41">$E$28*$Q$37*S47*$G$37</f>
        <v>0.1393306475012967</v>
      </c>
      <c r="T49" s="177"/>
      <c r="U49" s="177">
        <f t="shared" ref="U49" si="42">$E$28*$Q$37*U47*$G$37</f>
        <v>0.1393306475012967</v>
      </c>
      <c r="V49" s="177"/>
      <c r="W49" s="177">
        <f t="shared" ref="W49" si="43">$E$28*$Q$37*W47*$G$37</f>
        <v>0.1393306475012967</v>
      </c>
      <c r="X49" s="178"/>
      <c r="Y49" s="150"/>
      <c r="Z49" s="150"/>
      <c r="AA49" s="150"/>
      <c r="AB49" s="57"/>
      <c r="BF49" s="29">
        <v>40</v>
      </c>
      <c r="BG49" s="30" t="s">
        <v>117</v>
      </c>
      <c r="BH49" s="30" t="s">
        <v>118</v>
      </c>
    </row>
    <row r="50" spans="2:60" ht="18">
      <c r="B50" s="56"/>
      <c r="C50" s="87" t="str">
        <f>VLOOKUP(36,$BF$10:$BH$106,1+MATCH($AC$9,$BG$9:$BH$9,0))</f>
        <v>TH2</v>
      </c>
      <c r="D50" s="81" t="s">
        <v>53</v>
      </c>
      <c r="E50" s="175">
        <f t="shared" ref="E50" si="44">$E$28*$Q$37*E48*$G$37</f>
        <v>-0.1393306475012967</v>
      </c>
      <c r="F50" s="175"/>
      <c r="G50" s="175">
        <f t="shared" ref="G50" si="45">$E$28*$Q$37*G48*$G$37</f>
        <v>-0.1393306475012967</v>
      </c>
      <c r="H50" s="175"/>
      <c r="I50" s="175">
        <f t="shared" ref="I50" si="46">$E$28*$Q$37*I48*$G$37</f>
        <v>-0.1393306475012967</v>
      </c>
      <c r="J50" s="175"/>
      <c r="K50" s="175">
        <f t="shared" ref="K50" si="47">$E$28*$Q$37*K48*$G$37</f>
        <v>-0.1393306475012967</v>
      </c>
      <c r="L50" s="175"/>
      <c r="M50" s="175">
        <f t="shared" ref="M50" si="48">$E$28*$Q$37*M48*$G$37</f>
        <v>-0.1393306475012967</v>
      </c>
      <c r="N50" s="176"/>
      <c r="O50" s="175">
        <f t="shared" ref="O50" si="49">$E$28*$Q$37*O48*$G$37</f>
        <v>-0.1393306475012967</v>
      </c>
      <c r="P50" s="175"/>
      <c r="Q50" s="175">
        <f t="shared" ref="Q50" si="50">$E$28*$Q$37*Q48*$G$37</f>
        <v>-0.1393306475012967</v>
      </c>
      <c r="R50" s="175"/>
      <c r="S50" s="175">
        <f t="shared" ref="S50" si="51">$E$28*$Q$37*S48*$G$37</f>
        <v>-0.1393306475012967</v>
      </c>
      <c r="T50" s="175"/>
      <c r="U50" s="175">
        <f t="shared" ref="U50" si="52">$E$28*$Q$37*U48*$G$37</f>
        <v>-0.1393306475012967</v>
      </c>
      <c r="V50" s="175"/>
      <c r="W50" s="175">
        <f t="shared" ref="W50" si="53">$E$28*$Q$37*W48*$G$37</f>
        <v>-0.1393306475012967</v>
      </c>
      <c r="X50" s="176"/>
      <c r="Y50" s="150"/>
      <c r="Z50" s="150"/>
      <c r="AA50" s="150"/>
      <c r="AB50" s="57"/>
      <c r="BF50" s="29">
        <v>41</v>
      </c>
      <c r="BG50" s="30" t="s">
        <v>119</v>
      </c>
      <c r="BH50" s="30" t="s">
        <v>120</v>
      </c>
    </row>
    <row r="51" spans="2:60" ht="18">
      <c r="B51" s="56"/>
      <c r="C51" s="85" t="str">
        <f>VLOOKUP(35,$BF$10:$BH$106,1+MATCH($AC$9,$BG$9:$BH$9,0))</f>
        <v>TH1</v>
      </c>
      <c r="D51" s="144" t="s">
        <v>285</v>
      </c>
      <c r="E51" s="193">
        <f>E46-E49</f>
        <v>-1.6408156753454746</v>
      </c>
      <c r="F51" s="193"/>
      <c r="G51" s="193">
        <f t="shared" ref="G51" si="54">G46-G49</f>
        <v>-1.5381136093275858</v>
      </c>
      <c r="H51" s="193"/>
      <c r="I51" s="193">
        <f t="shared" ref="I51" si="55">I46-I49</f>
        <v>-1.4061441792843037</v>
      </c>
      <c r="J51" s="193"/>
      <c r="K51" s="193">
        <f t="shared" ref="K51" si="56">K46-K49</f>
        <v>-0.58299808159539779</v>
      </c>
      <c r="L51" s="193"/>
      <c r="M51" s="193">
        <f t="shared" ref="M51" si="57">M46-M49</f>
        <v>-0.51333274123524197</v>
      </c>
      <c r="N51" s="194"/>
      <c r="O51" s="193">
        <f>O46-O49</f>
        <v>-1.6408156753454746</v>
      </c>
      <c r="P51" s="193"/>
      <c r="Q51" s="193">
        <f t="shared" ref="Q51" si="58">Q46-Q49</f>
        <v>-1.5381136093275858</v>
      </c>
      <c r="R51" s="193"/>
      <c r="S51" s="193">
        <f t="shared" ref="S51" si="59">S46-S49</f>
        <v>-1.4061441792843037</v>
      </c>
      <c r="T51" s="193"/>
      <c r="U51" s="193">
        <f t="shared" ref="U51" si="60">U46-U49</f>
        <v>-0.58299808159539779</v>
      </c>
      <c r="V51" s="193"/>
      <c r="W51" s="193">
        <f t="shared" ref="W51" si="61">W46-W49</f>
        <v>-0.51333274123524197</v>
      </c>
      <c r="X51" s="194"/>
      <c r="Y51" s="150"/>
      <c r="Z51" s="150"/>
      <c r="AA51" s="150"/>
      <c r="AB51" s="57"/>
      <c r="BF51" s="29">
        <v>42</v>
      </c>
      <c r="BG51" s="30" t="s">
        <v>121</v>
      </c>
      <c r="BH51" s="30" t="s">
        <v>122</v>
      </c>
    </row>
    <row r="52" spans="2:60" ht="18">
      <c r="B52" s="56"/>
      <c r="C52" s="89" t="str">
        <f>VLOOKUP(36,$BF$10:$BH$106,1+MATCH($AC$9,$BG$9:$BH$9,0))</f>
        <v>TH2</v>
      </c>
      <c r="D52" s="145" t="s">
        <v>285</v>
      </c>
      <c r="E52" s="179">
        <f>E46-E50</f>
        <v>-1.3621543803428811</v>
      </c>
      <c r="F52" s="179"/>
      <c r="G52" s="179">
        <f t="shared" ref="G52" si="62">G46-G50</f>
        <v>-1.2594523143249923</v>
      </c>
      <c r="H52" s="179"/>
      <c r="I52" s="179">
        <f t="shared" ref="I52" si="63">I46-I50</f>
        <v>-1.1274828842817102</v>
      </c>
      <c r="J52" s="179"/>
      <c r="K52" s="179">
        <f t="shared" ref="K52" si="64">K46-K50</f>
        <v>-0.30433678659280439</v>
      </c>
      <c r="L52" s="179"/>
      <c r="M52" s="179">
        <f t="shared" ref="M52" si="65">M46-M50</f>
        <v>-0.23467144623264852</v>
      </c>
      <c r="N52" s="180"/>
      <c r="O52" s="179">
        <f>O46-O50</f>
        <v>-1.3621543803428811</v>
      </c>
      <c r="P52" s="179"/>
      <c r="Q52" s="179">
        <f t="shared" ref="Q52" si="66">Q46-Q50</f>
        <v>-1.2594523143249923</v>
      </c>
      <c r="R52" s="179"/>
      <c r="S52" s="179">
        <f t="shared" ref="S52" si="67">S46-S50</f>
        <v>-1.1274828842817102</v>
      </c>
      <c r="T52" s="179"/>
      <c r="U52" s="179">
        <f t="shared" ref="U52" si="68">U46-U50</f>
        <v>-0.30433678659280439</v>
      </c>
      <c r="V52" s="179"/>
      <c r="W52" s="179">
        <f t="shared" ref="W52" si="69">W46-W50</f>
        <v>-0.23467144623264852</v>
      </c>
      <c r="X52" s="180"/>
      <c r="Y52" s="150"/>
      <c r="Z52" s="150"/>
      <c r="AA52" s="150"/>
      <c r="AB52" s="57"/>
      <c r="BF52" s="29">
        <v>43</v>
      </c>
      <c r="BG52" s="70" t="s">
        <v>177</v>
      </c>
      <c r="BH52" s="70" t="s">
        <v>178</v>
      </c>
    </row>
    <row r="53" spans="2:60" ht="15">
      <c r="B53" s="56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1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57"/>
      <c r="BF53" s="29">
        <v>44</v>
      </c>
      <c r="BG53" s="73" t="s">
        <v>20</v>
      </c>
      <c r="BH53" s="73" t="s">
        <v>112</v>
      </c>
    </row>
    <row r="54" spans="2:60" ht="15" customHeight="1">
      <c r="B54" s="56"/>
      <c r="C54" s="181" t="s">
        <v>120</v>
      </c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3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57"/>
      <c r="BF54" s="29">
        <v>45</v>
      </c>
      <c r="BG54" s="70" t="s">
        <v>181</v>
      </c>
      <c r="BH54" s="70" t="s">
        <v>182</v>
      </c>
    </row>
    <row r="55" spans="2:60" ht="15">
      <c r="B55" s="56"/>
      <c r="C55" s="184" t="str">
        <f>VLOOKUP(25,$BF$10:$BH$106,1+MATCH($AC$9,$BG$9:$BH$9,0))</f>
        <v>Vùng</v>
      </c>
      <c r="D55" s="185"/>
      <c r="E55" s="190" t="s">
        <v>288</v>
      </c>
      <c r="F55" s="191"/>
      <c r="G55" s="191"/>
      <c r="H55" s="191"/>
      <c r="I55" s="191"/>
      <c r="J55" s="192"/>
      <c r="K55" s="190" t="s">
        <v>289</v>
      </c>
      <c r="L55" s="191"/>
      <c r="M55" s="191"/>
      <c r="N55" s="191"/>
      <c r="O55" s="191"/>
      <c r="P55" s="192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0"/>
      <c r="AB55" s="57"/>
      <c r="BF55" s="29">
        <v>46</v>
      </c>
      <c r="BG55" s="32"/>
      <c r="BH55" s="32"/>
    </row>
    <row r="56" spans="2:60" ht="15">
      <c r="B56" s="56"/>
      <c r="C56" s="186"/>
      <c r="D56" s="187"/>
      <c r="E56" s="188" t="s">
        <v>21</v>
      </c>
      <c r="F56" s="188"/>
      <c r="G56" s="188" t="s">
        <v>22</v>
      </c>
      <c r="H56" s="188"/>
      <c r="I56" s="188" t="s">
        <v>23</v>
      </c>
      <c r="J56" s="189"/>
      <c r="K56" s="188" t="s">
        <v>21</v>
      </c>
      <c r="L56" s="188"/>
      <c r="M56" s="188" t="s">
        <v>22</v>
      </c>
      <c r="N56" s="188"/>
      <c r="O56" s="188" t="s">
        <v>23</v>
      </c>
      <c r="P56" s="189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57"/>
      <c r="BF56" s="29">
        <v>47</v>
      </c>
      <c r="BG56" s="32"/>
      <c r="BH56" s="32"/>
    </row>
    <row r="57" spans="2:60" ht="18">
      <c r="B57" s="56"/>
      <c r="C57" s="75" t="str">
        <f>VLOOKUP(35,$BF$10:$BH$106,1+MATCH($AC$9,$BG$9:$BH$9,0))</f>
        <v>TH1</v>
      </c>
      <c r="D57" s="148" t="s">
        <v>39</v>
      </c>
      <c r="E57" s="313">
        <f>AM85</f>
        <v>-2.336855411529541</v>
      </c>
      <c r="F57" s="245"/>
      <c r="G57" s="245">
        <f>AN85</f>
        <v>-1.2999999523162842</v>
      </c>
      <c r="H57" s="245"/>
      <c r="I57" s="245">
        <f>AO85</f>
        <v>-0.81842774152755737</v>
      </c>
      <c r="J57" s="246"/>
      <c r="K57" s="245">
        <f>AE85</f>
        <v>-1.5525782108306885</v>
      </c>
      <c r="L57" s="245"/>
      <c r="M57" s="245">
        <f>AF85</f>
        <v>-1.1262891292572021</v>
      </c>
      <c r="N57" s="245"/>
      <c r="O57" s="245">
        <f>AG85</f>
        <v>-0.54471683502197266</v>
      </c>
      <c r="P57" s="246"/>
      <c r="Q57" s="150"/>
      <c r="R57" s="150"/>
      <c r="Y57" s="150"/>
      <c r="Z57" s="150"/>
      <c r="AA57" s="150"/>
      <c r="AB57" s="57"/>
      <c r="BF57" s="29">
        <v>48</v>
      </c>
      <c r="BG57" s="32"/>
      <c r="BH57" s="32"/>
    </row>
    <row r="58" spans="2:60" ht="18">
      <c r="B58" s="56"/>
      <c r="C58" s="80" t="str">
        <f>VLOOKUP(36,$BF$10:$BH$106,1+MATCH($AC$9,$BG$9:$BH$9,0))</f>
        <v>TH2</v>
      </c>
      <c r="D58" s="81" t="s">
        <v>39</v>
      </c>
      <c r="E58" s="175">
        <f>E57</f>
        <v>-2.336855411529541</v>
      </c>
      <c r="F58" s="175"/>
      <c r="G58" s="175">
        <f>G57</f>
        <v>-1.2999999523162842</v>
      </c>
      <c r="H58" s="175"/>
      <c r="I58" s="175">
        <f>I57</f>
        <v>-0.81842774152755737</v>
      </c>
      <c r="J58" s="176"/>
      <c r="K58" s="175">
        <f>AH85</f>
        <v>3.6855470389127731E-2</v>
      </c>
      <c r="L58" s="175"/>
      <c r="M58" s="175">
        <f>AI85</f>
        <v>3.6855470389127731E-2</v>
      </c>
      <c r="N58" s="175"/>
      <c r="O58" s="175">
        <f>AJ85</f>
        <v>3.6855470389127731E-2</v>
      </c>
      <c r="P58" s="176"/>
      <c r="Q58" s="150"/>
      <c r="R58" s="150"/>
      <c r="Y58" s="150"/>
      <c r="Z58" s="150"/>
      <c r="AA58" s="150"/>
      <c r="AB58" s="57"/>
      <c r="BF58" s="29">
        <v>50</v>
      </c>
      <c r="BG58" s="32"/>
      <c r="BH58" s="32"/>
    </row>
    <row r="59" spans="2:60" ht="18">
      <c r="B59" s="56"/>
      <c r="C59" s="78" t="str">
        <f>VLOOKUP(35,$BF$10:$BH$106,1+MATCH($AC$9,$BG$9:$BH$9,0))</f>
        <v>TH1</v>
      </c>
      <c r="D59" s="79" t="s">
        <v>52</v>
      </c>
      <c r="E59" s="177">
        <f t="shared" ref="E59" si="70">$E$28*$Q$40*E57*$G$40</f>
        <v>-1.6279778880266005</v>
      </c>
      <c r="F59" s="177"/>
      <c r="G59" s="177">
        <f t="shared" ref="G59" si="71">$E$28*$Q$40*G57*$G$40</f>
        <v>-0.90564917553941349</v>
      </c>
      <c r="H59" s="177"/>
      <c r="I59" s="177">
        <f t="shared" ref="I59" si="72">$E$28*$Q$40*I57*$G$40</f>
        <v>-0.57016033580029224</v>
      </c>
      <c r="J59" s="178"/>
      <c r="K59" s="177">
        <f>$E$28*$Q$40*K57*$G$40</f>
        <v>-1.0816086370572227</v>
      </c>
      <c r="L59" s="177"/>
      <c r="M59" s="177">
        <f t="shared" ref="M59" si="73">$E$28*$Q$40*M57*$G$40</f>
        <v>-0.78463296826538809</v>
      </c>
      <c r="N59" s="177"/>
      <c r="O59" s="177">
        <f t="shared" ref="O59" si="74">$E$28*$Q$40*O57*$G$40</f>
        <v>-0.37947874664234221</v>
      </c>
      <c r="P59" s="178"/>
      <c r="Q59" s="150"/>
      <c r="R59" s="150"/>
      <c r="Y59" s="150"/>
      <c r="Z59" s="150"/>
      <c r="AA59" s="150"/>
      <c r="AB59" s="57"/>
    </row>
    <row r="60" spans="2:60" ht="18">
      <c r="B60" s="56"/>
      <c r="C60" s="80" t="str">
        <f>VLOOKUP(36,$BF$10:$BH$106,1+MATCH($AC$9,$BG$9:$BH$9,0))</f>
        <v>TH2</v>
      </c>
      <c r="D60" s="81" t="s">
        <v>52</v>
      </c>
      <c r="E60" s="175">
        <f t="shared" ref="E60" si="75">$E$28*$Q$40*E58*$G$40</f>
        <v>-1.6279778880266005</v>
      </c>
      <c r="F60" s="175"/>
      <c r="G60" s="175">
        <f t="shared" ref="G60" si="76">$E$28*$Q$40*G58*$G$40</f>
        <v>-0.90564917553941349</v>
      </c>
      <c r="H60" s="175"/>
      <c r="I60" s="175">
        <f t="shared" ref="I60" si="77">$E$28*$Q$40*I58*$G$40</f>
        <v>-0.57016033580029224</v>
      </c>
      <c r="J60" s="176"/>
      <c r="K60" s="175">
        <f t="shared" ref="K60" si="78">$E$28*$Q$40*K58*$G$40</f>
        <v>2.5675482766410167E-2</v>
      </c>
      <c r="L60" s="175"/>
      <c r="M60" s="175">
        <f t="shared" ref="M60" si="79">$E$28*$Q$40*M58*$G$40</f>
        <v>2.5675482766410167E-2</v>
      </c>
      <c r="N60" s="175"/>
      <c r="O60" s="175">
        <f t="shared" ref="O60" si="80">$E$28*$Q$40*O58*$G$40</f>
        <v>2.5675482766410167E-2</v>
      </c>
      <c r="P60" s="176"/>
      <c r="Q60" s="150"/>
      <c r="R60" s="150"/>
      <c r="Y60" s="150"/>
      <c r="Z60" s="150"/>
      <c r="AA60" s="150"/>
      <c r="AB60" s="57"/>
    </row>
    <row r="61" spans="2:60" ht="18">
      <c r="B61" s="56"/>
      <c r="C61" s="78" t="str">
        <f>VLOOKUP(35,$BF$10:$BH$106,1+MATCH($AC$9,$BG$9:$BH$9,0))</f>
        <v>TH1</v>
      </c>
      <c r="D61" s="79" t="s">
        <v>49</v>
      </c>
      <c r="E61" s="177">
        <f>$Q$32</f>
        <v>0.2</v>
      </c>
      <c r="F61" s="177"/>
      <c r="G61" s="177">
        <f t="shared" ref="G61" si="81">$Q$32</f>
        <v>0.2</v>
      </c>
      <c r="H61" s="177"/>
      <c r="I61" s="177">
        <f t="shared" ref="I61" si="82">$Q$32</f>
        <v>0.2</v>
      </c>
      <c r="J61" s="178"/>
      <c r="K61" s="177">
        <f>$S$32</f>
        <v>0.2</v>
      </c>
      <c r="L61" s="177"/>
      <c r="M61" s="177">
        <f t="shared" ref="M61" si="83">$S$32</f>
        <v>0.2</v>
      </c>
      <c r="N61" s="177"/>
      <c r="O61" s="177">
        <f t="shared" ref="O61" si="84">$S$32</f>
        <v>0.2</v>
      </c>
      <c r="P61" s="178"/>
      <c r="Q61" s="150"/>
      <c r="R61" s="150"/>
      <c r="Y61" s="150"/>
      <c r="Z61" s="150"/>
      <c r="AA61" s="150"/>
      <c r="AB61" s="57"/>
      <c r="BF61" s="29"/>
      <c r="BG61" s="30"/>
      <c r="BH61" s="30"/>
    </row>
    <row r="62" spans="2:60" ht="18">
      <c r="B62" s="56"/>
      <c r="C62" s="80" t="str">
        <f>VLOOKUP(36,$BF$10:$BH$106,1+MATCH($AC$9,$BG$9:$BH$9,0))</f>
        <v>TH2</v>
      </c>
      <c r="D62" s="81" t="s">
        <v>49</v>
      </c>
      <c r="E62" s="175">
        <f>$Q$33</f>
        <v>-0.2</v>
      </c>
      <c r="F62" s="175"/>
      <c r="G62" s="175">
        <f t="shared" ref="G62" si="85">$Q$33</f>
        <v>-0.2</v>
      </c>
      <c r="H62" s="175"/>
      <c r="I62" s="175">
        <f t="shared" ref="I62" si="86">$Q$33</f>
        <v>-0.2</v>
      </c>
      <c r="J62" s="176"/>
      <c r="K62" s="175">
        <f>$S$33</f>
        <v>-0.2</v>
      </c>
      <c r="L62" s="175"/>
      <c r="M62" s="175">
        <f t="shared" ref="M62" si="87">$S$33</f>
        <v>-0.2</v>
      </c>
      <c r="N62" s="175"/>
      <c r="O62" s="175">
        <f t="shared" ref="O62" si="88">$S$33</f>
        <v>-0.2</v>
      </c>
      <c r="P62" s="176"/>
      <c r="Q62" s="150"/>
      <c r="R62" s="150"/>
      <c r="Y62" s="150"/>
      <c r="Z62" s="150"/>
      <c r="AA62" s="150"/>
      <c r="AB62" s="57"/>
      <c r="BF62" s="29"/>
      <c r="BG62" s="30"/>
      <c r="BH62" s="30"/>
    </row>
    <row r="63" spans="2:60" ht="18">
      <c r="B63" s="56"/>
      <c r="C63" s="78" t="str">
        <f>VLOOKUP(35,$BF$10:$BH$106,1+MATCH($AC$9,$BG$9:$BH$9,0))</f>
        <v>TH1</v>
      </c>
      <c r="D63" s="79" t="s">
        <v>53</v>
      </c>
      <c r="E63" s="177">
        <f t="shared" ref="E63" si="89">$E$28*$Q$40*E61*$G$40</f>
        <v>0.1393306475012967</v>
      </c>
      <c r="F63" s="177"/>
      <c r="G63" s="177">
        <f t="shared" ref="G63" si="90">$E$28*$Q$40*G61*$G$40</f>
        <v>0.1393306475012967</v>
      </c>
      <c r="H63" s="177"/>
      <c r="I63" s="177">
        <f t="shared" ref="I63" si="91">$E$28*$Q$40*I61*$G$40</f>
        <v>0.1393306475012967</v>
      </c>
      <c r="J63" s="178"/>
      <c r="K63" s="177">
        <f>$E$28*$Q$40*K61*$G$40</f>
        <v>0.1393306475012967</v>
      </c>
      <c r="L63" s="177"/>
      <c r="M63" s="177">
        <f t="shared" ref="M63" si="92">$E$28*$Q$40*M61*$G$40</f>
        <v>0.1393306475012967</v>
      </c>
      <c r="N63" s="177"/>
      <c r="O63" s="177">
        <f t="shared" ref="O63" si="93">$E$28*$Q$40*O61*$G$40</f>
        <v>0.1393306475012967</v>
      </c>
      <c r="P63" s="178"/>
      <c r="Q63" s="150"/>
      <c r="R63" s="150"/>
      <c r="Y63" s="150"/>
      <c r="Z63" s="150"/>
      <c r="AA63" s="150"/>
      <c r="AB63" s="57"/>
      <c r="BF63" s="29"/>
      <c r="BG63" s="30"/>
      <c r="BH63" s="30"/>
    </row>
    <row r="64" spans="2:60" ht="18">
      <c r="B64" s="56"/>
      <c r="C64" s="80" t="str">
        <f>VLOOKUP(36,$BF$10:$BH$106,1+MATCH($AC$9,$BG$9:$BH$9,0))</f>
        <v>TH2</v>
      </c>
      <c r="D64" s="81" t="s">
        <v>53</v>
      </c>
      <c r="E64" s="175">
        <f t="shared" ref="E64" si="94">$E$28*$Q$40*E62*$G$40</f>
        <v>-0.1393306475012967</v>
      </c>
      <c r="F64" s="175"/>
      <c r="G64" s="175">
        <f t="shared" ref="G64" si="95">$E$28*$Q$40*G62*$G$40</f>
        <v>-0.1393306475012967</v>
      </c>
      <c r="H64" s="175"/>
      <c r="I64" s="175">
        <f t="shared" ref="I64" si="96">$E$28*$Q$40*I62*$G$40</f>
        <v>-0.1393306475012967</v>
      </c>
      <c r="J64" s="176"/>
      <c r="K64" s="175">
        <f t="shared" ref="K64" si="97">$E$28*$Q$40*K62*$G$40</f>
        <v>-0.1393306475012967</v>
      </c>
      <c r="L64" s="175"/>
      <c r="M64" s="175">
        <f t="shared" ref="M64" si="98">$E$28*$Q$40*M62*$G$40</f>
        <v>-0.1393306475012967</v>
      </c>
      <c r="N64" s="175"/>
      <c r="O64" s="175">
        <f t="shared" ref="O64" si="99">$E$28*$Q$40*O62*$G$40</f>
        <v>-0.1393306475012967</v>
      </c>
      <c r="P64" s="176"/>
      <c r="Q64" s="150"/>
      <c r="R64" s="150"/>
      <c r="Y64" s="150"/>
      <c r="Z64" s="150"/>
      <c r="AA64" s="150"/>
      <c r="AB64" s="57"/>
      <c r="BF64" s="29"/>
      <c r="BG64" s="30"/>
      <c r="BH64" s="30"/>
    </row>
    <row r="65" spans="2:60" ht="18">
      <c r="B65" s="56"/>
      <c r="C65" s="78" t="str">
        <f>VLOOKUP(35,$BF$10:$BH$106,1+MATCH($AC$9,$BG$9:$BH$9,0))</f>
        <v>TH1</v>
      </c>
      <c r="D65" s="144" t="s">
        <v>285</v>
      </c>
      <c r="E65" s="193">
        <f>E59-E63</f>
        <v>-1.7673085355278972</v>
      </c>
      <c r="F65" s="193"/>
      <c r="G65" s="193">
        <f>G59-G63</f>
        <v>-1.0449798230407101</v>
      </c>
      <c r="H65" s="193"/>
      <c r="I65" s="193">
        <f>I59-I63</f>
        <v>-0.709490983301589</v>
      </c>
      <c r="J65" s="194"/>
      <c r="K65" s="193">
        <f>K59-K63</f>
        <v>-1.2209392845585194</v>
      </c>
      <c r="L65" s="193"/>
      <c r="M65" s="193">
        <f>M59-M63</f>
        <v>-0.92396361576668484</v>
      </c>
      <c r="N65" s="193"/>
      <c r="O65" s="193">
        <f>O59-O63</f>
        <v>-0.51880939414363891</v>
      </c>
      <c r="P65" s="194"/>
      <c r="Q65" s="150"/>
      <c r="R65" s="150"/>
      <c r="Y65" s="150"/>
      <c r="Z65" s="150"/>
      <c r="AA65" s="150"/>
      <c r="AB65" s="57"/>
      <c r="AE65" s="149"/>
      <c r="BF65" s="29"/>
      <c r="BG65" s="30"/>
      <c r="BH65" s="30"/>
    </row>
    <row r="66" spans="2:60" ht="18">
      <c r="B66" s="56"/>
      <c r="C66" s="82" t="str">
        <f>VLOOKUP(36,$BF$10:$BH$106,1+MATCH($AC$9,$BG$9:$BH$9,0))</f>
        <v>TH2</v>
      </c>
      <c r="D66" s="145" t="s">
        <v>285</v>
      </c>
      <c r="E66" s="179">
        <f>E60-E64</f>
        <v>-1.4886472405253037</v>
      </c>
      <c r="F66" s="179"/>
      <c r="G66" s="179">
        <f>G60-G64</f>
        <v>-0.76631852803811684</v>
      </c>
      <c r="H66" s="179"/>
      <c r="I66" s="179">
        <f>I60-I64</f>
        <v>-0.43082968829899554</v>
      </c>
      <c r="J66" s="180"/>
      <c r="K66" s="179">
        <f>K60-K64</f>
        <v>0.16500613026770686</v>
      </c>
      <c r="L66" s="179"/>
      <c r="M66" s="179">
        <f>M60-M64</f>
        <v>0.16500613026770686</v>
      </c>
      <c r="N66" s="179"/>
      <c r="O66" s="179">
        <f>O60-O64</f>
        <v>0.16500613026770686</v>
      </c>
      <c r="P66" s="180"/>
      <c r="Q66" s="150"/>
      <c r="R66" s="150"/>
      <c r="Y66" s="150"/>
      <c r="Z66" s="150"/>
      <c r="AA66" s="150"/>
      <c r="AB66" s="57"/>
      <c r="BF66" s="29"/>
      <c r="BG66" s="30"/>
      <c r="BH66" s="30"/>
    </row>
    <row r="67" spans="2:60" ht="15">
      <c r="B67" s="56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7"/>
      <c r="BF67" s="29"/>
      <c r="BG67" s="30"/>
      <c r="BH67" s="30"/>
    </row>
    <row r="68" spans="2:60" ht="15">
      <c r="B68" s="210" t="s">
        <v>292</v>
      </c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2"/>
      <c r="BF68" s="29"/>
      <c r="BG68" s="30"/>
      <c r="BH68" s="30"/>
    </row>
    <row r="69" spans="2:60" ht="15.75" thickBot="1">
      <c r="B69" s="56"/>
      <c r="C69" s="151"/>
      <c r="D69" s="197" t="s">
        <v>291</v>
      </c>
      <c r="E69" s="197"/>
      <c r="F69" s="197"/>
      <c r="G69" s="197"/>
      <c r="H69" s="197"/>
      <c r="I69" s="197"/>
      <c r="J69" s="197"/>
      <c r="K69" s="197"/>
      <c r="L69" s="197"/>
      <c r="M69" s="197"/>
      <c r="P69" s="197" t="str">
        <f>D69</f>
        <v>Chân mái</v>
      </c>
      <c r="Q69" s="197"/>
      <c r="R69" s="197"/>
      <c r="S69" s="197"/>
      <c r="T69" s="197"/>
      <c r="U69" s="197"/>
      <c r="V69" s="197"/>
      <c r="W69" s="197"/>
      <c r="X69" s="197"/>
      <c r="Y69" s="197"/>
      <c r="AB69" s="57"/>
      <c r="BF69" s="29"/>
      <c r="BG69" s="30"/>
      <c r="BH69" s="30"/>
    </row>
    <row r="70" spans="2:60" ht="18">
      <c r="B70" s="56"/>
      <c r="C70" s="151"/>
      <c r="D70" s="233" t="s">
        <v>136</v>
      </c>
      <c r="E70" s="199"/>
      <c r="F70" s="200"/>
      <c r="G70" s="21"/>
      <c r="H70" s="22"/>
      <c r="I70" s="23"/>
      <c r="J70" s="22"/>
      <c r="K70" s="22"/>
      <c r="L70" s="22"/>
      <c r="M70" s="23"/>
      <c r="N70" s="151"/>
      <c r="O70" s="151"/>
      <c r="P70" s="46"/>
      <c r="Q70" s="48"/>
      <c r="R70" s="48"/>
      <c r="S70" s="48"/>
      <c r="T70" s="46"/>
      <c r="U70" s="48"/>
      <c r="V70" s="49"/>
      <c r="W70" s="198" t="s">
        <v>132</v>
      </c>
      <c r="X70" s="199"/>
      <c r="Y70" s="200"/>
      <c r="AB70" s="57"/>
      <c r="BF70" s="29"/>
      <c r="BG70" s="30"/>
      <c r="BH70" s="30"/>
    </row>
    <row r="71" spans="2:60" ht="15">
      <c r="B71" s="56"/>
      <c r="C71" s="151"/>
      <c r="D71" s="201" t="str">
        <f>ROUND(G51,2)&amp; " kPa"</f>
        <v>-1.54 kPa</v>
      </c>
      <c r="E71" s="202"/>
      <c r="F71" s="203"/>
      <c r="G71" s="24"/>
      <c r="H71" s="163"/>
      <c r="I71" s="25"/>
      <c r="J71" s="163"/>
      <c r="K71" s="163"/>
      <c r="L71" s="163"/>
      <c r="M71" s="25"/>
      <c r="N71" s="151"/>
      <c r="O71" s="151"/>
      <c r="P71" s="47"/>
      <c r="Q71" s="164"/>
      <c r="R71" s="164"/>
      <c r="S71" s="164"/>
      <c r="T71" s="47"/>
      <c r="U71" s="164"/>
      <c r="V71" s="50"/>
      <c r="W71" s="201" t="str">
        <f>ROUND(Q51,2)&amp; " kPa"</f>
        <v>-1.54 kPa</v>
      </c>
      <c r="X71" s="202"/>
      <c r="Y71" s="203"/>
      <c r="AB71" s="57"/>
    </row>
    <row r="72" spans="2:60" ht="15.75" thickBot="1">
      <c r="B72" s="56"/>
      <c r="C72" s="151"/>
      <c r="D72" s="224" t="str">
        <f>ROUND(G52,2)&amp; " kPa"</f>
        <v>-1.26 kPa</v>
      </c>
      <c r="E72" s="225"/>
      <c r="F72" s="226"/>
      <c r="G72" s="24"/>
      <c r="H72" s="163"/>
      <c r="I72" s="25"/>
      <c r="J72" s="163"/>
      <c r="K72" s="163"/>
      <c r="L72" s="163"/>
      <c r="M72" s="25"/>
      <c r="N72" s="151"/>
      <c r="O72" s="151"/>
      <c r="P72" s="47"/>
      <c r="Q72" s="164"/>
      <c r="R72" s="164"/>
      <c r="S72" s="164"/>
      <c r="T72" s="47"/>
      <c r="U72" s="164"/>
      <c r="V72" s="50"/>
      <c r="W72" s="224" t="str">
        <f>ROUND(Q52,2)&amp; " kPa"</f>
        <v>-1.26 kPa</v>
      </c>
      <c r="X72" s="225"/>
      <c r="Y72" s="226"/>
      <c r="AB72" s="57"/>
    </row>
    <row r="73" spans="2:60" ht="15">
      <c r="B73" s="56"/>
      <c r="C73" s="151"/>
      <c r="D73" s="40"/>
      <c r="E73" s="41"/>
      <c r="F73" s="42"/>
      <c r="G73" s="24"/>
      <c r="H73" s="163"/>
      <c r="I73" s="25"/>
      <c r="J73" s="163"/>
      <c r="K73" s="163"/>
      <c r="L73" s="163"/>
      <c r="M73" s="25"/>
      <c r="N73" s="151"/>
      <c r="O73" s="151"/>
      <c r="P73" s="47"/>
      <c r="Q73" s="164"/>
      <c r="R73" s="164"/>
      <c r="S73" s="164"/>
      <c r="T73" s="47"/>
      <c r="U73" s="164"/>
      <c r="V73" s="50"/>
      <c r="W73" s="46"/>
      <c r="X73" s="48"/>
      <c r="Y73" s="49"/>
      <c r="AB73" s="57"/>
    </row>
    <row r="74" spans="2:60" ht="15">
      <c r="B74" s="56"/>
      <c r="C74" s="151"/>
      <c r="D74" s="38"/>
      <c r="E74" s="165"/>
      <c r="F74" s="39"/>
      <c r="G74" s="24"/>
      <c r="H74" s="163"/>
      <c r="I74" s="25"/>
      <c r="J74" s="163"/>
      <c r="K74" s="163"/>
      <c r="L74" s="163"/>
      <c r="M74" s="25"/>
      <c r="N74" s="151"/>
      <c r="O74" s="151"/>
      <c r="P74" s="47"/>
      <c r="Q74" s="164"/>
      <c r="R74" s="164"/>
      <c r="S74" s="164"/>
      <c r="T74" s="47"/>
      <c r="U74" s="164"/>
      <c r="V74" s="50"/>
      <c r="W74" s="47"/>
      <c r="X74" s="164"/>
      <c r="Y74" s="50"/>
      <c r="AB74" s="57"/>
    </row>
    <row r="75" spans="2:60" ht="15">
      <c r="B75" s="56"/>
      <c r="C75" s="151"/>
      <c r="D75" s="38"/>
      <c r="E75" s="165"/>
      <c r="F75" s="39"/>
      <c r="G75" s="24"/>
      <c r="H75" s="163"/>
      <c r="I75" s="25"/>
      <c r="J75" s="163"/>
      <c r="K75" s="163"/>
      <c r="L75" s="163"/>
      <c r="M75" s="25"/>
      <c r="N75" s="151"/>
      <c r="O75" s="151"/>
      <c r="P75" s="47"/>
      <c r="Q75" s="164"/>
      <c r="R75" s="164"/>
      <c r="S75" s="164"/>
      <c r="T75" s="47"/>
      <c r="U75" s="164"/>
      <c r="V75" s="50"/>
      <c r="W75" s="47"/>
      <c r="X75" s="164"/>
      <c r="Y75" s="50"/>
      <c r="AB75" s="57"/>
    </row>
    <row r="76" spans="2:60" ht="15">
      <c r="B76" s="56"/>
      <c r="C76" s="151"/>
      <c r="D76" s="215" t="s">
        <v>133</v>
      </c>
      <c r="E76" s="216"/>
      <c r="F76" s="217"/>
      <c r="G76" s="218" t="s">
        <v>134</v>
      </c>
      <c r="H76" s="219"/>
      <c r="I76" s="220"/>
      <c r="J76" s="221" t="s">
        <v>135</v>
      </c>
      <c r="K76" s="222"/>
      <c r="L76" s="222"/>
      <c r="M76" s="223"/>
      <c r="N76" s="151"/>
      <c r="O76" s="151"/>
      <c r="P76" s="204" t="str">
        <f>J76</f>
        <v>Vùng I</v>
      </c>
      <c r="Q76" s="205"/>
      <c r="R76" s="205"/>
      <c r="S76" s="206"/>
      <c r="T76" s="204" t="str">
        <f>G76</f>
        <v>Vùng H</v>
      </c>
      <c r="U76" s="205"/>
      <c r="V76" s="206"/>
      <c r="W76" s="204" t="str">
        <f>D76</f>
        <v>Vùng G</v>
      </c>
      <c r="X76" s="205"/>
      <c r="Y76" s="206"/>
      <c r="AB76" s="57"/>
      <c r="AD76" s="241" t="s">
        <v>24</v>
      </c>
      <c r="AE76" s="242" t="s">
        <v>25</v>
      </c>
      <c r="AF76" s="243"/>
      <c r="AG76" s="243"/>
      <c r="AH76" s="243"/>
      <c r="AI76" s="243"/>
      <c r="AJ76" s="244"/>
      <c r="AK76"/>
      <c r="AL76" s="241" t="s">
        <v>24</v>
      </c>
      <c r="AM76" s="241" t="s">
        <v>28</v>
      </c>
      <c r="AN76" s="241"/>
      <c r="AO76" s="241"/>
      <c r="AP76"/>
      <c r="AQ76" s="241" t="s">
        <v>24</v>
      </c>
      <c r="AR76" s="241" t="s">
        <v>29</v>
      </c>
      <c r="AS76" s="241"/>
      <c r="AT76" s="241"/>
      <c r="AU76" s="241"/>
      <c r="AV76" s="241"/>
    </row>
    <row r="77" spans="2:60" ht="15">
      <c r="B77" s="56"/>
      <c r="C77" s="151"/>
      <c r="D77" s="201" t="str">
        <f>ROUND(I51,2)&amp; " kPa"</f>
        <v>-1.41 kPa</v>
      </c>
      <c r="E77" s="202"/>
      <c r="F77" s="203"/>
      <c r="G77" s="201" t="str">
        <f>ROUND(K51,2)&amp;" kPa"</f>
        <v>-0.58 kPa</v>
      </c>
      <c r="H77" s="202"/>
      <c r="I77" s="203"/>
      <c r="J77" s="201" t="str">
        <f>ROUND(M51,2)&amp; " kPa"</f>
        <v>-0.51 kPa</v>
      </c>
      <c r="K77" s="202"/>
      <c r="L77" s="202"/>
      <c r="M77" s="203"/>
      <c r="N77" s="151"/>
      <c r="O77" s="151"/>
      <c r="P77" s="201" t="str">
        <f>ROUND(W51,2)&amp; " kPa"</f>
        <v>-0.51 kPa</v>
      </c>
      <c r="Q77" s="202"/>
      <c r="R77" s="202"/>
      <c r="S77" s="203"/>
      <c r="T77" s="201" t="str">
        <f>ROUND(U51,2)&amp; " kPa"</f>
        <v>-0.58 kPa</v>
      </c>
      <c r="U77" s="202"/>
      <c r="V77" s="203"/>
      <c r="W77" s="201" t="str">
        <f>ROUND(S51,2)&amp; " kPa"</f>
        <v>-1.41 kPa</v>
      </c>
      <c r="X77" s="202"/>
      <c r="Y77" s="203"/>
      <c r="AB77" s="57"/>
      <c r="AD77" s="241"/>
      <c r="AE77" s="239" t="s">
        <v>26</v>
      </c>
      <c r="AF77" s="240"/>
      <c r="AG77" s="240"/>
      <c r="AH77" s="239" t="s">
        <v>27</v>
      </c>
      <c r="AI77" s="240"/>
      <c r="AJ77" s="240"/>
      <c r="AK77"/>
      <c r="AL77" s="241"/>
      <c r="AM77" s="241"/>
      <c r="AN77" s="241"/>
      <c r="AO77" s="241"/>
      <c r="AP77"/>
      <c r="AQ77" s="241"/>
      <c r="AR77" s="241"/>
      <c r="AS77" s="241"/>
      <c r="AT77" s="241"/>
      <c r="AU77" s="241"/>
      <c r="AV77" s="241"/>
    </row>
    <row r="78" spans="2:60" ht="15">
      <c r="B78" s="56"/>
      <c r="C78" s="151"/>
      <c r="D78" s="207" t="str">
        <f>ROUND(I52,2)&amp; " kPa"</f>
        <v>-1.13 kPa</v>
      </c>
      <c r="E78" s="208"/>
      <c r="F78" s="209"/>
      <c r="G78" s="207" t="str">
        <f>ROUND(K52,2)&amp; " kPa"</f>
        <v>-0.3 kPa</v>
      </c>
      <c r="H78" s="208"/>
      <c r="I78" s="209"/>
      <c r="J78" s="207" t="str">
        <f>ROUND(M52,2)&amp; " kPa"</f>
        <v>-0.23 kPa</v>
      </c>
      <c r="K78" s="208"/>
      <c r="L78" s="208"/>
      <c r="M78" s="209"/>
      <c r="N78" s="151"/>
      <c r="O78" s="151"/>
      <c r="P78" s="207" t="str">
        <f>ROUND(W52,2)&amp; " kPa"</f>
        <v>-0.23 kPa</v>
      </c>
      <c r="Q78" s="208"/>
      <c r="R78" s="208"/>
      <c r="S78" s="209"/>
      <c r="T78" s="207" t="str">
        <f>ROUND(U52,2)&amp; " kPa"</f>
        <v>-0.3 kPa</v>
      </c>
      <c r="U78" s="208"/>
      <c r="V78" s="209"/>
      <c r="W78" s="207" t="str">
        <f>ROUND(S52,2)&amp; " kPa"</f>
        <v>-1.13 kPa</v>
      </c>
      <c r="X78" s="208"/>
      <c r="Y78" s="209"/>
      <c r="AB78" s="57"/>
      <c r="AD78" s="241"/>
      <c r="AE78" s="5" t="s">
        <v>21</v>
      </c>
      <c r="AF78" s="5" t="s">
        <v>22</v>
      </c>
      <c r="AG78" s="5" t="s">
        <v>23</v>
      </c>
      <c r="AH78" s="5" t="s">
        <v>21</v>
      </c>
      <c r="AI78" s="5" t="s">
        <v>22</v>
      </c>
      <c r="AJ78" s="5" t="s">
        <v>23</v>
      </c>
      <c r="AK78"/>
      <c r="AL78" s="241"/>
      <c r="AM78" s="5" t="s">
        <v>21</v>
      </c>
      <c r="AN78" s="5" t="s">
        <v>22</v>
      </c>
      <c r="AO78" s="5" t="s">
        <v>23</v>
      </c>
      <c r="AP78"/>
      <c r="AQ78" s="241"/>
      <c r="AR78" s="5" t="s">
        <v>30</v>
      </c>
      <c r="AS78" s="5" t="s">
        <v>31</v>
      </c>
      <c r="AT78" s="5" t="s">
        <v>22</v>
      </c>
      <c r="AU78" s="5" t="s">
        <v>23</v>
      </c>
      <c r="AV78" s="5" t="s">
        <v>5</v>
      </c>
    </row>
    <row r="79" spans="2:60" ht="15">
      <c r="B79" s="56"/>
      <c r="C79" s="151"/>
      <c r="D79" s="38"/>
      <c r="E79" s="165"/>
      <c r="F79" s="39"/>
      <c r="G79" s="24"/>
      <c r="H79" s="163"/>
      <c r="I79" s="25"/>
      <c r="J79" s="163"/>
      <c r="K79" s="163"/>
      <c r="L79" s="163"/>
      <c r="M79" s="25"/>
      <c r="N79" s="151"/>
      <c r="O79" s="151"/>
      <c r="P79" s="47"/>
      <c r="Q79" s="164"/>
      <c r="R79" s="164"/>
      <c r="S79" s="164"/>
      <c r="T79" s="47"/>
      <c r="U79" s="164"/>
      <c r="V79" s="50"/>
      <c r="W79" s="47"/>
      <c r="X79" s="164"/>
      <c r="Y79" s="50"/>
      <c r="AB79" s="57"/>
      <c r="AD79" s="8">
        <v>5</v>
      </c>
      <c r="AE79" s="6">
        <v>-1.7</v>
      </c>
      <c r="AF79" s="6">
        <v>-1.2</v>
      </c>
      <c r="AG79" s="6">
        <v>-0.6</v>
      </c>
      <c r="AH79" s="6">
        <v>0</v>
      </c>
      <c r="AI79" s="6">
        <v>0</v>
      </c>
      <c r="AJ79" s="6">
        <v>0</v>
      </c>
      <c r="AK79"/>
      <c r="AL79" s="8">
        <v>5</v>
      </c>
      <c r="AM79" s="6">
        <v>-2.2999999999999998</v>
      </c>
      <c r="AN79" s="6">
        <v>-1.3</v>
      </c>
      <c r="AO79" s="6">
        <v>-0.8</v>
      </c>
      <c r="AP79"/>
      <c r="AQ79" s="8">
        <v>5</v>
      </c>
      <c r="AR79" s="9">
        <v>-2.1</v>
      </c>
      <c r="AS79" s="9">
        <v>-2.1</v>
      </c>
      <c r="AT79" s="9">
        <v>-1.8</v>
      </c>
      <c r="AU79" s="9">
        <v>-0.6</v>
      </c>
      <c r="AV79" s="9">
        <v>-0.5</v>
      </c>
    </row>
    <row r="80" spans="2:60" ht="15">
      <c r="B80" s="56"/>
      <c r="C80" s="151"/>
      <c r="D80" s="38"/>
      <c r="E80" s="165"/>
      <c r="F80" s="39"/>
      <c r="G80" s="24"/>
      <c r="H80" s="163"/>
      <c r="I80" s="25"/>
      <c r="J80" s="163"/>
      <c r="K80" s="163"/>
      <c r="L80" s="163"/>
      <c r="M80" s="25"/>
      <c r="N80" s="151"/>
      <c r="O80" s="151"/>
      <c r="P80" s="47"/>
      <c r="Q80" s="164"/>
      <c r="R80" s="164"/>
      <c r="S80" s="164"/>
      <c r="T80" s="47"/>
      <c r="U80" s="164"/>
      <c r="V80" s="50"/>
      <c r="W80" s="47"/>
      <c r="X80" s="164"/>
      <c r="Y80" s="50"/>
      <c r="AB80" s="57"/>
      <c r="AD80" s="8">
        <v>15</v>
      </c>
      <c r="AE80" s="6">
        <v>-0.9</v>
      </c>
      <c r="AF80" s="6">
        <v>-0.8</v>
      </c>
      <c r="AG80" s="6">
        <v>-0.3</v>
      </c>
      <c r="AH80" s="6">
        <v>0.2</v>
      </c>
      <c r="AI80" s="6">
        <v>0.2</v>
      </c>
      <c r="AJ80" s="6">
        <v>0.2</v>
      </c>
      <c r="AK80"/>
      <c r="AL80" s="8">
        <v>15</v>
      </c>
      <c r="AM80" s="6">
        <v>-2.5</v>
      </c>
      <c r="AN80" s="6">
        <v>-1.3</v>
      </c>
      <c r="AO80" s="6">
        <v>-0.9</v>
      </c>
      <c r="AP80"/>
      <c r="AQ80" s="8">
        <v>15</v>
      </c>
      <c r="AR80" s="9">
        <v>-2.4</v>
      </c>
      <c r="AS80" s="9">
        <v>-1.6</v>
      </c>
      <c r="AT80" s="9">
        <v>-1.9</v>
      </c>
      <c r="AU80" s="9">
        <v>-0.8</v>
      </c>
      <c r="AV80" s="9">
        <v>-0.7</v>
      </c>
    </row>
    <row r="81" spans="2:60" ht="15.75" thickBot="1">
      <c r="B81" s="56"/>
      <c r="C81" s="151"/>
      <c r="D81" s="43"/>
      <c r="E81" s="44"/>
      <c r="F81" s="45"/>
      <c r="G81" s="24"/>
      <c r="H81" s="163"/>
      <c r="I81" s="25"/>
      <c r="J81" s="163"/>
      <c r="K81" s="163"/>
      <c r="L81" s="163"/>
      <c r="M81" s="25"/>
      <c r="N81" s="151"/>
      <c r="O81" s="151"/>
      <c r="P81" s="47"/>
      <c r="Q81" s="164"/>
      <c r="R81" s="164"/>
      <c r="S81" s="164"/>
      <c r="T81" s="47"/>
      <c r="U81" s="164"/>
      <c r="V81" s="50"/>
      <c r="W81" s="51"/>
      <c r="X81" s="52"/>
      <c r="Y81" s="53"/>
      <c r="AB81" s="57"/>
      <c r="AD81" s="8">
        <v>30</v>
      </c>
      <c r="AE81" s="6">
        <v>-0.5</v>
      </c>
      <c r="AF81" s="6">
        <v>-0.5</v>
      </c>
      <c r="AG81" s="6">
        <v>-0.2</v>
      </c>
      <c r="AH81" s="6">
        <v>0.7</v>
      </c>
      <c r="AI81" s="6">
        <v>0.7</v>
      </c>
      <c r="AJ81" s="6">
        <v>0.4</v>
      </c>
      <c r="AK81"/>
      <c r="AL81" s="8">
        <v>30</v>
      </c>
      <c r="AM81" s="6">
        <v>-1.1000000000000001</v>
      </c>
      <c r="AN81" s="6">
        <v>-0.8</v>
      </c>
      <c r="AO81" s="6">
        <v>-0.8</v>
      </c>
      <c r="AP81"/>
      <c r="AQ81" s="8">
        <v>30</v>
      </c>
      <c r="AR81" s="9">
        <v>-2.1</v>
      </c>
      <c r="AS81" s="9">
        <v>-1.3</v>
      </c>
      <c r="AT81" s="9">
        <v>-1.5</v>
      </c>
      <c r="AU81" s="9">
        <v>-1</v>
      </c>
      <c r="AV81" s="9">
        <v>-0.8</v>
      </c>
    </row>
    <row r="82" spans="2:60" ht="18">
      <c r="B82" s="56"/>
      <c r="C82" s="151"/>
      <c r="D82" s="233" t="s">
        <v>132</v>
      </c>
      <c r="E82" s="199"/>
      <c r="F82" s="200"/>
      <c r="G82" s="24"/>
      <c r="H82" s="163"/>
      <c r="I82" s="25"/>
      <c r="J82" s="163"/>
      <c r="K82" s="163"/>
      <c r="L82" s="163"/>
      <c r="M82" s="25"/>
      <c r="N82" s="151"/>
      <c r="O82" s="151"/>
      <c r="P82" s="47"/>
      <c r="Q82" s="164"/>
      <c r="R82" s="164"/>
      <c r="S82" s="164"/>
      <c r="T82" s="47"/>
      <c r="U82" s="164"/>
      <c r="V82" s="50"/>
      <c r="W82" s="198" t="s">
        <v>136</v>
      </c>
      <c r="X82" s="227"/>
      <c r="Y82" s="228"/>
      <c r="AB82" s="57"/>
      <c r="AD82" s="8">
        <v>45</v>
      </c>
      <c r="AE82" s="6">
        <v>0</v>
      </c>
      <c r="AF82" s="6">
        <v>0</v>
      </c>
      <c r="AG82" s="6">
        <v>0</v>
      </c>
      <c r="AH82" s="6">
        <v>0.7</v>
      </c>
      <c r="AI82" s="6">
        <v>0.7</v>
      </c>
      <c r="AJ82" s="6">
        <v>0.6</v>
      </c>
      <c r="AK82"/>
      <c r="AL82" s="8">
        <v>45</v>
      </c>
      <c r="AM82" s="6">
        <v>-0.6</v>
      </c>
      <c r="AN82" s="6">
        <v>-0.5</v>
      </c>
      <c r="AO82" s="6">
        <v>-0.7</v>
      </c>
      <c r="AP82"/>
      <c r="AQ82" s="8">
        <v>45</v>
      </c>
      <c r="AR82" s="9">
        <v>-1.5</v>
      </c>
      <c r="AS82" s="9">
        <v>-1.3</v>
      </c>
      <c r="AT82" s="9">
        <v>-1.4</v>
      </c>
      <c r="AU82" s="9">
        <v>-1</v>
      </c>
      <c r="AV82" s="9">
        <v>-0.9</v>
      </c>
    </row>
    <row r="83" spans="2:60" ht="15">
      <c r="B83" s="56"/>
      <c r="C83" s="151"/>
      <c r="D83" s="201" t="str">
        <f>ROUND(E51,2) &amp; " kPa"</f>
        <v>-1.64 kPa</v>
      </c>
      <c r="E83" s="202"/>
      <c r="F83" s="203"/>
      <c r="G83" s="24"/>
      <c r="H83" s="163"/>
      <c r="I83" s="25"/>
      <c r="J83" s="163"/>
      <c r="K83" s="163"/>
      <c r="L83" s="163"/>
      <c r="M83" s="25"/>
      <c r="N83" s="151"/>
      <c r="O83" s="151"/>
      <c r="P83" s="47"/>
      <c r="Q83" s="164"/>
      <c r="R83" s="164"/>
      <c r="S83" s="164"/>
      <c r="T83" s="47"/>
      <c r="U83" s="164"/>
      <c r="V83" s="50"/>
      <c r="W83" s="201" t="str">
        <f>ROUND(O51,2)&amp; " kPa"</f>
        <v>-1.64 kPa</v>
      </c>
      <c r="X83" s="202"/>
      <c r="Y83" s="203"/>
      <c r="AB83" s="57"/>
      <c r="AD83" s="8">
        <v>60</v>
      </c>
      <c r="AE83" s="6">
        <v>0.7</v>
      </c>
      <c r="AF83" s="6">
        <v>0.7</v>
      </c>
      <c r="AG83" s="6">
        <v>0.7</v>
      </c>
      <c r="AH83" s="6">
        <v>0.7</v>
      </c>
      <c r="AI83" s="6">
        <v>0.7</v>
      </c>
      <c r="AJ83" s="6">
        <v>0.7</v>
      </c>
      <c r="AK83"/>
      <c r="AL83" s="8">
        <v>60</v>
      </c>
      <c r="AM83" s="6">
        <v>-0.5</v>
      </c>
      <c r="AN83" s="6">
        <v>-0.5</v>
      </c>
      <c r="AO83" s="6">
        <v>-0.5</v>
      </c>
      <c r="AP83"/>
      <c r="AQ83" s="8">
        <v>60</v>
      </c>
      <c r="AR83" s="9">
        <v>-1.2</v>
      </c>
      <c r="AS83" s="9">
        <v>-1.2</v>
      </c>
      <c r="AT83" s="9">
        <v>-1.2</v>
      </c>
      <c r="AU83" s="9">
        <v>-1</v>
      </c>
      <c r="AV83" s="9">
        <v>-0.7</v>
      </c>
    </row>
    <row r="84" spans="2:60" ht="15.75" thickBot="1">
      <c r="B84" s="56"/>
      <c r="C84" s="151"/>
      <c r="D84" s="224" t="str">
        <f>ROUND(E52,2)&amp; " kPa"</f>
        <v>-1.36 kPa</v>
      </c>
      <c r="E84" s="225"/>
      <c r="F84" s="226"/>
      <c r="G84" s="26"/>
      <c r="H84" s="27"/>
      <c r="I84" s="28"/>
      <c r="J84" s="27"/>
      <c r="K84" s="27"/>
      <c r="L84" s="27"/>
      <c r="M84" s="28"/>
      <c r="N84" s="151"/>
      <c r="O84" s="151"/>
      <c r="P84" s="51"/>
      <c r="Q84" s="52"/>
      <c r="R84" s="52"/>
      <c r="S84" s="52"/>
      <c r="T84" s="51"/>
      <c r="U84" s="52"/>
      <c r="V84" s="53"/>
      <c r="W84" s="224" t="str">
        <f>ROUND(O52,2)&amp; " kPa"</f>
        <v>-1.36 kPa</v>
      </c>
      <c r="X84" s="225"/>
      <c r="Y84" s="226"/>
      <c r="AB84" s="57"/>
      <c r="AD84" s="8">
        <v>75</v>
      </c>
      <c r="AE84" s="6">
        <v>0.8</v>
      </c>
      <c r="AF84" s="6">
        <v>0.8</v>
      </c>
      <c r="AG84" s="6">
        <v>0.8</v>
      </c>
      <c r="AH84" s="6">
        <v>0.8</v>
      </c>
      <c r="AI84" s="6">
        <v>0.8</v>
      </c>
      <c r="AJ84" s="6">
        <v>0.8</v>
      </c>
      <c r="AK84"/>
      <c r="AL84" s="8">
        <v>75</v>
      </c>
      <c r="AM84" s="6">
        <v>-0.5</v>
      </c>
      <c r="AN84" s="6">
        <v>-0.5</v>
      </c>
      <c r="AO84" s="6">
        <v>-0.5</v>
      </c>
      <c r="AP84"/>
      <c r="AQ84" s="8">
        <v>75</v>
      </c>
      <c r="AR84" s="9">
        <v>-1.2</v>
      </c>
      <c r="AS84" s="9">
        <v>-1.2</v>
      </c>
      <c r="AT84" s="9">
        <v>-1.2</v>
      </c>
      <c r="AU84" s="9">
        <v>-1</v>
      </c>
      <c r="AV84" s="9">
        <v>-0.5</v>
      </c>
    </row>
    <row r="85" spans="2:60" ht="15">
      <c r="B85" s="56"/>
      <c r="C85" s="151"/>
      <c r="D85" s="197" t="s">
        <v>290</v>
      </c>
      <c r="E85" s="197"/>
      <c r="F85" s="197"/>
      <c r="G85" s="197"/>
      <c r="H85" s="197"/>
      <c r="I85" s="197"/>
      <c r="J85" s="197"/>
      <c r="K85" s="197"/>
      <c r="L85" s="197"/>
      <c r="M85" s="197"/>
      <c r="P85" s="197" t="str">
        <f>D85</f>
        <v>Đỉnh mái</v>
      </c>
      <c r="Q85" s="197"/>
      <c r="R85" s="197"/>
      <c r="S85" s="197"/>
      <c r="T85" s="197"/>
      <c r="U85" s="197"/>
      <c r="V85" s="197"/>
      <c r="W85" s="197"/>
      <c r="X85" s="197"/>
      <c r="Y85" s="197"/>
      <c r="AB85" s="57"/>
      <c r="AD85" s="18">
        <f>M22</f>
        <v>6.8427734126309403</v>
      </c>
      <c r="AE85" s="19">
        <f t="shared" ref="AE85:AJ85" si="100">noisuy1chieu($AD$85,$AD$79:$AD$84,AE79:AE84)</f>
        <v>-1.5525782108306885</v>
      </c>
      <c r="AF85" s="19">
        <f t="shared" si="100"/>
        <v>-1.1262891292572021</v>
      </c>
      <c r="AG85" s="19">
        <f t="shared" si="100"/>
        <v>-0.54471683502197266</v>
      </c>
      <c r="AH85" s="19">
        <f t="shared" si="100"/>
        <v>3.6855470389127731E-2</v>
      </c>
      <c r="AI85" s="19">
        <f t="shared" si="100"/>
        <v>3.6855470389127731E-2</v>
      </c>
      <c r="AJ85" s="19">
        <f t="shared" si="100"/>
        <v>3.6855470389127731E-2</v>
      </c>
      <c r="AK85" s="20"/>
      <c r="AL85" s="18">
        <f>M22</f>
        <v>6.8427734126309403</v>
      </c>
      <c r="AM85" s="19">
        <f>noisuy1chieu($AL$85,$AL$79:$AL$84,AM79:AM84)</f>
        <v>-2.336855411529541</v>
      </c>
      <c r="AN85" s="19">
        <f>noisuy1chieu($AL$85,$AL$79:$AL$84,AN79:AN84)</f>
        <v>-1.2999999523162842</v>
      </c>
      <c r="AO85" s="19">
        <f>noisuy1chieu($AL$85,$AL$79:$AL$84,AO79:AO84)</f>
        <v>-0.81842774152755737</v>
      </c>
      <c r="AP85" s="20"/>
      <c r="AQ85" s="18">
        <f>M22</f>
        <v>6.8427734126309403</v>
      </c>
      <c r="AR85" s="19">
        <f>noisuy1chieu($AQ$85,$AQ$79:$AQ$84,AR79:AR84)</f>
        <v>-2.1552832126617432</v>
      </c>
      <c r="AS85" s="19">
        <f>noisuy1chieu($AQ$85,$AQ$79:$AQ$84,AS79:AS84)</f>
        <v>-2.0078611373901367</v>
      </c>
      <c r="AT85" s="19">
        <f>noisuy1chieu($AQ$85,$AQ$79:$AQ$84,AT79:AT84)</f>
        <v>-1.8184276819229126</v>
      </c>
      <c r="AU85" s="19">
        <f>noisuy1chieu($AQ$85,$AQ$79:$AQ$84,AU79:AU84)</f>
        <v>-0.63685548305511475</v>
      </c>
      <c r="AV85" s="19">
        <f>noisuy1chieu($AQ$85,$AQ$79:$AQ$84,AV79:AV84)</f>
        <v>-0.53685545921325684</v>
      </c>
    </row>
    <row r="86" spans="2:60">
      <c r="B86" s="1"/>
      <c r="AB86" s="3"/>
      <c r="AF86" s="37"/>
      <c r="AG86" s="7"/>
      <c r="AH86" s="7"/>
    </row>
    <row r="87" spans="2:60" ht="15">
      <c r="B87" s="210" t="s">
        <v>293</v>
      </c>
      <c r="C87" s="211"/>
      <c r="D87" s="211"/>
      <c r="E87" s="211"/>
      <c r="F87" s="211"/>
      <c r="G87" s="211"/>
      <c r="H87" s="211"/>
      <c r="I87" s="211"/>
      <c r="J87" s="211"/>
      <c r="K87" s="211"/>
      <c r="L87" s="211"/>
      <c r="M87" s="211"/>
      <c r="N87" s="211"/>
      <c r="O87" s="211"/>
      <c r="P87" s="211"/>
      <c r="Q87" s="211"/>
      <c r="R87" s="211"/>
      <c r="S87" s="211"/>
      <c r="T87" s="211"/>
      <c r="U87" s="211"/>
      <c r="V87" s="211"/>
      <c r="W87" s="211"/>
      <c r="X87" s="211"/>
      <c r="Y87" s="211"/>
      <c r="Z87" s="211"/>
      <c r="AA87" s="211"/>
      <c r="AB87" s="212"/>
      <c r="AF87" s="37"/>
      <c r="AG87" s="7"/>
      <c r="AI87" s="7"/>
    </row>
    <row r="88" spans="2:60" ht="15.75" thickBot="1">
      <c r="B88" s="56"/>
      <c r="D88" s="197" t="str">
        <f>D69</f>
        <v>Chân mái</v>
      </c>
      <c r="E88" s="197"/>
      <c r="F88" s="197"/>
      <c r="G88" s="197"/>
      <c r="H88" s="197"/>
      <c r="I88" s="197"/>
      <c r="J88" s="197"/>
      <c r="K88" s="197"/>
      <c r="L88" s="197"/>
      <c r="M88" s="197"/>
      <c r="P88" s="232" t="str">
        <f>D88</f>
        <v>Chân mái</v>
      </c>
      <c r="Q88" s="232"/>
      <c r="R88" s="232"/>
      <c r="S88" s="232"/>
      <c r="T88" s="232"/>
      <c r="U88" s="232"/>
      <c r="V88" s="232"/>
      <c r="W88" s="232"/>
      <c r="X88" s="232"/>
      <c r="Y88" s="232"/>
      <c r="Z88" s="153"/>
      <c r="AA88" s="152"/>
      <c r="AB88" s="5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</row>
    <row r="89" spans="2:60" ht="15">
      <c r="B89" s="56"/>
      <c r="D89" s="46"/>
      <c r="E89" s="48"/>
      <c r="F89" s="48"/>
      <c r="G89" s="48"/>
      <c r="H89" s="48"/>
      <c r="I89" s="48"/>
      <c r="J89" s="48"/>
      <c r="K89" s="48"/>
      <c r="L89" s="22"/>
      <c r="M89" s="23"/>
      <c r="P89" s="198" t="s">
        <v>137</v>
      </c>
      <c r="Q89" s="227"/>
      <c r="R89" s="228"/>
      <c r="S89" s="198" t="s">
        <v>133</v>
      </c>
      <c r="T89" s="227"/>
      <c r="U89" s="227"/>
      <c r="V89" s="228"/>
      <c r="W89" s="198" t="s">
        <v>137</v>
      </c>
      <c r="X89" s="227"/>
      <c r="Y89" s="228"/>
      <c r="Z89" s="152"/>
      <c r="AA89" s="152"/>
      <c r="AB89" s="5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</row>
    <row r="90" spans="2:60" ht="18.75" customHeight="1">
      <c r="B90" s="56"/>
      <c r="D90" s="47"/>
      <c r="E90" s="164"/>
      <c r="F90" s="164"/>
      <c r="G90" s="164"/>
      <c r="H90" s="164"/>
      <c r="I90" s="164"/>
      <c r="J90" s="164"/>
      <c r="K90" s="166"/>
      <c r="L90" s="165"/>
      <c r="M90" s="39"/>
      <c r="P90" s="201" t="str">
        <f>ROUND(K65,2)&amp; " kPa"</f>
        <v>-1.22 kPa</v>
      </c>
      <c r="Q90" s="202"/>
      <c r="R90" s="203"/>
      <c r="S90" s="201" t="str">
        <f>ROUND(M65,2)&amp; " kPa"</f>
        <v>-0.92 kPa</v>
      </c>
      <c r="T90" s="202"/>
      <c r="U90" s="202"/>
      <c r="V90" s="203"/>
      <c r="W90" s="201" t="str">
        <f>P90</f>
        <v>-1.22 kPa</v>
      </c>
      <c r="X90" s="213"/>
      <c r="Y90" s="214"/>
      <c r="Z90" s="152"/>
      <c r="AA90" s="152"/>
      <c r="AB90" s="57"/>
      <c r="AF90" s="37"/>
      <c r="AG90" s="7"/>
      <c r="AH90" s="7"/>
      <c r="AI90" s="7"/>
      <c r="AL90" s="236"/>
      <c r="AM90" s="236"/>
    </row>
    <row r="91" spans="2:60" ht="20.25" customHeight="1" thickBot="1">
      <c r="B91" s="56"/>
      <c r="D91" s="47"/>
      <c r="E91" s="164"/>
      <c r="F91" s="164"/>
      <c r="G91" s="164"/>
      <c r="H91" s="164"/>
      <c r="I91" s="164"/>
      <c r="J91" s="164"/>
      <c r="K91" s="167"/>
      <c r="L91" s="168"/>
      <c r="M91" s="54"/>
      <c r="P91" s="224" t="str">
        <f>ROUND(K66,2)&amp; " kPa"</f>
        <v>0.17 kPa</v>
      </c>
      <c r="Q91" s="225"/>
      <c r="R91" s="226"/>
      <c r="S91" s="224" t="str">
        <f>ROUND(M66,2)&amp; " kPa"</f>
        <v>0.17 kPa</v>
      </c>
      <c r="T91" s="225"/>
      <c r="U91" s="225"/>
      <c r="V91" s="226"/>
      <c r="W91" s="224" t="str">
        <f>P91</f>
        <v>0.17 kPa</v>
      </c>
      <c r="X91" s="229"/>
      <c r="Y91" s="230"/>
      <c r="Z91" s="152"/>
      <c r="AA91" s="152"/>
      <c r="AB91" s="57"/>
      <c r="AE91" s="58"/>
      <c r="AF91" s="231"/>
      <c r="AG91" s="58"/>
      <c r="AH91" s="58"/>
      <c r="AI91" s="58"/>
      <c r="AJ91" s="231"/>
      <c r="AK91" s="58"/>
      <c r="AL91" s="236"/>
      <c r="AM91" s="236"/>
    </row>
    <row r="92" spans="2:60" ht="15" customHeight="1">
      <c r="B92" s="56"/>
      <c r="C92" s="151"/>
      <c r="D92" s="47"/>
      <c r="E92" s="164"/>
      <c r="F92" s="164"/>
      <c r="G92" s="164"/>
      <c r="H92" s="164"/>
      <c r="I92" s="164"/>
      <c r="J92" s="164"/>
      <c r="K92" s="164"/>
      <c r="L92" s="164"/>
      <c r="M92" s="50"/>
      <c r="P92" s="46"/>
      <c r="Q92" s="48"/>
      <c r="R92" s="48"/>
      <c r="S92" s="48"/>
      <c r="T92" s="48"/>
      <c r="U92" s="48"/>
      <c r="V92" s="48"/>
      <c r="W92" s="48"/>
      <c r="X92" s="22"/>
      <c r="Y92" s="23"/>
      <c r="Z92" s="152"/>
      <c r="AA92" s="152"/>
      <c r="AB92" s="57"/>
      <c r="AE92" s="58"/>
      <c r="AF92" s="231"/>
      <c r="AG92" s="58"/>
      <c r="AH92" s="58"/>
      <c r="AI92" s="58"/>
      <c r="AJ92" s="231"/>
      <c r="AK92" s="58"/>
    </row>
    <row r="93" spans="2:60" ht="15.75" customHeight="1">
      <c r="B93" s="56"/>
      <c r="D93" s="218" t="s">
        <v>134</v>
      </c>
      <c r="E93" s="205"/>
      <c r="F93" s="205"/>
      <c r="G93" s="205"/>
      <c r="H93" s="205"/>
      <c r="I93" s="205"/>
      <c r="J93" s="205"/>
      <c r="K93" s="205"/>
      <c r="L93" s="205"/>
      <c r="M93" s="206"/>
      <c r="P93" s="47"/>
      <c r="Q93" s="164"/>
      <c r="R93" s="164"/>
      <c r="S93" s="164"/>
      <c r="T93" s="164"/>
      <c r="U93" s="164"/>
      <c r="V93" s="164"/>
      <c r="W93" s="166"/>
      <c r="X93" s="165"/>
      <c r="Y93" s="39"/>
      <c r="AB93" s="57"/>
      <c r="AE93" s="58"/>
      <c r="AF93" s="231"/>
      <c r="AG93" s="58"/>
      <c r="AH93" s="58"/>
      <c r="AI93" s="58"/>
      <c r="AJ93" s="231"/>
      <c r="AK93" s="58"/>
      <c r="BF93" s="29"/>
      <c r="BG93" s="32"/>
      <c r="BH93" s="32"/>
    </row>
    <row r="94" spans="2:60" ht="18" customHeight="1">
      <c r="B94" s="56"/>
      <c r="D94" s="201" t="str">
        <f>ROUND(I65,2)&amp; " kPa"</f>
        <v>-0.71 kPa</v>
      </c>
      <c r="E94" s="202"/>
      <c r="F94" s="202"/>
      <c r="G94" s="202"/>
      <c r="H94" s="202"/>
      <c r="I94" s="202"/>
      <c r="J94" s="202"/>
      <c r="K94" s="202"/>
      <c r="L94" s="202"/>
      <c r="M94" s="203"/>
      <c r="P94" s="47"/>
      <c r="Q94" s="164"/>
      <c r="R94" s="164"/>
      <c r="S94" s="164"/>
      <c r="T94" s="164"/>
      <c r="U94" s="164"/>
      <c r="V94" s="164"/>
      <c r="W94" s="167"/>
      <c r="X94" s="168"/>
      <c r="Y94" s="54"/>
      <c r="AB94" s="57"/>
      <c r="AE94" s="58"/>
      <c r="AF94" s="231"/>
      <c r="AG94" s="58"/>
      <c r="AH94" s="58"/>
      <c r="AI94" s="58"/>
      <c r="AJ94" s="231"/>
      <c r="AK94" s="58"/>
      <c r="BF94" s="29"/>
      <c r="BG94" s="32"/>
      <c r="BH94" s="32"/>
    </row>
    <row r="95" spans="2:60" ht="15" customHeight="1">
      <c r="B95" s="56"/>
      <c r="D95" s="207" t="str">
        <f>ROUND(I66,2)&amp; " kPa"</f>
        <v>-0.43 kPa</v>
      </c>
      <c r="E95" s="208"/>
      <c r="F95" s="208"/>
      <c r="G95" s="208"/>
      <c r="H95" s="208"/>
      <c r="I95" s="208"/>
      <c r="J95" s="208"/>
      <c r="K95" s="208"/>
      <c r="L95" s="208"/>
      <c r="M95" s="209"/>
      <c r="P95" s="47"/>
      <c r="Q95" s="164"/>
      <c r="R95" s="164"/>
      <c r="S95" s="164"/>
      <c r="T95" s="164"/>
      <c r="U95" s="164"/>
      <c r="V95" s="164"/>
      <c r="W95" s="164"/>
      <c r="X95" s="164"/>
      <c r="Y95" s="50"/>
      <c r="AB95" s="57"/>
      <c r="AE95" s="58"/>
      <c r="AF95" s="231"/>
      <c r="AG95" s="58"/>
      <c r="AH95" s="58"/>
      <c r="AI95" s="58"/>
      <c r="AJ95" s="231"/>
      <c r="AK95" s="58"/>
      <c r="BF95" s="29"/>
      <c r="BG95" s="32"/>
      <c r="BH95" s="32"/>
    </row>
    <row r="96" spans="2:60" ht="15.75" customHeight="1">
      <c r="B96" s="56"/>
      <c r="D96" s="55"/>
      <c r="E96" s="169"/>
      <c r="F96" s="169"/>
      <c r="G96" s="169"/>
      <c r="H96" s="170"/>
      <c r="I96" s="169"/>
      <c r="J96" s="169"/>
      <c r="K96" s="167"/>
      <c r="L96" s="168"/>
      <c r="M96" s="54"/>
      <c r="P96" s="218" t="s">
        <v>134</v>
      </c>
      <c r="Q96" s="205"/>
      <c r="R96" s="205"/>
      <c r="S96" s="205"/>
      <c r="T96" s="205"/>
      <c r="U96" s="205"/>
      <c r="V96" s="205"/>
      <c r="W96" s="205"/>
      <c r="X96" s="205"/>
      <c r="Y96" s="206"/>
      <c r="AB96" s="57"/>
      <c r="AE96" s="58"/>
      <c r="AF96" s="231"/>
      <c r="AG96" s="58"/>
      <c r="AH96" s="58"/>
      <c r="AI96" s="58"/>
      <c r="AJ96" s="231"/>
      <c r="AK96" s="58"/>
      <c r="BF96" s="29"/>
      <c r="BG96" s="32"/>
      <c r="BH96" s="32"/>
    </row>
    <row r="97" spans="2:60" ht="15" customHeight="1">
      <c r="B97" s="56"/>
      <c r="D97" s="47"/>
      <c r="E97" s="164"/>
      <c r="F97" s="164"/>
      <c r="G97" s="164"/>
      <c r="H97" s="164"/>
      <c r="I97" s="164"/>
      <c r="J97" s="164"/>
      <c r="K97" s="164"/>
      <c r="L97" s="164"/>
      <c r="M97" s="50"/>
      <c r="P97" s="201" t="str">
        <f>ROUND(O65,2)&amp; " kPa"</f>
        <v>-0.52 kPa</v>
      </c>
      <c r="Q97" s="202"/>
      <c r="R97" s="202"/>
      <c r="S97" s="202"/>
      <c r="T97" s="202"/>
      <c r="U97" s="202"/>
      <c r="V97" s="202"/>
      <c r="W97" s="202"/>
      <c r="X97" s="202"/>
      <c r="Y97" s="203"/>
      <c r="AB97" s="57"/>
      <c r="AE97" s="58"/>
      <c r="AF97" s="231"/>
      <c r="AG97" s="58"/>
      <c r="AH97" s="58"/>
      <c r="AI97" s="58"/>
      <c r="AJ97" s="231"/>
      <c r="AK97" s="58"/>
      <c r="BF97" s="29"/>
      <c r="BG97" s="32"/>
      <c r="BH97" s="32"/>
    </row>
    <row r="98" spans="2:60" ht="15" customHeight="1">
      <c r="B98" s="56"/>
      <c r="D98" s="47"/>
      <c r="E98" s="164"/>
      <c r="F98" s="164"/>
      <c r="G98" s="164"/>
      <c r="H98" s="164"/>
      <c r="I98" s="164"/>
      <c r="J98" s="164"/>
      <c r="K98" s="164"/>
      <c r="L98" s="164"/>
      <c r="M98" s="50"/>
      <c r="P98" s="207" t="str">
        <f>ROUND(O66,2)&amp; " kPa"</f>
        <v>0.17 kPa</v>
      </c>
      <c r="Q98" s="208"/>
      <c r="R98" s="208"/>
      <c r="S98" s="208"/>
      <c r="T98" s="208"/>
      <c r="U98" s="208"/>
      <c r="V98" s="208"/>
      <c r="W98" s="208"/>
      <c r="X98" s="208"/>
      <c r="Y98" s="209"/>
      <c r="AB98" s="57"/>
      <c r="AE98" s="58"/>
      <c r="AF98" s="231"/>
      <c r="AG98" s="58"/>
      <c r="AH98" s="58"/>
      <c r="AI98" s="58"/>
      <c r="AJ98" s="231"/>
      <c r="AK98" s="58"/>
      <c r="BF98" s="29"/>
      <c r="BG98" s="32"/>
      <c r="BH98" s="32"/>
    </row>
    <row r="99" spans="2:60" ht="15" customHeight="1" thickBot="1">
      <c r="B99" s="56"/>
      <c r="D99" s="47"/>
      <c r="E99" s="164"/>
      <c r="F99" s="164"/>
      <c r="G99" s="164"/>
      <c r="H99" s="164"/>
      <c r="I99" s="164"/>
      <c r="J99" s="164"/>
      <c r="K99" s="164"/>
      <c r="L99" s="164"/>
      <c r="M99" s="50"/>
      <c r="P99" s="55"/>
      <c r="Q99" s="169"/>
      <c r="R99" s="169"/>
      <c r="S99" s="169"/>
      <c r="T99" s="170"/>
      <c r="U99" s="169"/>
      <c r="V99" s="169"/>
      <c r="W99" s="167"/>
      <c r="X99" s="168"/>
      <c r="Y99" s="54"/>
      <c r="AB99" s="57"/>
      <c r="AE99" s="58"/>
      <c r="AF99" s="231"/>
      <c r="AG99" s="58"/>
      <c r="AH99" s="58"/>
      <c r="AI99" s="58"/>
      <c r="AJ99" s="231"/>
      <c r="AK99" s="58"/>
      <c r="BF99" s="29"/>
      <c r="BG99" s="32"/>
      <c r="BH99" s="32"/>
    </row>
    <row r="100" spans="2:60" ht="15" customHeight="1">
      <c r="B100" s="56"/>
      <c r="D100" s="198" t="s">
        <v>137</v>
      </c>
      <c r="E100" s="227"/>
      <c r="F100" s="228"/>
      <c r="G100" s="198" t="s">
        <v>133</v>
      </c>
      <c r="H100" s="227"/>
      <c r="I100" s="227"/>
      <c r="J100" s="228"/>
      <c r="K100" s="198" t="s">
        <v>137</v>
      </c>
      <c r="L100" s="227"/>
      <c r="M100" s="228"/>
      <c r="P100" s="47"/>
      <c r="Q100" s="164"/>
      <c r="R100" s="164"/>
      <c r="S100" s="164"/>
      <c r="T100" s="164"/>
      <c r="U100" s="164"/>
      <c r="V100" s="164"/>
      <c r="W100" s="164"/>
      <c r="X100" s="164"/>
      <c r="Y100" s="50"/>
      <c r="AB100" s="57"/>
      <c r="AE100" s="58"/>
      <c r="AF100" s="231"/>
      <c r="AG100" s="58"/>
      <c r="AH100" s="58"/>
      <c r="AI100" s="58"/>
      <c r="AJ100" s="231"/>
      <c r="AK100" s="58"/>
      <c r="BF100" s="29"/>
      <c r="BG100" s="32"/>
      <c r="BH100" s="32"/>
    </row>
    <row r="101" spans="2:60" ht="15" customHeight="1">
      <c r="B101" s="56"/>
      <c r="D101" s="201" t="str">
        <f>ROUND(E65,2)&amp; " kPa"</f>
        <v>-1.77 kPa</v>
      </c>
      <c r="E101" s="202"/>
      <c r="F101" s="203"/>
      <c r="G101" s="201" t="str">
        <f>ROUND(G65,2)&amp; " kPa"</f>
        <v>-1.04 kPa</v>
      </c>
      <c r="H101" s="202"/>
      <c r="I101" s="202"/>
      <c r="J101" s="203"/>
      <c r="K101" s="201" t="str">
        <f>D101</f>
        <v>-1.77 kPa</v>
      </c>
      <c r="L101" s="213"/>
      <c r="M101" s="214"/>
      <c r="P101" s="47"/>
      <c r="Q101" s="164"/>
      <c r="R101" s="164"/>
      <c r="S101" s="164"/>
      <c r="T101" s="164"/>
      <c r="U101" s="164"/>
      <c r="V101" s="164"/>
      <c r="W101" s="164"/>
      <c r="X101" s="164"/>
      <c r="Y101" s="50"/>
      <c r="AB101" s="57"/>
      <c r="AE101" s="58"/>
      <c r="AF101" s="231"/>
      <c r="AG101" s="58"/>
      <c r="AH101" s="58"/>
      <c r="AI101" s="58"/>
      <c r="AJ101" s="231"/>
      <c r="AK101" s="58"/>
      <c r="BF101" s="29"/>
      <c r="BG101" s="32"/>
      <c r="BH101" s="32"/>
    </row>
    <row r="102" spans="2:60" ht="15" customHeight="1" thickBot="1">
      <c r="B102" s="56"/>
      <c r="D102" s="224" t="str">
        <f>ROUND(E66,2)&amp; " kPa"</f>
        <v>-1.49 kPa</v>
      </c>
      <c r="E102" s="225"/>
      <c r="F102" s="226"/>
      <c r="G102" s="224" t="str">
        <f>ROUND(G66,2)&amp; " kPa"</f>
        <v>-0.77 kPa</v>
      </c>
      <c r="H102" s="225"/>
      <c r="I102" s="225"/>
      <c r="J102" s="226"/>
      <c r="K102" s="224" t="str">
        <f>D102</f>
        <v>-1.49 kPa</v>
      </c>
      <c r="L102" s="229"/>
      <c r="M102" s="230"/>
      <c r="P102" s="51"/>
      <c r="Q102" s="52"/>
      <c r="R102" s="52"/>
      <c r="S102" s="52"/>
      <c r="T102" s="52"/>
      <c r="U102" s="52"/>
      <c r="V102" s="52"/>
      <c r="W102" s="52"/>
      <c r="X102" s="52"/>
      <c r="Y102" s="53"/>
      <c r="AB102" s="57"/>
      <c r="AE102" s="58"/>
      <c r="AF102" s="231"/>
      <c r="AG102" s="58"/>
      <c r="AH102" s="58"/>
      <c r="AI102" s="58"/>
      <c r="AJ102" s="231"/>
      <c r="AK102" s="58"/>
      <c r="BF102" s="29"/>
      <c r="BG102" s="32"/>
      <c r="BH102" s="32"/>
    </row>
    <row r="103" spans="2:60" ht="15" customHeight="1">
      <c r="B103" s="56"/>
      <c r="D103" s="197" t="str">
        <f>D85</f>
        <v>Đỉnh mái</v>
      </c>
      <c r="E103" s="197"/>
      <c r="F103" s="197"/>
      <c r="G103" s="197"/>
      <c r="H103" s="197"/>
      <c r="I103" s="197"/>
      <c r="J103" s="197"/>
      <c r="K103" s="197"/>
      <c r="L103" s="197"/>
      <c r="M103" s="197"/>
      <c r="P103" s="232" t="str">
        <f>D103</f>
        <v>Đỉnh mái</v>
      </c>
      <c r="Q103" s="232"/>
      <c r="R103" s="232"/>
      <c r="S103" s="232"/>
      <c r="T103" s="232"/>
      <c r="U103" s="232"/>
      <c r="V103" s="232"/>
      <c r="W103" s="232"/>
      <c r="X103" s="232"/>
      <c r="Y103" s="232"/>
      <c r="AB103" s="57"/>
      <c r="AE103" s="58"/>
      <c r="AF103" s="231"/>
      <c r="AG103" s="58"/>
      <c r="AH103" s="58"/>
      <c r="AI103" s="58"/>
      <c r="AJ103" s="231"/>
      <c r="AK103" s="58"/>
      <c r="BF103" s="29"/>
      <c r="BG103" s="32"/>
      <c r="BH103" s="32"/>
    </row>
    <row r="104" spans="2:60" ht="15" customHeight="1">
      <c r="B104" s="56"/>
      <c r="AB104" s="57"/>
      <c r="AE104" s="58"/>
      <c r="AF104" s="231"/>
      <c r="AG104" s="58"/>
      <c r="AH104" s="58"/>
      <c r="AI104" s="58"/>
      <c r="AJ104" s="231"/>
      <c r="AK104" s="58"/>
      <c r="BF104" s="29"/>
      <c r="BG104" s="32"/>
      <c r="BH104" s="32"/>
    </row>
    <row r="105" spans="2:60" ht="15.75" customHeight="1">
      <c r="B105" s="56"/>
      <c r="AB105" s="57"/>
      <c r="AE105" s="58"/>
      <c r="AF105" s="231"/>
      <c r="AG105" s="58"/>
      <c r="AH105" s="58"/>
      <c r="AI105" s="58"/>
      <c r="AJ105" s="231"/>
      <c r="AK105" s="58"/>
      <c r="BF105" s="29"/>
      <c r="BG105" s="32"/>
      <c r="BH105" s="32"/>
    </row>
    <row r="106" spans="2:60" ht="18" customHeight="1">
      <c r="B106" s="171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172"/>
      <c r="AE106" s="58"/>
      <c r="AF106" s="231"/>
      <c r="AG106" s="58"/>
      <c r="AH106" s="58"/>
      <c r="AI106" s="58"/>
      <c r="AJ106" s="231"/>
      <c r="AK106" s="58"/>
      <c r="BF106" s="29"/>
      <c r="BG106" s="32"/>
      <c r="BH106" s="32"/>
    </row>
    <row r="107" spans="2:60">
      <c r="H107" s="11"/>
      <c r="I107" s="11"/>
      <c r="J107" s="11"/>
      <c r="K107" s="11"/>
      <c r="L107" s="11"/>
      <c r="M107" s="11"/>
      <c r="N107" s="11"/>
      <c r="O107" s="11"/>
      <c r="P107" s="11"/>
      <c r="Q107" s="11"/>
    </row>
    <row r="108" spans="2:60">
      <c r="H108" s="11"/>
      <c r="I108" s="11"/>
      <c r="J108" s="11"/>
      <c r="K108" s="11"/>
      <c r="L108" s="11"/>
      <c r="M108" s="11"/>
      <c r="N108" s="11"/>
      <c r="O108" s="11"/>
      <c r="P108" s="11"/>
      <c r="Q108" s="11"/>
    </row>
    <row r="109" spans="2:60">
      <c r="H109" s="11"/>
      <c r="I109" s="11"/>
      <c r="J109" s="11"/>
      <c r="K109" s="11"/>
      <c r="L109" s="11"/>
      <c r="M109" s="11"/>
      <c r="N109" s="11"/>
      <c r="O109" s="11"/>
      <c r="P109" s="11"/>
      <c r="Q109" s="11"/>
    </row>
    <row r="110" spans="2:60">
      <c r="H110" s="11"/>
      <c r="I110" s="11"/>
      <c r="J110" s="11"/>
      <c r="K110" s="11"/>
      <c r="L110" s="11"/>
      <c r="M110" s="11"/>
      <c r="N110" s="11"/>
      <c r="O110" s="11"/>
      <c r="P110" s="11"/>
      <c r="Q110" s="11"/>
    </row>
  </sheetData>
  <mergeCells count="337">
    <mergeCell ref="AG35:AJ35"/>
    <mergeCell ref="AD36:AD37"/>
    <mergeCell ref="AD39:AD40"/>
    <mergeCell ref="AG39:AJ39"/>
    <mergeCell ref="AG40:AJ40"/>
    <mergeCell ref="C39:F40"/>
    <mergeCell ref="G39:H39"/>
    <mergeCell ref="I39:J39"/>
    <mergeCell ref="K39:L39"/>
    <mergeCell ref="M39:N39"/>
    <mergeCell ref="O39:P39"/>
    <mergeCell ref="Q39:R39"/>
    <mergeCell ref="G40:H40"/>
    <mergeCell ref="I40:J40"/>
    <mergeCell ref="K40:L40"/>
    <mergeCell ref="M40:N40"/>
    <mergeCell ref="O40:P40"/>
    <mergeCell ref="Q40:R40"/>
    <mergeCell ref="C36:F37"/>
    <mergeCell ref="G36:H36"/>
    <mergeCell ref="I36:J36"/>
    <mergeCell ref="K36:L36"/>
    <mergeCell ref="M36:N36"/>
    <mergeCell ref="O37:P37"/>
    <mergeCell ref="Q37:R37"/>
    <mergeCell ref="C33:H33"/>
    <mergeCell ref="I33:J33"/>
    <mergeCell ref="K33:L33"/>
    <mergeCell ref="M33:N33"/>
    <mergeCell ref="O33:P33"/>
    <mergeCell ref="Q33:R33"/>
    <mergeCell ref="AD35:AF35"/>
    <mergeCell ref="P25:Z25"/>
    <mergeCell ref="P26:Z26"/>
    <mergeCell ref="P27:Z27"/>
    <mergeCell ref="P28:Z28"/>
    <mergeCell ref="M30:N30"/>
    <mergeCell ref="O30:P30"/>
    <mergeCell ref="Q30:R30"/>
    <mergeCell ref="S30:T30"/>
    <mergeCell ref="AD28:AF28"/>
    <mergeCell ref="D103:M103"/>
    <mergeCell ref="P88:Y88"/>
    <mergeCell ref="G27:H27"/>
    <mergeCell ref="G28:H28"/>
    <mergeCell ref="G56:H56"/>
    <mergeCell ref="I56:J56"/>
    <mergeCell ref="K57:L57"/>
    <mergeCell ref="M57:N57"/>
    <mergeCell ref="O57:P57"/>
    <mergeCell ref="E57:F57"/>
    <mergeCell ref="K64:L64"/>
    <mergeCell ref="M64:N64"/>
    <mergeCell ref="O64:P64"/>
    <mergeCell ref="S33:T33"/>
    <mergeCell ref="B35:AB35"/>
    <mergeCell ref="K31:L31"/>
    <mergeCell ref="M31:N31"/>
    <mergeCell ref="O31:P31"/>
    <mergeCell ref="Q31:R31"/>
    <mergeCell ref="Q36:R36"/>
    <mergeCell ref="G37:H37"/>
    <mergeCell ref="I37:J37"/>
    <mergeCell ref="K37:L37"/>
    <mergeCell ref="M37:N37"/>
    <mergeCell ref="B8:R8"/>
    <mergeCell ref="S8:AB8"/>
    <mergeCell ref="B9:V12"/>
    <mergeCell ref="W9:Y12"/>
    <mergeCell ref="Z9:AB12"/>
    <mergeCell ref="AC9:AD12"/>
    <mergeCell ref="D88:M88"/>
    <mergeCell ref="K100:M100"/>
    <mergeCell ref="K102:M102"/>
    <mergeCell ref="D100:F100"/>
    <mergeCell ref="D101:F101"/>
    <mergeCell ref="S21:W21"/>
    <mergeCell ref="K21:L21"/>
    <mergeCell ref="M21:N21"/>
    <mergeCell ref="C15:N15"/>
    <mergeCell ref="X15:X21"/>
    <mergeCell ref="C16:F16"/>
    <mergeCell ref="C17:F17"/>
    <mergeCell ref="G17:J17"/>
    <mergeCell ref="K17:N17"/>
    <mergeCell ref="K18:L18"/>
    <mergeCell ref="M18:N18"/>
    <mergeCell ref="K19:L19"/>
    <mergeCell ref="M19:N19"/>
    <mergeCell ref="K23:L23"/>
    <mergeCell ref="M23:N23"/>
    <mergeCell ref="C25:N25"/>
    <mergeCell ref="C26:D26"/>
    <mergeCell ref="E26:F26"/>
    <mergeCell ref="I26:L26"/>
    <mergeCell ref="M26:N26"/>
    <mergeCell ref="K20:L20"/>
    <mergeCell ref="M20:N20"/>
    <mergeCell ref="K22:L22"/>
    <mergeCell ref="M22:N22"/>
    <mergeCell ref="AL76:AL78"/>
    <mergeCell ref="AM76:AO77"/>
    <mergeCell ref="AQ76:AQ78"/>
    <mergeCell ref="AR76:AV77"/>
    <mergeCell ref="E27:F27"/>
    <mergeCell ref="J27:K27"/>
    <mergeCell ref="L27:M27"/>
    <mergeCell ref="E28:F28"/>
    <mergeCell ref="J28:K28"/>
    <mergeCell ref="L28:M28"/>
    <mergeCell ref="K61:L61"/>
    <mergeCell ref="M61:N61"/>
    <mergeCell ref="O61:P61"/>
    <mergeCell ref="K60:L60"/>
    <mergeCell ref="M60:N60"/>
    <mergeCell ref="O60:P60"/>
    <mergeCell ref="S31:T31"/>
    <mergeCell ref="I32:J32"/>
    <mergeCell ref="K32:L32"/>
    <mergeCell ref="M32:N32"/>
    <mergeCell ref="O32:P32"/>
    <mergeCell ref="Q32:R32"/>
    <mergeCell ref="S32:T32"/>
    <mergeCell ref="O36:P36"/>
    <mergeCell ref="AE77:AG77"/>
    <mergeCell ref="AH77:AJ77"/>
    <mergeCell ref="AD76:AD78"/>
    <mergeCell ref="AE76:AJ76"/>
    <mergeCell ref="E56:F56"/>
    <mergeCell ref="G57:H57"/>
    <mergeCell ref="I57:J57"/>
    <mergeCell ref="K59:L59"/>
    <mergeCell ref="M59:N59"/>
    <mergeCell ref="O59:P59"/>
    <mergeCell ref="K58:L58"/>
    <mergeCell ref="M58:N58"/>
    <mergeCell ref="O58:P58"/>
    <mergeCell ref="M65:N65"/>
    <mergeCell ref="O65:P65"/>
    <mergeCell ref="K66:L66"/>
    <mergeCell ref="M66:N66"/>
    <mergeCell ref="O66:P66"/>
    <mergeCell ref="I58:J58"/>
    <mergeCell ref="E59:F59"/>
    <mergeCell ref="G59:H59"/>
    <mergeCell ref="I59:J59"/>
    <mergeCell ref="E60:F60"/>
    <mergeCell ref="G60:H60"/>
    <mergeCell ref="I66:J66"/>
    <mergeCell ref="B68:AB68"/>
    <mergeCell ref="O52:P52"/>
    <mergeCell ref="I63:J63"/>
    <mergeCell ref="E64:F64"/>
    <mergeCell ref="G64:H64"/>
    <mergeCell ref="I64:J64"/>
    <mergeCell ref="E65:F65"/>
    <mergeCell ref="G65:H65"/>
    <mergeCell ref="I65:J65"/>
    <mergeCell ref="K63:L63"/>
    <mergeCell ref="M63:N63"/>
    <mergeCell ref="O63:P63"/>
    <mergeCell ref="K62:L62"/>
    <mergeCell ref="M62:N62"/>
    <mergeCell ref="O62:P62"/>
    <mergeCell ref="C54:P54"/>
    <mergeCell ref="K55:P55"/>
    <mergeCell ref="E58:F58"/>
    <mergeCell ref="G58:H58"/>
    <mergeCell ref="Q52:R52"/>
    <mergeCell ref="S52:T52"/>
    <mergeCell ref="W45:X45"/>
    <mergeCell ref="O46:P46"/>
    <mergeCell ref="Q46:R46"/>
    <mergeCell ref="S46:T46"/>
    <mergeCell ref="U46:V46"/>
    <mergeCell ref="W46:X46"/>
    <mergeCell ref="Q49:R49"/>
    <mergeCell ref="E44:F44"/>
    <mergeCell ref="G44:H44"/>
    <mergeCell ref="I44:J44"/>
    <mergeCell ref="K44:L44"/>
    <mergeCell ref="M44:N44"/>
    <mergeCell ref="E45:F45"/>
    <mergeCell ref="G45:H45"/>
    <mergeCell ref="I45:J45"/>
    <mergeCell ref="K45:L45"/>
    <mergeCell ref="M45:N45"/>
    <mergeCell ref="O45:P45"/>
    <mergeCell ref="Q45:R45"/>
    <mergeCell ref="S45:T45"/>
    <mergeCell ref="U45:V45"/>
    <mergeCell ref="O48:P48"/>
    <mergeCell ref="Q48:R48"/>
    <mergeCell ref="S48:T48"/>
    <mergeCell ref="O49:P49"/>
    <mergeCell ref="E46:F46"/>
    <mergeCell ref="G46:H46"/>
    <mergeCell ref="I46:J46"/>
    <mergeCell ref="K46:L46"/>
    <mergeCell ref="M46:N46"/>
    <mergeCell ref="AL90:AM91"/>
    <mergeCell ref="E52:F52"/>
    <mergeCell ref="G52:H52"/>
    <mergeCell ref="I52:J52"/>
    <mergeCell ref="K52:L52"/>
    <mergeCell ref="E49:F49"/>
    <mergeCell ref="G49:H49"/>
    <mergeCell ref="I49:J49"/>
    <mergeCell ref="K49:L49"/>
    <mergeCell ref="M49:N49"/>
    <mergeCell ref="E50:F50"/>
    <mergeCell ref="G50:H50"/>
    <mergeCell ref="I50:J50"/>
    <mergeCell ref="K50:L50"/>
    <mergeCell ref="M50:N50"/>
    <mergeCell ref="M52:N52"/>
    <mergeCell ref="E66:F66"/>
    <mergeCell ref="G66:H66"/>
    <mergeCell ref="AF91:AF106"/>
    <mergeCell ref="AJ91:AJ106"/>
    <mergeCell ref="E51:F51"/>
    <mergeCell ref="G51:H51"/>
    <mergeCell ref="I51:J51"/>
    <mergeCell ref="K51:L51"/>
    <mergeCell ref="M51:N51"/>
    <mergeCell ref="K65:L65"/>
    <mergeCell ref="P96:Y96"/>
    <mergeCell ref="P103:Y103"/>
    <mergeCell ref="D69:M69"/>
    <mergeCell ref="D70:F70"/>
    <mergeCell ref="D83:F83"/>
    <mergeCell ref="D84:F84"/>
    <mergeCell ref="D82:F82"/>
    <mergeCell ref="D71:F71"/>
    <mergeCell ref="D102:F102"/>
    <mergeCell ref="G100:J100"/>
    <mergeCell ref="G101:J101"/>
    <mergeCell ref="G102:J102"/>
    <mergeCell ref="K101:M101"/>
    <mergeCell ref="D94:M94"/>
    <mergeCell ref="D93:M93"/>
    <mergeCell ref="D95:M95"/>
    <mergeCell ref="P97:Y97"/>
    <mergeCell ref="P98:Y98"/>
    <mergeCell ref="P89:R89"/>
    <mergeCell ref="S89:V89"/>
    <mergeCell ref="W89:Y89"/>
    <mergeCell ref="P90:R90"/>
    <mergeCell ref="P76:S76"/>
    <mergeCell ref="P77:S77"/>
    <mergeCell ref="P78:S78"/>
    <mergeCell ref="W82:Y82"/>
    <mergeCell ref="P91:R91"/>
    <mergeCell ref="S91:V91"/>
    <mergeCell ref="W83:Y83"/>
    <mergeCell ref="W84:Y84"/>
    <mergeCell ref="W91:Y91"/>
    <mergeCell ref="W71:Y71"/>
    <mergeCell ref="W76:Y76"/>
    <mergeCell ref="W77:Y77"/>
    <mergeCell ref="W78:Y78"/>
    <mergeCell ref="T76:V76"/>
    <mergeCell ref="T77:V77"/>
    <mergeCell ref="T78:V78"/>
    <mergeCell ref="B87:AB87"/>
    <mergeCell ref="S90:V90"/>
    <mergeCell ref="W90:Y90"/>
    <mergeCell ref="D85:M85"/>
    <mergeCell ref="D76:F76"/>
    <mergeCell ref="D77:F77"/>
    <mergeCell ref="D78:F78"/>
    <mergeCell ref="G76:I76"/>
    <mergeCell ref="G77:I77"/>
    <mergeCell ref="G78:I78"/>
    <mergeCell ref="J76:M76"/>
    <mergeCell ref="J77:M77"/>
    <mergeCell ref="D72:F72"/>
    <mergeCell ref="J78:M78"/>
    <mergeCell ref="W72:Y72"/>
    <mergeCell ref="P85:Y85"/>
    <mergeCell ref="O44:P44"/>
    <mergeCell ref="Q44:R44"/>
    <mergeCell ref="S44:T44"/>
    <mergeCell ref="U44:V44"/>
    <mergeCell ref="W44:X44"/>
    <mergeCell ref="P69:Y69"/>
    <mergeCell ref="W70:Y70"/>
    <mergeCell ref="E48:F48"/>
    <mergeCell ref="G48:H48"/>
    <mergeCell ref="I48:J48"/>
    <mergeCell ref="K48:L48"/>
    <mergeCell ref="M48:N48"/>
    <mergeCell ref="E47:F47"/>
    <mergeCell ref="G47:H47"/>
    <mergeCell ref="I47:J47"/>
    <mergeCell ref="K47:L47"/>
    <mergeCell ref="M47:N47"/>
    <mergeCell ref="O47:P47"/>
    <mergeCell ref="Q47:R47"/>
    <mergeCell ref="S47:T47"/>
    <mergeCell ref="U47:V47"/>
    <mergeCell ref="W47:X47"/>
    <mergeCell ref="U48:V48"/>
    <mergeCell ref="W48:X48"/>
    <mergeCell ref="U52:V52"/>
    <mergeCell ref="W52:X52"/>
    <mergeCell ref="C42:X42"/>
    <mergeCell ref="C55:D56"/>
    <mergeCell ref="K56:L56"/>
    <mergeCell ref="M56:N56"/>
    <mergeCell ref="O56:P56"/>
    <mergeCell ref="E55:J55"/>
    <mergeCell ref="S49:T49"/>
    <mergeCell ref="U49:V49"/>
    <mergeCell ref="W49:X49"/>
    <mergeCell ref="O50:P50"/>
    <mergeCell ref="Q50:R50"/>
    <mergeCell ref="S50:T50"/>
    <mergeCell ref="U50:V50"/>
    <mergeCell ref="W50:X50"/>
    <mergeCell ref="O51:P51"/>
    <mergeCell ref="Q51:R51"/>
    <mergeCell ref="S51:T51"/>
    <mergeCell ref="U51:V51"/>
    <mergeCell ref="W51:X51"/>
    <mergeCell ref="E43:N43"/>
    <mergeCell ref="C43:D44"/>
    <mergeCell ref="O43:X43"/>
    <mergeCell ref="I60:J60"/>
    <mergeCell ref="E61:F61"/>
    <mergeCell ref="G61:H61"/>
    <mergeCell ref="I61:J61"/>
    <mergeCell ref="E62:F62"/>
    <mergeCell ref="G62:H62"/>
    <mergeCell ref="I62:J62"/>
    <mergeCell ref="E63:F63"/>
    <mergeCell ref="G63:H63"/>
  </mergeCells>
  <dataValidations disablePrompts="1" count="6">
    <dataValidation type="list" allowBlank="1" showInputMessage="1" showErrorMessage="1" sqref="G17:J17" xr:uid="{142320BC-2725-41A6-8CCB-348E08FB605B}">
      <formula1>$AE$9:$AE$10</formula1>
    </dataValidation>
    <dataValidation type="list" allowBlank="1" showInputMessage="1" showErrorMessage="1" sqref="AC9:AD12" xr:uid="{70C467D9-5840-44AC-A392-498537457372}">
      <formula1>$BG$9:$BH$9</formula1>
    </dataValidation>
    <dataValidation type="list" allowBlank="1" showInputMessage="1" showErrorMessage="1" sqref="M26:N26" xr:uid="{2D9765AB-965F-4372-9B4C-5CD67DBF7DA1}">
      <formula1>"A,B,C"</formula1>
    </dataValidation>
    <dataValidation type="list" allowBlank="1" showInputMessage="1" showErrorMessage="1" sqref="E26:F26" xr:uid="{E20204E9-8841-451F-B745-35E4B4066F96}">
      <formula1>"I,II,III,IV,V"</formula1>
    </dataValidation>
    <dataValidation type="list" allowBlank="1" showInputMessage="1" showErrorMessage="1" sqref="G16:J16 L16:N16" xr:uid="{D162412E-8FC9-4ACD-A0D2-75795309FC67}">
      <formula1>"Monopitch roofs"</formula1>
    </dataValidation>
    <dataValidation type="list" allowBlank="1" showInputMessage="1" showErrorMessage="1" sqref="AG35:AJ35" xr:uid="{106C7ADD-3FAF-4C5F-9C59-2DFE40CFBAE8}">
      <formula1>$AF$35:$AF$36</formula1>
    </dataValidation>
  </dataValidations>
  <pageMargins left="0.7" right="0.7" top="0.75" bottom="0.75" header="0.3" footer="0.3"/>
  <pageSetup orientation="portrait" r:id="rId1"/>
  <ignoredErrors>
    <ignoredError sqref="K16:K17 M22 M32:T33" unlockedFormula="1"/>
    <ignoredError sqref="C48:C51 C58:C65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GustFactor</vt:lpstr>
      <vt:lpstr>MODEL</vt:lpstr>
      <vt:lpstr>TCVN</vt:lpstr>
      <vt:lpstr>Bang8_10</vt:lpstr>
      <vt:lpstr>GustFactor!Print_Area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2015-12-11T09:20:04Z</cp:lastPrinted>
  <dcterms:created xsi:type="dcterms:W3CDTF">2000-02-14T22:01:47Z</dcterms:created>
  <dcterms:modified xsi:type="dcterms:W3CDTF">2026-03-14T15:52:06Z</dcterms:modified>
  <cp:category>Structural Enginnering Analysis/Design</cp:category>
</cp:coreProperties>
</file>