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an\Downloads\Send Duy\"/>
    </mc:Choice>
  </mc:AlternateContent>
  <xr:revisionPtr revIDLastSave="0" documentId="13_ncr:1_{4213D76E-8A8B-4421-BCE3-DB1C97338C5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3" r:id="rId1"/>
    <sheet name="Cal" sheetId="2" r:id="rId2"/>
    <sheet name="Picture" sheetId="4" state="veryHidden" r:id="rId3"/>
  </sheets>
  <definedNames>
    <definedName name="_xlnm._FilterDatabase" localSheetId="1" hidden="1">Cal!#REF!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_xleta.T" hidden="1" xlm="1">#NAME?</definedName>
    <definedName name="_xleta.VALUE" hidden="1" xlm="1">#NAME?</definedName>
    <definedName name="List">INDEX(Picture!$B$1:$B$7,Picture!$A$8)</definedName>
    <definedName name="_xlnm.Print_Area" localSheetId="1">Cal!$A$11:$L$48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1" i="2" l="1" a="1"/>
  <c r="J41" i="2"/>
  <c r="A45" i="2"/>
  <c r="J42" i="2" a="1"/>
  <c r="J43" i="2" a="1"/>
  <c r="J43" i="2" l="1"/>
  <c r="J42" i="2"/>
  <c r="A7" i="4"/>
  <c r="A6" i="4"/>
  <c r="A5" i="4"/>
  <c r="A4" i="4"/>
  <c r="A3" i="4"/>
  <c r="A2" i="4"/>
  <c r="A1" i="4"/>
  <c r="A8" i="4" s="1"/>
  <c r="B8" i="4" s="1" a="1"/>
  <c r="B8" i="4" s="1"/>
  <c r="A44" i="2"/>
  <c r="A43" i="2"/>
  <c r="A42" i="2"/>
  <c r="A41" i="2"/>
  <c r="B38" i="2"/>
  <c r="B37" i="2"/>
  <c r="B36" i="2"/>
  <c r="B32" i="2"/>
  <c r="B31" i="2"/>
  <c r="B30" i="2"/>
  <c r="B29" i="2"/>
  <c r="J24" i="2"/>
  <c r="J23" i="2"/>
  <c r="J17" i="2"/>
  <c r="J16" i="2"/>
  <c r="J19" i="2" s="1"/>
  <c r="J44" i="2" l="1"/>
  <c r="D45" i="2" s="1"/>
  <c r="J18" i="2"/>
  <c r="B29" i="3"/>
  <c r="B28" i="3"/>
  <c r="B27" i="3"/>
  <c r="B26" i="3"/>
  <c r="B25" i="3"/>
  <c r="B24" i="3"/>
  <c r="B23" i="3"/>
  <c r="B22" i="3"/>
  <c r="B21" i="3"/>
  <c r="B20" i="3"/>
  <c r="CI19" i="3"/>
  <c r="CH19" i="3"/>
  <c r="CF19" i="3"/>
  <c r="CG19" i="3" s="1"/>
  <c r="B19" i="3"/>
  <c r="CI18" i="3"/>
  <c r="CH18" i="3"/>
  <c r="CF18" i="3"/>
  <c r="CG18" i="3" s="1"/>
  <c r="B18" i="3"/>
  <c r="CI17" i="3"/>
  <c r="CH17" i="3"/>
  <c r="CG17" i="3"/>
  <c r="CF17" i="3"/>
  <c r="B17" i="3"/>
  <c r="CI16" i="3"/>
  <c r="CG16" i="3"/>
  <c r="CF16" i="3"/>
  <c r="CH16" i="3" s="1"/>
  <c r="BQ16" i="3"/>
  <c r="B16" i="3"/>
  <c r="CI15" i="3"/>
  <c r="CH15" i="3"/>
  <c r="CF15" i="3"/>
  <c r="CG15" i="3" s="1"/>
  <c r="BQ15" i="3"/>
  <c r="X15" i="3"/>
  <c r="B15" i="3"/>
  <c r="CH14" i="3"/>
  <c r="CG14" i="3"/>
  <c r="CF14" i="3"/>
  <c r="BQ14" i="3"/>
  <c r="X14" i="3"/>
  <c r="B14" i="3"/>
  <c r="CH13" i="3"/>
  <c r="CG13" i="3"/>
  <c r="CF13" i="3"/>
  <c r="BQ13" i="3"/>
  <c r="X13" i="3"/>
  <c r="B13" i="3"/>
  <c r="CG12" i="3"/>
  <c r="CF12" i="3"/>
  <c r="CH12" i="3" s="1"/>
  <c r="BQ12" i="3"/>
  <c r="X12" i="3"/>
  <c r="B12" i="3"/>
  <c r="CH11" i="3"/>
  <c r="CG11" i="3"/>
  <c r="CF11" i="3"/>
  <c r="BQ11" i="3"/>
  <c r="X11" i="3"/>
  <c r="B11" i="3"/>
  <c r="CG10" i="3"/>
  <c r="CF10" i="3"/>
  <c r="CH10" i="3" s="1"/>
  <c r="BQ10" i="3"/>
  <c r="X10" i="3"/>
  <c r="B10" i="3"/>
  <c r="CI9" i="3"/>
  <c r="CF9" i="3"/>
  <c r="CG9" i="3" s="1"/>
  <c r="BQ9" i="3"/>
  <c r="X9" i="3"/>
  <c r="B9" i="3"/>
  <c r="CI8" i="3"/>
  <c r="CH8" i="3"/>
  <c r="CG8" i="3"/>
  <c r="CF8" i="3"/>
  <c r="BO8" i="3"/>
  <c r="BN8" i="3"/>
  <c r="BM8" i="3"/>
  <c r="BL8" i="3"/>
  <c r="BK8" i="3"/>
  <c r="X8" i="3"/>
  <c r="B8" i="3"/>
  <c r="DD7" i="3"/>
  <c r="DD8" i="3" s="1"/>
  <c r="DD9" i="3" s="1"/>
  <c r="DD10" i="3" s="1"/>
  <c r="DD11" i="3" s="1"/>
  <c r="DA7" i="3"/>
  <c r="DA8" i="3" s="1"/>
  <c r="DA9" i="3" s="1"/>
  <c r="DA10" i="3" s="1"/>
  <c r="DA11" i="3" s="1"/>
  <c r="DA12" i="3" s="1"/>
  <c r="DA13" i="3" s="1"/>
  <c r="DA14" i="3" s="1"/>
  <c r="DA15" i="3" s="1"/>
  <c r="DA16" i="3" s="1"/>
  <c r="CI7" i="3"/>
  <c r="CF7" i="3"/>
  <c r="CH7" i="3" s="1"/>
  <c r="BQ7" i="3"/>
  <c r="X7" i="3"/>
  <c r="B7" i="3"/>
  <c r="CI6" i="3"/>
  <c r="CF6" i="3"/>
  <c r="CH6" i="3" s="1"/>
  <c r="BQ6" i="3"/>
  <c r="X6" i="3"/>
  <c r="B6" i="3"/>
  <c r="CI5" i="3"/>
  <c r="CF5" i="3"/>
  <c r="CH5" i="3" s="1"/>
  <c r="B5" i="3"/>
  <c r="CI4" i="3"/>
  <c r="CF4" i="3"/>
  <c r="CH4" i="3" s="1"/>
  <c r="B4" i="3"/>
  <c r="B3" i="3"/>
  <c r="CH9" i="3" l="1"/>
  <c r="CG7" i="3"/>
  <c r="CG5" i="3"/>
  <c r="CG4" i="3"/>
  <c r="CG6" i="3"/>
  <c r="B19" i="2" l="1"/>
  <c r="J25" i="2" l="1"/>
  <c r="J27" i="2" s="1"/>
  <c r="H45" i="2" s="1"/>
  <c r="J45" i="2" l="1"/>
  <c r="E45" i="2"/>
  <c r="C46" i="2"/>
  <c r="B15" i="2"/>
  <c r="B27" i="2" l="1"/>
  <c r="B26" i="2"/>
  <c r="B25" i="2"/>
  <c r="B24" i="2"/>
  <c r="B23" i="2"/>
  <c r="B22" i="2"/>
  <c r="B20" i="2"/>
  <c r="B18" i="2"/>
  <c r="B17" i="2"/>
  <c r="B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<sst xmlns="http://schemas.openxmlformats.org/spreadsheetml/2006/main" count="244" uniqueCount="203">
  <si>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</si>
  <si>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</si>
  <si>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</si>
  <si>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mm</t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</si>
  <si>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</si>
  <si>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</si>
  <si>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</si>
  <si>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</si>
  <si>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</si>
  <si>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</si>
  <si>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</si>
  <si>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</si>
  <si>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</si>
  <si>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</si>
  <si>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</si>
  <si>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</si>
  <si>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Bảng C.4 Cường độ tiêu chuẩn
 của thép làm bu lông</t>
  </si>
  <si>
    <t>Cấp</t>
  </si>
  <si>
    <t>A</t>
  </si>
  <si>
    <t>B</t>
  </si>
  <si>
    <t>Bảng C.6 Diện tích tiết diện bu lông</t>
  </si>
  <si>
    <t>D</t>
  </si>
  <si>
    <t>p</t>
  </si>
  <si>
    <t>Ab</t>
  </si>
  <si>
    <t>z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</si>
  <si>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</si>
  <si>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</si>
  <si>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</si>
  <si>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</si>
  <si>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</si>
  <si>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</si>
  <si>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</si>
  <si>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</si>
  <si>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</si>
  <si>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</si>
  <si>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</si>
  <si>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</si>
  <si>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</si>
  <si>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</si>
  <si>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</si>
  <si>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</si>
  <si>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</si>
  <si>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</si>
  <si>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</si>
  <si>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</si>
  <si>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</si>
  <si>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</si>
  <si>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</si>
  <si>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</si>
  <si>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</si>
  <si>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</si>
  <si>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</si>
  <si>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</si>
  <si>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</si>
  <si>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</si>
  <si>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</si>
  <si>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</si>
  <si>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</si>
  <si>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</si>
  <si>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</si>
  <si>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</si>
  <si>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</si>
  <si>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</si>
  <si>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</si>
  <si>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Bảng E2</t>
  </si>
  <si>
    <t>Hệ số k0</t>
  </si>
  <si>
    <t>Hình dạng</t>
  </si>
  <si>
    <t>Hmin</t>
  </si>
  <si>
    <t>Lmin</t>
  </si>
  <si>
    <t>Ledge</t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</si>
  <si>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</si>
  <si>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k tĩnh</t>
  </si>
  <si>
    <t>k động</t>
  </si>
  <si>
    <t>fu</t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</si>
  <si>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</si>
  <si>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</si>
  <si>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</si>
  <si>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</si>
  <si>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</si>
  <si>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</si>
  <si>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</si>
  <si>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</si>
  <si>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</si>
  <si>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Kê 4 cạnh</t>
  </si>
  <si>
    <t>Kê 3 cạnh</t>
  </si>
  <si>
    <t>Tải trọng động</t>
  </si>
  <si>
    <t>Chữ L</t>
  </si>
  <si>
    <t>25db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</si>
  <si>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</si>
  <si>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</si>
  <si>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</si>
  <si>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</si>
  <si>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</si>
  <si>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</si>
  <si>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</si>
  <si>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</si>
  <si>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</si>
  <si>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Tên</t>
  </si>
  <si>
    <t>fck</t>
  </si>
  <si>
    <t>Tải trọng tĩnh</t>
  </si>
  <si>
    <t>Không tháo được có bản neo</t>
  </si>
  <si>
    <t>15db</t>
  </si>
  <si>
    <t>CI</t>
  </si>
  <si>
    <t>b/a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</si>
  <si>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>1</t>
    </r>
  </si>
  <si>
    <t>a2</t>
  </si>
  <si>
    <t>a3</t>
  </si>
  <si>
    <t>Công trình (ống khói, tháp thải khí…), tải trọng tính tính là tải trọng gió</t>
  </si>
  <si>
    <t>Tháo được có bản neo</t>
  </si>
  <si>
    <t>30db</t>
  </si>
  <si>
    <t>M150</t>
  </si>
  <si>
    <t>B10</t>
  </si>
  <si>
    <t>CII</t>
  </si>
  <si>
    <t>Bu lông tháo được có bản neo lắp đặt tự do trong ống</t>
  </si>
  <si>
    <t>Thẳng</t>
  </si>
  <si>
    <t>10db</t>
  </si>
  <si>
    <t>M200</t>
  </si>
  <si>
    <t>B15</t>
  </si>
  <si>
    <t>C12/15</t>
  </si>
  <si>
    <t>CIII</t>
  </si>
  <si>
    <t>Đầu côn (D&lt; 16)</t>
  </si>
  <si>
    <t>M250</t>
  </si>
  <si>
    <t>B20</t>
  </si>
  <si>
    <t>C16/20</t>
  </si>
  <si>
    <t>AI</t>
  </si>
  <si>
    <t>Đầu côn</t>
  </si>
  <si>
    <t>M300</t>
  </si>
  <si>
    <t>B22.5</t>
  </si>
  <si>
    <t>C18/22.5</t>
  </si>
  <si>
    <t>AII</t>
  </si>
  <si>
    <t>M350</t>
  </si>
  <si>
    <t>B25</t>
  </si>
  <si>
    <t>C20/25</t>
  </si>
  <si>
    <t>AIII</t>
  </si>
  <si>
    <t>M400</t>
  </si>
  <si>
    <t>B30</t>
  </si>
  <si>
    <t>C25/30</t>
  </si>
  <si>
    <t>CB240-T</t>
  </si>
  <si>
    <t>M450</t>
  </si>
  <si>
    <t>B35</t>
  </si>
  <si>
    <t>C28/35</t>
  </si>
  <si>
    <t>CB300-T</t>
  </si>
  <si>
    <t>M500</t>
  </si>
  <si>
    <t>B40</t>
  </si>
  <si>
    <t>C32/40</t>
  </si>
  <si>
    <t>CB300-V</t>
  </si>
  <si>
    <t>M600</t>
  </si>
  <si>
    <t>B45</t>
  </si>
  <si>
    <t>C35/45</t>
  </si>
  <si>
    <t>CB400-V</t>
  </si>
  <si>
    <t>M700</t>
  </si>
  <si>
    <t>B50</t>
  </si>
  <si>
    <t>C40/50</t>
  </si>
  <si>
    <t>CB500-V</t>
  </si>
  <si>
    <t>B55</t>
  </si>
  <si>
    <t>C45/55</t>
  </si>
  <si>
    <t>SR235</t>
  </si>
  <si>
    <t>M800</t>
  </si>
  <si>
    <t>B60</t>
  </si>
  <si>
    <t>C50/60</t>
  </si>
  <si>
    <t>SR295</t>
  </si>
  <si>
    <t>SD295</t>
  </si>
  <si>
    <t>SD390</t>
  </si>
  <si>
    <t>SD490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</si>
  <si>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</si>
  <si>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</si>
  <si>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</si>
  <si>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</si>
  <si>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</si>
  <si>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</si>
  <si>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</si>
  <si>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</si>
  <si>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CHI TIẾT 1</t>
  </si>
  <si>
    <t>I</t>
  </si>
  <si>
    <t>II</t>
  </si>
  <si>
    <t>H</t>
  </si>
  <si>
    <t>O</t>
  </si>
  <si>
    <t>[]</t>
  </si>
  <si>
    <t>User</t>
  </si>
  <si>
    <t>T</t>
  </si>
  <si>
    <t>1. Vật liệu thép</t>
  </si>
  <si>
    <t>2. Đường hàn</t>
  </si>
  <si>
    <t>3. Thông số liên kết</t>
  </si>
  <si>
    <r>
      <t>t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</si>
  <si>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</si>
  <si>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Chiều dài L1 =</t>
  </si>
  <si>
    <t>Chiều dài L2 =</t>
  </si>
  <si>
    <t>Chiều dài L3 =</t>
  </si>
  <si>
    <t>4. Nội lực tác dụng</t>
  </si>
  <si>
    <t>M =</t>
  </si>
  <si>
    <t>N =</t>
  </si>
  <si>
    <t>V =</t>
  </si>
  <si>
    <t xml:space="preserve"> Kiểm tra ứng suất đường hàn</t>
  </si>
  <si>
    <r>
      <t>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</si>
  <si>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</si>
  <si>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</si>
  <si>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Kết luận:</t>
  </si>
  <si>
    <t>THIẾT KẾ LIÊN KẾT HÀN THEO TCVN 5575:2024</t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</si>
  <si>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</si>
  <si>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</si>
  <si>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</si>
  <si>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r>
      <t>s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 xml:space="preserve"> =</t>
    </r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</si>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</sst>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_(* #,##0_);_(* \(#,##0\);_(* &quot;-&quot;??_);_(@_)"/>
    <numFmt numFmtId="166" formatCode="_-* #,##0_-;\-* #,##0_-;_-* &quot;-&quot;_-;_-@_-"/>
    <numFmt numFmtId="167" formatCode="0_)"/>
    <numFmt numFmtId="168" formatCode="#,##0\ &quot;DM&quot;;\-#,##0\ &quot;DM&quot;"/>
    <numFmt numFmtId="169" formatCode="0.000%"/>
    <numFmt numFmtId="170" formatCode="&quot;\&quot;#,##0;[Red]&quot;\&quot;\-#,##0"/>
    <numFmt numFmtId="171" formatCode="&quot;\&quot;#,##0.00;[Red]&quot;\&quot;\-#,##0.00"/>
    <numFmt numFmtId="172" formatCode="\$#,##0\ ;\(\$#,##0\)"/>
    <numFmt numFmtId="173" formatCode="_ * #,##0_ ;_ * \-#,##0_ ;_ * &quot;-&quot;_ ;_ @_ "/>
    <numFmt numFmtId="174" formatCode="_ * #,##0.00_ ;_ * \-#,##0.00_ ;_ * &quot;-&quot;??_ ;_ @_ "/>
    <numFmt numFmtId="175" formatCode="_-* #,##0\ &quot;DM&quot;_-;\-* #,##0\ &quot;DM&quot;_-;_-* &quot;-&quot;\ &quot;DM&quot;_-;_-@_-"/>
    <numFmt numFmtId="176" formatCode="_-* #,##0\ _D_M_-;\-* #,##0\ _D_M_-;_-* &quot;-&quot;\ _D_M_-;_-@_-"/>
    <numFmt numFmtId="177" formatCode="_-* #,##0.00\ &quot;DM&quot;_-;\-* #,##0.00\ &quot;DM&quot;_-;_-* &quot;-&quot;??\ &quot;DM&quot;_-;_-@_-"/>
    <numFmt numFmtId="178" formatCode="_-* #,##0.00\ _D_M_-;\-* #,##0.00\ _D_M_-;_-* &quot;-&quot;??\ _D_M_-;_-@_-"/>
    <numFmt numFmtId="179" formatCode="#."/>
  </numFmts>
  <fonts count="64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sz val="1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70C0"/>
      <name val="Arial"/>
      <family val="2"/>
    </font>
    <font>
      <sz val="12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1"/>
      <charset val="2"/>
    </font>
    <font>
      <u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name val="VNI-Times"/>
    </font>
    <font>
      <sz val="8"/>
      <name val="VNI-Helve"/>
    </font>
    <font>
      <sz val="10"/>
      <name val="Times New Roman"/>
      <family val="1"/>
    </font>
    <font>
      <sz val="11"/>
      <name val="??"/>
      <family val="3"/>
    </font>
    <font>
      <sz val="10"/>
      <name val=".VnArial"/>
      <family val="2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1"/>
      <name val="–¾’©"/>
      <family val="1"/>
      <charset val="128"/>
    </font>
    <font>
      <b/>
      <sz val="12"/>
      <name val="Arial"/>
      <family val="2"/>
    </font>
    <font>
      <b/>
      <sz val="18"/>
      <name val="Arial"/>
      <family val="2"/>
    </font>
    <font>
      <b/>
      <sz val="1"/>
      <color indexed="8"/>
      <name val="Courier"/>
      <family val="3"/>
    </font>
    <font>
      <sz val="16"/>
      <name val="AngsanaUPC"/>
      <family val="3"/>
    </font>
    <font>
      <sz val="14"/>
      <name val="뼻뮝"/>
      <family val="3"/>
      <charset val="129"/>
    </font>
    <font>
      <sz val="12"/>
      <name val="뼻뮝"/>
      <family val="1"/>
      <charset val="129"/>
    </font>
    <font>
      <sz val="12"/>
      <name val="바탕체"/>
      <family val="1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0"/>
      <name val="Courier"/>
      <family val="3"/>
    </font>
    <font>
      <sz val="10"/>
      <name val="Arial"/>
      <family val="2"/>
      <charset val="163"/>
    </font>
    <font>
      <sz val="9"/>
      <name val="Arial"/>
      <family val="2"/>
      <charset val="163"/>
    </font>
    <font>
      <sz val="11"/>
      <color theme="1"/>
      <name val="Arial"/>
      <family val="2"/>
    </font>
    <font>
      <u/>
      <sz val="11"/>
      <color theme="10"/>
      <name val="Calibri"/>
      <family val="2"/>
    </font>
    <font>
      <sz val="10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5"/>
      </patternFill>
    </fill>
  </fills>
  <borders count="3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rgb="FF7F7F7F"/>
      </left>
      <right/>
      <top style="thin">
        <color rgb="FF7F7F7F"/>
      </top>
      <bottom/>
      <diagonal/>
    </border>
    <border>
      <left/>
      <right/>
      <top style="medium">
        <color rgb="FF7F7F7F"/>
      </top>
      <bottom/>
      <diagonal/>
    </border>
    <border>
      <left style="thin">
        <color rgb="FF7F7F7F"/>
      </left>
      <right/>
      <top style="thin">
        <color theme="0" tint="-0.499984740745262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/>
      <diagonal/>
    </border>
    <border>
      <left/>
      <right style="thin">
        <color rgb="FF7F7F7F"/>
      </right>
      <top style="thin">
        <color theme="0" tint="-0.499984740745262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8">
    <xf numFmtId="0" fontId="0" fillId="0" borderId="0"/>
    <xf numFmtId="0" fontId="1" fillId="2" borderId="1" applyNumberFormat="0" applyAlignment="0" applyProtection="0"/>
    <xf numFmtId="0" fontId="17" fillId="0" borderId="0"/>
    <xf numFmtId="0" fontId="20" fillId="0" borderId="0"/>
    <xf numFmtId="0" fontId="24" fillId="0" borderId="0"/>
    <xf numFmtId="164" fontId="17" fillId="0" borderId="0" applyFont="0" applyFill="0" applyBorder="0" applyAlignment="0" applyProtection="0"/>
    <xf numFmtId="0" fontId="28" fillId="0" borderId="0"/>
    <xf numFmtId="0" fontId="24" fillId="0" borderId="0"/>
    <xf numFmtId="0" fontId="37" fillId="0" borderId="0"/>
    <xf numFmtId="169" fontId="40" fillId="0" borderId="0" applyFont="0" applyFill="0" applyBorder="0" applyAlignment="0" applyProtection="0"/>
    <xf numFmtId="44" fontId="41" fillId="0" borderId="0" applyFont="0" applyFill="0" applyBorder="0" applyAlignment="0" applyProtection="0"/>
    <xf numFmtId="168" fontId="40" fillId="0" borderId="0" applyFont="0" applyFill="0" applyBorder="0" applyAlignment="0" applyProtection="0"/>
    <xf numFmtId="174" fontId="41" fillId="0" borderId="0" applyFont="0" applyFill="0" applyBorder="0" applyAlignment="0" applyProtection="0"/>
    <xf numFmtId="173" fontId="41" fillId="0" borderId="0" applyFont="0" applyFill="0" applyBorder="0" applyAlignment="0" applyProtection="0"/>
    <xf numFmtId="166" fontId="42" fillId="0" borderId="0" applyFont="0" applyFill="0" applyBorder="0" applyAlignment="0" applyProtection="0"/>
    <xf numFmtId="9" fontId="43" fillId="0" borderId="0" applyFont="0" applyFill="0" applyBorder="0" applyAlignment="0" applyProtection="0"/>
    <xf numFmtId="0" fontId="44" fillId="0" borderId="0"/>
    <xf numFmtId="0" fontId="45" fillId="0" borderId="0"/>
    <xf numFmtId="0" fontId="45" fillId="0" borderId="0"/>
    <xf numFmtId="0" fontId="45" fillId="0" borderId="0"/>
    <xf numFmtId="3" fontId="28" fillId="0" borderId="0" applyFont="0" applyFill="0" applyBorder="0" applyAlignment="0" applyProtection="0"/>
    <xf numFmtId="172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176" fontId="28" fillId="0" borderId="0" applyFont="0" applyFill="0" applyBorder="0" applyAlignment="0" applyProtection="0"/>
    <xf numFmtId="178" fontId="28" fillId="0" borderId="0" applyFont="0" applyFill="0" applyBorder="0" applyAlignment="0" applyProtection="0"/>
    <xf numFmtId="2" fontId="28" fillId="0" borderId="0" applyFont="0" applyFill="0" applyBorder="0" applyAlignment="0" applyProtection="0"/>
    <xf numFmtId="0" fontId="46" fillId="0" borderId="14" applyNumberFormat="0" applyAlignment="0" applyProtection="0">
      <alignment horizontal="left" vertical="center"/>
    </xf>
    <xf numFmtId="0" fontId="46" fillId="0" borderId="5">
      <alignment horizontal="left" vertical="center"/>
    </xf>
    <xf numFmtId="0" fontId="47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79" fontId="48" fillId="0" borderId="0">
      <protection locked="0"/>
    </xf>
    <xf numFmtId="179" fontId="48" fillId="0" borderId="0">
      <protection locked="0"/>
    </xf>
    <xf numFmtId="0" fontId="28" fillId="0" borderId="0" applyFont="0" applyFill="0" applyBorder="0" applyAlignment="0" applyProtection="0"/>
    <xf numFmtId="0" fontId="39" fillId="0" borderId="0"/>
    <xf numFmtId="9" fontId="24" fillId="0" borderId="0" applyFont="0" applyFill="0" applyBorder="0" applyAlignment="0" applyProtection="0"/>
    <xf numFmtId="0" fontId="28" fillId="0" borderId="15" applyNumberFormat="0" applyFont="0" applyFill="0" applyAlignment="0" applyProtection="0"/>
    <xf numFmtId="0" fontId="38" fillId="0" borderId="0"/>
    <xf numFmtId="175" fontId="28" fillId="0" borderId="0" applyFont="0" applyFill="0" applyBorder="0" applyAlignment="0" applyProtection="0"/>
    <xf numFmtId="177" fontId="28" fillId="0" borderId="0" applyFont="0" applyFill="0" applyBorder="0" applyAlignment="0" applyProtection="0"/>
    <xf numFmtId="42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0" fontId="49" fillId="0" borderId="0"/>
    <xf numFmtId="40" fontId="50" fillId="0" borderId="0" applyFont="0" applyFill="0" applyBorder="0" applyAlignment="0" applyProtection="0"/>
    <xf numFmtId="38" fontId="50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50" fillId="0" borderId="0" applyFont="0" applyFill="0" applyBorder="0" applyAlignment="0" applyProtection="0"/>
    <xf numFmtId="10" fontId="28" fillId="0" borderId="0" applyFont="0" applyFill="0" applyBorder="0" applyAlignment="0" applyProtection="0"/>
    <xf numFmtId="0" fontId="51" fillId="0" borderId="0"/>
    <xf numFmtId="0" fontId="52" fillId="0" borderId="0" applyFont="0" applyFill="0" applyBorder="0" applyAlignment="0" applyProtection="0"/>
    <xf numFmtId="0" fontId="52" fillId="0" borderId="0" applyFont="0" applyFill="0" applyBorder="0" applyAlignment="0" applyProtection="0"/>
    <xf numFmtId="171" fontId="53" fillId="0" borderId="0" applyFont="0" applyFill="0" applyBorder="0" applyAlignment="0" applyProtection="0"/>
    <xf numFmtId="170" fontId="53" fillId="0" borderId="0" applyFont="0" applyFill="0" applyBorder="0" applyAlignment="0" applyProtection="0"/>
    <xf numFmtId="0" fontId="54" fillId="0" borderId="0"/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167" fontId="55" fillId="0" borderId="0"/>
    <xf numFmtId="44" fontId="28" fillId="0" borderId="0" applyFont="0" applyFill="0" applyBorder="0" applyAlignment="0" applyProtection="0"/>
    <xf numFmtId="42" fontId="28" fillId="0" borderId="0" applyFont="0" applyFill="0" applyBorder="0" applyAlignment="0" applyProtection="0"/>
    <xf numFmtId="0" fontId="34" fillId="0" borderId="0"/>
    <xf numFmtId="0" fontId="28" fillId="0" borderId="0"/>
    <xf numFmtId="0" fontId="24" fillId="0" borderId="0"/>
    <xf numFmtId="43" fontId="56" fillId="0" borderId="0" applyFont="0" applyFill="0" applyBorder="0" applyAlignment="0" applyProtection="0"/>
    <xf numFmtId="0" fontId="17" fillId="0" borderId="0"/>
    <xf numFmtId="0" fontId="34" fillId="0" borderId="0"/>
    <xf numFmtId="9" fontId="56" fillId="0" borderId="0" applyFont="0" applyFill="0" applyBorder="0" applyAlignment="0" applyProtection="0"/>
    <xf numFmtId="43" fontId="57" fillId="0" borderId="0" applyFont="0" applyFill="0" applyBorder="0" applyAlignment="0" applyProtection="0"/>
    <xf numFmtId="0" fontId="58" fillId="0" borderId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9" fontId="35" fillId="9" borderId="0" applyFont="0" applyFill="0" applyBorder="0" applyAlignment="0" applyProtection="0"/>
    <xf numFmtId="9" fontId="34" fillId="0" borderId="0" applyFont="0" applyFill="0" applyBorder="0" applyAlignment="0" applyProtection="0"/>
    <xf numFmtId="0" fontId="28" fillId="0" borderId="0"/>
    <xf numFmtId="0" fontId="28" fillId="0" borderId="0"/>
    <xf numFmtId="0" fontId="34" fillId="0" borderId="0"/>
    <xf numFmtId="9" fontId="57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</cellStyleXfs>
  <cellXfs count="139">
    <xf numFmtId="0" fontId="0" fillId="0" borderId="0" xfId="0"/>
    <xf numFmtId="0" fontId="2" fillId="0" borderId="0" xfId="0" applyFont="1"/>
    <xf numFmtId="0" fontId="2" fillId="3" borderId="0" xfId="0" applyFont="1" applyFill="1"/>
    <xf numFmtId="0" fontId="2" fillId="6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right" vertical="center"/>
    </xf>
    <xf numFmtId="0" fontId="13" fillId="7" borderId="11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right" vertical="center"/>
    </xf>
    <xf numFmtId="0" fontId="2" fillId="6" borderId="11" xfId="0" applyFont="1" applyFill="1" applyBorder="1" applyAlignment="1">
      <alignment horizontal="center"/>
    </xf>
    <xf numFmtId="0" fontId="11" fillId="6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 wrapText="1"/>
    </xf>
    <xf numFmtId="0" fontId="13" fillId="7" borderId="0" xfId="0" applyFont="1" applyFill="1" applyAlignment="1">
      <alignment horizontal="center"/>
    </xf>
    <xf numFmtId="0" fontId="13" fillId="7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/>
    </xf>
    <xf numFmtId="0" fontId="15" fillId="6" borderId="0" xfId="0" applyFont="1" applyFill="1" applyAlignment="1">
      <alignment horizontal="center" vertical="center"/>
    </xf>
    <xf numFmtId="0" fontId="28" fillId="6" borderId="3" xfId="4" applyFont="1" applyFill="1" applyBorder="1" applyAlignment="1">
      <alignment vertical="center"/>
    </xf>
    <xf numFmtId="0" fontId="28" fillId="6" borderId="4" xfId="4" applyFont="1" applyFill="1" applyBorder="1" applyAlignment="1">
      <alignment vertical="center"/>
    </xf>
    <xf numFmtId="0" fontId="28" fillId="6" borderId="3" xfId="4" applyFont="1" applyFill="1" applyBorder="1" applyAlignment="1">
      <alignment horizontal="center" vertical="center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right" vertical="top"/>
    </xf>
    <xf numFmtId="0" fontId="5" fillId="6" borderId="0" xfId="0" applyFont="1" applyFill="1" applyAlignment="1">
      <alignment vertical="top"/>
    </xf>
    <xf numFmtId="0" fontId="2" fillId="6" borderId="0" xfId="0" applyFont="1" applyFill="1"/>
    <xf numFmtId="0" fontId="6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6" fillId="6" borderId="0" xfId="0" applyFont="1" applyFill="1" applyAlignment="1">
      <alignment horizontal="center" vertical="center"/>
    </xf>
    <xf numFmtId="0" fontId="7" fillId="6" borderId="0" xfId="0" applyFont="1" applyFill="1"/>
    <xf numFmtId="1" fontId="2" fillId="6" borderId="0" xfId="0" applyNumberFormat="1" applyFont="1" applyFill="1" applyAlignment="1">
      <alignment horizontal="center" vertical="center"/>
    </xf>
    <xf numFmtId="0" fontId="6" fillId="6" borderId="0" xfId="0" applyFont="1" applyFill="1"/>
    <xf numFmtId="1" fontId="11" fillId="6" borderId="0" xfId="0" applyNumberFormat="1" applyFont="1" applyFill="1" applyAlignment="1">
      <alignment horizontal="center" vertical="center"/>
    </xf>
    <xf numFmtId="164" fontId="6" fillId="6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left" indent="1"/>
    </xf>
    <xf numFmtId="0" fontId="2" fillId="6" borderId="0" xfId="0" applyFont="1" applyFill="1" applyAlignment="1">
      <alignment horizontal="left" vertical="center"/>
    </xf>
    <xf numFmtId="2" fontId="6" fillId="6" borderId="0" xfId="0" applyNumberFormat="1" applyFont="1" applyFill="1" applyAlignment="1">
      <alignment horizontal="right" vertical="center"/>
    </xf>
    <xf numFmtId="0" fontId="5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left" vertical="top" indent="2"/>
    </xf>
    <xf numFmtId="0" fontId="32" fillId="6" borderId="0" xfId="0" applyFont="1" applyFill="1" applyAlignment="1">
      <alignment horizontal="right" vertical="center"/>
    </xf>
    <xf numFmtId="164" fontId="11" fillId="6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6" borderId="0" xfId="0" applyFont="1" applyFill="1" applyAlignment="1">
      <alignment horizontal="right" vertical="center"/>
    </xf>
    <xf numFmtId="11" fontId="11" fillId="6" borderId="0" xfId="0" applyNumberFormat="1" applyFont="1" applyFill="1" applyAlignment="1">
      <alignment horizontal="center" vertical="center"/>
    </xf>
    <xf numFmtId="1" fontId="2" fillId="6" borderId="0" xfId="0" applyNumberFormat="1" applyFont="1" applyFill="1" applyAlignment="1">
      <alignment horizontal="left" vertical="center"/>
    </xf>
    <xf numFmtId="0" fontId="11" fillId="6" borderId="0" xfId="0" applyFont="1" applyFill="1" applyAlignment="1">
      <alignment horizontal="left" vertical="center"/>
    </xf>
    <xf numFmtId="0" fontId="2" fillId="0" borderId="17" xfId="0" applyFont="1" applyBorder="1"/>
    <xf numFmtId="0" fontId="13" fillId="7" borderId="7" xfId="0" applyFont="1" applyFill="1" applyBorder="1" applyAlignment="1">
      <alignment horizontal="center"/>
    </xf>
    <xf numFmtId="0" fontId="18" fillId="7" borderId="18" xfId="2" applyFont="1" applyFill="1" applyBorder="1" applyAlignment="1">
      <alignment horizontal="center" vertical="center" wrapText="1"/>
    </xf>
    <xf numFmtId="0" fontId="21" fillId="8" borderId="18" xfId="3" applyFont="1" applyFill="1" applyBorder="1" applyAlignment="1">
      <alignment horizontal="center" vertical="center"/>
    </xf>
    <xf numFmtId="0" fontId="11" fillId="6" borderId="17" xfId="0" applyFont="1" applyFill="1" applyBorder="1" applyAlignment="1">
      <alignment horizontal="center" vertical="center"/>
    </xf>
    <xf numFmtId="0" fontId="15" fillId="6" borderId="17" xfId="0" applyFont="1" applyFill="1" applyBorder="1" applyAlignment="1">
      <alignment horizontal="center" vertical="center"/>
    </xf>
    <xf numFmtId="0" fontId="13" fillId="7" borderId="20" xfId="0" applyFont="1" applyFill="1" applyBorder="1" applyAlignment="1">
      <alignment horizontal="center"/>
    </xf>
    <xf numFmtId="0" fontId="2" fillId="3" borderId="17" xfId="0" applyFont="1" applyFill="1" applyBorder="1"/>
    <xf numFmtId="0" fontId="22" fillId="8" borderId="18" xfId="0" applyFont="1" applyFill="1" applyBorder="1" applyAlignment="1">
      <alignment horizontal="center" vertical="center"/>
    </xf>
    <xf numFmtId="0" fontId="22" fillId="8" borderId="18" xfId="0" applyFont="1" applyFill="1" applyBorder="1" applyAlignment="1">
      <alignment vertical="center"/>
    </xf>
    <xf numFmtId="0" fontId="21" fillId="8" borderId="18" xfId="4" applyFont="1" applyFill="1" applyBorder="1" applyAlignment="1">
      <alignment horizontal="center" vertical="center"/>
    </xf>
    <xf numFmtId="0" fontId="28" fillId="6" borderId="13" xfId="4" applyFont="1" applyFill="1" applyBorder="1" applyAlignment="1">
      <alignment vertical="center"/>
    </xf>
    <xf numFmtId="0" fontId="2" fillId="0" borderId="18" xfId="0" applyFont="1" applyBorder="1"/>
    <xf numFmtId="0" fontId="11" fillId="6" borderId="18" xfId="0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0" fontId="15" fillId="6" borderId="18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18" fillId="7" borderId="18" xfId="2" applyFont="1" applyFill="1" applyBorder="1" applyAlignment="1">
      <alignment vertical="center"/>
    </xf>
    <xf numFmtId="0" fontId="28" fillId="6" borderId="16" xfId="4" applyFont="1" applyFill="1" applyBorder="1" applyAlignment="1">
      <alignment vertical="center"/>
    </xf>
    <xf numFmtId="0" fontId="4" fillId="6" borderId="18" xfId="0" applyFont="1" applyFill="1" applyBorder="1" applyAlignment="1">
      <alignment horizontal="center"/>
    </xf>
    <xf numFmtId="1" fontId="2" fillId="6" borderId="18" xfId="0" applyNumberFormat="1" applyFont="1" applyFill="1" applyBorder="1" applyAlignment="1">
      <alignment horizontal="center" vertical="center"/>
    </xf>
    <xf numFmtId="0" fontId="28" fillId="6" borderId="18" xfId="3" applyFont="1" applyFill="1" applyBorder="1" applyAlignment="1">
      <alignment horizontal="left" vertical="center"/>
    </xf>
    <xf numFmtId="0" fontId="28" fillId="6" borderId="18" xfId="3" applyFont="1" applyFill="1" applyBorder="1" applyAlignment="1">
      <alignment horizontal="center" vertical="center"/>
    </xf>
    <xf numFmtId="0" fontId="28" fillId="6" borderId="18" xfId="4" applyFont="1" applyFill="1" applyBorder="1" applyAlignment="1">
      <alignment vertical="center"/>
    </xf>
    <xf numFmtId="0" fontId="29" fillId="0" borderId="21" xfId="2" applyFont="1" applyBorder="1" applyAlignment="1" applyProtection="1">
      <alignment horizontal="center" vertical="center"/>
      <protection hidden="1"/>
    </xf>
    <xf numFmtId="0" fontId="0" fillId="0" borderId="18" xfId="0" applyBorder="1" applyAlignment="1">
      <alignment horizontal="center" vertical="center"/>
    </xf>
    <xf numFmtId="165" fontId="28" fillId="0" borderId="18" xfId="5" applyNumberFormat="1" applyFont="1" applyBorder="1" applyAlignment="1" applyProtection="1">
      <alignment horizontal="center" vertical="center"/>
      <protection hidden="1"/>
    </xf>
    <xf numFmtId="164" fontId="28" fillId="0" borderId="18" xfId="2" applyNumberFormat="1" applyFont="1" applyBorder="1" applyAlignment="1" applyProtection="1">
      <alignment horizontal="center" vertical="center"/>
      <protection hidden="1"/>
    </xf>
    <xf numFmtId="2" fontId="28" fillId="0" borderId="18" xfId="2" applyNumberFormat="1" applyFont="1" applyBorder="1" applyAlignment="1" applyProtection="1">
      <alignment horizontal="center" vertical="center"/>
      <protection hidden="1"/>
    </xf>
    <xf numFmtId="0" fontId="30" fillId="6" borderId="18" xfId="6" applyFont="1" applyFill="1" applyBorder="1" applyAlignment="1" applyProtection="1">
      <alignment horizontal="center" vertical="center"/>
      <protection hidden="1"/>
    </xf>
    <xf numFmtId="0" fontId="2" fillId="0" borderId="19" xfId="0" applyFont="1" applyBorder="1"/>
    <xf numFmtId="0" fontId="0" fillId="6" borderId="18" xfId="0" applyFill="1" applyBorder="1" applyAlignment="1">
      <alignment horizontal="center" vertical="center"/>
    </xf>
    <xf numFmtId="0" fontId="28" fillId="6" borderId="18" xfId="4" applyFont="1" applyFill="1" applyBorder="1" applyAlignment="1">
      <alignment horizontal="left" vertical="center"/>
    </xf>
    <xf numFmtId="0" fontId="28" fillId="6" borderId="18" xfId="7" applyFont="1" applyFill="1" applyBorder="1" applyAlignment="1">
      <alignment horizontal="left" vertical="center"/>
    </xf>
    <xf numFmtId="0" fontId="2" fillId="0" borderId="22" xfId="0" applyFont="1" applyBorder="1"/>
    <xf numFmtId="0" fontId="28" fillId="6" borderId="6" xfId="4" applyFont="1" applyFill="1" applyBorder="1" applyAlignment="1">
      <alignment vertical="center"/>
    </xf>
    <xf numFmtId="1" fontId="28" fillId="6" borderId="18" xfId="4" applyNumberFormat="1" applyFont="1" applyFill="1" applyBorder="1" applyAlignment="1">
      <alignment vertical="center"/>
    </xf>
    <xf numFmtId="1" fontId="28" fillId="6" borderId="18" xfId="4" applyNumberFormat="1" applyFont="1" applyFill="1" applyBorder="1" applyAlignment="1">
      <alignment horizontal="center" vertical="center"/>
    </xf>
    <xf numFmtId="0" fontId="28" fillId="6" borderId="13" xfId="4" applyFont="1" applyFill="1" applyBorder="1" applyAlignment="1">
      <alignment horizontal="center" vertical="center"/>
    </xf>
    <xf numFmtId="0" fontId="28" fillId="6" borderId="16" xfId="4" applyFont="1" applyFill="1" applyBorder="1" applyAlignment="1">
      <alignment horizontal="center" vertical="center"/>
    </xf>
    <xf numFmtId="0" fontId="28" fillId="6" borderId="18" xfId="4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vertical="center"/>
    </xf>
    <xf numFmtId="0" fontId="2" fillId="6" borderId="18" xfId="0" applyFont="1" applyFill="1" applyBorder="1" applyAlignment="1">
      <alignment horizontal="left" indent="1"/>
    </xf>
    <xf numFmtId="0" fontId="2" fillId="6" borderId="19" xfId="0" applyFont="1" applyFill="1" applyBorder="1" applyAlignment="1">
      <alignment vertical="top"/>
    </xf>
    <xf numFmtId="0" fontId="2" fillId="6" borderId="17" xfId="0" applyFont="1" applyFill="1" applyBorder="1" applyAlignment="1">
      <alignment horizontal="left" vertical="top" indent="2"/>
    </xf>
    <xf numFmtId="0" fontId="2" fillId="6" borderId="17" xfId="0" applyFont="1" applyFill="1" applyBorder="1" applyAlignment="1">
      <alignment horizontal="left" indent="1"/>
    </xf>
    <xf numFmtId="0" fontId="2" fillId="6" borderId="17" xfId="0" applyFont="1" applyFill="1" applyBorder="1"/>
    <xf numFmtId="0" fontId="36" fillId="6" borderId="17" xfId="0" applyFont="1" applyFill="1" applyBorder="1" applyAlignment="1">
      <alignment horizontal="left" vertical="top" indent="1"/>
    </xf>
    <xf numFmtId="0" fontId="6" fillId="6" borderId="0" xfId="0" applyFont="1" applyFill="1" applyAlignment="1" applyProtection="1">
      <alignment horizontal="center" vertical="center"/>
      <protection locked="0"/>
    </xf>
    <xf numFmtId="0" fontId="2" fillId="6" borderId="24" xfId="0" applyFont="1" applyFill="1" applyBorder="1" applyAlignment="1">
      <alignment horizontal="left" vertical="top" indent="2"/>
    </xf>
    <xf numFmtId="0" fontId="5" fillId="6" borderId="25" xfId="0" applyFont="1" applyFill="1" applyBorder="1" applyAlignment="1">
      <alignment horizontal="left" vertical="center"/>
    </xf>
    <xf numFmtId="0" fontId="2" fillId="6" borderId="25" xfId="0" applyFont="1" applyFill="1" applyBorder="1" applyAlignment="1">
      <alignment horizontal="right" vertical="center"/>
    </xf>
    <xf numFmtId="2" fontId="6" fillId="6" borderId="25" xfId="0" applyNumberFormat="1" applyFont="1" applyFill="1" applyBorder="1" applyAlignment="1">
      <alignment horizontal="right" vertical="center"/>
    </xf>
    <xf numFmtId="0" fontId="2" fillId="6" borderId="25" xfId="0" applyFont="1" applyFill="1" applyBorder="1" applyAlignment="1">
      <alignment horizontal="left" vertical="center"/>
    </xf>
    <xf numFmtId="0" fontId="2" fillId="6" borderId="25" xfId="0" applyFont="1" applyFill="1" applyBorder="1"/>
    <xf numFmtId="164" fontId="11" fillId="6" borderId="25" xfId="0" applyNumberFormat="1" applyFont="1" applyFill="1" applyBorder="1" applyAlignment="1">
      <alignment horizontal="center" vertical="center"/>
    </xf>
    <xf numFmtId="0" fontId="33" fillId="6" borderId="26" xfId="0" applyFont="1" applyFill="1" applyBorder="1" applyAlignment="1">
      <alignment horizontal="center" vertical="center"/>
    </xf>
    <xf numFmtId="1" fontId="31" fillId="2" borderId="16" xfId="1" applyNumberFormat="1" applyFont="1" applyBorder="1" applyAlignment="1">
      <alignment horizontal="center" vertical="center"/>
    </xf>
    <xf numFmtId="0" fontId="2" fillId="6" borderId="29" xfId="0" applyFont="1" applyFill="1" applyBorder="1" applyAlignment="1">
      <alignment vertical="top"/>
    </xf>
    <xf numFmtId="0" fontId="2" fillId="6" borderId="28" xfId="0" applyFont="1" applyFill="1" applyBorder="1" applyAlignment="1">
      <alignment vertical="top"/>
    </xf>
    <xf numFmtId="0" fontId="2" fillId="6" borderId="28" xfId="0" applyFont="1" applyFill="1" applyBorder="1"/>
    <xf numFmtId="0" fontId="2" fillId="6" borderId="28" xfId="0" applyFont="1" applyFill="1" applyBorder="1" applyAlignment="1">
      <alignment vertical="center"/>
    </xf>
    <xf numFmtId="0" fontId="2" fillId="6" borderId="30" xfId="0" applyFont="1" applyFill="1" applyBorder="1" applyAlignment="1">
      <alignment vertical="center"/>
    </xf>
    <xf numFmtId="0" fontId="2" fillId="6" borderId="0" xfId="0" applyFont="1" applyFill="1" applyAlignment="1">
      <alignment horizontal="right" vertical="center"/>
    </xf>
    <xf numFmtId="0" fontId="5" fillId="5" borderId="18" xfId="0" applyFont="1" applyFill="1" applyBorder="1" applyAlignment="1">
      <alignment horizontal="left" vertical="center"/>
    </xf>
    <xf numFmtId="0" fontId="5" fillId="5" borderId="19" xfId="0" applyFont="1" applyFill="1" applyBorder="1" applyAlignment="1">
      <alignment horizontal="left" vertical="center"/>
    </xf>
    <xf numFmtId="0" fontId="61" fillId="4" borderId="18" xfId="0" applyFont="1" applyFill="1" applyBorder="1" applyAlignment="1">
      <alignment horizontal="center" vertical="center"/>
    </xf>
    <xf numFmtId="0" fontId="61" fillId="4" borderId="19" xfId="0" applyFont="1" applyFill="1" applyBorder="1" applyAlignment="1">
      <alignment horizontal="center" vertical="center"/>
    </xf>
    <xf numFmtId="0" fontId="61" fillId="4" borderId="17" xfId="0" applyFont="1" applyFill="1" applyBorder="1" applyAlignment="1">
      <alignment horizontal="center" vertical="center"/>
    </xf>
    <xf numFmtId="0" fontId="61" fillId="4" borderId="0" xfId="0" applyFont="1" applyFill="1" applyAlignment="1">
      <alignment horizontal="center" vertical="center"/>
    </xf>
    <xf numFmtId="0" fontId="61" fillId="4" borderId="2" xfId="0" applyFont="1" applyFill="1" applyBorder="1" applyAlignment="1">
      <alignment horizontal="center" vertical="center"/>
    </xf>
    <xf numFmtId="0" fontId="62" fillId="5" borderId="19" xfId="0" applyFont="1" applyFill="1" applyBorder="1" applyAlignment="1">
      <alignment horizontal="center" vertical="center"/>
    </xf>
    <xf numFmtId="0" fontId="62" fillId="5" borderId="27" xfId="0" applyFont="1" applyFill="1" applyBorder="1" applyAlignment="1">
      <alignment horizontal="center" vertical="center"/>
    </xf>
    <xf numFmtId="0" fontId="62" fillId="5" borderId="2" xfId="0" applyFont="1" applyFill="1" applyBorder="1" applyAlignment="1">
      <alignment horizontal="center" vertical="center"/>
    </xf>
    <xf numFmtId="0" fontId="62" fillId="5" borderId="28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left" vertical="center"/>
    </xf>
    <xf numFmtId="0" fontId="5" fillId="5" borderId="8" xfId="0" applyFont="1" applyFill="1" applyBorder="1" applyAlignment="1">
      <alignment horizontal="left" vertical="center"/>
    </xf>
    <xf numFmtId="0" fontId="18" fillId="7" borderId="18" xfId="2" applyFont="1" applyFill="1" applyBorder="1" applyAlignment="1">
      <alignment horizontal="center" vertical="center"/>
    </xf>
    <xf numFmtId="0" fontId="18" fillId="7" borderId="18" xfId="2" applyFont="1" applyFill="1" applyBorder="1" applyAlignment="1">
      <alignment horizontal="center" vertical="center" wrapText="1"/>
    </xf>
    <xf numFmtId="0" fontId="18" fillId="7" borderId="17" xfId="2" applyFont="1" applyFill="1" applyBorder="1" applyAlignment="1">
      <alignment horizontal="center" vertical="center" wrapText="1"/>
    </xf>
    <xf numFmtId="0" fontId="18" fillId="7" borderId="0" xfId="2" applyFont="1" applyFill="1" applyAlignment="1">
      <alignment horizontal="center" vertical="center" wrapText="1"/>
    </xf>
    <xf numFmtId="0" fontId="13" fillId="7" borderId="18" xfId="0" applyFont="1" applyFill="1" applyBorder="1" applyAlignment="1">
      <alignment horizontal="center"/>
    </xf>
    <xf numFmtId="0" fontId="21" fillId="8" borderId="18" xfId="3" applyFont="1" applyFill="1" applyBorder="1" applyAlignment="1">
      <alignment horizontal="center" vertical="center"/>
    </xf>
    <xf numFmtId="0" fontId="21" fillId="8" borderId="19" xfId="3" applyFont="1" applyFill="1" applyBorder="1" applyAlignment="1">
      <alignment horizontal="center" vertical="center"/>
    </xf>
    <xf numFmtId="0" fontId="21" fillId="8" borderId="17" xfId="3" applyFont="1" applyFill="1" applyBorder="1" applyAlignment="1">
      <alignment horizontal="center" vertical="center"/>
    </xf>
    <xf numFmtId="0" fontId="21" fillId="8" borderId="0" xfId="3" applyFont="1" applyFill="1" applyAlignment="1">
      <alignment horizontal="center" vertical="center"/>
    </xf>
    <xf numFmtId="0" fontId="18" fillId="7" borderId="17" xfId="2" applyFont="1" applyFill="1" applyBorder="1" applyAlignment="1">
      <alignment horizontal="center" vertical="center"/>
    </xf>
    <xf numFmtId="0" fontId="13" fillId="7" borderId="10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wrapText="1"/>
    </xf>
    <xf numFmtId="0" fontId="13" fillId="7" borderId="8" xfId="0" applyFont="1" applyFill="1" applyBorder="1" applyAlignment="1">
      <alignment horizontal="center" wrapText="1"/>
    </xf>
    <xf numFmtId="0" fontId="13" fillId="7" borderId="9" xfId="0" applyFont="1" applyFill="1" applyBorder="1" applyAlignment="1">
      <alignment horizontal="center" wrapText="1"/>
    </xf>
    <xf numFmtId="0" fontId="13" fillId="7" borderId="0" xfId="0" applyFont="1" applyFill="1" applyAlignment="1">
      <alignment horizontal="center" wrapText="1"/>
    </xf>
    <xf numFmtId="0" fontId="13" fillId="7" borderId="0" xfId="0" applyFont="1" applyFill="1" applyAlignment="1">
      <alignment horizontal="center" vertical="center" wrapText="1"/>
    </xf>
    <xf numFmtId="0" fontId="13" fillId="7" borderId="7" xfId="0" applyFont="1" applyFill="1" applyBorder="1" applyAlignment="1">
      <alignment horizontal="center"/>
    </xf>
    <xf numFmtId="0" fontId="13" fillId="7" borderId="8" xfId="0" applyFont="1" applyFill="1" applyBorder="1" applyAlignment="1">
      <alignment horizontal="center"/>
    </xf>
    <xf numFmtId="0" fontId="13" fillId="7" borderId="10" xfId="0" applyFont="1" applyFill="1" applyBorder="1" applyAlignment="1">
      <alignment horizontal="center"/>
    </xf>
  </cellXfs>
  <cellStyles count="78">
    <cellStyle name="??" xfId="9" xr:uid="{FA1A6990-EF9B-4C58-929A-61412BDEC4D4}"/>
    <cellStyle name="?? [0.00]_List-dwg" xfId="10" xr:uid="{5A24329E-880D-4E48-826A-85F8183FCB15}"/>
    <cellStyle name="?? [0]" xfId="11" xr:uid="{99D8DCC1-A7F2-4302-AC41-DCA87FDBD033}"/>
    <cellStyle name="???? [0.00]_List-dwg" xfId="12" xr:uid="{86EC1A7A-B1A6-4599-B6CE-D607F3ED2AED}"/>
    <cellStyle name="????_List-dwg" xfId="13" xr:uid="{45182C20-7D3B-4926-AEAB-8BD16D374A62}"/>
    <cellStyle name="???[0]_Book1" xfId="14" xr:uid="{CE98831E-2E92-4697-8039-BF33F8A6D559}"/>
    <cellStyle name="???_95" xfId="15" xr:uid="{FBDEDF10-3EE8-48A3-A0A6-BC19A8B3CA24}"/>
    <cellStyle name="??_(????)??????" xfId="16" xr:uid="{B4BB122B-3CBE-4807-B413-FCD5E04AB93A}"/>
    <cellStyle name="•W?_Format" xfId="17" xr:uid="{11F7BC80-0196-4F37-BC4A-AF6F9BE920BD}"/>
    <cellStyle name="•W€_Format" xfId="19" xr:uid="{4A2D22DA-341A-47E1-8700-229623EE00FA}"/>
    <cellStyle name="•W_Format" xfId="18" xr:uid="{7A076C8F-8FC0-4772-B29E-59766A21DF4D}"/>
    <cellStyle name="Calculation" xfId="1" builtinId="22"/>
    <cellStyle name="Comma 2" xfId="5" xr:uid="{4C8E37E0-9979-4460-9A9C-8C26D6A365E3}"/>
    <cellStyle name="Comma 2 2" xfId="65" xr:uid="{80B26656-D8E9-47B2-BF93-ABE109B42127}"/>
    <cellStyle name="Comma 2 3" xfId="61" xr:uid="{6E3D0ED9-6A33-4AC0-8409-EA0CF92B7444}"/>
    <cellStyle name="Comma0" xfId="20" xr:uid="{E7AC4225-BB69-4DE1-92B0-719635086369}"/>
    <cellStyle name="Currency0" xfId="21" xr:uid="{6F0A1926-84BF-4198-A8C8-BE4C10BA8E07}"/>
    <cellStyle name="Date" xfId="22" xr:uid="{BA51B97A-615B-4187-AF37-F6136B1D20C5}"/>
    <cellStyle name="Dezimal [0]_UXO VII" xfId="23" xr:uid="{16830C10-F90F-4C85-9334-19522F9BA706}"/>
    <cellStyle name="Dezimal_UXO VII" xfId="24" xr:uid="{95F016AC-B2D2-4DC0-A80D-73EA2CF8B488}"/>
    <cellStyle name="Fixed" xfId="25" xr:uid="{32029F4D-A0F9-4950-AFAC-02BC9E82C12A}"/>
    <cellStyle name="Header1" xfId="26" xr:uid="{2D7D371E-8851-4F15-BC81-69D5CC425249}"/>
    <cellStyle name="Header2" xfId="27" xr:uid="{C5F9176A-851F-438D-830E-8F80256AB761}"/>
    <cellStyle name="Heading 1 2" xfId="28" xr:uid="{704A7498-237A-4478-812B-D72F0CC66E5E}"/>
    <cellStyle name="Heading 2 2" xfId="29" xr:uid="{4F5D74CD-55B0-4D0C-8CC1-04ADCEA4C32E}"/>
    <cellStyle name="Heading1" xfId="30" xr:uid="{C47F987A-E838-4C72-9FF2-824FB56ED7ED}"/>
    <cellStyle name="Heading2" xfId="31" xr:uid="{3088A3DB-D1DB-4EC1-9C32-6AB687112ECD}"/>
    <cellStyle name="Hyperlink 2" xfId="67" xr:uid="{ACFF0128-4A6C-427D-A37F-2A01C78C8BE6}"/>
    <cellStyle name="Normal" xfId="0" builtinId="0"/>
    <cellStyle name="Normal 10" xfId="75" xr:uid="{E58869DA-6882-48D6-844B-6E31122984D9}"/>
    <cellStyle name="Normal 11" xfId="77" xr:uid="{CA872D78-FAC1-40C7-A253-FD2747BC17FF}"/>
    <cellStyle name="Normal 12" xfId="60" xr:uid="{F89CC99D-04CD-49EC-B8B6-C49E43B4A1B0}"/>
    <cellStyle name="Normal 13" xfId="8" xr:uid="{80ECE95F-3CBB-490E-B0CD-D354E0EF77D0}"/>
    <cellStyle name="Normal 2" xfId="4" xr:uid="{83ECA522-9383-41FF-BBFD-61ED78E6EB0D}"/>
    <cellStyle name="Normal 2 2" xfId="7" xr:uid="{A7E8D24A-E79E-43DB-8257-BAFD7D9A3031}"/>
    <cellStyle name="Normal 2 2 2" xfId="62" xr:uid="{1559134F-2C38-4FCF-93D9-CF599540F206}"/>
    <cellStyle name="Normal 2 3" xfId="59" xr:uid="{53E65CCE-1F67-47E9-A690-A982C23134CE}"/>
    <cellStyle name="Normal 3" xfId="6" xr:uid="{AEAE9602-1DB1-426A-AE4F-EC6A331EBEED}"/>
    <cellStyle name="Normal 3 2" xfId="73" xr:uid="{F50EFD63-FDE6-4301-8C25-4C917DA92BC1}"/>
    <cellStyle name="Normal 3 3" xfId="63" xr:uid="{3C9D0F69-3960-4BFB-8CD9-AD4E9B8049F9}"/>
    <cellStyle name="Normal 4" xfId="68" xr:uid="{4A409C84-28A2-45E1-AFF0-9881CEBDE9F1}"/>
    <cellStyle name="Normal 5" xfId="2" xr:uid="{86766E27-4C22-4114-988A-4F802B084792}"/>
    <cellStyle name="Normal 5 2" xfId="71" xr:uid="{C36D3429-6880-49AC-BC49-330CAA1AD1E0}"/>
    <cellStyle name="Normal 6" xfId="66" xr:uid="{BE62EBFF-5C2C-4199-A12C-8A759E0C5B74}"/>
    <cellStyle name="Normal 7" xfId="58" xr:uid="{E2539581-5F92-4FC1-9DCA-D71949A0979A}"/>
    <cellStyle name="Normal 8" xfId="72" xr:uid="{7A5EDFE3-5E50-4474-9EF7-61C334A48689}"/>
    <cellStyle name="Normal 9" xfId="76" xr:uid="{77AC065F-00A3-4FE9-9F31-88F91F9C94F9}"/>
    <cellStyle name="Normal_Sheet3" xfId="3" xr:uid="{1E1984D7-42B2-43D7-86A8-82D0F3920ADB}"/>
    <cellStyle name="omma [0]_Mktg Prog" xfId="32" xr:uid="{10F9F1B7-E1B4-4B5C-8D65-C883C1A780E9}"/>
    <cellStyle name="ormal_Sheet1_1" xfId="33" xr:uid="{8AF0A1CE-C120-4FA0-A88F-30279D9B9F64}"/>
    <cellStyle name="Percent 2" xfId="34" xr:uid="{2A319DAE-A253-4141-8CCB-98CA0AB0EBB8}"/>
    <cellStyle name="Percent 2 2" xfId="64" xr:uid="{FE3EB1EB-2345-4C39-90FF-4403EBCE9C35}"/>
    <cellStyle name="Percent 2 3" xfId="74" xr:uid="{F6F00217-4676-44C7-AC73-6029DD162099}"/>
    <cellStyle name="Percent 3" xfId="70" xr:uid="{CBB989C7-698A-42C9-9C7C-7B760D076E9F}"/>
    <cellStyle name="Style 1" xfId="69" xr:uid="{45DFA1DD-7F68-442B-8BA6-4AA592EF55C8}"/>
    <cellStyle name="Total 2" xfId="35" xr:uid="{158EE49D-0C68-4DEA-8BB1-CDFC5043565A}"/>
    <cellStyle name="Vietnam 1" xfId="36" xr:uid="{FA11A810-3BE3-478D-B433-CC87B614CB3B}"/>
    <cellStyle name="Währung [0]_UXO VII" xfId="37" xr:uid="{A733EE56-BF6C-44D5-86DF-8F068A6C3567}"/>
    <cellStyle name="Währung_UXO VII" xfId="38" xr:uid="{CCDA1E2D-1775-432E-8BE7-1A64581578A5}"/>
    <cellStyle name="เครื่องหมายสกุลเงิน [0]_FTC_OFFER" xfId="39" xr:uid="{063994C0-BC6B-41FD-B517-B4E2EC8D830E}"/>
    <cellStyle name="เครื่องหมายสกุลเงิน_FTC_OFFER" xfId="40" xr:uid="{369BE0CE-715A-4F25-9482-8E08B5E15643}"/>
    <cellStyle name="ปกติ_FTC_OFFER" xfId="41" xr:uid="{C998602D-B867-428D-9968-C117E27F9F05}"/>
    <cellStyle name="똿뗦먛귟 [0.00]_PRODUCT DETAIL Q1" xfId="42" xr:uid="{1BD06041-6D28-4DB4-8A9D-136C504816FC}"/>
    <cellStyle name="똿뗦먛귟_PRODUCT DETAIL Q1" xfId="43" xr:uid="{291DF2ED-9FEC-4761-AA5C-10A157AD3D7D}"/>
    <cellStyle name="믅됞 [0.00]_PRODUCT DETAIL Q1" xfId="44" xr:uid="{64CCD663-99B0-4EB8-8BBD-2FAC697420EE}"/>
    <cellStyle name="믅됞_PRODUCT DETAIL Q1" xfId="45" xr:uid="{720BB2A5-E659-411B-83C1-0FEFB0C0B41B}"/>
    <cellStyle name="백분율_HOBONG" xfId="46" xr:uid="{9C38C80F-A3D7-4AF6-A15A-FEAAF500179C}"/>
    <cellStyle name="뷭?_BOOKSHIP" xfId="47" xr:uid="{F6FEBE7A-E448-4B77-948B-6F6465AD87B9}"/>
    <cellStyle name="콤마 [0]_ 비목별 월별기술 " xfId="48" xr:uid="{A20DD807-720D-4829-A4AC-04C3E434F698}"/>
    <cellStyle name="콤마_ 비목별 월별기술 " xfId="49" xr:uid="{714429F0-ED71-47EF-866A-9FC254CD03AD}"/>
    <cellStyle name="통화 [0]_1202" xfId="50" xr:uid="{6A5F0A8B-B8B2-46CA-A646-250FBD8D1CF7}"/>
    <cellStyle name="통화_1202" xfId="51" xr:uid="{3242E507-9768-4783-83BD-E8CAFAD974BA}"/>
    <cellStyle name="표준_(정보부문)월별인원계획" xfId="52" xr:uid="{7ECC9811-1E59-4DA3-9900-C18718895625}"/>
    <cellStyle name="桁区切り [0.00]_BE-BQ" xfId="53" xr:uid="{4B4EB084-0CD9-4B59-ADC3-7EE2844405CA}"/>
    <cellStyle name="桁区切り_BE-BQ" xfId="54" xr:uid="{1CBB1590-767F-40CA-B988-488F744B29CF}"/>
    <cellStyle name="標準_BE-BQ" xfId="55" xr:uid="{0C677233-3C67-4A51-9087-0DC3DA23A00C}"/>
    <cellStyle name="通貨 [0.00]_BE-BQ" xfId="56" xr:uid="{DEF3FC6C-258C-4BCB-8F02-A4F1023A0E48}"/>
    <cellStyle name="通貨_BE-BQ" xfId="57" xr:uid="{EFFFE663-3893-4574-A395-2F08EE7F6467}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248478</xdr:colOff>
          <xdr:row>30</xdr:row>
          <xdr:rowOff>107673</xdr:rowOff>
        </xdr:from>
        <xdr:to>
          <xdr:col>7</xdr:col>
          <xdr:colOff>10651</xdr:colOff>
          <xdr:row>38</xdr:row>
          <xdr:rowOff>41413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B400124-7245-405C-B187-CC28DBAA12F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ist" spid="_x0000_s1224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5042" t="6578" r="14286" b="2117"/>
            <a:stretch>
              <a:fillRect/>
            </a:stretch>
          </xdr:blipFill>
          <xdr:spPr>
            <a:xfrm>
              <a:off x="1971261" y="3669195"/>
              <a:ext cx="1741716" cy="1258957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0</xdr:row>
      <xdr:rowOff>219075</xdr:rowOff>
    </xdr:from>
    <xdr:to>
      <xdr:col>1</xdr:col>
      <xdr:colOff>1974952</xdr:colOff>
      <xdr:row>0</xdr:row>
      <xdr:rowOff>1186826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BCAB7A5-B01C-443F-8D7C-92B7A1E4B833}"/>
            </a:ext>
          </a:extLst>
        </xdr:cNvPr>
        <xdr:cNvGrpSpPr/>
      </xdr:nvGrpSpPr>
      <xdr:grpSpPr>
        <a:xfrm>
          <a:off x="1009650" y="219075"/>
          <a:ext cx="1574902" cy="967751"/>
          <a:chOff x="7967074" y="7319131"/>
          <a:chExt cx="1460885" cy="1118145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4F6D15D7-A6DD-164C-56B0-AC18F0A8E175}"/>
              </a:ext>
            </a:extLst>
          </xdr:cNvPr>
          <xdr:cNvGrpSpPr/>
        </xdr:nvGrpSpPr>
        <xdr:grpSpPr>
          <a:xfrm>
            <a:off x="7967074" y="7319131"/>
            <a:ext cx="646260" cy="1118145"/>
            <a:chOff x="7876837" y="7324144"/>
            <a:chExt cx="646260" cy="1118145"/>
          </a:xfrm>
        </xdr:grpSpPr>
        <xdr:pic>
          <xdr:nvPicPr>
            <xdr:cNvPr id="13" name="Picture 12">
              <a:extLst>
                <a:ext uri="{FF2B5EF4-FFF2-40B4-BE49-F238E27FC236}">
                  <a16:creationId xmlns:a16="http://schemas.microsoft.com/office/drawing/2014/main" id="{E1628F1B-F855-759B-B09B-8C7EFFE399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7906102" y="7524805"/>
              <a:ext cx="403394" cy="917484"/>
            </a:xfrm>
            <a:prstGeom prst="rect">
              <a:avLst/>
            </a:prstGeom>
          </xdr:spPr>
        </xdr:pic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A4B1E7A-0757-E28A-7F2B-DD876D3D2989}"/>
                </a:ext>
              </a:extLst>
            </xdr:cNvPr>
            <xdr:cNvSpPr txBox="1"/>
          </xdr:nvSpPr>
          <xdr:spPr>
            <a:xfrm>
              <a:off x="7876837" y="7845512"/>
              <a:ext cx="249684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sz="1000">
                  <a:solidFill>
                    <a:srgbClr val="0000FF"/>
                  </a:solidFill>
                </a:rPr>
                <a:t>1</a:t>
              </a:r>
            </a:p>
          </xdr:txBody>
        </xdr:sp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F129D660-0E15-59E0-7669-542E8E2B67B1}"/>
                </a:ext>
              </a:extLst>
            </xdr:cNvPr>
            <xdr:cNvSpPr txBox="1"/>
          </xdr:nvSpPr>
          <xdr:spPr>
            <a:xfrm>
              <a:off x="8282903" y="7765302"/>
              <a:ext cx="240194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sz="1000"/>
                <a:t>x</a:t>
              </a:r>
            </a:p>
          </xdr:txBody>
        </xdr: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1CA647C4-6019-56B9-811C-78FC9E797BE3}"/>
                </a:ext>
              </a:extLst>
            </xdr:cNvPr>
            <xdr:cNvSpPr txBox="1"/>
          </xdr:nvSpPr>
          <xdr:spPr>
            <a:xfrm>
              <a:off x="8042272" y="7324144"/>
              <a:ext cx="242695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sz="1000"/>
                <a:t>y</a:t>
              </a:r>
            </a:p>
          </xdr:txBody>
        </xdr:sp>
        <xdr:cxnSp macro="">
          <xdr:nvCxnSpPr>
            <xdr:cNvPr id="17" name="Straight Arrow Connector 16">
              <a:extLst>
                <a:ext uri="{FF2B5EF4-FFF2-40B4-BE49-F238E27FC236}">
                  <a16:creationId xmlns:a16="http://schemas.microsoft.com/office/drawing/2014/main" id="{5555422F-4FE2-3D3F-0416-50E25C1755DD}"/>
                </a:ext>
              </a:extLst>
            </xdr:cNvPr>
            <xdr:cNvCxnSpPr/>
          </xdr:nvCxnSpPr>
          <xdr:spPr bwMode="auto">
            <a:xfrm>
              <a:off x="8078992" y="8003305"/>
              <a:ext cx="378205" cy="0"/>
            </a:xfrm>
            <a:prstGeom prst="straightConnector1">
              <a:avLst/>
            </a:prstGeom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arrow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</xdr:cxnSp>
        <xdr:cxnSp macro="">
          <xdr:nvCxnSpPr>
            <xdr:cNvPr id="18" name="Straight Arrow Connector 17">
              <a:extLst>
                <a:ext uri="{FF2B5EF4-FFF2-40B4-BE49-F238E27FC236}">
                  <a16:creationId xmlns:a16="http://schemas.microsoft.com/office/drawing/2014/main" id="{20628804-DCAB-7207-5F2A-3F76982387B2}"/>
                </a:ext>
              </a:extLst>
            </xdr:cNvPr>
            <xdr:cNvCxnSpPr/>
          </xdr:nvCxnSpPr>
          <xdr:spPr bwMode="auto">
            <a:xfrm flipV="1">
              <a:off x="8073734" y="7379368"/>
              <a:ext cx="0" cy="335638"/>
            </a:xfrm>
            <a:prstGeom prst="straightConnector1">
              <a:avLst/>
            </a:prstGeom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arrow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</xdr:cxnSp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7B0906B5-B077-21E7-CB2C-D748F8AF0BA0}"/>
              </a:ext>
            </a:extLst>
          </xdr:cNvPr>
          <xdr:cNvGrpSpPr/>
        </xdr:nvGrpSpPr>
        <xdr:grpSpPr>
          <a:xfrm>
            <a:off x="8571899" y="7564855"/>
            <a:ext cx="856060" cy="841192"/>
            <a:chOff x="8571899" y="7564855"/>
            <a:chExt cx="856060" cy="841192"/>
          </a:xfrm>
        </xdr:grpSpPr>
        <xdr:sp macro="" textlink="">
          <xdr:nvSpPr>
            <xdr:cNvPr id="5" name="Down Arrow 81">
              <a:extLst>
                <a:ext uri="{FF2B5EF4-FFF2-40B4-BE49-F238E27FC236}">
                  <a16:creationId xmlns:a16="http://schemas.microsoft.com/office/drawing/2014/main" id="{4FBF73C1-8352-D05E-97F6-D807C20E2200}"/>
                </a:ext>
              </a:extLst>
            </xdr:cNvPr>
            <xdr:cNvSpPr/>
          </xdr:nvSpPr>
          <xdr:spPr bwMode="auto">
            <a:xfrm rot="16200000">
              <a:off x="9132722" y="7805057"/>
              <a:ext cx="71384" cy="381396"/>
            </a:xfrm>
            <a:prstGeom prst="downArrow">
              <a:avLst/>
            </a:prstGeom>
            <a:solidFill>
              <a:srgbClr val="FFC000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r>
                <a:rPr lang="en-US" sz="1100"/>
                <a:t> </a:t>
              </a:r>
            </a:p>
          </xdr:txBody>
        </xdr:sp>
        <xdr:sp macro="" textlink="">
          <xdr:nvSpPr>
            <xdr:cNvPr id="6" name="Curved Down Arrow 83">
              <a:extLst>
                <a:ext uri="{FF2B5EF4-FFF2-40B4-BE49-F238E27FC236}">
                  <a16:creationId xmlns:a16="http://schemas.microsoft.com/office/drawing/2014/main" id="{39F80B98-7AB0-C77C-CC75-677FA05F1D6B}"/>
                </a:ext>
              </a:extLst>
            </xdr:cNvPr>
            <xdr:cNvSpPr/>
          </xdr:nvSpPr>
          <xdr:spPr bwMode="auto">
            <a:xfrm rot="5225035">
              <a:off x="8954838" y="7944166"/>
              <a:ext cx="352806" cy="154379"/>
            </a:xfrm>
            <a:prstGeom prst="curvedDownArrow">
              <a:avLst/>
            </a:prstGeom>
            <a:solidFill>
              <a:srgbClr val="00B050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D3E3A6E2-BB31-F572-297E-20B00AD1228E}"/>
                </a:ext>
              </a:extLst>
            </xdr:cNvPr>
            <xdr:cNvSpPr/>
          </xdr:nvSpPr>
          <xdr:spPr bwMode="auto">
            <a:xfrm>
              <a:off x="8612544" y="7569868"/>
              <a:ext cx="371478" cy="836179"/>
            </a:xfrm>
            <a:prstGeom prst="rect">
              <a:avLst/>
            </a:prstGeom>
            <a:gradFill flip="none" rotWithShape="1">
              <a:gsLst>
                <a:gs pos="0">
                  <a:srgbClr val="FFC000">
                    <a:tint val="66000"/>
                    <a:satMod val="160000"/>
                  </a:srgbClr>
                </a:gs>
                <a:gs pos="50000">
                  <a:srgbClr val="FFC000">
                    <a:tint val="44500"/>
                    <a:satMod val="160000"/>
                  </a:srgbClr>
                </a:gs>
                <a:gs pos="100000">
                  <a:srgbClr val="FFC000">
                    <a:tint val="23500"/>
                    <a:satMod val="160000"/>
                  </a:srgbClr>
                </a:gs>
              </a:gsLst>
              <a:lin ang="0" scaled="1"/>
              <a:tileRect/>
            </a:gra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contourClr>
                <a:srgbClr val="FFFFFF"/>
              </a:contourClr>
            </a:sp3d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6EAF4C8A-8AA7-881A-7AB6-7CC12E4AAAD1}"/>
                </a:ext>
              </a:extLst>
            </xdr:cNvPr>
            <xdr:cNvSpPr txBox="1"/>
          </xdr:nvSpPr>
          <xdr:spPr>
            <a:xfrm>
              <a:off x="8754808" y="8246205"/>
              <a:ext cx="142209" cy="1373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800" b="1" i="1">
                  <a:latin typeface="Times New Roman" panose="02020603050405020304" pitchFamily="18" charset="0"/>
                  <a:cs typeface="Times New Roman" panose="02020603050405020304" pitchFamily="18" charset="0"/>
                </a:rPr>
                <a:t>V</a:t>
              </a:r>
              <a:endParaRPr lang="en-US" sz="800" b="1" i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9531824-F547-0037-313D-DA293B877DCA}"/>
                </a:ext>
              </a:extLst>
            </xdr:cNvPr>
            <xdr:cNvSpPr txBox="1"/>
          </xdr:nvSpPr>
          <xdr:spPr>
            <a:xfrm>
              <a:off x="9285750" y="7835519"/>
              <a:ext cx="142209" cy="1373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800" b="1" i="1">
                  <a:latin typeface="Times New Roman" panose="02020603050405020304" pitchFamily="18" charset="0"/>
                  <a:cs typeface="Times New Roman" panose="02020603050405020304" pitchFamily="18" charset="0"/>
                </a:rPr>
                <a:t>N</a:t>
              </a:r>
            </a:p>
          </xdr:txBody>
        </xdr:sp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D9D0F0E-D9FA-63DA-A3F7-A21DBBF431ED}"/>
                </a:ext>
              </a:extLst>
            </xdr:cNvPr>
            <xdr:cNvSpPr txBox="1"/>
          </xdr:nvSpPr>
          <xdr:spPr>
            <a:xfrm>
              <a:off x="9106031" y="8183147"/>
              <a:ext cx="142209" cy="1373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800" b="1" i="1">
                  <a:latin typeface="Times New Roman" panose="02020603050405020304" pitchFamily="18" charset="0"/>
                  <a:cs typeface="Times New Roman" panose="02020603050405020304" pitchFamily="18" charset="0"/>
                </a:rPr>
                <a:t>M</a:t>
              </a: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8A916523-91FB-C4AB-44EB-A1B700671282}"/>
                </a:ext>
              </a:extLst>
            </xdr:cNvPr>
            <xdr:cNvSpPr/>
          </xdr:nvSpPr>
          <xdr:spPr bwMode="auto">
            <a:xfrm>
              <a:off x="8571899" y="7564855"/>
              <a:ext cx="45719" cy="836179"/>
            </a:xfrm>
            <a:prstGeom prst="rect">
              <a:avLst/>
            </a:prstGeom>
            <a:solidFill>
              <a:srgbClr val="FF0000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" name="Down Arrow 80">
              <a:extLst>
                <a:ext uri="{FF2B5EF4-FFF2-40B4-BE49-F238E27FC236}">
                  <a16:creationId xmlns:a16="http://schemas.microsoft.com/office/drawing/2014/main" id="{D659CB8B-C440-E2E9-7584-BA7482E03EE0}"/>
                </a:ext>
              </a:extLst>
            </xdr:cNvPr>
            <xdr:cNvSpPr/>
          </xdr:nvSpPr>
          <xdr:spPr bwMode="auto">
            <a:xfrm rot="10800000">
              <a:off x="8658132" y="7975805"/>
              <a:ext cx="71371" cy="381463"/>
            </a:xfrm>
            <a:prstGeom prst="downArrow">
              <a:avLst/>
            </a:prstGeom>
            <a:solidFill>
              <a:srgbClr val="00B0F0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r>
                <a:rPr lang="en-US" sz="1100"/>
                <a:t> </a:t>
              </a:r>
            </a:p>
          </xdr:txBody>
        </xdr:sp>
      </xdr:grpSp>
    </xdr:grpSp>
    <xdr:clientData/>
  </xdr:twoCellAnchor>
  <xdr:twoCellAnchor>
    <xdr:from>
      <xdr:col>1</xdr:col>
      <xdr:colOff>342900</xdr:colOff>
      <xdr:row>1</xdr:row>
      <xdr:rowOff>161925</xdr:rowOff>
    </xdr:from>
    <xdr:to>
      <xdr:col>1</xdr:col>
      <xdr:colOff>2009763</xdr:colOff>
      <xdr:row>1</xdr:row>
      <xdr:rowOff>1116652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94120DE-D3B2-46E9-875F-8A1FE1EF4E65}"/>
            </a:ext>
          </a:extLst>
        </xdr:cNvPr>
        <xdr:cNvGrpSpPr/>
      </xdr:nvGrpSpPr>
      <xdr:grpSpPr>
        <a:xfrm>
          <a:off x="952500" y="1428750"/>
          <a:ext cx="1666863" cy="954727"/>
          <a:chOff x="10011882" y="6718882"/>
          <a:chExt cx="1553518" cy="1086112"/>
        </a:xfrm>
      </xdr:grpSpPr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D2FD5020-9210-5BF4-675C-603CDA82DAD8}"/>
              </a:ext>
            </a:extLst>
          </xdr:cNvPr>
          <xdr:cNvGrpSpPr/>
        </xdr:nvGrpSpPr>
        <xdr:grpSpPr>
          <a:xfrm>
            <a:off x="10011882" y="6718882"/>
            <a:ext cx="725384" cy="1086112"/>
            <a:chOff x="10011882" y="6738589"/>
            <a:chExt cx="725384" cy="1086112"/>
          </a:xfrm>
        </xdr:grpSpPr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CF04D1A2-E125-1128-66C8-7A59E3BD5C0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016408" y="6922428"/>
              <a:ext cx="532628" cy="902273"/>
            </a:xfrm>
            <a:prstGeom prst="rect">
              <a:avLst/>
            </a:prstGeom>
          </xdr:spPr>
        </xdr:pic>
        <xdr:grpSp>
          <xdr:nvGrpSpPr>
            <xdr:cNvPr id="31" name="Group 30">
              <a:extLst>
                <a:ext uri="{FF2B5EF4-FFF2-40B4-BE49-F238E27FC236}">
                  <a16:creationId xmlns:a16="http://schemas.microsoft.com/office/drawing/2014/main" id="{EA29F7F6-EF70-F854-12B4-A966F1EF583D}"/>
                </a:ext>
              </a:extLst>
            </xdr:cNvPr>
            <xdr:cNvGrpSpPr/>
          </xdr:nvGrpSpPr>
          <xdr:grpSpPr>
            <a:xfrm>
              <a:off x="10011882" y="6738589"/>
              <a:ext cx="725384" cy="678274"/>
              <a:chOff x="7798053" y="7324134"/>
              <a:chExt cx="725043" cy="690019"/>
            </a:xfrm>
          </xdr:grpSpPr>
          <xdr:sp macro="" textlink="">
            <xdr:nvSpPr>
              <xdr:cNvPr id="32" name="TextBox 31">
                <a:extLst>
                  <a:ext uri="{FF2B5EF4-FFF2-40B4-BE49-F238E27FC236}">
                    <a16:creationId xmlns:a16="http://schemas.microsoft.com/office/drawing/2014/main" id="{9AA64004-1BDA-F0DD-AE28-82107DE42064}"/>
                  </a:ext>
                </a:extLst>
              </xdr:cNvPr>
              <xdr:cNvSpPr txBox="1"/>
            </xdr:nvSpPr>
            <xdr:spPr>
              <a:xfrm>
                <a:off x="7798053" y="7645031"/>
                <a:ext cx="249683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1</a:t>
                </a:r>
              </a:p>
            </xdr:txBody>
          </xdr:sp>
          <xdr:sp macro="" textlink="">
            <xdr:nvSpPr>
              <xdr:cNvPr id="33" name="TextBox 32">
                <a:extLst>
                  <a:ext uri="{FF2B5EF4-FFF2-40B4-BE49-F238E27FC236}">
                    <a16:creationId xmlns:a16="http://schemas.microsoft.com/office/drawing/2014/main" id="{4545A9E8-17F8-0F23-AF3F-DEE80FAC9711}"/>
                  </a:ext>
                </a:extLst>
              </xdr:cNvPr>
              <xdr:cNvSpPr txBox="1"/>
            </xdr:nvSpPr>
            <xdr:spPr>
              <a:xfrm>
                <a:off x="8282903" y="7765302"/>
                <a:ext cx="240193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/>
                  <a:t>x</a:t>
                </a:r>
              </a:p>
            </xdr:txBody>
          </xdr:sp>
          <xdr:sp macro="" textlink="">
            <xdr:nvSpPr>
              <xdr:cNvPr id="34" name="TextBox 33">
                <a:extLst>
                  <a:ext uri="{FF2B5EF4-FFF2-40B4-BE49-F238E27FC236}">
                    <a16:creationId xmlns:a16="http://schemas.microsoft.com/office/drawing/2014/main" id="{5CB0E36E-3822-581E-459D-0EBF385C6C6F}"/>
                  </a:ext>
                </a:extLst>
              </xdr:cNvPr>
              <xdr:cNvSpPr txBox="1"/>
            </xdr:nvSpPr>
            <xdr:spPr>
              <a:xfrm>
                <a:off x="8042276" y="7324134"/>
                <a:ext cx="24269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/>
                  <a:t>y</a:t>
                </a:r>
              </a:p>
            </xdr:txBody>
          </xdr:sp>
          <xdr:cxnSp macro="">
            <xdr:nvCxnSpPr>
              <xdr:cNvPr id="35" name="Straight Arrow Connector 34">
                <a:extLst>
                  <a:ext uri="{FF2B5EF4-FFF2-40B4-BE49-F238E27FC236}">
                    <a16:creationId xmlns:a16="http://schemas.microsoft.com/office/drawing/2014/main" id="{9A74104E-CA6D-E1B5-25B7-253D69E73546}"/>
                  </a:ext>
                </a:extLst>
              </xdr:cNvPr>
              <xdr:cNvCxnSpPr/>
            </xdr:nvCxnSpPr>
            <xdr:spPr bwMode="auto">
              <a:xfrm>
                <a:off x="8078995" y="8003303"/>
                <a:ext cx="378204" cy="0"/>
              </a:xfrm>
              <a:prstGeom prst="straightConnector1">
                <a:avLst/>
              </a:prstGeom>
              <a:ln w="9525" cap="flat" cmpd="sng" algn="ctr">
                <a:solidFill>
                  <a:schemeClr val="accent2"/>
                </a:solidFill>
                <a:prstDash val="solid"/>
                <a:round/>
                <a:headEnd type="none" w="med" len="med"/>
                <a:tailEnd type="arrow" w="med" len="med"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</xdr:cxnSp>
          <xdr:cxnSp macro="">
            <xdr:nvCxnSpPr>
              <xdr:cNvPr id="36" name="Straight Arrow Connector 35">
                <a:extLst>
                  <a:ext uri="{FF2B5EF4-FFF2-40B4-BE49-F238E27FC236}">
                    <a16:creationId xmlns:a16="http://schemas.microsoft.com/office/drawing/2014/main" id="{ED7D46B5-1F8D-61B3-3007-85612437F00C}"/>
                  </a:ext>
                </a:extLst>
              </xdr:cNvPr>
              <xdr:cNvCxnSpPr/>
            </xdr:nvCxnSpPr>
            <xdr:spPr bwMode="auto">
              <a:xfrm flipV="1">
                <a:off x="8073738" y="7379359"/>
                <a:ext cx="0" cy="335637"/>
              </a:xfrm>
              <a:prstGeom prst="straightConnector1">
                <a:avLst/>
              </a:prstGeom>
              <a:ln w="9525" cap="flat" cmpd="sng" algn="ctr">
                <a:solidFill>
                  <a:schemeClr val="accent2"/>
                </a:solidFill>
                <a:prstDash val="solid"/>
                <a:round/>
                <a:headEnd type="none" w="med" len="med"/>
                <a:tailEnd type="arrow" w="med" len="med"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7" name="TextBox 36">
                <a:extLst>
                  <a:ext uri="{FF2B5EF4-FFF2-40B4-BE49-F238E27FC236}">
                    <a16:creationId xmlns:a16="http://schemas.microsoft.com/office/drawing/2014/main" id="{42BDE84E-7118-A9D4-E25A-9804E5AA7E5A}"/>
                  </a:ext>
                </a:extLst>
              </xdr:cNvPr>
              <xdr:cNvSpPr txBox="1"/>
            </xdr:nvSpPr>
            <xdr:spPr>
              <a:xfrm>
                <a:off x="8106653" y="7645025"/>
                <a:ext cx="249683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1</a:t>
                </a:r>
              </a:p>
            </xdr:txBody>
          </xdr:sp>
        </xdr:grpSp>
      </xdr:grp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3BEF2131-2AD9-7AB2-0D71-290E6BF885DA}"/>
              </a:ext>
            </a:extLst>
          </xdr:cNvPr>
          <xdr:cNvGrpSpPr/>
        </xdr:nvGrpSpPr>
        <xdr:grpSpPr>
          <a:xfrm>
            <a:off x="10708943" y="6947307"/>
            <a:ext cx="856457" cy="826887"/>
            <a:chOff x="8571899" y="7564855"/>
            <a:chExt cx="856060" cy="841192"/>
          </a:xfrm>
        </xdr:grpSpPr>
        <xdr:sp macro="" textlink="">
          <xdr:nvSpPr>
            <xdr:cNvPr id="22" name="Down Arrow 31">
              <a:extLst>
                <a:ext uri="{FF2B5EF4-FFF2-40B4-BE49-F238E27FC236}">
                  <a16:creationId xmlns:a16="http://schemas.microsoft.com/office/drawing/2014/main" id="{3A458E7F-4690-5B37-4E0F-A92CBA245E9E}"/>
                </a:ext>
              </a:extLst>
            </xdr:cNvPr>
            <xdr:cNvSpPr/>
          </xdr:nvSpPr>
          <xdr:spPr bwMode="auto">
            <a:xfrm rot="16200000">
              <a:off x="9132722" y="7805057"/>
              <a:ext cx="71384" cy="381396"/>
            </a:xfrm>
            <a:prstGeom prst="downArrow">
              <a:avLst/>
            </a:prstGeom>
            <a:solidFill>
              <a:srgbClr val="FFC000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r>
                <a:rPr lang="en-US" sz="1100"/>
                <a:t> </a:t>
              </a:r>
            </a:p>
          </xdr:txBody>
        </xdr:sp>
        <xdr:sp macro="" textlink="">
          <xdr:nvSpPr>
            <xdr:cNvPr id="23" name="Curved Down Arrow 32">
              <a:extLst>
                <a:ext uri="{FF2B5EF4-FFF2-40B4-BE49-F238E27FC236}">
                  <a16:creationId xmlns:a16="http://schemas.microsoft.com/office/drawing/2014/main" id="{1787C8E2-B0F9-1C35-71A1-7CFAECB8945B}"/>
                </a:ext>
              </a:extLst>
            </xdr:cNvPr>
            <xdr:cNvSpPr/>
          </xdr:nvSpPr>
          <xdr:spPr bwMode="auto">
            <a:xfrm rot="5225035">
              <a:off x="8954838" y="7944166"/>
              <a:ext cx="352806" cy="154379"/>
            </a:xfrm>
            <a:prstGeom prst="curvedDownArrow">
              <a:avLst/>
            </a:prstGeom>
            <a:solidFill>
              <a:srgbClr val="00B050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D621082-67ED-D8F0-6765-9D843959A974}"/>
                </a:ext>
              </a:extLst>
            </xdr:cNvPr>
            <xdr:cNvSpPr/>
          </xdr:nvSpPr>
          <xdr:spPr bwMode="auto">
            <a:xfrm>
              <a:off x="8612544" y="7569868"/>
              <a:ext cx="371478" cy="836179"/>
            </a:xfrm>
            <a:prstGeom prst="rect">
              <a:avLst/>
            </a:prstGeom>
            <a:gradFill flip="none" rotWithShape="1">
              <a:gsLst>
                <a:gs pos="0">
                  <a:srgbClr val="FFC000">
                    <a:tint val="66000"/>
                    <a:satMod val="160000"/>
                  </a:srgbClr>
                </a:gs>
                <a:gs pos="50000">
                  <a:srgbClr val="FFC000">
                    <a:tint val="44500"/>
                    <a:satMod val="160000"/>
                  </a:srgbClr>
                </a:gs>
                <a:gs pos="100000">
                  <a:srgbClr val="FFC000">
                    <a:tint val="23500"/>
                    <a:satMod val="160000"/>
                  </a:srgbClr>
                </a:gs>
              </a:gsLst>
              <a:lin ang="0" scaled="1"/>
              <a:tileRect/>
            </a:gra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8BD354E0-4DFC-07F7-95B1-A7EE0B28CCBC}"/>
                </a:ext>
              </a:extLst>
            </xdr:cNvPr>
            <xdr:cNvSpPr txBox="1"/>
          </xdr:nvSpPr>
          <xdr:spPr>
            <a:xfrm>
              <a:off x="8754808" y="8246205"/>
              <a:ext cx="142209" cy="1373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800" b="1" i="1">
                  <a:latin typeface="Times New Roman" panose="02020603050405020304" pitchFamily="18" charset="0"/>
                  <a:cs typeface="Times New Roman" panose="02020603050405020304" pitchFamily="18" charset="0"/>
                </a:rPr>
                <a:t>V</a:t>
              </a:r>
              <a:endParaRPr lang="en-US" sz="800" b="1" i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90C1D0E2-6E64-1E65-DA33-A42D285B15A2}"/>
                </a:ext>
              </a:extLst>
            </xdr:cNvPr>
            <xdr:cNvSpPr txBox="1"/>
          </xdr:nvSpPr>
          <xdr:spPr>
            <a:xfrm>
              <a:off x="9285750" y="7835519"/>
              <a:ext cx="142209" cy="1373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800" b="1" i="1">
                  <a:latin typeface="Times New Roman" panose="02020603050405020304" pitchFamily="18" charset="0"/>
                  <a:cs typeface="Times New Roman" panose="02020603050405020304" pitchFamily="18" charset="0"/>
                </a:rPr>
                <a:t>N</a:t>
              </a:r>
            </a:p>
          </xdr:txBody>
        </xdr: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A5F5A969-40FE-C0A1-F036-02411ECD5EEA}"/>
                </a:ext>
              </a:extLst>
            </xdr:cNvPr>
            <xdr:cNvSpPr txBox="1"/>
          </xdr:nvSpPr>
          <xdr:spPr>
            <a:xfrm>
              <a:off x="9106031" y="8183147"/>
              <a:ext cx="142209" cy="1373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800" b="1" i="1">
                  <a:latin typeface="Times New Roman" panose="02020603050405020304" pitchFamily="18" charset="0"/>
                  <a:cs typeface="Times New Roman" panose="02020603050405020304" pitchFamily="18" charset="0"/>
                </a:rPr>
                <a:t>M</a:t>
              </a:r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11BFB435-A9D1-E99A-AA0E-16D636ECD235}"/>
                </a:ext>
              </a:extLst>
            </xdr:cNvPr>
            <xdr:cNvSpPr/>
          </xdr:nvSpPr>
          <xdr:spPr bwMode="auto">
            <a:xfrm>
              <a:off x="8571899" y="7564855"/>
              <a:ext cx="45719" cy="836179"/>
            </a:xfrm>
            <a:prstGeom prst="rect">
              <a:avLst/>
            </a:prstGeom>
            <a:solidFill>
              <a:srgbClr val="FF0000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9" name="Down Arrow 38">
              <a:extLst>
                <a:ext uri="{FF2B5EF4-FFF2-40B4-BE49-F238E27FC236}">
                  <a16:creationId xmlns:a16="http://schemas.microsoft.com/office/drawing/2014/main" id="{05D9F11F-4977-697A-04AC-A0E9F4528B5A}"/>
                </a:ext>
              </a:extLst>
            </xdr:cNvPr>
            <xdr:cNvSpPr/>
          </xdr:nvSpPr>
          <xdr:spPr bwMode="auto">
            <a:xfrm rot="10800000">
              <a:off x="8658132" y="7975805"/>
              <a:ext cx="71371" cy="381463"/>
            </a:xfrm>
            <a:prstGeom prst="downArrow">
              <a:avLst/>
            </a:prstGeom>
            <a:solidFill>
              <a:srgbClr val="00B0F0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r>
                <a:rPr lang="en-US" sz="1100"/>
                <a:t> </a:t>
              </a:r>
            </a:p>
          </xdr:txBody>
        </xdr:sp>
      </xdr:grpSp>
    </xdr:grpSp>
    <xdr:clientData/>
  </xdr:twoCellAnchor>
  <xdr:twoCellAnchor>
    <xdr:from>
      <xdr:col>1</xdr:col>
      <xdr:colOff>200025</xdr:colOff>
      <xdr:row>2</xdr:row>
      <xdr:rowOff>95250</xdr:rowOff>
    </xdr:from>
    <xdr:to>
      <xdr:col>1</xdr:col>
      <xdr:colOff>1979183</xdr:colOff>
      <xdr:row>2</xdr:row>
      <xdr:rowOff>1179478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12F1916-4EC2-4295-83BA-E6B345C06571}"/>
            </a:ext>
          </a:extLst>
        </xdr:cNvPr>
        <xdr:cNvGrpSpPr/>
      </xdr:nvGrpSpPr>
      <xdr:grpSpPr>
        <a:xfrm>
          <a:off x="809625" y="2628900"/>
          <a:ext cx="1779158" cy="1084228"/>
          <a:chOff x="11431292" y="6607776"/>
          <a:chExt cx="1654924" cy="1242975"/>
        </a:xfrm>
      </xdr:grpSpPr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E9D62D20-F0CC-B058-9F78-654C4B14E6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31292" y="6804997"/>
            <a:ext cx="795721" cy="947823"/>
          </a:xfrm>
          <a:prstGeom prst="rect">
            <a:avLst/>
          </a:prstGeom>
        </xdr:spPr>
      </xdr:pic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BF8E2C0E-EAA7-BCAD-F225-930D080A2399}"/>
              </a:ext>
            </a:extLst>
          </xdr:cNvPr>
          <xdr:cNvGrpSpPr/>
        </xdr:nvGrpSpPr>
        <xdr:grpSpPr>
          <a:xfrm>
            <a:off x="11542474" y="6607776"/>
            <a:ext cx="1543742" cy="1242975"/>
            <a:chOff x="10169560" y="6686604"/>
            <a:chExt cx="1543742" cy="1242975"/>
          </a:xfrm>
        </xdr:grpSpPr>
        <xdr:grpSp>
          <xdr:nvGrpSpPr>
            <xdr:cNvPr id="41" name="Group 40">
              <a:extLst>
                <a:ext uri="{FF2B5EF4-FFF2-40B4-BE49-F238E27FC236}">
                  <a16:creationId xmlns:a16="http://schemas.microsoft.com/office/drawing/2014/main" id="{72E25650-876F-7F94-C162-30EB24141DF8}"/>
                </a:ext>
              </a:extLst>
            </xdr:cNvPr>
            <xdr:cNvGrpSpPr/>
          </xdr:nvGrpSpPr>
          <xdr:grpSpPr>
            <a:xfrm>
              <a:off x="10169560" y="6686604"/>
              <a:ext cx="725386" cy="1242975"/>
              <a:chOff x="7955655" y="7291300"/>
              <a:chExt cx="725049" cy="1264480"/>
            </a:xfrm>
          </xdr:grpSpPr>
          <xdr:sp macro="" textlink="">
            <xdr:nvSpPr>
              <xdr:cNvPr id="53" name="TextBox 52">
                <a:extLst>
                  <a:ext uri="{FF2B5EF4-FFF2-40B4-BE49-F238E27FC236}">
                    <a16:creationId xmlns:a16="http://schemas.microsoft.com/office/drawing/2014/main" id="{256A57C2-B5D2-E7C8-3981-CB688FD77739}"/>
                  </a:ext>
                </a:extLst>
              </xdr:cNvPr>
              <xdr:cNvSpPr txBox="1"/>
            </xdr:nvSpPr>
            <xdr:spPr>
              <a:xfrm>
                <a:off x="7955655" y="7612187"/>
                <a:ext cx="24968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2</a:t>
                </a:r>
              </a:p>
            </xdr:txBody>
          </xdr:sp>
          <xdr:sp macro="" textlink="">
            <xdr:nvSpPr>
              <xdr:cNvPr id="54" name="TextBox 53">
                <a:extLst>
                  <a:ext uri="{FF2B5EF4-FFF2-40B4-BE49-F238E27FC236}">
                    <a16:creationId xmlns:a16="http://schemas.microsoft.com/office/drawing/2014/main" id="{EB667E1F-86AA-3E30-833C-0920D7F69E0E}"/>
                  </a:ext>
                </a:extLst>
              </xdr:cNvPr>
              <xdr:cNvSpPr txBox="1"/>
            </xdr:nvSpPr>
            <xdr:spPr>
              <a:xfrm>
                <a:off x="8440510" y="7732458"/>
                <a:ext cx="24019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/>
                  <a:t>x</a:t>
                </a:r>
              </a:p>
            </xdr:txBody>
          </xdr:sp>
          <xdr:sp macro="" textlink="">
            <xdr:nvSpPr>
              <xdr:cNvPr id="55" name="TextBox 54">
                <a:extLst>
                  <a:ext uri="{FF2B5EF4-FFF2-40B4-BE49-F238E27FC236}">
                    <a16:creationId xmlns:a16="http://schemas.microsoft.com/office/drawing/2014/main" id="{DAB46A98-A74D-1DFB-A5CB-2A77BAD8C620}"/>
                  </a:ext>
                </a:extLst>
              </xdr:cNvPr>
              <xdr:cNvSpPr txBox="1"/>
            </xdr:nvSpPr>
            <xdr:spPr>
              <a:xfrm>
                <a:off x="8199883" y="7291300"/>
                <a:ext cx="242695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/>
                  <a:t>y</a:t>
                </a:r>
              </a:p>
            </xdr:txBody>
          </xdr:sp>
          <xdr:cxnSp macro="">
            <xdr:nvCxnSpPr>
              <xdr:cNvPr id="56" name="Straight Arrow Connector 55">
                <a:extLst>
                  <a:ext uri="{FF2B5EF4-FFF2-40B4-BE49-F238E27FC236}">
                    <a16:creationId xmlns:a16="http://schemas.microsoft.com/office/drawing/2014/main" id="{533054EE-3134-7EFA-4E93-B3D596964FA3}"/>
                  </a:ext>
                </a:extLst>
              </xdr:cNvPr>
              <xdr:cNvCxnSpPr/>
            </xdr:nvCxnSpPr>
            <xdr:spPr bwMode="auto">
              <a:xfrm>
                <a:off x="8236601" y="7970461"/>
                <a:ext cx="378205" cy="0"/>
              </a:xfrm>
              <a:prstGeom prst="straightConnector1">
                <a:avLst/>
              </a:prstGeom>
              <a:ln w="9525" cap="flat" cmpd="sng" algn="ctr">
                <a:solidFill>
                  <a:schemeClr val="accent2"/>
                </a:solidFill>
                <a:prstDash val="solid"/>
                <a:round/>
                <a:headEnd type="none" w="med" len="med"/>
                <a:tailEnd type="arrow" w="med" len="med"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</xdr:cxnSp>
          <xdr:cxnSp macro="">
            <xdr:nvCxnSpPr>
              <xdr:cNvPr id="57" name="Straight Arrow Connector 56">
                <a:extLst>
                  <a:ext uri="{FF2B5EF4-FFF2-40B4-BE49-F238E27FC236}">
                    <a16:creationId xmlns:a16="http://schemas.microsoft.com/office/drawing/2014/main" id="{6B7C10E4-0990-8B0A-0D60-A81E068FD126}"/>
                  </a:ext>
                </a:extLst>
              </xdr:cNvPr>
              <xdr:cNvCxnSpPr/>
            </xdr:nvCxnSpPr>
            <xdr:spPr bwMode="auto">
              <a:xfrm flipV="1">
                <a:off x="8231345" y="7346518"/>
                <a:ext cx="0" cy="335638"/>
              </a:xfrm>
              <a:prstGeom prst="straightConnector1">
                <a:avLst/>
              </a:prstGeom>
              <a:ln w="9525" cap="flat" cmpd="sng" algn="ctr">
                <a:solidFill>
                  <a:schemeClr val="accent2"/>
                </a:solidFill>
                <a:prstDash val="solid"/>
                <a:round/>
                <a:headEnd type="none" w="med" len="med"/>
                <a:tailEnd type="arrow" w="med" len="med"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8" name="TextBox 57">
                <a:extLst>
                  <a:ext uri="{FF2B5EF4-FFF2-40B4-BE49-F238E27FC236}">
                    <a16:creationId xmlns:a16="http://schemas.microsoft.com/office/drawing/2014/main" id="{0878441A-3B6B-4549-D796-52A5CFD3D6A3}"/>
                  </a:ext>
                </a:extLst>
              </xdr:cNvPr>
              <xdr:cNvSpPr txBox="1"/>
            </xdr:nvSpPr>
            <xdr:spPr>
              <a:xfrm>
                <a:off x="8031919" y="7363701"/>
                <a:ext cx="24968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1</a:t>
                </a:r>
              </a:p>
            </xdr:txBody>
          </xdr:sp>
          <xdr:sp macro="" textlink="">
            <xdr:nvSpPr>
              <xdr:cNvPr id="59" name="TextBox 58">
                <a:extLst>
                  <a:ext uri="{FF2B5EF4-FFF2-40B4-BE49-F238E27FC236}">
                    <a16:creationId xmlns:a16="http://schemas.microsoft.com/office/drawing/2014/main" id="{83F08778-606B-525D-42C0-A4CC7D94DB85}"/>
                  </a:ext>
                </a:extLst>
              </xdr:cNvPr>
              <xdr:cNvSpPr txBox="1"/>
            </xdr:nvSpPr>
            <xdr:spPr>
              <a:xfrm>
                <a:off x="7980925" y="7912111"/>
                <a:ext cx="24968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3</a:t>
                </a:r>
              </a:p>
            </xdr:txBody>
          </xdr:sp>
          <xdr:sp macro="" textlink="">
            <xdr:nvSpPr>
              <xdr:cNvPr id="60" name="TextBox 59">
                <a:extLst>
                  <a:ext uri="{FF2B5EF4-FFF2-40B4-BE49-F238E27FC236}">
                    <a16:creationId xmlns:a16="http://schemas.microsoft.com/office/drawing/2014/main" id="{F72F9887-DFF1-9FA4-2D20-3311C3C26097}"/>
                  </a:ext>
                </a:extLst>
              </xdr:cNvPr>
              <xdr:cNvSpPr txBox="1"/>
            </xdr:nvSpPr>
            <xdr:spPr>
              <a:xfrm>
                <a:off x="8106382" y="8306929"/>
                <a:ext cx="24968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 i="1">
                    <a:solidFill>
                      <a:srgbClr val="0000FF"/>
                    </a:solidFill>
                  </a:rPr>
                  <a:t>1</a:t>
                </a:r>
              </a:p>
            </xdr:txBody>
          </xdr:sp>
          <xdr:sp macro="" textlink="">
            <xdr:nvSpPr>
              <xdr:cNvPr id="61" name="TextBox 60">
                <a:extLst>
                  <a:ext uri="{FF2B5EF4-FFF2-40B4-BE49-F238E27FC236}">
                    <a16:creationId xmlns:a16="http://schemas.microsoft.com/office/drawing/2014/main" id="{E9835E5F-79FF-8126-3DB6-DC3818047922}"/>
                  </a:ext>
                </a:extLst>
              </xdr:cNvPr>
              <xdr:cNvSpPr txBox="1"/>
            </xdr:nvSpPr>
            <xdr:spPr>
              <a:xfrm>
                <a:off x="8304133" y="7624095"/>
                <a:ext cx="24968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2</a:t>
                </a:r>
              </a:p>
            </xdr:txBody>
          </xdr:sp>
          <xdr:sp macro="" textlink="">
            <xdr:nvSpPr>
              <xdr:cNvPr id="62" name="TextBox 61">
                <a:extLst>
                  <a:ext uri="{FF2B5EF4-FFF2-40B4-BE49-F238E27FC236}">
                    <a16:creationId xmlns:a16="http://schemas.microsoft.com/office/drawing/2014/main" id="{C9F4920F-B578-D9C6-1DC4-277753AEBA83}"/>
                  </a:ext>
                </a:extLst>
              </xdr:cNvPr>
              <xdr:cNvSpPr txBox="1"/>
            </xdr:nvSpPr>
            <xdr:spPr>
              <a:xfrm>
                <a:off x="8240807" y="7912111"/>
                <a:ext cx="24968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3</a:t>
                </a:r>
              </a:p>
            </xdr:txBody>
          </xdr:sp>
        </xdr:grpSp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DAFF851C-D470-9C9F-0072-A8E86E46BEC0}"/>
                </a:ext>
              </a:extLst>
            </xdr:cNvPr>
            <xdr:cNvGrpSpPr/>
          </xdr:nvGrpSpPr>
          <xdr:grpSpPr>
            <a:xfrm>
              <a:off x="10909497" y="6898012"/>
              <a:ext cx="803805" cy="864985"/>
              <a:chOff x="8772355" y="7514707"/>
              <a:chExt cx="803432" cy="879949"/>
            </a:xfrm>
          </xdr:grpSpPr>
          <xdr:sp macro="" textlink="">
            <xdr:nvSpPr>
              <xdr:cNvPr id="43" name="Down Arrow 50">
                <a:extLst>
                  <a:ext uri="{FF2B5EF4-FFF2-40B4-BE49-F238E27FC236}">
                    <a16:creationId xmlns:a16="http://schemas.microsoft.com/office/drawing/2014/main" id="{C2835D1F-3F45-B4AC-54C8-2FA6EC933684}"/>
                  </a:ext>
                </a:extLst>
              </xdr:cNvPr>
              <xdr:cNvSpPr/>
            </xdr:nvSpPr>
            <xdr:spPr bwMode="auto">
              <a:xfrm rot="16200000">
                <a:off x="9349397" y="7805057"/>
                <a:ext cx="71384" cy="381396"/>
              </a:xfrm>
              <a:prstGeom prst="downArrow">
                <a:avLst/>
              </a:prstGeom>
              <a:solidFill>
                <a:srgbClr val="FFC00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r>
                  <a:rPr lang="en-US" sz="1100"/>
                  <a:t> </a:t>
                </a:r>
              </a:p>
            </xdr:txBody>
          </xdr:sp>
          <xdr:sp macro="" textlink="">
            <xdr:nvSpPr>
              <xdr:cNvPr id="44" name="Curved Down Arrow 51">
                <a:extLst>
                  <a:ext uri="{FF2B5EF4-FFF2-40B4-BE49-F238E27FC236}">
                    <a16:creationId xmlns:a16="http://schemas.microsoft.com/office/drawing/2014/main" id="{C958F8A0-48F7-C7A0-E2FE-ED219453980F}"/>
                  </a:ext>
                </a:extLst>
              </xdr:cNvPr>
              <xdr:cNvSpPr/>
            </xdr:nvSpPr>
            <xdr:spPr bwMode="auto">
              <a:xfrm rot="5225035">
                <a:off x="9171515" y="7944166"/>
                <a:ext cx="352806" cy="154379"/>
              </a:xfrm>
              <a:prstGeom prst="curvedDownArrow">
                <a:avLst/>
              </a:prstGeom>
              <a:solidFill>
                <a:srgbClr val="00B05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5" name="Rectangle 44">
                <a:extLst>
                  <a:ext uri="{FF2B5EF4-FFF2-40B4-BE49-F238E27FC236}">
                    <a16:creationId xmlns:a16="http://schemas.microsoft.com/office/drawing/2014/main" id="{A37ED945-C687-83FD-1D83-8826B497DEAC}"/>
                  </a:ext>
                </a:extLst>
              </xdr:cNvPr>
              <xdr:cNvSpPr/>
            </xdr:nvSpPr>
            <xdr:spPr bwMode="auto">
              <a:xfrm>
                <a:off x="8829221" y="7569869"/>
                <a:ext cx="371478" cy="760862"/>
              </a:xfrm>
              <a:prstGeom prst="rect">
                <a:avLst/>
              </a:prstGeom>
              <a:gradFill flip="none" rotWithShape="1">
                <a:gsLst>
                  <a:gs pos="0">
                    <a:srgbClr val="FFC000">
                      <a:tint val="66000"/>
                      <a:satMod val="160000"/>
                    </a:srgbClr>
                  </a:gs>
                  <a:gs pos="50000">
                    <a:srgbClr val="FFC000">
                      <a:tint val="44500"/>
                      <a:satMod val="160000"/>
                    </a:srgbClr>
                  </a:gs>
                  <a:gs pos="100000">
                    <a:srgbClr val="FFC000">
                      <a:tint val="23500"/>
                      <a:satMod val="160000"/>
                    </a:srgbClr>
                  </a:gs>
                </a:gsLst>
                <a:lin ang="0" scaled="1"/>
                <a:tileRect/>
              </a:gra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6" name="TextBox 45">
                <a:extLst>
                  <a:ext uri="{FF2B5EF4-FFF2-40B4-BE49-F238E27FC236}">
                    <a16:creationId xmlns:a16="http://schemas.microsoft.com/office/drawing/2014/main" id="{A24D17A4-9C44-1EC7-A3D1-B627C5A0FCCF}"/>
                  </a:ext>
                </a:extLst>
              </xdr:cNvPr>
              <xdr:cNvSpPr txBox="1"/>
            </xdr:nvSpPr>
            <xdr:spPr>
              <a:xfrm>
                <a:off x="8904200" y="8141780"/>
                <a:ext cx="142209" cy="1373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8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endParaRPr lang="en-US" sz="800" b="1" i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47" name="TextBox 46">
                <a:extLst>
                  <a:ext uri="{FF2B5EF4-FFF2-40B4-BE49-F238E27FC236}">
                    <a16:creationId xmlns:a16="http://schemas.microsoft.com/office/drawing/2014/main" id="{D5132055-97D5-9483-52DD-FF2344B55AFC}"/>
                  </a:ext>
                </a:extLst>
              </xdr:cNvPr>
              <xdr:cNvSpPr txBox="1"/>
            </xdr:nvSpPr>
            <xdr:spPr>
              <a:xfrm>
                <a:off x="9424817" y="7797979"/>
                <a:ext cx="142209" cy="1373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8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</a:t>
                </a:r>
              </a:p>
            </xdr:txBody>
          </xdr:sp>
          <xdr:sp macro="" textlink="">
            <xdr:nvSpPr>
              <xdr:cNvPr id="48" name="TextBox 47">
                <a:extLst>
                  <a:ext uri="{FF2B5EF4-FFF2-40B4-BE49-F238E27FC236}">
                    <a16:creationId xmlns:a16="http://schemas.microsoft.com/office/drawing/2014/main" id="{40537E72-3582-5D9E-7333-6C2394B4AED2}"/>
                  </a:ext>
                </a:extLst>
              </xdr:cNvPr>
              <xdr:cNvSpPr txBox="1"/>
            </xdr:nvSpPr>
            <xdr:spPr>
              <a:xfrm>
                <a:off x="9291454" y="8187839"/>
                <a:ext cx="142209" cy="1373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8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</a:t>
                </a:r>
              </a:p>
            </xdr:txBody>
          </xdr:sp>
          <xdr:sp macro="" textlink="">
            <xdr:nvSpPr>
              <xdr:cNvPr id="49" name="Rectangle 48">
                <a:extLst>
                  <a:ext uri="{FF2B5EF4-FFF2-40B4-BE49-F238E27FC236}">
                    <a16:creationId xmlns:a16="http://schemas.microsoft.com/office/drawing/2014/main" id="{C84F88A2-D1A6-E7DB-16A9-8BD2DC04309E}"/>
                  </a:ext>
                </a:extLst>
              </xdr:cNvPr>
              <xdr:cNvSpPr/>
            </xdr:nvSpPr>
            <xdr:spPr bwMode="auto">
              <a:xfrm>
                <a:off x="8772355" y="7548786"/>
                <a:ext cx="45719" cy="836179"/>
              </a:xfrm>
              <a:prstGeom prst="rect">
                <a:avLst/>
              </a:prstGeom>
              <a:solidFill>
                <a:srgbClr val="FF000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50" name="Down Arrow 60">
                <a:extLst>
                  <a:ext uri="{FF2B5EF4-FFF2-40B4-BE49-F238E27FC236}">
                    <a16:creationId xmlns:a16="http://schemas.microsoft.com/office/drawing/2014/main" id="{130A1386-A108-6852-F1A8-55A039A76D52}"/>
                  </a:ext>
                </a:extLst>
              </xdr:cNvPr>
              <xdr:cNvSpPr/>
            </xdr:nvSpPr>
            <xdr:spPr bwMode="auto">
              <a:xfrm rot="10800000">
                <a:off x="8846996" y="7872569"/>
                <a:ext cx="71371" cy="381463"/>
              </a:xfrm>
              <a:prstGeom prst="downArrow">
                <a:avLst/>
              </a:prstGeom>
              <a:solidFill>
                <a:srgbClr val="00B0F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r>
                  <a:rPr lang="en-US" sz="1100"/>
                  <a:t> </a:t>
                </a:r>
              </a:p>
            </xdr:txBody>
          </xdr:sp>
          <xdr:sp macro="" textlink="">
            <xdr:nvSpPr>
              <xdr:cNvPr id="51" name="Rectangle 50">
                <a:extLst>
                  <a:ext uri="{FF2B5EF4-FFF2-40B4-BE49-F238E27FC236}">
                    <a16:creationId xmlns:a16="http://schemas.microsoft.com/office/drawing/2014/main" id="{720E4FB0-C425-C959-931B-EF34993A598A}"/>
                  </a:ext>
                </a:extLst>
              </xdr:cNvPr>
              <xdr:cNvSpPr/>
            </xdr:nvSpPr>
            <xdr:spPr bwMode="auto">
              <a:xfrm>
                <a:off x="8804582" y="7514707"/>
                <a:ext cx="380123" cy="50670"/>
              </a:xfrm>
              <a:prstGeom prst="rect">
                <a:avLst/>
              </a:prstGeom>
              <a:solidFill>
                <a:srgbClr val="FFFF0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52" name="Rectangle 51">
                <a:extLst>
                  <a:ext uri="{FF2B5EF4-FFF2-40B4-BE49-F238E27FC236}">
                    <a16:creationId xmlns:a16="http://schemas.microsoft.com/office/drawing/2014/main" id="{E497AECA-A2DC-69A1-C0C7-8BF45A86BAE0}"/>
                  </a:ext>
                </a:extLst>
              </xdr:cNvPr>
              <xdr:cNvSpPr/>
            </xdr:nvSpPr>
            <xdr:spPr bwMode="auto">
              <a:xfrm>
                <a:off x="8815751" y="8339294"/>
                <a:ext cx="375488" cy="55362"/>
              </a:xfrm>
              <a:prstGeom prst="rect">
                <a:avLst/>
              </a:prstGeom>
              <a:solidFill>
                <a:srgbClr val="FFFF0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</xdr:grpSp>
      </xdr:grpSp>
    </xdr:grpSp>
    <xdr:clientData/>
  </xdr:twoCellAnchor>
  <xdr:twoCellAnchor>
    <xdr:from>
      <xdr:col>1</xdr:col>
      <xdr:colOff>209550</xdr:colOff>
      <xdr:row>3</xdr:row>
      <xdr:rowOff>238125</xdr:rowOff>
    </xdr:from>
    <xdr:to>
      <xdr:col>1</xdr:col>
      <xdr:colOff>1862062</xdr:colOff>
      <xdr:row>3</xdr:row>
      <xdr:rowOff>1035295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A36A3B56-C208-4C71-B685-D32B8CC99C24}"/>
            </a:ext>
          </a:extLst>
        </xdr:cNvPr>
        <xdr:cNvGrpSpPr/>
      </xdr:nvGrpSpPr>
      <xdr:grpSpPr>
        <a:xfrm>
          <a:off x="819150" y="4038600"/>
          <a:ext cx="1652512" cy="797170"/>
          <a:chOff x="12340868" y="2637013"/>
          <a:chExt cx="1626008" cy="896561"/>
        </a:xfrm>
      </xdr:grpSpPr>
      <xdr:grpSp>
        <xdr:nvGrpSpPr>
          <xdr:cNvPr id="64" name="Group 63">
            <a:extLst>
              <a:ext uri="{FF2B5EF4-FFF2-40B4-BE49-F238E27FC236}">
                <a16:creationId xmlns:a16="http://schemas.microsoft.com/office/drawing/2014/main" id="{CEB0E6A7-DB35-0C0D-CFA8-6A847813BFAF}"/>
              </a:ext>
            </a:extLst>
          </xdr:cNvPr>
          <xdr:cNvGrpSpPr/>
        </xdr:nvGrpSpPr>
        <xdr:grpSpPr>
          <a:xfrm>
            <a:off x="12340868" y="2637013"/>
            <a:ext cx="1626008" cy="896561"/>
            <a:chOff x="10327031" y="8379251"/>
            <a:chExt cx="1588325" cy="916232"/>
          </a:xfrm>
        </xdr:grpSpPr>
        <xdr:pic>
          <xdr:nvPicPr>
            <xdr:cNvPr id="66" name="Picture 65">
              <a:extLst>
                <a:ext uri="{FF2B5EF4-FFF2-40B4-BE49-F238E27FC236}">
                  <a16:creationId xmlns:a16="http://schemas.microsoft.com/office/drawing/2014/main" id="{4ACF5C82-93D9-3FEE-3869-CCB325A87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327031" y="8379251"/>
              <a:ext cx="862996" cy="916232"/>
            </a:xfrm>
            <a:prstGeom prst="rect">
              <a:avLst/>
            </a:prstGeom>
          </xdr:spPr>
        </xdr:pic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BAE37DA0-3EAF-60EF-260F-3A7E1A2DF2EB}"/>
                </a:ext>
              </a:extLst>
            </xdr:cNvPr>
            <xdr:cNvGrpSpPr/>
          </xdr:nvGrpSpPr>
          <xdr:grpSpPr>
            <a:xfrm>
              <a:off x="10475472" y="8379251"/>
              <a:ext cx="1439884" cy="891760"/>
              <a:chOff x="9843600" y="6896534"/>
              <a:chExt cx="1434764" cy="877660"/>
            </a:xfrm>
          </xdr:grpSpPr>
          <xdr:grpSp>
            <xdr:nvGrpSpPr>
              <xdr:cNvPr id="68" name="Group 67">
                <a:extLst>
                  <a:ext uri="{FF2B5EF4-FFF2-40B4-BE49-F238E27FC236}">
                    <a16:creationId xmlns:a16="http://schemas.microsoft.com/office/drawing/2014/main" id="{3AB602E3-CA64-18FE-A256-E021DDD28F04}"/>
                  </a:ext>
                </a:extLst>
              </xdr:cNvPr>
              <xdr:cNvGrpSpPr/>
            </xdr:nvGrpSpPr>
            <xdr:grpSpPr>
              <a:xfrm>
                <a:off x="9843600" y="6896534"/>
                <a:ext cx="697220" cy="647100"/>
                <a:chOff x="7629858" y="7504866"/>
                <a:chExt cx="696897" cy="658296"/>
              </a:xfrm>
            </xdr:grpSpPr>
            <xdr:sp macro="" textlink="">
              <xdr:nvSpPr>
                <xdr:cNvPr id="78" name="TextBox 77">
                  <a:extLst>
                    <a:ext uri="{FF2B5EF4-FFF2-40B4-BE49-F238E27FC236}">
                      <a16:creationId xmlns:a16="http://schemas.microsoft.com/office/drawing/2014/main" id="{EAE0F5CF-4598-21BC-1F92-2F2569D2DF6D}"/>
                    </a:ext>
                  </a:extLst>
                </xdr:cNvPr>
                <xdr:cNvSpPr txBox="1"/>
              </xdr:nvSpPr>
              <xdr:spPr>
                <a:xfrm>
                  <a:off x="7629858" y="7638252"/>
                  <a:ext cx="249684" cy="248851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noAutofit/>
                </a:bodyPr>
                <a:lstStyle/>
                <a:p>
                  <a:r>
                    <a:rPr lang="en-US" sz="1000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  <xdr:sp macro="" textlink="">
              <xdr:nvSpPr>
                <xdr:cNvPr id="79" name="TextBox 78">
                  <a:extLst>
                    <a:ext uri="{FF2B5EF4-FFF2-40B4-BE49-F238E27FC236}">
                      <a16:creationId xmlns:a16="http://schemas.microsoft.com/office/drawing/2014/main" id="{53996B01-597E-1BDD-EDE8-90ACDF3AA55C}"/>
                    </a:ext>
                  </a:extLst>
                </xdr:cNvPr>
                <xdr:cNvSpPr txBox="1"/>
              </xdr:nvSpPr>
              <xdr:spPr>
                <a:xfrm>
                  <a:off x="8051664" y="7914311"/>
                  <a:ext cx="240194" cy="248851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noAutofit/>
                </a:bodyPr>
                <a:lstStyle/>
                <a:p>
                  <a:r>
                    <a:rPr lang="en-US" sz="1000"/>
                    <a:t>x</a:t>
                  </a:r>
                </a:p>
              </xdr:txBody>
            </xdr:sp>
            <xdr:sp macro="" textlink="">
              <xdr:nvSpPr>
                <xdr:cNvPr id="80" name="TextBox 79">
                  <a:extLst>
                    <a:ext uri="{FF2B5EF4-FFF2-40B4-BE49-F238E27FC236}">
                      <a16:creationId xmlns:a16="http://schemas.microsoft.com/office/drawing/2014/main" id="{445F1FC8-EDF4-0C81-8530-0CE1C6C7719F}"/>
                    </a:ext>
                  </a:extLst>
                </xdr:cNvPr>
                <xdr:cNvSpPr txBox="1"/>
              </xdr:nvSpPr>
              <xdr:spPr>
                <a:xfrm>
                  <a:off x="7899971" y="7574481"/>
                  <a:ext cx="242695" cy="248851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noAutofit/>
                </a:bodyPr>
                <a:lstStyle/>
                <a:p>
                  <a:r>
                    <a:rPr lang="en-US" sz="1000"/>
                    <a:t>y</a:t>
                  </a:r>
                </a:p>
              </xdr:txBody>
            </xdr:sp>
            <xdr:cxnSp macro="">
              <xdr:nvCxnSpPr>
                <xdr:cNvPr id="81" name="Straight Arrow Connector 80">
                  <a:extLst>
                    <a:ext uri="{FF2B5EF4-FFF2-40B4-BE49-F238E27FC236}">
                      <a16:creationId xmlns:a16="http://schemas.microsoft.com/office/drawing/2014/main" id="{BD2FEDB5-8C0D-D0FE-1736-5446185EA8E5}"/>
                    </a:ext>
                  </a:extLst>
                </xdr:cNvPr>
                <xdr:cNvCxnSpPr/>
              </xdr:nvCxnSpPr>
              <xdr:spPr bwMode="auto">
                <a:xfrm>
                  <a:off x="7948550" y="7979463"/>
                  <a:ext cx="378205" cy="0"/>
                </a:xfrm>
                <a:prstGeom prst="straightConnector1">
                  <a:avLst/>
                </a:prstGeom>
                <a:ln w="9525" cap="flat" cmpd="sng" algn="ctr">
                  <a:solidFill>
                    <a:schemeClr val="accent2"/>
                  </a:solidFill>
                  <a:prstDash val="solid"/>
                  <a:round/>
                  <a:headEnd type="none" w="med" len="med"/>
                  <a:tailEnd type="arrow" w="med" len="med"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2" name="Straight Arrow Connector 81">
                  <a:extLst>
                    <a:ext uri="{FF2B5EF4-FFF2-40B4-BE49-F238E27FC236}">
                      <a16:creationId xmlns:a16="http://schemas.microsoft.com/office/drawing/2014/main" id="{84FB359F-C551-CFBE-4A56-DAD888C381C5}"/>
                    </a:ext>
                  </a:extLst>
                </xdr:cNvPr>
                <xdr:cNvCxnSpPr>
                  <a:endCxn id="66" idx="0"/>
                </xdr:cNvCxnSpPr>
              </xdr:nvCxnSpPr>
              <xdr:spPr bwMode="auto">
                <a:xfrm flipH="1" flipV="1">
                  <a:off x="7911781" y="7504866"/>
                  <a:ext cx="31509" cy="472396"/>
                </a:xfrm>
                <a:prstGeom prst="straightConnector1">
                  <a:avLst/>
                </a:prstGeom>
                <a:ln w="9525" cap="flat" cmpd="sng" algn="ctr">
                  <a:solidFill>
                    <a:schemeClr val="accent2"/>
                  </a:solidFill>
                  <a:prstDash val="solid"/>
                  <a:round/>
                  <a:headEnd type="none" w="med" len="med"/>
                  <a:tailEnd type="arrow" w="med" len="med"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69" name="Group 68">
                <a:extLst>
                  <a:ext uri="{FF2B5EF4-FFF2-40B4-BE49-F238E27FC236}">
                    <a16:creationId xmlns:a16="http://schemas.microsoft.com/office/drawing/2014/main" id="{FF8B42C5-4337-52FE-737A-1452E09806C9}"/>
                  </a:ext>
                </a:extLst>
              </xdr:cNvPr>
              <xdr:cNvGrpSpPr/>
            </xdr:nvGrpSpPr>
            <xdr:grpSpPr>
              <a:xfrm>
                <a:off x="10613163" y="6947307"/>
                <a:ext cx="665201" cy="826887"/>
                <a:chOff x="8476206" y="7564855"/>
                <a:chExt cx="664896" cy="841192"/>
              </a:xfrm>
            </xdr:grpSpPr>
            <xdr:sp macro="" textlink="">
              <xdr:nvSpPr>
                <xdr:cNvPr id="70" name="Curved Down Arrow 84">
                  <a:extLst>
                    <a:ext uri="{FF2B5EF4-FFF2-40B4-BE49-F238E27FC236}">
                      <a16:creationId xmlns:a16="http://schemas.microsoft.com/office/drawing/2014/main" id="{BCD24650-34BC-1D5A-1F8F-F541A1D0B270}"/>
                    </a:ext>
                  </a:extLst>
                </xdr:cNvPr>
                <xdr:cNvSpPr/>
              </xdr:nvSpPr>
              <xdr:spPr bwMode="auto">
                <a:xfrm rot="5225035">
                  <a:off x="8887510" y="7922116"/>
                  <a:ext cx="352806" cy="154379"/>
                </a:xfrm>
                <a:prstGeom prst="curvedDownArrow">
                  <a:avLst/>
                </a:prstGeom>
                <a:solidFill>
                  <a:srgbClr val="00B050"/>
                </a:solidFill>
                <a:ln w="9525" cap="flat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/>
              </xdr:spPr>
              <xdr:txBody>
                <a:bodyPr vertOverflow="clip" horzOverflow="clip" wrap="square" lIns="18288" tIns="0" rIns="0" bIns="0" rtlCol="0" anchor="t" upright="1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71" name="Rectangle 70">
                  <a:extLst>
                    <a:ext uri="{FF2B5EF4-FFF2-40B4-BE49-F238E27FC236}">
                      <a16:creationId xmlns:a16="http://schemas.microsoft.com/office/drawing/2014/main" id="{C29E184B-6323-C8A2-A8BC-5C59AC5A2CEA}"/>
                    </a:ext>
                  </a:extLst>
                </xdr:cNvPr>
                <xdr:cNvSpPr/>
              </xdr:nvSpPr>
              <xdr:spPr bwMode="auto">
                <a:xfrm>
                  <a:off x="8516851" y="7569868"/>
                  <a:ext cx="321358" cy="836179"/>
                </a:xfrm>
                <a:prstGeom prst="rect">
                  <a:avLst/>
                </a:prstGeom>
                <a:gradFill flip="none" rotWithShape="1">
                  <a:gsLst>
                    <a:gs pos="0">
                      <a:srgbClr val="FFC000">
                        <a:tint val="66000"/>
                        <a:satMod val="160000"/>
                      </a:srgbClr>
                    </a:gs>
                    <a:gs pos="50000">
                      <a:srgbClr val="FFC000">
                        <a:tint val="44500"/>
                        <a:satMod val="160000"/>
                      </a:srgbClr>
                    </a:gs>
                    <a:gs pos="100000">
                      <a:srgbClr val="FFC000">
                        <a:tint val="23500"/>
                        <a:satMod val="160000"/>
                      </a:srgbClr>
                    </a:gs>
                  </a:gsLst>
                  <a:lin ang="0" scaled="1"/>
                  <a:tileRect/>
                </a:gradFill>
                <a:ln w="9525" cap="flat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>
                  <a:innerShdw blurRad="63500" dist="50800" dir="10800000">
                    <a:prstClr val="black">
                      <a:alpha val="50000"/>
                    </a:prstClr>
                  </a:innerShdw>
                </a:effectLst>
              </xdr:spPr>
              <xdr:txBody>
                <a:bodyPr vertOverflow="clip" horzOverflow="clip" wrap="square" lIns="18288" tIns="0" rIns="0" bIns="0" rtlCol="0" anchor="t" upright="1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72" name="TextBox 71">
                  <a:extLst>
                    <a:ext uri="{FF2B5EF4-FFF2-40B4-BE49-F238E27FC236}">
                      <a16:creationId xmlns:a16="http://schemas.microsoft.com/office/drawing/2014/main" id="{D33DD8A5-ED21-8C7D-3D29-7C929E2F3C4D}"/>
                    </a:ext>
                  </a:extLst>
                </xdr:cNvPr>
                <xdr:cNvSpPr txBox="1"/>
              </xdr:nvSpPr>
              <xdr:spPr>
                <a:xfrm>
                  <a:off x="8598818" y="8253556"/>
                  <a:ext cx="142209" cy="13734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vi-VN" sz="800" b="1" i="1">
                      <a:latin typeface="Times New Roman" panose="02020603050405020304" pitchFamily="18" charset="0"/>
                      <a:cs typeface="Times New Roman" panose="02020603050405020304" pitchFamily="18" charset="0"/>
                    </a:rPr>
                    <a:t>V</a:t>
                  </a:r>
                  <a:endParaRPr lang="en-US" sz="800" b="1" i="1">
                    <a:latin typeface="Times New Roman" panose="02020603050405020304" pitchFamily="18" charset="0"/>
                    <a:cs typeface="Times New Roman" panose="02020603050405020304" pitchFamily="18" charset="0"/>
                  </a:endParaRPr>
                </a:p>
              </xdr:txBody>
            </xdr:sp>
            <xdr:sp macro="" textlink="">
              <xdr:nvSpPr>
                <xdr:cNvPr id="73" name="TextBox 72">
                  <a:extLst>
                    <a:ext uri="{FF2B5EF4-FFF2-40B4-BE49-F238E27FC236}">
                      <a16:creationId xmlns:a16="http://schemas.microsoft.com/office/drawing/2014/main" id="{E1FB4238-198E-F5A7-4D32-09FA56AC21BF}"/>
                    </a:ext>
                  </a:extLst>
                </xdr:cNvPr>
                <xdr:cNvSpPr txBox="1"/>
              </xdr:nvSpPr>
              <xdr:spPr>
                <a:xfrm>
                  <a:off x="8846140" y="7842869"/>
                  <a:ext cx="142209" cy="13734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800" b="1" i="1">
                      <a:latin typeface="Times New Roman" panose="02020603050405020304" pitchFamily="18" charset="0"/>
                      <a:cs typeface="Times New Roman" panose="02020603050405020304" pitchFamily="18" charset="0"/>
                    </a:rPr>
                    <a:t>N</a:t>
                  </a:r>
                </a:p>
              </xdr:txBody>
            </xdr:sp>
            <xdr:sp macro="" textlink="">
              <xdr:nvSpPr>
                <xdr:cNvPr id="74" name="TextBox 73">
                  <a:extLst>
                    <a:ext uri="{FF2B5EF4-FFF2-40B4-BE49-F238E27FC236}">
                      <a16:creationId xmlns:a16="http://schemas.microsoft.com/office/drawing/2014/main" id="{92F0B88F-99EC-F52A-FC89-FF7D0306B5F3}"/>
                    </a:ext>
                  </a:extLst>
                </xdr:cNvPr>
                <xdr:cNvSpPr txBox="1"/>
              </xdr:nvSpPr>
              <xdr:spPr>
                <a:xfrm>
                  <a:off x="8850775" y="8087590"/>
                  <a:ext cx="142209" cy="13734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800" b="1" i="1">
                      <a:latin typeface="Times New Roman" panose="02020603050405020304" pitchFamily="18" charset="0"/>
                      <a:cs typeface="Times New Roman" panose="02020603050405020304" pitchFamily="18" charset="0"/>
                    </a:rPr>
                    <a:t>M</a:t>
                  </a:r>
                </a:p>
              </xdr:txBody>
            </xdr:sp>
            <xdr:sp macro="" textlink="">
              <xdr:nvSpPr>
                <xdr:cNvPr id="75" name="Rectangle 74">
                  <a:extLst>
                    <a:ext uri="{FF2B5EF4-FFF2-40B4-BE49-F238E27FC236}">
                      <a16:creationId xmlns:a16="http://schemas.microsoft.com/office/drawing/2014/main" id="{F28F1F21-423B-E392-D67E-39133E8C44C7}"/>
                    </a:ext>
                  </a:extLst>
                </xdr:cNvPr>
                <xdr:cNvSpPr/>
              </xdr:nvSpPr>
              <xdr:spPr bwMode="auto">
                <a:xfrm>
                  <a:off x="8476206" y="7564855"/>
                  <a:ext cx="45719" cy="836179"/>
                </a:xfrm>
                <a:prstGeom prst="rect">
                  <a:avLst/>
                </a:prstGeom>
                <a:solidFill>
                  <a:srgbClr val="FF0000"/>
                </a:solidFill>
                <a:ln w="9525" cap="flat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>
                  <a:outerShdw blurRad="44450" dist="27940" dir="5400000" algn="ctr">
                    <a:srgbClr val="000000">
                      <a:alpha val="32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balanced" dir="t">
                    <a:rot lat="0" lon="0" rev="8700000"/>
                  </a:lightRig>
                </a:scene3d>
                <a:sp3d>
                  <a:bevelT w="190500" h="38100"/>
                </a:sp3d>
              </xdr:spPr>
              <xdr:txBody>
                <a:bodyPr vertOverflow="clip" horzOverflow="clip" wrap="square" lIns="18288" tIns="0" rIns="0" bIns="0" rtlCol="0" anchor="t" upright="1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76" name="Down Arrow 90">
                  <a:extLst>
                    <a:ext uri="{FF2B5EF4-FFF2-40B4-BE49-F238E27FC236}">
                      <a16:creationId xmlns:a16="http://schemas.microsoft.com/office/drawing/2014/main" id="{98C4901F-458C-723A-DD0E-96A6558BE1FE}"/>
                    </a:ext>
                  </a:extLst>
                </xdr:cNvPr>
                <xdr:cNvSpPr/>
              </xdr:nvSpPr>
              <xdr:spPr bwMode="auto">
                <a:xfrm rot="10800000">
                  <a:off x="8562439" y="7975805"/>
                  <a:ext cx="71371" cy="381463"/>
                </a:xfrm>
                <a:prstGeom prst="downArrow">
                  <a:avLst/>
                </a:prstGeom>
                <a:solidFill>
                  <a:srgbClr val="00B0F0"/>
                </a:solidFill>
                <a:ln w="9525" cap="flat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/>
              </xdr:spPr>
              <xdr:txBody>
                <a:bodyPr vertOverflow="clip" horzOverflow="clip" wrap="square" lIns="18288" tIns="0" rIns="0" bIns="0" rtlCol="0" anchor="t" upright="1"/>
                <a:lstStyle/>
                <a:p>
                  <a:pPr algn="l"/>
                  <a:r>
                    <a:rPr lang="en-US" sz="1100"/>
                    <a:t> </a:t>
                  </a:r>
                </a:p>
              </xdr:txBody>
            </xdr:sp>
            <xdr:sp macro="" textlink="">
              <xdr:nvSpPr>
                <xdr:cNvPr id="77" name="Down Arrow 82">
                  <a:extLst>
                    <a:ext uri="{FF2B5EF4-FFF2-40B4-BE49-F238E27FC236}">
                      <a16:creationId xmlns:a16="http://schemas.microsoft.com/office/drawing/2014/main" id="{F8B735ED-035C-5B19-0BA6-9FED53430B12}"/>
                    </a:ext>
                  </a:extLst>
                </xdr:cNvPr>
                <xdr:cNvSpPr/>
              </xdr:nvSpPr>
              <xdr:spPr bwMode="auto">
                <a:xfrm rot="16200000">
                  <a:off x="8902311" y="7797706"/>
                  <a:ext cx="71384" cy="381396"/>
                </a:xfrm>
                <a:prstGeom prst="downArrow">
                  <a:avLst/>
                </a:prstGeom>
                <a:solidFill>
                  <a:srgbClr val="FFC000"/>
                </a:solidFill>
                <a:ln w="9525" cap="flat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/>
              </xdr:spPr>
              <xdr:txBody>
                <a:bodyPr vertOverflow="clip" horzOverflow="clip" wrap="square" lIns="18288" tIns="0" rIns="0" bIns="0" rtlCol="0" anchor="t" upright="1"/>
                <a:lstStyle/>
                <a:p>
                  <a:pPr algn="l"/>
                  <a:r>
                    <a:rPr lang="en-US" sz="1100"/>
                    <a:t> </a:t>
                  </a:r>
                </a:p>
              </xdr:txBody>
            </xdr:sp>
          </xdr:grpSp>
        </xdr:grpSp>
      </xdr:grp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FB1BEE7D-A109-42A3-44AD-79C8D4EE9E2D}"/>
              </a:ext>
            </a:extLst>
          </xdr:cNvPr>
          <xdr:cNvCxnSpPr>
            <a:endCxn id="80" idx="3"/>
          </xdr:cNvCxnSpPr>
        </xdr:nvCxnSpPr>
        <xdr:spPr bwMode="auto">
          <a:xfrm flipV="1">
            <a:off x="12539869" y="2826657"/>
            <a:ext cx="480055" cy="502954"/>
          </a:xfrm>
          <a:prstGeom prst="straightConnector1">
            <a:avLst/>
          </a:prstGeom>
          <a:ln w="3175" cap="flat" cmpd="sng" algn="ctr">
            <a:solidFill>
              <a:schemeClr val="dk1"/>
            </a:solidFill>
            <a:prstDash val="solid"/>
            <a:round/>
            <a:headEnd type="arrow" w="med" len="med"/>
            <a:tailEnd type="arrow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190500</xdr:colOff>
      <xdr:row>4</xdr:row>
      <xdr:rowOff>276225</xdr:rowOff>
    </xdr:from>
    <xdr:to>
      <xdr:col>1</xdr:col>
      <xdr:colOff>1885426</xdr:colOff>
      <xdr:row>4</xdr:row>
      <xdr:rowOff>1074085</xdr:rowOff>
    </xdr:to>
    <xdr:grpSp>
      <xdr:nvGrpSpPr>
        <xdr:cNvPr id="83" name="Group 82">
          <a:extLst>
            <a:ext uri="{FF2B5EF4-FFF2-40B4-BE49-F238E27FC236}">
              <a16:creationId xmlns:a16="http://schemas.microsoft.com/office/drawing/2014/main" id="{030511D5-9E37-4B6E-A1E5-75CC348CF540}"/>
            </a:ext>
          </a:extLst>
        </xdr:cNvPr>
        <xdr:cNvGrpSpPr/>
      </xdr:nvGrpSpPr>
      <xdr:grpSpPr>
        <a:xfrm>
          <a:off x="800100" y="5343525"/>
          <a:ext cx="1694926" cy="797860"/>
          <a:chOff x="9482521" y="9582220"/>
          <a:chExt cx="1691633" cy="902274"/>
        </a:xfrm>
      </xdr:grpSpPr>
      <xdr:pic>
        <xdr:nvPicPr>
          <xdr:cNvPr id="84" name="Picture 83">
            <a:extLst>
              <a:ext uri="{FF2B5EF4-FFF2-40B4-BE49-F238E27FC236}">
                <a16:creationId xmlns:a16="http://schemas.microsoft.com/office/drawing/2014/main" id="{2521E048-0F60-CC66-EFB1-332C4C4BD0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9482521" y="9582220"/>
            <a:ext cx="892748" cy="902274"/>
          </a:xfrm>
          <a:prstGeom prst="rect">
            <a:avLst/>
          </a:prstGeom>
        </xdr:spPr>
      </xdr:pic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C208D9E3-7CF5-961E-2AFA-BAB411D7CEC0}"/>
              </a:ext>
            </a:extLst>
          </xdr:cNvPr>
          <xdr:cNvGrpSpPr/>
        </xdr:nvGrpSpPr>
        <xdr:grpSpPr>
          <a:xfrm>
            <a:off x="9527340" y="9634023"/>
            <a:ext cx="1646814" cy="826882"/>
            <a:chOff x="9822951" y="6947307"/>
            <a:chExt cx="1646809" cy="826887"/>
          </a:xfrm>
        </xdr:grpSpPr>
        <xdr:grpSp>
          <xdr:nvGrpSpPr>
            <xdr:cNvPr id="86" name="Group 85">
              <a:extLst>
                <a:ext uri="{FF2B5EF4-FFF2-40B4-BE49-F238E27FC236}">
                  <a16:creationId xmlns:a16="http://schemas.microsoft.com/office/drawing/2014/main" id="{429F0788-BEED-D984-F6F5-386BBCCB93BA}"/>
                </a:ext>
              </a:extLst>
            </xdr:cNvPr>
            <xdr:cNvGrpSpPr/>
          </xdr:nvGrpSpPr>
          <xdr:grpSpPr>
            <a:xfrm>
              <a:off x="9822951" y="6980133"/>
              <a:ext cx="811706" cy="747099"/>
              <a:chOff x="7609217" y="7589902"/>
              <a:chExt cx="811325" cy="760035"/>
            </a:xfrm>
          </xdr:grpSpPr>
          <xdr:sp macro="" textlink="">
            <xdr:nvSpPr>
              <xdr:cNvPr id="96" name="TextBox 95">
                <a:extLst>
                  <a:ext uri="{FF2B5EF4-FFF2-40B4-BE49-F238E27FC236}">
                    <a16:creationId xmlns:a16="http://schemas.microsoft.com/office/drawing/2014/main" id="{AE1F6F88-3B7F-352A-134F-4BBC2EAC4955}"/>
                  </a:ext>
                </a:extLst>
              </xdr:cNvPr>
              <xdr:cNvSpPr txBox="1"/>
            </xdr:nvSpPr>
            <xdr:spPr>
              <a:xfrm>
                <a:off x="7717819" y="7589902"/>
                <a:ext cx="249683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1</a:t>
                </a:r>
              </a:p>
            </xdr:txBody>
          </xdr:sp>
          <xdr:sp macro="" textlink="">
            <xdr:nvSpPr>
              <xdr:cNvPr id="97" name="TextBox 96">
                <a:extLst>
                  <a:ext uri="{FF2B5EF4-FFF2-40B4-BE49-F238E27FC236}">
                    <a16:creationId xmlns:a16="http://schemas.microsoft.com/office/drawing/2014/main" id="{F11A3DE3-4411-B4EF-54DF-88C4558C7AC5}"/>
                  </a:ext>
                </a:extLst>
              </xdr:cNvPr>
              <xdr:cNvSpPr txBox="1"/>
            </xdr:nvSpPr>
            <xdr:spPr>
              <a:xfrm>
                <a:off x="8142492" y="7805395"/>
                <a:ext cx="240193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/>
                  <a:t>x</a:t>
                </a:r>
              </a:p>
            </xdr:txBody>
          </xdr:sp>
          <xdr:sp macro="" textlink="">
            <xdr:nvSpPr>
              <xdr:cNvPr id="98" name="TextBox 97">
                <a:extLst>
                  <a:ext uri="{FF2B5EF4-FFF2-40B4-BE49-F238E27FC236}">
                    <a16:creationId xmlns:a16="http://schemas.microsoft.com/office/drawing/2014/main" id="{7FED047C-636E-2779-69FB-9E879885A338}"/>
                  </a:ext>
                </a:extLst>
              </xdr:cNvPr>
              <xdr:cNvSpPr txBox="1"/>
            </xdr:nvSpPr>
            <xdr:spPr>
              <a:xfrm>
                <a:off x="7941982" y="7664928"/>
                <a:ext cx="24269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/>
                  <a:t>y</a:t>
                </a:r>
              </a:p>
            </xdr:txBody>
          </xdr:sp>
          <xdr:cxnSp macro="">
            <xdr:nvCxnSpPr>
              <xdr:cNvPr id="99" name="Straight Arrow Connector 98">
                <a:extLst>
                  <a:ext uri="{FF2B5EF4-FFF2-40B4-BE49-F238E27FC236}">
                    <a16:creationId xmlns:a16="http://schemas.microsoft.com/office/drawing/2014/main" id="{C4CCCAF6-762C-2DEA-0879-85F645AEEB85}"/>
                  </a:ext>
                </a:extLst>
              </xdr:cNvPr>
              <xdr:cNvCxnSpPr/>
            </xdr:nvCxnSpPr>
            <xdr:spPr bwMode="auto">
              <a:xfrm>
                <a:off x="8013805" y="7998292"/>
                <a:ext cx="378204" cy="0"/>
              </a:xfrm>
              <a:prstGeom prst="straightConnector1">
                <a:avLst/>
              </a:prstGeom>
              <a:ln w="9525" cap="flat" cmpd="sng" algn="ctr">
                <a:solidFill>
                  <a:schemeClr val="accent2"/>
                </a:solidFill>
                <a:prstDash val="solid"/>
                <a:round/>
                <a:headEnd type="none" w="med" len="med"/>
                <a:tailEnd type="arrow" w="med" len="med"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</xdr:cxnSp>
          <xdr:cxnSp macro="">
            <xdr:nvCxnSpPr>
              <xdr:cNvPr id="100" name="Straight Arrow Connector 99">
                <a:extLst>
                  <a:ext uri="{FF2B5EF4-FFF2-40B4-BE49-F238E27FC236}">
                    <a16:creationId xmlns:a16="http://schemas.microsoft.com/office/drawing/2014/main" id="{F42C2372-5EE6-5305-AC0E-148545AC9137}"/>
                  </a:ext>
                </a:extLst>
              </xdr:cNvPr>
              <xdr:cNvCxnSpPr/>
            </xdr:nvCxnSpPr>
            <xdr:spPr bwMode="auto">
              <a:xfrm flipV="1">
                <a:off x="8013562" y="7665024"/>
                <a:ext cx="0" cy="335637"/>
              </a:xfrm>
              <a:prstGeom prst="straightConnector1">
                <a:avLst/>
              </a:prstGeom>
              <a:ln w="9525" cap="flat" cmpd="sng" algn="ctr">
                <a:solidFill>
                  <a:schemeClr val="accent2"/>
                </a:solidFill>
                <a:prstDash val="solid"/>
                <a:round/>
                <a:headEnd type="none" w="med" len="med"/>
                <a:tailEnd type="arrow" w="med" len="med"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01" name="TextBox 100">
                <a:extLst>
                  <a:ext uri="{FF2B5EF4-FFF2-40B4-BE49-F238E27FC236}">
                    <a16:creationId xmlns:a16="http://schemas.microsoft.com/office/drawing/2014/main" id="{F47A147D-14C4-8A0A-6CE7-D80B2822984D}"/>
                  </a:ext>
                </a:extLst>
              </xdr:cNvPr>
              <xdr:cNvSpPr txBox="1"/>
            </xdr:nvSpPr>
            <xdr:spPr>
              <a:xfrm>
                <a:off x="7609217" y="7975924"/>
                <a:ext cx="249683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2</a:t>
                </a:r>
              </a:p>
            </xdr:txBody>
          </xdr:sp>
          <xdr:sp macro="" textlink="">
            <xdr:nvSpPr>
              <xdr:cNvPr id="102" name="TextBox 101">
                <a:extLst>
                  <a:ext uri="{FF2B5EF4-FFF2-40B4-BE49-F238E27FC236}">
                    <a16:creationId xmlns:a16="http://schemas.microsoft.com/office/drawing/2014/main" id="{EB2657AD-533E-70CB-DF68-ECAB80310CCC}"/>
                  </a:ext>
                </a:extLst>
              </xdr:cNvPr>
              <xdr:cNvSpPr txBox="1"/>
            </xdr:nvSpPr>
            <xdr:spPr>
              <a:xfrm>
                <a:off x="7738562" y="8101086"/>
                <a:ext cx="249683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1</a:t>
                </a:r>
              </a:p>
            </xdr:txBody>
          </xdr:sp>
          <xdr:sp macro="" textlink="">
            <xdr:nvSpPr>
              <xdr:cNvPr id="103" name="TextBox 102">
                <a:extLst>
                  <a:ext uri="{FF2B5EF4-FFF2-40B4-BE49-F238E27FC236}">
                    <a16:creationId xmlns:a16="http://schemas.microsoft.com/office/drawing/2014/main" id="{A29C57FB-D1C7-3D8D-708C-E27CBC4DD6E4}"/>
                  </a:ext>
                </a:extLst>
              </xdr:cNvPr>
              <xdr:cNvSpPr txBox="1"/>
            </xdr:nvSpPr>
            <xdr:spPr>
              <a:xfrm>
                <a:off x="8170859" y="7966162"/>
                <a:ext cx="249683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2</a:t>
                </a:r>
              </a:p>
            </xdr:txBody>
          </xdr:sp>
        </xdr:grpSp>
        <xdr:grpSp>
          <xdr:nvGrpSpPr>
            <xdr:cNvPr id="87" name="Group 86">
              <a:extLst>
                <a:ext uri="{FF2B5EF4-FFF2-40B4-BE49-F238E27FC236}">
                  <a16:creationId xmlns:a16="http://schemas.microsoft.com/office/drawing/2014/main" id="{0B4FE8A0-3E2B-682B-51B3-A332AAB8093B}"/>
                </a:ext>
              </a:extLst>
            </xdr:cNvPr>
            <xdr:cNvGrpSpPr/>
          </xdr:nvGrpSpPr>
          <xdr:grpSpPr>
            <a:xfrm>
              <a:off x="10708947" y="6947307"/>
              <a:ext cx="760813" cy="826887"/>
              <a:chOff x="8571899" y="7564855"/>
              <a:chExt cx="760460" cy="841192"/>
            </a:xfrm>
          </xdr:grpSpPr>
          <xdr:sp macro="" textlink="">
            <xdr:nvSpPr>
              <xdr:cNvPr id="88" name="Curved Down Arrow 112">
                <a:extLst>
                  <a:ext uri="{FF2B5EF4-FFF2-40B4-BE49-F238E27FC236}">
                    <a16:creationId xmlns:a16="http://schemas.microsoft.com/office/drawing/2014/main" id="{571E50EA-E21C-FE02-C610-0A142F85505E}"/>
                  </a:ext>
                </a:extLst>
              </xdr:cNvPr>
              <xdr:cNvSpPr/>
            </xdr:nvSpPr>
            <xdr:spPr bwMode="auto">
              <a:xfrm rot="5225035">
                <a:off x="8954838" y="7944166"/>
                <a:ext cx="352806" cy="154379"/>
              </a:xfrm>
              <a:prstGeom prst="curvedDownArrow">
                <a:avLst/>
              </a:prstGeom>
              <a:solidFill>
                <a:srgbClr val="00B05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89" name="Rectangle 88">
                <a:extLst>
                  <a:ext uri="{FF2B5EF4-FFF2-40B4-BE49-F238E27FC236}">
                    <a16:creationId xmlns:a16="http://schemas.microsoft.com/office/drawing/2014/main" id="{04E9D741-DC34-A412-888B-05AE29DECEC8}"/>
                  </a:ext>
                </a:extLst>
              </xdr:cNvPr>
              <xdr:cNvSpPr/>
            </xdr:nvSpPr>
            <xdr:spPr bwMode="auto">
              <a:xfrm>
                <a:off x="8612544" y="7569868"/>
                <a:ext cx="371478" cy="836179"/>
              </a:xfrm>
              <a:prstGeom prst="rect">
                <a:avLst/>
              </a:prstGeom>
              <a:gradFill flip="none" rotWithShape="1">
                <a:gsLst>
                  <a:gs pos="0">
                    <a:srgbClr val="FFC000">
                      <a:tint val="66000"/>
                      <a:satMod val="160000"/>
                    </a:srgbClr>
                  </a:gs>
                  <a:gs pos="50000">
                    <a:srgbClr val="FFC000">
                      <a:tint val="44500"/>
                      <a:satMod val="160000"/>
                    </a:srgbClr>
                  </a:gs>
                  <a:gs pos="100000">
                    <a:srgbClr val="FFC000">
                      <a:tint val="23500"/>
                      <a:satMod val="160000"/>
                    </a:srgbClr>
                  </a:gs>
                </a:gsLst>
                <a:lin ang="0" scaled="1"/>
                <a:tileRect/>
              </a:gra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0" name="TextBox 89">
                <a:extLst>
                  <a:ext uri="{FF2B5EF4-FFF2-40B4-BE49-F238E27FC236}">
                    <a16:creationId xmlns:a16="http://schemas.microsoft.com/office/drawing/2014/main" id="{B2BBC662-1098-701F-0B64-FFB5B5A2B784}"/>
                  </a:ext>
                </a:extLst>
              </xdr:cNvPr>
              <xdr:cNvSpPr txBox="1"/>
            </xdr:nvSpPr>
            <xdr:spPr>
              <a:xfrm>
                <a:off x="8754808" y="8246205"/>
                <a:ext cx="142209" cy="1373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8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endParaRPr lang="en-US" sz="800" b="1" i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91" name="TextBox 90">
                <a:extLst>
                  <a:ext uri="{FF2B5EF4-FFF2-40B4-BE49-F238E27FC236}">
                    <a16:creationId xmlns:a16="http://schemas.microsoft.com/office/drawing/2014/main" id="{3420F087-8392-58D7-212F-16360C940875}"/>
                  </a:ext>
                </a:extLst>
              </xdr:cNvPr>
              <xdr:cNvSpPr txBox="1"/>
            </xdr:nvSpPr>
            <xdr:spPr>
              <a:xfrm>
                <a:off x="9190150" y="7769375"/>
                <a:ext cx="142209" cy="1373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8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</a:t>
                </a:r>
              </a:p>
            </xdr:txBody>
          </xdr:sp>
          <xdr:sp macro="" textlink="">
            <xdr:nvSpPr>
              <xdr:cNvPr id="92" name="TextBox 91">
                <a:extLst>
                  <a:ext uri="{FF2B5EF4-FFF2-40B4-BE49-F238E27FC236}">
                    <a16:creationId xmlns:a16="http://schemas.microsoft.com/office/drawing/2014/main" id="{AD0E6340-712A-C66B-8557-29B3BC8F4DDB}"/>
                  </a:ext>
                </a:extLst>
              </xdr:cNvPr>
              <xdr:cNvSpPr txBox="1"/>
            </xdr:nvSpPr>
            <xdr:spPr>
              <a:xfrm>
                <a:off x="9106031" y="8183147"/>
                <a:ext cx="142209" cy="1373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8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</a:t>
                </a:r>
              </a:p>
            </xdr:txBody>
          </xdr:sp>
          <xdr:sp macro="" textlink="">
            <xdr:nvSpPr>
              <xdr:cNvPr id="93" name="Rectangle 92">
                <a:extLst>
                  <a:ext uri="{FF2B5EF4-FFF2-40B4-BE49-F238E27FC236}">
                    <a16:creationId xmlns:a16="http://schemas.microsoft.com/office/drawing/2014/main" id="{9A3F98AE-11DD-7E9B-3718-309F4D63A0BC}"/>
                  </a:ext>
                </a:extLst>
              </xdr:cNvPr>
              <xdr:cNvSpPr/>
            </xdr:nvSpPr>
            <xdr:spPr bwMode="auto">
              <a:xfrm>
                <a:off x="8571899" y="7564855"/>
                <a:ext cx="45719" cy="836179"/>
              </a:xfrm>
              <a:prstGeom prst="rect">
                <a:avLst/>
              </a:prstGeom>
              <a:solidFill>
                <a:srgbClr val="FF000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4" name="Down Arrow 118">
                <a:extLst>
                  <a:ext uri="{FF2B5EF4-FFF2-40B4-BE49-F238E27FC236}">
                    <a16:creationId xmlns:a16="http://schemas.microsoft.com/office/drawing/2014/main" id="{B6C960BF-E43A-E2AD-2556-16FD6C6432D7}"/>
                  </a:ext>
                </a:extLst>
              </xdr:cNvPr>
              <xdr:cNvSpPr/>
            </xdr:nvSpPr>
            <xdr:spPr bwMode="auto">
              <a:xfrm rot="10800000">
                <a:off x="8658132" y="7975805"/>
                <a:ext cx="71371" cy="381463"/>
              </a:xfrm>
              <a:prstGeom prst="downArrow">
                <a:avLst/>
              </a:prstGeom>
              <a:solidFill>
                <a:srgbClr val="00B0F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r>
                  <a:rPr lang="en-US" sz="1100"/>
                  <a:t> </a:t>
                </a:r>
              </a:p>
            </xdr:txBody>
          </xdr:sp>
          <xdr:sp macro="" textlink="">
            <xdr:nvSpPr>
              <xdr:cNvPr id="95" name="Down Arrow 111">
                <a:extLst>
                  <a:ext uri="{FF2B5EF4-FFF2-40B4-BE49-F238E27FC236}">
                    <a16:creationId xmlns:a16="http://schemas.microsoft.com/office/drawing/2014/main" id="{3BF5D2FD-CF66-0C59-2453-EA7C11E7E26B}"/>
                  </a:ext>
                </a:extLst>
              </xdr:cNvPr>
              <xdr:cNvSpPr/>
            </xdr:nvSpPr>
            <xdr:spPr bwMode="auto">
              <a:xfrm rot="16200000">
                <a:off x="9088599" y="7805057"/>
                <a:ext cx="71384" cy="381396"/>
              </a:xfrm>
              <a:prstGeom prst="downArrow">
                <a:avLst/>
              </a:prstGeom>
              <a:solidFill>
                <a:srgbClr val="FFC00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r>
                  <a:rPr lang="en-US" sz="1100"/>
                  <a:t> </a:t>
                </a:r>
              </a:p>
            </xdr:txBody>
          </xdr:sp>
        </xdr:grpSp>
      </xdr:grpSp>
    </xdr:grpSp>
    <xdr:clientData/>
  </xdr:twoCellAnchor>
  <xdr:twoCellAnchor>
    <xdr:from>
      <xdr:col>1</xdr:col>
      <xdr:colOff>276225</xdr:colOff>
      <xdr:row>5</xdr:row>
      <xdr:rowOff>123825</xdr:rowOff>
    </xdr:from>
    <xdr:to>
      <xdr:col>1</xdr:col>
      <xdr:colOff>1862049</xdr:colOff>
      <xdr:row>5</xdr:row>
      <xdr:rowOff>1072085</xdr:rowOff>
    </xdr:to>
    <xdr:grpSp>
      <xdr:nvGrpSpPr>
        <xdr:cNvPr id="104" name="Group 103">
          <a:extLst>
            <a:ext uri="{FF2B5EF4-FFF2-40B4-BE49-F238E27FC236}">
              <a16:creationId xmlns:a16="http://schemas.microsoft.com/office/drawing/2014/main" id="{6A6C9B30-26CD-4D0E-A3D2-86B5DAE9282D}"/>
            </a:ext>
          </a:extLst>
        </xdr:cNvPr>
        <xdr:cNvGrpSpPr/>
      </xdr:nvGrpSpPr>
      <xdr:grpSpPr>
        <a:xfrm>
          <a:off x="885825" y="6457950"/>
          <a:ext cx="1585824" cy="948260"/>
          <a:chOff x="16085114" y="2539631"/>
          <a:chExt cx="1710392" cy="1074001"/>
        </a:xfrm>
      </xdr:grpSpPr>
      <xdr:pic>
        <xdr:nvPicPr>
          <xdr:cNvPr id="105" name="Picture 104">
            <a:extLst>
              <a:ext uri="{FF2B5EF4-FFF2-40B4-BE49-F238E27FC236}">
                <a16:creationId xmlns:a16="http://schemas.microsoft.com/office/drawing/2014/main" id="{3553E766-30C8-D1CE-08F5-5901561D26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6085114" y="2717520"/>
            <a:ext cx="881176" cy="896112"/>
          </a:xfrm>
          <a:prstGeom prst="rect">
            <a:avLst/>
          </a:prstGeom>
        </xdr:spPr>
      </xdr:pic>
      <xdr:grpSp>
        <xdr:nvGrpSpPr>
          <xdr:cNvPr id="106" name="Group 105">
            <a:extLst>
              <a:ext uri="{FF2B5EF4-FFF2-40B4-BE49-F238E27FC236}">
                <a16:creationId xmlns:a16="http://schemas.microsoft.com/office/drawing/2014/main" id="{604439E7-E94F-1C54-BD9F-1B3BF8666A97}"/>
              </a:ext>
            </a:extLst>
          </xdr:cNvPr>
          <xdr:cNvGrpSpPr/>
        </xdr:nvGrpSpPr>
        <xdr:grpSpPr>
          <a:xfrm>
            <a:off x="16194255" y="2539631"/>
            <a:ext cx="1601251" cy="975162"/>
            <a:chOff x="10126342" y="6739491"/>
            <a:chExt cx="1586960" cy="983262"/>
          </a:xfrm>
        </xdr:grpSpPr>
        <xdr:grpSp>
          <xdr:nvGrpSpPr>
            <xdr:cNvPr id="107" name="Group 106">
              <a:extLst>
                <a:ext uri="{FF2B5EF4-FFF2-40B4-BE49-F238E27FC236}">
                  <a16:creationId xmlns:a16="http://schemas.microsoft.com/office/drawing/2014/main" id="{60950B8D-B76E-E3BC-2069-E697C40FF188}"/>
                </a:ext>
              </a:extLst>
            </xdr:cNvPr>
            <xdr:cNvGrpSpPr/>
          </xdr:nvGrpSpPr>
          <xdr:grpSpPr>
            <a:xfrm>
              <a:off x="10126342" y="6739491"/>
              <a:ext cx="768603" cy="852544"/>
              <a:chOff x="7912458" y="7345101"/>
              <a:chExt cx="768246" cy="867294"/>
            </a:xfrm>
          </xdr:grpSpPr>
          <xdr:sp macro="" textlink="">
            <xdr:nvSpPr>
              <xdr:cNvPr id="118" name="TextBox 117">
                <a:extLst>
                  <a:ext uri="{FF2B5EF4-FFF2-40B4-BE49-F238E27FC236}">
                    <a16:creationId xmlns:a16="http://schemas.microsoft.com/office/drawing/2014/main" id="{40CB0EF9-6084-4F67-1C19-8D8341E01F5B}"/>
                  </a:ext>
                </a:extLst>
              </xdr:cNvPr>
              <xdr:cNvSpPr txBox="1"/>
            </xdr:nvSpPr>
            <xdr:spPr>
              <a:xfrm>
                <a:off x="7912458" y="7693009"/>
                <a:ext cx="24968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2</a:t>
                </a:r>
              </a:p>
            </xdr:txBody>
          </xdr:sp>
          <xdr:sp macro="" textlink="">
            <xdr:nvSpPr>
              <xdr:cNvPr id="119" name="TextBox 118">
                <a:extLst>
                  <a:ext uri="{FF2B5EF4-FFF2-40B4-BE49-F238E27FC236}">
                    <a16:creationId xmlns:a16="http://schemas.microsoft.com/office/drawing/2014/main" id="{5AEFAD56-ACBB-93C0-8FFF-42F6B0394BC1}"/>
                  </a:ext>
                </a:extLst>
              </xdr:cNvPr>
              <xdr:cNvSpPr txBox="1"/>
            </xdr:nvSpPr>
            <xdr:spPr>
              <a:xfrm>
                <a:off x="8440510" y="7732458"/>
                <a:ext cx="24019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/>
                  <a:t>x</a:t>
                </a:r>
              </a:p>
            </xdr:txBody>
          </xdr:sp>
          <xdr:sp macro="" textlink="">
            <xdr:nvSpPr>
              <xdr:cNvPr id="120" name="TextBox 119">
                <a:extLst>
                  <a:ext uri="{FF2B5EF4-FFF2-40B4-BE49-F238E27FC236}">
                    <a16:creationId xmlns:a16="http://schemas.microsoft.com/office/drawing/2014/main" id="{62196681-290C-A63E-E256-A3A1D1096A31}"/>
                  </a:ext>
                </a:extLst>
              </xdr:cNvPr>
              <xdr:cNvSpPr txBox="1"/>
            </xdr:nvSpPr>
            <xdr:spPr>
              <a:xfrm>
                <a:off x="8211520" y="7345101"/>
                <a:ext cx="242695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/>
                  <a:t>y</a:t>
                </a:r>
              </a:p>
            </xdr:txBody>
          </xdr:sp>
          <xdr:cxnSp macro="">
            <xdr:nvCxnSpPr>
              <xdr:cNvPr id="121" name="Straight Arrow Connector 120">
                <a:extLst>
                  <a:ext uri="{FF2B5EF4-FFF2-40B4-BE49-F238E27FC236}">
                    <a16:creationId xmlns:a16="http://schemas.microsoft.com/office/drawing/2014/main" id="{62512A96-FB5C-E0AF-BA37-A25C85952F63}"/>
                  </a:ext>
                </a:extLst>
              </xdr:cNvPr>
              <xdr:cNvCxnSpPr/>
            </xdr:nvCxnSpPr>
            <xdr:spPr bwMode="auto">
              <a:xfrm>
                <a:off x="8236601" y="7970461"/>
                <a:ext cx="378205" cy="0"/>
              </a:xfrm>
              <a:prstGeom prst="straightConnector1">
                <a:avLst/>
              </a:prstGeom>
              <a:ln w="9525" cap="flat" cmpd="sng" algn="ctr">
                <a:solidFill>
                  <a:schemeClr val="accent2"/>
                </a:solidFill>
                <a:prstDash val="solid"/>
                <a:round/>
                <a:headEnd type="none" w="med" len="med"/>
                <a:tailEnd type="arrow" w="med" len="med"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</xdr:cxnSp>
          <xdr:cxnSp macro="">
            <xdr:nvCxnSpPr>
              <xdr:cNvPr id="122" name="Straight Arrow Connector 121">
                <a:extLst>
                  <a:ext uri="{FF2B5EF4-FFF2-40B4-BE49-F238E27FC236}">
                    <a16:creationId xmlns:a16="http://schemas.microsoft.com/office/drawing/2014/main" id="{212F7AEA-C828-E9EF-E5FE-5A708008F942}"/>
                  </a:ext>
                </a:extLst>
              </xdr:cNvPr>
              <xdr:cNvCxnSpPr/>
            </xdr:nvCxnSpPr>
            <xdr:spPr bwMode="auto">
              <a:xfrm flipV="1">
                <a:off x="8231345" y="7430207"/>
                <a:ext cx="0" cy="335638"/>
              </a:xfrm>
              <a:prstGeom prst="straightConnector1">
                <a:avLst/>
              </a:prstGeom>
              <a:ln w="9525" cap="flat" cmpd="sng" algn="ctr">
                <a:solidFill>
                  <a:schemeClr val="accent2"/>
                </a:solidFill>
                <a:prstDash val="solid"/>
                <a:round/>
                <a:headEnd type="none" w="med" len="med"/>
                <a:tailEnd type="arrow" w="med" len="med"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3" name="TextBox 122">
                <a:extLst>
                  <a:ext uri="{FF2B5EF4-FFF2-40B4-BE49-F238E27FC236}">
                    <a16:creationId xmlns:a16="http://schemas.microsoft.com/office/drawing/2014/main" id="{078DF554-657A-8927-0B51-3C2F604F3C22}"/>
                  </a:ext>
                </a:extLst>
              </xdr:cNvPr>
              <xdr:cNvSpPr txBox="1"/>
            </xdr:nvSpPr>
            <xdr:spPr>
              <a:xfrm>
                <a:off x="8010320" y="7349005"/>
                <a:ext cx="24968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1</a:t>
                </a:r>
              </a:p>
            </xdr:txBody>
          </xdr:sp>
          <xdr:sp macro="" textlink="">
            <xdr:nvSpPr>
              <xdr:cNvPr id="124" name="TextBox 123">
                <a:extLst>
                  <a:ext uri="{FF2B5EF4-FFF2-40B4-BE49-F238E27FC236}">
                    <a16:creationId xmlns:a16="http://schemas.microsoft.com/office/drawing/2014/main" id="{B40AB924-CB15-8F44-B8FC-86E0FCF1C4DC}"/>
                  </a:ext>
                </a:extLst>
              </xdr:cNvPr>
              <xdr:cNvSpPr txBox="1"/>
            </xdr:nvSpPr>
            <xdr:spPr>
              <a:xfrm>
                <a:off x="7966526" y="7963543"/>
                <a:ext cx="24968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3</a:t>
                </a:r>
              </a:p>
            </xdr:txBody>
          </xdr:sp>
          <xdr:sp macro="" textlink="">
            <xdr:nvSpPr>
              <xdr:cNvPr id="125" name="TextBox 124">
                <a:extLst>
                  <a:ext uri="{FF2B5EF4-FFF2-40B4-BE49-F238E27FC236}">
                    <a16:creationId xmlns:a16="http://schemas.microsoft.com/office/drawing/2014/main" id="{E75F465C-809F-6671-E593-64F0F5951A40}"/>
                  </a:ext>
                </a:extLst>
              </xdr:cNvPr>
              <xdr:cNvSpPr txBox="1"/>
            </xdr:nvSpPr>
            <xdr:spPr>
              <a:xfrm>
                <a:off x="8325731" y="7682874"/>
                <a:ext cx="24968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2</a:t>
                </a:r>
              </a:p>
            </xdr:txBody>
          </xdr:sp>
          <xdr:sp macro="" textlink="">
            <xdr:nvSpPr>
              <xdr:cNvPr id="126" name="TextBox 125">
                <a:extLst>
                  <a:ext uri="{FF2B5EF4-FFF2-40B4-BE49-F238E27FC236}">
                    <a16:creationId xmlns:a16="http://schemas.microsoft.com/office/drawing/2014/main" id="{0125DF5C-E6CF-B9E9-9EC1-51FA7114A8E1}"/>
                  </a:ext>
                </a:extLst>
              </xdr:cNvPr>
              <xdr:cNvSpPr txBox="1"/>
            </xdr:nvSpPr>
            <xdr:spPr>
              <a:xfrm>
                <a:off x="8291204" y="7963544"/>
                <a:ext cx="249684" cy="2488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sz="1000">
                    <a:solidFill>
                      <a:srgbClr val="0000FF"/>
                    </a:solidFill>
                  </a:rPr>
                  <a:t>3</a:t>
                </a:r>
              </a:p>
            </xdr:txBody>
          </xdr:sp>
        </xdr:grpSp>
        <xdr:grpSp>
          <xdr:nvGrpSpPr>
            <xdr:cNvPr id="108" name="Group 107">
              <a:extLst>
                <a:ext uri="{FF2B5EF4-FFF2-40B4-BE49-F238E27FC236}">
                  <a16:creationId xmlns:a16="http://schemas.microsoft.com/office/drawing/2014/main" id="{34A27611-79F0-369E-4D37-C6E5F3F99CB5}"/>
                </a:ext>
              </a:extLst>
            </xdr:cNvPr>
            <xdr:cNvGrpSpPr/>
          </xdr:nvGrpSpPr>
          <xdr:grpSpPr>
            <a:xfrm>
              <a:off x="10909497" y="6906368"/>
              <a:ext cx="803805" cy="816385"/>
              <a:chOff x="8772355" y="7523215"/>
              <a:chExt cx="803432" cy="830509"/>
            </a:xfrm>
          </xdr:grpSpPr>
          <xdr:sp macro="" textlink="">
            <xdr:nvSpPr>
              <xdr:cNvPr id="109" name="Down Arrow 141">
                <a:extLst>
                  <a:ext uri="{FF2B5EF4-FFF2-40B4-BE49-F238E27FC236}">
                    <a16:creationId xmlns:a16="http://schemas.microsoft.com/office/drawing/2014/main" id="{5049CB98-619D-0A4B-586E-6BA975C1F51F}"/>
                  </a:ext>
                </a:extLst>
              </xdr:cNvPr>
              <xdr:cNvSpPr/>
            </xdr:nvSpPr>
            <xdr:spPr bwMode="auto">
              <a:xfrm rot="16200000">
                <a:off x="9349397" y="7805057"/>
                <a:ext cx="71384" cy="381396"/>
              </a:xfrm>
              <a:prstGeom prst="downArrow">
                <a:avLst/>
              </a:prstGeom>
              <a:solidFill>
                <a:srgbClr val="FFC00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r>
                  <a:rPr lang="en-US" sz="1100"/>
                  <a:t> </a:t>
                </a:r>
              </a:p>
            </xdr:txBody>
          </xdr:sp>
          <xdr:sp macro="" textlink="">
            <xdr:nvSpPr>
              <xdr:cNvPr id="110" name="Curved Down Arrow 142">
                <a:extLst>
                  <a:ext uri="{FF2B5EF4-FFF2-40B4-BE49-F238E27FC236}">
                    <a16:creationId xmlns:a16="http://schemas.microsoft.com/office/drawing/2014/main" id="{E135D644-77E4-023B-AE77-D285B3605E6D}"/>
                  </a:ext>
                </a:extLst>
              </xdr:cNvPr>
              <xdr:cNvSpPr/>
            </xdr:nvSpPr>
            <xdr:spPr bwMode="auto">
              <a:xfrm rot="5225035">
                <a:off x="9171515" y="7944166"/>
                <a:ext cx="352806" cy="154379"/>
              </a:xfrm>
              <a:prstGeom prst="curvedDownArrow">
                <a:avLst/>
              </a:prstGeom>
              <a:solidFill>
                <a:srgbClr val="00B05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11" name="Rectangle 110">
                <a:extLst>
                  <a:ext uri="{FF2B5EF4-FFF2-40B4-BE49-F238E27FC236}">
                    <a16:creationId xmlns:a16="http://schemas.microsoft.com/office/drawing/2014/main" id="{0F19D636-E1B3-F826-D02A-FC1CD230972B}"/>
                  </a:ext>
                </a:extLst>
              </xdr:cNvPr>
              <xdr:cNvSpPr/>
            </xdr:nvSpPr>
            <xdr:spPr bwMode="auto">
              <a:xfrm>
                <a:off x="8829221" y="7569868"/>
                <a:ext cx="371478" cy="783856"/>
              </a:xfrm>
              <a:prstGeom prst="rect">
                <a:avLst/>
              </a:prstGeom>
              <a:gradFill flip="none" rotWithShape="1">
                <a:gsLst>
                  <a:gs pos="0">
                    <a:srgbClr val="FFC000">
                      <a:tint val="66000"/>
                      <a:satMod val="160000"/>
                    </a:srgbClr>
                  </a:gs>
                  <a:gs pos="50000">
                    <a:srgbClr val="FFC000">
                      <a:tint val="44500"/>
                      <a:satMod val="160000"/>
                    </a:srgbClr>
                  </a:gs>
                  <a:gs pos="100000">
                    <a:srgbClr val="FFC000">
                      <a:tint val="23500"/>
                      <a:satMod val="160000"/>
                    </a:srgbClr>
                  </a:gs>
                </a:gsLst>
                <a:lin ang="0" scaled="1"/>
                <a:tileRect/>
              </a:gra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12" name="TextBox 111">
                <a:extLst>
                  <a:ext uri="{FF2B5EF4-FFF2-40B4-BE49-F238E27FC236}">
                    <a16:creationId xmlns:a16="http://schemas.microsoft.com/office/drawing/2014/main" id="{7C6C17F6-6172-7654-C8AD-BFDE439171DB}"/>
                  </a:ext>
                </a:extLst>
              </xdr:cNvPr>
              <xdr:cNvSpPr txBox="1"/>
            </xdr:nvSpPr>
            <xdr:spPr>
              <a:xfrm>
                <a:off x="8884604" y="8208664"/>
                <a:ext cx="142209" cy="1373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8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endParaRPr lang="en-US" sz="800" b="1" i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13" name="TextBox 112">
                <a:extLst>
                  <a:ext uri="{FF2B5EF4-FFF2-40B4-BE49-F238E27FC236}">
                    <a16:creationId xmlns:a16="http://schemas.microsoft.com/office/drawing/2014/main" id="{CFE92C26-17C1-D954-0952-4A231ED6168E}"/>
                  </a:ext>
                </a:extLst>
              </xdr:cNvPr>
              <xdr:cNvSpPr txBox="1"/>
            </xdr:nvSpPr>
            <xdr:spPr>
              <a:xfrm>
                <a:off x="9424817" y="7797979"/>
                <a:ext cx="142209" cy="1373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8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</a:t>
                </a:r>
              </a:p>
            </xdr:txBody>
          </xdr:sp>
          <xdr:sp macro="" textlink="">
            <xdr:nvSpPr>
              <xdr:cNvPr id="114" name="TextBox 113">
                <a:extLst>
                  <a:ext uri="{FF2B5EF4-FFF2-40B4-BE49-F238E27FC236}">
                    <a16:creationId xmlns:a16="http://schemas.microsoft.com/office/drawing/2014/main" id="{187DA876-F1EC-54F2-B741-2961A54DEB11}"/>
                  </a:ext>
                </a:extLst>
              </xdr:cNvPr>
              <xdr:cNvSpPr txBox="1"/>
            </xdr:nvSpPr>
            <xdr:spPr>
              <a:xfrm>
                <a:off x="9291454" y="8187839"/>
                <a:ext cx="142209" cy="1373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8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</a:t>
                </a:r>
              </a:p>
            </xdr:txBody>
          </xdr:sp>
          <xdr:sp macro="" textlink="">
            <xdr:nvSpPr>
              <xdr:cNvPr id="115" name="Rectangle 114">
                <a:extLst>
                  <a:ext uri="{FF2B5EF4-FFF2-40B4-BE49-F238E27FC236}">
                    <a16:creationId xmlns:a16="http://schemas.microsoft.com/office/drawing/2014/main" id="{BA38224B-615E-8E35-9E65-BAD531AA5B74}"/>
                  </a:ext>
                </a:extLst>
              </xdr:cNvPr>
              <xdr:cNvSpPr/>
            </xdr:nvSpPr>
            <xdr:spPr bwMode="auto">
              <a:xfrm>
                <a:off x="8772355" y="7531770"/>
                <a:ext cx="45163" cy="810307"/>
              </a:xfrm>
              <a:prstGeom prst="rect">
                <a:avLst/>
              </a:prstGeom>
              <a:solidFill>
                <a:srgbClr val="FF000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16" name="Down Arrow 148">
                <a:extLst>
                  <a:ext uri="{FF2B5EF4-FFF2-40B4-BE49-F238E27FC236}">
                    <a16:creationId xmlns:a16="http://schemas.microsoft.com/office/drawing/2014/main" id="{40C1920C-3A7D-4348-41B8-E697944C3BC9}"/>
                  </a:ext>
                </a:extLst>
              </xdr:cNvPr>
              <xdr:cNvSpPr/>
            </xdr:nvSpPr>
            <xdr:spPr bwMode="auto">
              <a:xfrm rot="10800000">
                <a:off x="8846996" y="7872569"/>
                <a:ext cx="71371" cy="381463"/>
              </a:xfrm>
              <a:prstGeom prst="downArrow">
                <a:avLst/>
              </a:prstGeom>
              <a:solidFill>
                <a:srgbClr val="00B0F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r>
                  <a:rPr lang="en-US" sz="1100"/>
                  <a:t> </a:t>
                </a:r>
              </a:p>
            </xdr:txBody>
          </xdr:sp>
          <xdr:sp macro="" textlink="">
            <xdr:nvSpPr>
              <xdr:cNvPr id="117" name="Rectangle 116">
                <a:extLst>
                  <a:ext uri="{FF2B5EF4-FFF2-40B4-BE49-F238E27FC236}">
                    <a16:creationId xmlns:a16="http://schemas.microsoft.com/office/drawing/2014/main" id="{8CCDAE65-AAAA-4C6C-B8AE-CF9EAE04B217}"/>
                  </a:ext>
                </a:extLst>
              </xdr:cNvPr>
              <xdr:cNvSpPr/>
            </xdr:nvSpPr>
            <xdr:spPr bwMode="auto">
              <a:xfrm>
                <a:off x="8815418" y="7523215"/>
                <a:ext cx="380123" cy="50670"/>
              </a:xfrm>
              <a:prstGeom prst="rect">
                <a:avLst/>
              </a:prstGeom>
              <a:solidFill>
                <a:srgbClr val="FFFF00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</xdr:grp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D5F9772-21A3-4E53-9AE1-08D64CBF9810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86b6ffd5-a2d1-4fa0-9f76-3c67b215e94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AE671-4631-4B4A-8B25-D1310580A3A9}">
  <sheetPr codeName="Sheet2">
    <tabColor rgb="FF0070C0"/>
  </sheetPr>
  <dimension ref="A1:DN30"/>
  <sheetViews>
    <sheetView showGridLines="0" topLeftCell="B1" zoomScale="130" zoomScaleNormal="130" zoomScaleSheetLayoutView="100" workbookViewId="0">
      <selection activeCell="W24" sqref="W24"/>
    </sheetView>
  </sheetViews>
  <sheetFormatPr defaultColWidth="7.28515625" defaultRowHeight="12.75"/>
  <cols>
    <col min="1" max="1" width="9.85546875" style="1" customWidth="1"/>
    <col min="2" max="4" width="7.28515625" style="1"/>
    <col min="5" max="9" width="0" style="1" hidden="1" customWidth="1"/>
    <col min="10" max="10" width="3.28515625" style="2" customWidth="1"/>
    <col min="11" max="15" width="7.28515625" style="1"/>
    <col min="16" max="20" width="0" style="1" hidden="1" customWidth="1"/>
    <col min="21" max="21" width="3.28515625" style="2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2" customWidth="1"/>
    <col min="48" max="50" width="7.28515625" style="1"/>
    <col min="51" max="51" width="3.28515625" style="2" customWidth="1"/>
    <col min="52" max="54" width="7.28515625" style="1"/>
    <col min="55" max="59" width="0" style="1" hidden="1" customWidth="1"/>
    <col min="60" max="60" width="3.28515625" style="2" customWidth="1"/>
    <col min="61" max="62" width="7.28515625" style="1"/>
    <col min="63" max="63" width="9.42578125" style="1" bestFit="1" customWidth="1"/>
    <col min="64" max="67" width="7.42578125" style="1" bestFit="1" customWidth="1"/>
    <col min="68" max="68" width="8.140625" style="1" bestFit="1" customWidth="1"/>
    <col min="69" max="69" width="7.28515625" style="1"/>
    <col min="70" max="79" width="0" style="1" hidden="1" customWidth="1"/>
    <col min="80" max="80" width="3.28515625" style="2" customWidth="1"/>
    <col min="81" max="81" width="9.5703125" style="14" bestFit="1" customWidth="1"/>
    <col min="82" max="83" width="9.5703125" style="16" customWidth="1"/>
    <col min="84" max="85" width="5" style="14" bestFit="1" customWidth="1"/>
    <col min="86" max="86" width="5" style="14" customWidth="1"/>
    <col min="87" max="87" width="5" style="14" bestFit="1" customWidth="1"/>
    <col min="88" max="88" width="7" style="15" bestFit="1" customWidth="1"/>
    <col min="89" max="103" width="0" style="1" hidden="1" customWidth="1"/>
    <col min="104" max="104" width="3.28515625" style="2" customWidth="1"/>
    <col min="105" max="16384" width="7.28515625" style="1"/>
  </cols>
  <sheetData>
    <row r="1" spans="1:118" ht="14.25" customHeight="1">
      <c r="A1" s="129" t="s">
        <v>25</v>
      </c>
      <c r="B1" s="5" t="s">
        <v>26</v>
      </c>
      <c r="C1" s="5" t="s">
        <v>27</v>
      </c>
      <c r="D1" s="5" t="s">
        <v>28</v>
      </c>
      <c r="E1" s="10"/>
      <c r="F1" s="10"/>
      <c r="G1" s="10"/>
      <c r="H1" s="10"/>
      <c r="I1" s="10"/>
      <c r="K1" s="131" t="s">
        <v>16</v>
      </c>
      <c r="L1" s="132"/>
      <c r="M1" s="132"/>
      <c r="N1" s="132"/>
      <c r="O1" s="132"/>
      <c r="P1" s="9"/>
      <c r="Q1" s="9"/>
      <c r="R1" s="9"/>
      <c r="S1" s="9"/>
      <c r="T1" s="9"/>
      <c r="V1" s="135" t="s">
        <v>20</v>
      </c>
      <c r="W1" s="135"/>
      <c r="X1" s="135"/>
      <c r="Y1" s="135"/>
      <c r="Z1" s="135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V1" s="136" t="s">
        <v>59</v>
      </c>
      <c r="AW1" s="137"/>
      <c r="AX1" s="138"/>
      <c r="AZ1" s="136" t="s">
        <v>49</v>
      </c>
      <c r="BA1" s="137"/>
      <c r="BB1" s="138"/>
      <c r="BI1" s="120" t="s">
        <v>60</v>
      </c>
      <c r="BJ1" s="120"/>
      <c r="BK1" s="119" t="s">
        <v>61</v>
      </c>
      <c r="BL1" s="120" t="s">
        <v>62</v>
      </c>
      <c r="BM1" s="120"/>
      <c r="BN1" s="120"/>
      <c r="BO1" s="120"/>
      <c r="BP1" s="119" t="s">
        <v>63</v>
      </c>
      <c r="BQ1" s="119"/>
      <c r="BR1" s="41"/>
      <c r="CC1" s="121" t="s">
        <v>62</v>
      </c>
      <c r="CD1" s="122"/>
      <c r="CE1" s="122"/>
      <c r="CF1" s="122"/>
      <c r="CG1" s="122"/>
      <c r="CH1" s="122"/>
      <c r="CI1" s="122"/>
      <c r="CJ1" s="122"/>
      <c r="DA1" s="121" t="s">
        <v>64</v>
      </c>
      <c r="DB1" s="122"/>
      <c r="DC1" s="122"/>
      <c r="DD1" s="122"/>
      <c r="DE1" s="122"/>
      <c r="DF1" s="123" t="s">
        <v>65</v>
      </c>
      <c r="DG1" s="123"/>
      <c r="DH1" s="41" t="s">
        <v>66</v>
      </c>
      <c r="DI1" s="1" t="s">
        <v>67</v>
      </c>
      <c r="DJ1" s="1" t="s">
        <v>68</v>
      </c>
      <c r="DK1" s="1" t="s">
        <v>69</v>
      </c>
      <c r="DL1" s="4" t="s">
        <v>70</v>
      </c>
      <c r="DM1" s="4" t="s">
        <v>71</v>
      </c>
      <c r="DN1" s="4" t="s">
        <v>72</v>
      </c>
    </row>
    <row r="2" spans="1:118" ht="14.25">
      <c r="A2" s="130"/>
      <c r="B2" s="5" t="s">
        <v>29</v>
      </c>
      <c r="C2" s="5" t="s">
        <v>29</v>
      </c>
      <c r="D2" s="5" t="s">
        <v>29</v>
      </c>
      <c r="E2" s="10"/>
      <c r="F2" s="10"/>
      <c r="G2" s="10"/>
      <c r="H2" s="10"/>
      <c r="I2" s="10"/>
      <c r="K2" s="133"/>
      <c r="L2" s="134"/>
      <c r="M2" s="134"/>
      <c r="N2" s="134"/>
      <c r="O2" s="134"/>
      <c r="P2" s="9"/>
      <c r="Q2" s="9"/>
      <c r="R2" s="9"/>
      <c r="S2" s="9"/>
      <c r="T2" s="9"/>
      <c r="V2" s="135"/>
      <c r="W2" s="135"/>
      <c r="X2" s="135"/>
      <c r="Y2" s="135"/>
      <c r="Z2" s="135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V2" s="42" t="s">
        <v>73</v>
      </c>
      <c r="AW2" s="42" t="s">
        <v>18</v>
      </c>
      <c r="AX2" s="47" t="s">
        <v>19</v>
      </c>
      <c r="AZ2" s="42" t="s">
        <v>50</v>
      </c>
      <c r="BA2" s="42" t="s">
        <v>51</v>
      </c>
      <c r="BB2" s="47" t="s">
        <v>52</v>
      </c>
      <c r="BI2" s="120"/>
      <c r="BJ2" s="120"/>
      <c r="BK2" s="119"/>
      <c r="BL2" s="120" t="s">
        <v>74</v>
      </c>
      <c r="BM2" s="120"/>
      <c r="BN2" s="120" t="s">
        <v>75</v>
      </c>
      <c r="BO2" s="120"/>
      <c r="BP2" s="119"/>
      <c r="BQ2" s="119"/>
      <c r="BR2" s="41"/>
      <c r="CC2" s="124" t="s">
        <v>76</v>
      </c>
      <c r="CD2" s="49" t="s">
        <v>77</v>
      </c>
      <c r="CE2" s="49" t="s">
        <v>73</v>
      </c>
      <c r="CF2" s="50" t="s">
        <v>78</v>
      </c>
      <c r="CG2" s="50" t="s">
        <v>79</v>
      </c>
      <c r="CH2" s="50" t="s">
        <v>80</v>
      </c>
      <c r="CI2" s="50" t="s">
        <v>81</v>
      </c>
      <c r="CJ2" s="51" t="s">
        <v>82</v>
      </c>
      <c r="DA2" s="124" t="s">
        <v>83</v>
      </c>
      <c r="DB2" s="125"/>
      <c r="DC2" s="125"/>
      <c r="DD2" s="124" t="s">
        <v>84</v>
      </c>
      <c r="DE2" s="125"/>
      <c r="DF2" s="53" t="s">
        <v>85</v>
      </c>
      <c r="DG2" s="53">
        <v>1.35</v>
      </c>
      <c r="DH2" s="41" t="s">
        <v>86</v>
      </c>
      <c r="DI2" s="1" t="s">
        <v>87</v>
      </c>
      <c r="DJ2" s="1">
        <v>6</v>
      </c>
      <c r="DK2" s="1">
        <v>4</v>
      </c>
      <c r="DL2" s="1">
        <v>0.4</v>
      </c>
      <c r="DM2" s="1">
        <v>1.3</v>
      </c>
      <c r="DN2" s="1">
        <v>1.9</v>
      </c>
    </row>
    <row r="3" spans="1:118" ht="15.75">
      <c r="A3" s="6" t="s">
        <v>30</v>
      </c>
      <c r="B3" s="7">
        <f>2.06*10^5</f>
        <v>206000</v>
      </c>
      <c r="C3" s="7">
        <v>235</v>
      </c>
      <c r="D3" s="7">
        <v>370</v>
      </c>
      <c r="E3" s="12"/>
      <c r="F3" s="12"/>
      <c r="G3" s="12"/>
      <c r="H3" s="12"/>
      <c r="I3" s="12"/>
      <c r="K3" s="54" t="s">
        <v>17</v>
      </c>
      <c r="L3" s="54" t="s">
        <v>88</v>
      </c>
      <c r="M3" s="54" t="s">
        <v>89</v>
      </c>
      <c r="N3" s="54" t="s">
        <v>90</v>
      </c>
      <c r="O3" s="54" t="s">
        <v>91</v>
      </c>
      <c r="P3" s="45"/>
      <c r="Q3" s="8"/>
      <c r="R3" s="8"/>
      <c r="S3" s="8"/>
      <c r="T3" s="8"/>
      <c r="V3" s="55" t="s">
        <v>21</v>
      </c>
      <c r="W3" s="55" t="s">
        <v>22</v>
      </c>
      <c r="X3" s="55" t="s">
        <v>23</v>
      </c>
      <c r="Y3" s="55" t="s">
        <v>92</v>
      </c>
      <c r="Z3" s="56" t="s">
        <v>24</v>
      </c>
      <c r="AA3" s="46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V3" s="58">
        <v>360</v>
      </c>
      <c r="AW3" s="58">
        <v>560</v>
      </c>
      <c r="AX3" s="58">
        <v>475</v>
      </c>
      <c r="AY3" s="48"/>
      <c r="AZ3" s="58" t="s">
        <v>53</v>
      </c>
      <c r="BA3" s="58">
        <v>430</v>
      </c>
      <c r="BB3" s="58">
        <v>180</v>
      </c>
      <c r="BC3" s="41"/>
      <c r="BI3" s="120"/>
      <c r="BJ3" s="120"/>
      <c r="BK3" s="119"/>
      <c r="BL3" s="43" t="s">
        <v>93</v>
      </c>
      <c r="BM3" s="43" t="s">
        <v>94</v>
      </c>
      <c r="BN3" s="43" t="s">
        <v>95</v>
      </c>
      <c r="BO3" s="43" t="s">
        <v>96</v>
      </c>
      <c r="BP3" s="119" t="s">
        <v>97</v>
      </c>
      <c r="BQ3" s="59" t="s">
        <v>98</v>
      </c>
      <c r="BR3" s="41"/>
      <c r="CC3" s="124"/>
      <c r="CD3" s="44" t="s">
        <v>2</v>
      </c>
      <c r="CE3" s="44" t="s">
        <v>2</v>
      </c>
      <c r="CF3" s="44" t="s">
        <v>2</v>
      </c>
      <c r="CG3" s="44" t="s">
        <v>2</v>
      </c>
      <c r="CH3" s="44" t="s">
        <v>2</v>
      </c>
      <c r="CI3" s="44" t="s">
        <v>2</v>
      </c>
      <c r="CJ3" s="44" t="s">
        <v>2</v>
      </c>
      <c r="DA3" s="126"/>
      <c r="DB3" s="127"/>
      <c r="DC3" s="127"/>
      <c r="DD3" s="126"/>
      <c r="DE3" s="127"/>
      <c r="DF3" s="53" t="s">
        <v>99</v>
      </c>
      <c r="DG3" s="53">
        <v>1.05</v>
      </c>
      <c r="DH3" s="41" t="s">
        <v>100</v>
      </c>
      <c r="DI3" s="1" t="s">
        <v>101</v>
      </c>
      <c r="DJ3" s="1">
        <v>8</v>
      </c>
      <c r="DK3" s="1">
        <v>6</v>
      </c>
      <c r="DL3" s="1">
        <v>0.4</v>
      </c>
      <c r="DM3" s="1">
        <v>1.3</v>
      </c>
      <c r="DN3" s="1">
        <v>1.9</v>
      </c>
    </row>
    <row r="4" spans="1:118">
      <c r="A4" s="6" t="s">
        <v>31</v>
      </c>
      <c r="B4" s="7">
        <f t="shared" ref="B4:B29" si="0">2.06*10^5</f>
        <v>206000</v>
      </c>
      <c r="C4" s="7">
        <v>345</v>
      </c>
      <c r="D4" s="7">
        <v>510</v>
      </c>
      <c r="E4" s="12"/>
      <c r="F4" s="12"/>
      <c r="G4" s="12"/>
      <c r="H4" s="12"/>
      <c r="I4" s="12"/>
      <c r="K4" s="54">
        <v>5.6</v>
      </c>
      <c r="L4" s="54">
        <v>500</v>
      </c>
      <c r="M4" s="54">
        <v>300</v>
      </c>
      <c r="N4" s="54">
        <v>210</v>
      </c>
      <c r="O4" s="54">
        <v>225</v>
      </c>
      <c r="P4" s="45"/>
      <c r="Q4" s="8"/>
      <c r="R4" s="8"/>
      <c r="S4" s="8"/>
      <c r="T4" s="8"/>
      <c r="V4" s="61">
        <v>10</v>
      </c>
      <c r="W4" s="58">
        <v>1.5</v>
      </c>
      <c r="X4" s="62">
        <v>78.5</v>
      </c>
      <c r="Y4" s="58">
        <v>57.1</v>
      </c>
      <c r="Z4" s="58">
        <v>1</v>
      </c>
      <c r="AA4" s="57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V4" s="58">
        <v>370</v>
      </c>
      <c r="AW4" s="58">
        <v>580</v>
      </c>
      <c r="AX4" s="58">
        <v>485</v>
      </c>
      <c r="AY4" s="48"/>
      <c r="AZ4" s="58" t="s">
        <v>54</v>
      </c>
      <c r="BA4" s="58">
        <v>510</v>
      </c>
      <c r="BB4" s="58">
        <v>225</v>
      </c>
      <c r="BC4" s="41"/>
      <c r="BI4" s="120"/>
      <c r="BJ4" s="120"/>
      <c r="BK4" s="43" t="s">
        <v>2</v>
      </c>
      <c r="BL4" s="43" t="s">
        <v>2</v>
      </c>
      <c r="BM4" s="43" t="s">
        <v>2</v>
      </c>
      <c r="BN4" s="43" t="s">
        <v>2</v>
      </c>
      <c r="BO4" s="43" t="s">
        <v>2</v>
      </c>
      <c r="BP4" s="128"/>
      <c r="BQ4" s="43" t="s">
        <v>2</v>
      </c>
      <c r="BR4" s="41"/>
      <c r="CC4" s="63" t="s">
        <v>102</v>
      </c>
      <c r="CD4" s="64">
        <v>235</v>
      </c>
      <c r="CE4" s="64">
        <v>373</v>
      </c>
      <c r="CF4" s="63">
        <f>CD4</f>
        <v>235</v>
      </c>
      <c r="CG4" s="63">
        <f>CF4/1.15</f>
        <v>204.34782608695653</v>
      </c>
      <c r="CH4" s="63">
        <f>CF4</f>
        <v>235</v>
      </c>
      <c r="CI4" s="63">
        <f>0.7*CD4</f>
        <v>164.5</v>
      </c>
      <c r="CJ4" s="63">
        <v>200000</v>
      </c>
      <c r="DA4" s="65" t="s">
        <v>103</v>
      </c>
      <c r="DB4" s="65" t="s">
        <v>104</v>
      </c>
      <c r="DC4" s="65" t="s">
        <v>105</v>
      </c>
      <c r="DD4" s="65" t="s">
        <v>103</v>
      </c>
      <c r="DE4" s="65" t="s">
        <v>106</v>
      </c>
      <c r="DF4" s="53" t="s">
        <v>107</v>
      </c>
      <c r="DG4" s="53">
        <v>1.18</v>
      </c>
      <c r="DH4" s="41" t="s">
        <v>108</v>
      </c>
      <c r="DI4" s="1" t="s">
        <v>109</v>
      </c>
      <c r="DJ4" s="1">
        <v>10</v>
      </c>
      <c r="DK4" s="1">
        <v>6</v>
      </c>
      <c r="DL4" s="1">
        <v>0.25</v>
      </c>
      <c r="DM4" s="1">
        <v>1.5</v>
      </c>
      <c r="DN4" s="1">
        <v>1.5</v>
      </c>
    </row>
    <row r="5" spans="1:118" ht="15.75">
      <c r="A5" s="6" t="s">
        <v>32</v>
      </c>
      <c r="B5" s="7">
        <f t="shared" si="0"/>
        <v>206000</v>
      </c>
      <c r="C5" s="7">
        <v>250</v>
      </c>
      <c r="D5" s="7">
        <v>400</v>
      </c>
      <c r="E5" s="12"/>
      <c r="F5" s="12"/>
      <c r="G5" s="12"/>
      <c r="H5" s="12"/>
      <c r="I5" s="12"/>
      <c r="K5" s="54">
        <v>5.8</v>
      </c>
      <c r="L5" s="54">
        <v>500</v>
      </c>
      <c r="M5" s="54">
        <v>400</v>
      </c>
      <c r="N5" s="54">
        <v>210</v>
      </c>
      <c r="O5" s="54">
        <v>210</v>
      </c>
      <c r="P5" s="45"/>
      <c r="Q5" s="8"/>
      <c r="R5" s="8"/>
      <c r="S5" s="8"/>
      <c r="T5" s="8"/>
      <c r="V5" s="61">
        <v>12</v>
      </c>
      <c r="W5" s="58">
        <v>1.5</v>
      </c>
      <c r="X5" s="62">
        <v>113</v>
      </c>
      <c r="Y5" s="58">
        <v>84.2</v>
      </c>
      <c r="Z5" s="58">
        <v>1</v>
      </c>
      <c r="AA5" s="57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V5" s="58">
        <v>380</v>
      </c>
      <c r="AW5" s="58">
        <v>590</v>
      </c>
      <c r="AX5" s="58">
        <v>500</v>
      </c>
      <c r="AY5" s="48"/>
      <c r="AZ5" s="58" t="s">
        <v>8</v>
      </c>
      <c r="BA5" s="58">
        <v>410</v>
      </c>
      <c r="BB5" s="58">
        <v>180</v>
      </c>
      <c r="BC5" s="41"/>
      <c r="BI5" s="66" t="s">
        <v>110</v>
      </c>
      <c r="BJ5" s="67" t="s">
        <v>111</v>
      </c>
      <c r="BK5" s="68">
        <v>19000</v>
      </c>
      <c r="BL5" s="69">
        <v>7.5</v>
      </c>
      <c r="BM5" s="69">
        <v>6</v>
      </c>
      <c r="BN5" s="70">
        <v>0.85</v>
      </c>
      <c r="BO5" s="70">
        <v>0.56000000000000005</v>
      </c>
      <c r="BP5" s="53"/>
      <c r="BQ5" s="53"/>
      <c r="BR5" s="41"/>
      <c r="CC5" s="63" t="s">
        <v>112</v>
      </c>
      <c r="CD5" s="64">
        <v>295</v>
      </c>
      <c r="CE5" s="64">
        <v>490</v>
      </c>
      <c r="CF5" s="63">
        <f t="shared" ref="CF5:CF19" si="1">CD5</f>
        <v>295</v>
      </c>
      <c r="CG5" s="63">
        <f t="shared" ref="CG5:CG19" si="2">CF5/1.15</f>
        <v>256.52173913043481</v>
      </c>
      <c r="CH5" s="63">
        <f t="shared" ref="CH5:CH19" si="3">CF5</f>
        <v>295</v>
      </c>
      <c r="CI5" s="63">
        <f t="shared" ref="CI5:CI19" si="4">0.7*CD5</f>
        <v>206.5</v>
      </c>
      <c r="CJ5" s="63">
        <v>200000</v>
      </c>
      <c r="DA5" s="65">
        <v>0</v>
      </c>
      <c r="DB5" s="65">
        <v>4.8000000000000001E-2</v>
      </c>
      <c r="DC5" s="65">
        <v>4.8000000000000001E-2</v>
      </c>
      <c r="DD5" s="71">
        <v>0</v>
      </c>
      <c r="DE5" s="65">
        <v>4.8000000000000001E-2</v>
      </c>
      <c r="DF5" s="53" t="s">
        <v>113</v>
      </c>
      <c r="DG5" s="53">
        <v>1.1499999999999999</v>
      </c>
      <c r="DH5" s="41" t="s">
        <v>114</v>
      </c>
      <c r="DI5" s="1" t="s">
        <v>115</v>
      </c>
      <c r="DJ5" s="1">
        <v>5</v>
      </c>
      <c r="DK5" s="1">
        <v>5</v>
      </c>
      <c r="DL5" s="1">
        <v>0.6</v>
      </c>
      <c r="DM5" s="1">
        <v>2</v>
      </c>
      <c r="DN5" s="1">
        <v>2.5</v>
      </c>
    </row>
    <row r="6" spans="1:118" ht="15">
      <c r="A6" s="6" t="s">
        <v>33</v>
      </c>
      <c r="B6" s="7">
        <f t="shared" si="0"/>
        <v>206000</v>
      </c>
      <c r="C6" s="7">
        <v>345</v>
      </c>
      <c r="D6" s="7">
        <v>450</v>
      </c>
      <c r="E6" s="12"/>
      <c r="F6" s="12"/>
      <c r="G6" s="12"/>
      <c r="H6" s="12"/>
      <c r="I6" s="12"/>
      <c r="K6" s="54">
        <v>8.8000000000000007</v>
      </c>
      <c r="L6" s="54">
        <v>830</v>
      </c>
      <c r="M6" s="54">
        <v>660</v>
      </c>
      <c r="N6" s="54">
        <v>332</v>
      </c>
      <c r="O6" s="54">
        <v>448</v>
      </c>
      <c r="P6" s="45"/>
      <c r="Q6" s="8"/>
      <c r="R6" s="8"/>
      <c r="S6" s="8"/>
      <c r="T6" s="8"/>
      <c r="V6" s="61">
        <v>16</v>
      </c>
      <c r="W6" s="58">
        <v>2</v>
      </c>
      <c r="X6" s="62">
        <f t="shared" ref="X6:X15" si="5">PI()*V6^2/4</f>
        <v>201.06192982974676</v>
      </c>
      <c r="Y6" s="58">
        <v>157</v>
      </c>
      <c r="Z6" s="58">
        <v>1</v>
      </c>
      <c r="AA6" s="57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V6" s="58">
        <v>390</v>
      </c>
      <c r="AW6" s="58">
        <v>610</v>
      </c>
      <c r="AX6" s="58">
        <v>515</v>
      </c>
      <c r="AY6" s="48"/>
      <c r="AZ6" s="58" t="s">
        <v>55</v>
      </c>
      <c r="BA6" s="58">
        <v>450</v>
      </c>
      <c r="BB6" s="58">
        <v>200</v>
      </c>
      <c r="BC6" s="41"/>
      <c r="BI6" s="66" t="s">
        <v>116</v>
      </c>
      <c r="BJ6" s="67" t="s">
        <v>117</v>
      </c>
      <c r="BK6" s="68">
        <v>24000</v>
      </c>
      <c r="BL6" s="69">
        <v>11</v>
      </c>
      <c r="BM6" s="69">
        <v>8.5</v>
      </c>
      <c r="BN6" s="70">
        <v>1.1000000000000001</v>
      </c>
      <c r="BO6" s="70">
        <v>0.75</v>
      </c>
      <c r="BP6" s="53" t="s">
        <v>118</v>
      </c>
      <c r="BQ6" s="53">
        <f>VALUE(MID(BP6,2,2))</f>
        <v>12</v>
      </c>
      <c r="BR6" s="41"/>
      <c r="CC6" s="63" t="s">
        <v>119</v>
      </c>
      <c r="CD6" s="64">
        <v>390</v>
      </c>
      <c r="CE6" s="64">
        <v>590</v>
      </c>
      <c r="CF6" s="63">
        <f t="shared" si="1"/>
        <v>390</v>
      </c>
      <c r="CG6" s="63">
        <f t="shared" si="2"/>
        <v>339.13043478260875</v>
      </c>
      <c r="CH6" s="63">
        <f t="shared" si="3"/>
        <v>390</v>
      </c>
      <c r="CI6" s="63">
        <f t="shared" si="4"/>
        <v>273</v>
      </c>
      <c r="CJ6" s="63">
        <v>200000</v>
      </c>
      <c r="DA6" s="65">
        <v>1</v>
      </c>
      <c r="DB6" s="65">
        <v>4.8000000000000001E-2</v>
      </c>
      <c r="DC6" s="65">
        <v>4.8000000000000001E-2</v>
      </c>
      <c r="DD6" s="73">
        <v>0.5</v>
      </c>
      <c r="DE6" s="65">
        <v>4.8000000000000001E-2</v>
      </c>
      <c r="DF6" s="53"/>
      <c r="DG6" s="72"/>
      <c r="DH6" s="1" t="s">
        <v>120</v>
      </c>
      <c r="DI6" s="1" t="s">
        <v>115</v>
      </c>
      <c r="DJ6" s="1">
        <v>8</v>
      </c>
      <c r="DK6" s="1">
        <v>8</v>
      </c>
      <c r="DL6" s="1">
        <v>0.55000000000000004</v>
      </c>
      <c r="DM6" s="1">
        <v>1.8</v>
      </c>
      <c r="DN6" s="1">
        <v>2.2999999999999998</v>
      </c>
    </row>
    <row r="7" spans="1:118" ht="15">
      <c r="A7" s="6" t="s">
        <v>34</v>
      </c>
      <c r="B7" s="7">
        <f t="shared" si="0"/>
        <v>206000</v>
      </c>
      <c r="C7" s="7">
        <v>235</v>
      </c>
      <c r="D7" s="7">
        <v>360</v>
      </c>
      <c r="E7" s="12"/>
      <c r="F7" s="12"/>
      <c r="G7" s="12"/>
      <c r="H7" s="12"/>
      <c r="I7" s="12"/>
      <c r="K7" s="54">
        <v>10.9</v>
      </c>
      <c r="L7" s="54">
        <v>1040</v>
      </c>
      <c r="M7" s="54">
        <v>940</v>
      </c>
      <c r="N7" s="54">
        <v>416</v>
      </c>
      <c r="O7" s="54">
        <v>728</v>
      </c>
      <c r="P7" s="45"/>
      <c r="Q7" s="8"/>
      <c r="R7" s="8"/>
      <c r="S7" s="8"/>
      <c r="T7" s="8"/>
      <c r="V7" s="61">
        <v>18</v>
      </c>
      <c r="W7" s="58">
        <v>2.5</v>
      </c>
      <c r="X7" s="62">
        <f t="shared" si="5"/>
        <v>254.46900494077323</v>
      </c>
      <c r="Y7" s="58">
        <v>192</v>
      </c>
      <c r="Z7" s="58">
        <v>1.05</v>
      </c>
      <c r="AA7" s="57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V7" s="58">
        <v>430</v>
      </c>
      <c r="AW7" s="58">
        <v>670</v>
      </c>
      <c r="AX7" s="58">
        <v>565</v>
      </c>
      <c r="AY7" s="48"/>
      <c r="AZ7" s="58" t="s">
        <v>56</v>
      </c>
      <c r="BA7" s="58">
        <v>490</v>
      </c>
      <c r="BB7" s="58">
        <v>215</v>
      </c>
      <c r="BC7" s="41"/>
      <c r="BI7" s="66" t="s">
        <v>121</v>
      </c>
      <c r="BJ7" s="67" t="s">
        <v>122</v>
      </c>
      <c r="BK7" s="68">
        <v>27500</v>
      </c>
      <c r="BL7" s="69">
        <v>15</v>
      </c>
      <c r="BM7" s="69">
        <v>11.5</v>
      </c>
      <c r="BN7" s="70">
        <v>1.35</v>
      </c>
      <c r="BO7" s="70">
        <v>0.9</v>
      </c>
      <c r="BP7" s="53" t="s">
        <v>123</v>
      </c>
      <c r="BQ7" s="53">
        <f t="shared" ref="BQ7" si="6">VALUE(MID(BP7,2,2))</f>
        <v>16</v>
      </c>
      <c r="BR7" s="41"/>
      <c r="CC7" s="63" t="s">
        <v>124</v>
      </c>
      <c r="CD7" s="64">
        <v>235</v>
      </c>
      <c r="CE7" s="64">
        <v>373</v>
      </c>
      <c r="CF7" s="63">
        <f t="shared" si="1"/>
        <v>235</v>
      </c>
      <c r="CG7" s="63">
        <f t="shared" si="2"/>
        <v>204.34782608695653</v>
      </c>
      <c r="CH7" s="63">
        <f t="shared" si="3"/>
        <v>235</v>
      </c>
      <c r="CI7" s="63">
        <f t="shared" si="4"/>
        <v>164.5</v>
      </c>
      <c r="CJ7" s="74">
        <v>200000</v>
      </c>
      <c r="DA7" s="65">
        <f>DA6+0.1</f>
        <v>1.1000000000000001</v>
      </c>
      <c r="DB7" s="65">
        <v>5.5E-2</v>
      </c>
      <c r="DC7" s="65">
        <v>4.9000000000000002E-2</v>
      </c>
      <c r="DD7" s="73">
        <f>DD6+0.1</f>
        <v>0.6</v>
      </c>
      <c r="DE7" s="65">
        <v>5.5E-2</v>
      </c>
      <c r="DF7" s="41"/>
      <c r="DH7" s="1" t="s">
        <v>125</v>
      </c>
      <c r="DI7" s="1">
        <v>8</v>
      </c>
      <c r="DJ7" s="1">
        <v>8</v>
      </c>
      <c r="DK7" s="1">
        <v>8</v>
      </c>
      <c r="DL7" s="1">
        <v>0.55000000000000004</v>
      </c>
      <c r="DM7" s="1">
        <v>1.8</v>
      </c>
      <c r="DN7" s="1">
        <v>2.2999999999999998</v>
      </c>
    </row>
    <row r="8" spans="1:118" ht="15">
      <c r="A8" s="6" t="s">
        <v>35</v>
      </c>
      <c r="B8" s="7">
        <f t="shared" si="0"/>
        <v>206000</v>
      </c>
      <c r="C8" s="7">
        <v>225</v>
      </c>
      <c r="D8" s="7">
        <v>360</v>
      </c>
      <c r="E8" s="12"/>
      <c r="F8" s="12"/>
      <c r="G8" s="12"/>
      <c r="H8" s="12"/>
      <c r="I8" s="12"/>
      <c r="K8" s="54">
        <v>12.9</v>
      </c>
      <c r="L8" s="54">
        <v>1220</v>
      </c>
      <c r="M8" s="54">
        <v>1100</v>
      </c>
      <c r="N8" s="54">
        <v>427</v>
      </c>
      <c r="O8" s="54">
        <v>854</v>
      </c>
      <c r="P8" s="45"/>
      <c r="Q8" s="8"/>
      <c r="R8" s="8"/>
      <c r="S8" s="8"/>
      <c r="T8" s="8"/>
      <c r="V8" s="61">
        <v>20</v>
      </c>
      <c r="W8" s="58">
        <v>2.5</v>
      </c>
      <c r="X8" s="62">
        <f t="shared" si="5"/>
        <v>314.15926535897933</v>
      </c>
      <c r="Y8" s="58">
        <v>245</v>
      </c>
      <c r="Z8" s="58">
        <v>1.1000000000000001</v>
      </c>
      <c r="AA8" s="57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V8" s="58">
        <v>440</v>
      </c>
      <c r="AW8" s="58">
        <v>685</v>
      </c>
      <c r="AX8" s="58">
        <v>580</v>
      </c>
      <c r="AY8" s="48"/>
      <c r="AZ8" s="72"/>
      <c r="BA8" s="72"/>
      <c r="BB8" s="72"/>
      <c r="BI8" s="66" t="s">
        <v>126</v>
      </c>
      <c r="BJ8" s="67" t="s">
        <v>127</v>
      </c>
      <c r="BK8" s="68">
        <f>(BK7+BK9)/2</f>
        <v>28750</v>
      </c>
      <c r="BL8" s="69">
        <f t="shared" ref="BL8:BO8" si="7">(BL7+BL9)/2</f>
        <v>16.75</v>
      </c>
      <c r="BM8" s="69">
        <f>(BM7+BM9)/2</f>
        <v>13</v>
      </c>
      <c r="BN8" s="69">
        <f t="shared" si="7"/>
        <v>1.4500000000000002</v>
      </c>
      <c r="BO8" s="69">
        <f t="shared" si="7"/>
        <v>0.97500000000000009</v>
      </c>
      <c r="BP8" s="53" t="s">
        <v>128</v>
      </c>
      <c r="BQ8" s="53">
        <v>18</v>
      </c>
      <c r="BR8" s="41"/>
      <c r="CC8" s="63" t="s">
        <v>129</v>
      </c>
      <c r="CD8" s="64">
        <v>295</v>
      </c>
      <c r="CE8" s="64">
        <v>490</v>
      </c>
      <c r="CF8" s="63">
        <f t="shared" si="1"/>
        <v>295</v>
      </c>
      <c r="CG8" s="63">
        <f t="shared" si="2"/>
        <v>256.52173913043481</v>
      </c>
      <c r="CH8" s="63">
        <f t="shared" si="3"/>
        <v>295</v>
      </c>
      <c r="CI8" s="63">
        <f t="shared" si="4"/>
        <v>206.5</v>
      </c>
      <c r="CJ8" s="74">
        <v>200000</v>
      </c>
      <c r="DA8" s="65">
        <f t="shared" ref="DA8:DA16" si="8">DA7+0.1</f>
        <v>1.2000000000000002</v>
      </c>
      <c r="DB8" s="65">
        <v>6.3E-2</v>
      </c>
      <c r="DC8" s="65">
        <v>0.05</v>
      </c>
      <c r="DD8" s="73">
        <f>DD7+0.1</f>
        <v>0.7</v>
      </c>
      <c r="DE8" s="65">
        <v>6.3E-2</v>
      </c>
      <c r="DF8" s="41"/>
    </row>
    <row r="9" spans="1:118" ht="15">
      <c r="A9" s="6" t="s">
        <v>36</v>
      </c>
      <c r="B9" s="7">
        <f t="shared" si="0"/>
        <v>206000</v>
      </c>
      <c r="C9" s="7">
        <v>215</v>
      </c>
      <c r="D9" s="7">
        <v>360</v>
      </c>
      <c r="E9" s="12"/>
      <c r="F9" s="12"/>
      <c r="G9" s="12"/>
      <c r="H9" s="12"/>
      <c r="I9" s="12"/>
      <c r="K9" s="72"/>
      <c r="L9" s="72"/>
      <c r="M9" s="72"/>
      <c r="N9" s="72"/>
      <c r="O9" s="72"/>
      <c r="V9" s="61">
        <v>22</v>
      </c>
      <c r="W9" s="58">
        <v>2.5</v>
      </c>
      <c r="X9" s="62">
        <f t="shared" si="5"/>
        <v>380.13271108436498</v>
      </c>
      <c r="Y9" s="58">
        <v>303</v>
      </c>
      <c r="Z9" s="58">
        <v>1.1000000000000001</v>
      </c>
      <c r="AA9" s="57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V9" s="58">
        <v>450</v>
      </c>
      <c r="AW9" s="58">
        <v>700</v>
      </c>
      <c r="AX9" s="58">
        <v>595</v>
      </c>
      <c r="AY9" s="48"/>
      <c r="BI9" s="66" t="s">
        <v>130</v>
      </c>
      <c r="BJ9" s="67" t="s">
        <v>131</v>
      </c>
      <c r="BK9" s="68">
        <v>30000</v>
      </c>
      <c r="BL9" s="69">
        <v>18.5</v>
      </c>
      <c r="BM9" s="69">
        <v>14.5</v>
      </c>
      <c r="BN9" s="70">
        <v>1.55</v>
      </c>
      <c r="BO9" s="70">
        <v>1.05</v>
      </c>
      <c r="BP9" s="53" t="s">
        <v>132</v>
      </c>
      <c r="BQ9" s="53">
        <f t="shared" ref="BQ9:BQ16" si="9">VALUE(MID(BP9,2,2))</f>
        <v>20</v>
      </c>
      <c r="BR9" s="41"/>
      <c r="CC9" s="63" t="s">
        <v>133</v>
      </c>
      <c r="CD9" s="64">
        <v>390</v>
      </c>
      <c r="CE9" s="64">
        <v>590</v>
      </c>
      <c r="CF9" s="63">
        <f t="shared" si="1"/>
        <v>390</v>
      </c>
      <c r="CG9" s="63">
        <f t="shared" si="2"/>
        <v>339.13043478260875</v>
      </c>
      <c r="CH9" s="63">
        <f t="shared" si="3"/>
        <v>390</v>
      </c>
      <c r="CI9" s="63">
        <f t="shared" si="4"/>
        <v>273</v>
      </c>
      <c r="CJ9" s="74">
        <v>200000</v>
      </c>
      <c r="DA9" s="65">
        <f t="shared" si="8"/>
        <v>1.3000000000000003</v>
      </c>
      <c r="DB9" s="65">
        <v>6.9000000000000006E-2</v>
      </c>
      <c r="DC9" s="65">
        <v>0.05</v>
      </c>
      <c r="DD9" s="73">
        <f>DD8+0.1</f>
        <v>0.79999999999999993</v>
      </c>
      <c r="DE9" s="65">
        <v>6.9000000000000006E-2</v>
      </c>
      <c r="DF9" s="41"/>
    </row>
    <row r="10" spans="1:118" ht="15">
      <c r="A10" s="6" t="s">
        <v>37</v>
      </c>
      <c r="B10" s="7">
        <f t="shared" si="0"/>
        <v>206000</v>
      </c>
      <c r="C10" s="7">
        <v>215</v>
      </c>
      <c r="D10" s="7">
        <v>360</v>
      </c>
      <c r="E10" s="12"/>
      <c r="F10" s="12"/>
      <c r="G10" s="12"/>
      <c r="H10" s="12"/>
      <c r="I10" s="12"/>
      <c r="V10" s="61">
        <v>24</v>
      </c>
      <c r="W10" s="58">
        <v>3</v>
      </c>
      <c r="X10" s="62">
        <f t="shared" si="5"/>
        <v>452.38934211693021</v>
      </c>
      <c r="Y10" s="58">
        <v>353</v>
      </c>
      <c r="Z10" s="58">
        <v>1.1000000000000001</v>
      </c>
      <c r="AA10" s="57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V10" s="58">
        <v>460</v>
      </c>
      <c r="AW10" s="58">
        <v>720</v>
      </c>
      <c r="AX10" s="58">
        <v>605</v>
      </c>
      <c r="AY10" s="48"/>
      <c r="BI10" s="66" t="s">
        <v>134</v>
      </c>
      <c r="BJ10" s="67" t="s">
        <v>135</v>
      </c>
      <c r="BK10" s="68">
        <v>32500</v>
      </c>
      <c r="BL10" s="69">
        <v>22</v>
      </c>
      <c r="BM10" s="69">
        <v>17</v>
      </c>
      <c r="BN10" s="70">
        <v>1.75</v>
      </c>
      <c r="BO10" s="70">
        <v>1.1499999999999999</v>
      </c>
      <c r="BP10" s="53" t="s">
        <v>136</v>
      </c>
      <c r="BQ10" s="53">
        <f t="shared" si="9"/>
        <v>25</v>
      </c>
      <c r="BR10" s="41"/>
      <c r="CC10" s="63" t="s">
        <v>137</v>
      </c>
      <c r="CD10" s="64">
        <v>240</v>
      </c>
      <c r="CE10" s="64">
        <v>380</v>
      </c>
      <c r="CF10" s="63">
        <f t="shared" si="1"/>
        <v>240</v>
      </c>
      <c r="CG10" s="63">
        <f>CD10/1.15</f>
        <v>208.69565217391306</v>
      </c>
      <c r="CH10" s="63">
        <f t="shared" si="3"/>
        <v>240</v>
      </c>
      <c r="CI10" s="63">
        <v>170</v>
      </c>
      <c r="CJ10" s="63">
        <v>200000</v>
      </c>
      <c r="DA10" s="65">
        <f t="shared" si="8"/>
        <v>1.4000000000000004</v>
      </c>
      <c r="DB10" s="65">
        <v>7.4999999999999997E-2</v>
      </c>
      <c r="DC10" s="65">
        <v>0.05</v>
      </c>
      <c r="DD10" s="73">
        <f>DD9+0.1</f>
        <v>0.89999999999999991</v>
      </c>
      <c r="DE10" s="65">
        <v>7.4999999999999997E-2</v>
      </c>
      <c r="DF10" s="41"/>
    </row>
    <row r="11" spans="1:118" ht="15">
      <c r="A11" s="6" t="s">
        <v>38</v>
      </c>
      <c r="B11" s="7">
        <f t="shared" si="0"/>
        <v>206000</v>
      </c>
      <c r="C11" s="7">
        <v>215</v>
      </c>
      <c r="D11" s="7">
        <v>360</v>
      </c>
      <c r="E11" s="12"/>
      <c r="F11" s="12"/>
      <c r="G11" s="12"/>
      <c r="H11" s="12"/>
      <c r="I11" s="12"/>
      <c r="V11" s="61">
        <v>27</v>
      </c>
      <c r="W11" s="58">
        <v>3</v>
      </c>
      <c r="X11" s="62">
        <f t="shared" si="5"/>
        <v>572.55526111673976</v>
      </c>
      <c r="Y11" s="58">
        <v>459</v>
      </c>
      <c r="Z11" s="58">
        <v>1.2</v>
      </c>
      <c r="AA11" s="57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V11" s="58">
        <v>470</v>
      </c>
      <c r="AW11" s="58">
        <v>735</v>
      </c>
      <c r="AX11" s="58">
        <v>620</v>
      </c>
      <c r="AY11" s="48"/>
      <c r="BI11" s="66" t="s">
        <v>138</v>
      </c>
      <c r="BJ11" s="67" t="s">
        <v>139</v>
      </c>
      <c r="BK11" s="68">
        <v>34500</v>
      </c>
      <c r="BL11" s="69">
        <v>25.5</v>
      </c>
      <c r="BM11" s="69">
        <v>19.5</v>
      </c>
      <c r="BN11" s="70">
        <v>1.95</v>
      </c>
      <c r="BO11" s="70">
        <v>1.3</v>
      </c>
      <c r="BP11" s="53" t="s">
        <v>140</v>
      </c>
      <c r="BQ11" s="53">
        <f t="shared" si="9"/>
        <v>28</v>
      </c>
      <c r="BR11" s="41"/>
      <c r="CC11" s="63" t="s">
        <v>141</v>
      </c>
      <c r="CD11" s="64">
        <v>300</v>
      </c>
      <c r="CE11" s="64">
        <v>440</v>
      </c>
      <c r="CF11" s="63">
        <f t="shared" si="1"/>
        <v>300</v>
      </c>
      <c r="CG11" s="63">
        <f t="shared" ref="CG11:CG14" si="10">CD11/1.15</f>
        <v>260.86956521739131</v>
      </c>
      <c r="CH11" s="63">
        <f t="shared" si="3"/>
        <v>300</v>
      </c>
      <c r="CI11" s="63">
        <v>210</v>
      </c>
      <c r="CJ11" s="63">
        <v>200000</v>
      </c>
      <c r="DA11" s="65">
        <f t="shared" si="8"/>
        <v>1.5000000000000004</v>
      </c>
      <c r="DB11" s="65">
        <v>8.1000000000000003E-2</v>
      </c>
      <c r="DC11" s="65">
        <v>0.05</v>
      </c>
      <c r="DD11" s="73">
        <f>DD10+0.1</f>
        <v>0.99999999999999989</v>
      </c>
      <c r="DE11" s="65">
        <v>8.1000000000000003E-2</v>
      </c>
      <c r="DF11" s="41"/>
    </row>
    <row r="12" spans="1:118" ht="15">
      <c r="A12" s="6" t="s">
        <v>39</v>
      </c>
      <c r="B12" s="7">
        <f t="shared" si="0"/>
        <v>206000</v>
      </c>
      <c r="C12" s="7">
        <v>275</v>
      </c>
      <c r="D12" s="7">
        <v>410</v>
      </c>
      <c r="E12" s="12"/>
      <c r="F12" s="12"/>
      <c r="G12" s="12"/>
      <c r="H12" s="12"/>
      <c r="I12" s="12"/>
      <c r="V12" s="61">
        <v>30</v>
      </c>
      <c r="W12" s="58">
        <v>3.5</v>
      </c>
      <c r="X12" s="62">
        <f t="shared" si="5"/>
        <v>706.85834705770344</v>
      </c>
      <c r="Y12" s="58">
        <v>561</v>
      </c>
      <c r="Z12" s="58">
        <v>1.3</v>
      </c>
      <c r="AA12" s="57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V12" s="58">
        <v>480</v>
      </c>
      <c r="AW12" s="58">
        <v>750</v>
      </c>
      <c r="AX12" s="58">
        <v>630</v>
      </c>
      <c r="AY12" s="48"/>
      <c r="BI12" s="66" t="s">
        <v>142</v>
      </c>
      <c r="BJ12" s="67" t="s">
        <v>143</v>
      </c>
      <c r="BK12" s="68">
        <v>36000</v>
      </c>
      <c r="BL12" s="69">
        <v>29</v>
      </c>
      <c r="BM12" s="69">
        <v>22</v>
      </c>
      <c r="BN12" s="70">
        <v>2.1</v>
      </c>
      <c r="BO12" s="70">
        <v>1.4</v>
      </c>
      <c r="BP12" s="53" t="s">
        <v>144</v>
      </c>
      <c r="BQ12" s="53">
        <f t="shared" si="9"/>
        <v>32</v>
      </c>
      <c r="BR12" s="41"/>
      <c r="CC12" s="63" t="s">
        <v>145</v>
      </c>
      <c r="CD12" s="64">
        <v>300</v>
      </c>
      <c r="CE12" s="64">
        <v>450</v>
      </c>
      <c r="CF12" s="63">
        <f t="shared" si="1"/>
        <v>300</v>
      </c>
      <c r="CG12" s="63">
        <f t="shared" si="10"/>
        <v>260.86956521739131</v>
      </c>
      <c r="CH12" s="63">
        <f t="shared" si="3"/>
        <v>300</v>
      </c>
      <c r="CI12" s="63">
        <v>210</v>
      </c>
      <c r="CJ12" s="63">
        <v>200000</v>
      </c>
      <c r="DA12" s="65">
        <f t="shared" si="8"/>
        <v>1.6000000000000005</v>
      </c>
      <c r="DB12" s="65">
        <v>8.5999999999999993E-2</v>
      </c>
      <c r="DC12" s="65">
        <v>4.9000000000000002E-2</v>
      </c>
      <c r="DD12" s="73">
        <v>1.2</v>
      </c>
      <c r="DE12" s="65">
        <v>8.5999999999999993E-2</v>
      </c>
      <c r="DF12" s="41"/>
    </row>
    <row r="13" spans="1:118" ht="15">
      <c r="A13" s="6" t="s">
        <v>40</v>
      </c>
      <c r="B13" s="7">
        <f t="shared" si="0"/>
        <v>206000</v>
      </c>
      <c r="C13" s="7">
        <v>265</v>
      </c>
      <c r="D13" s="7">
        <v>410</v>
      </c>
      <c r="E13" s="12"/>
      <c r="F13" s="12"/>
      <c r="G13" s="12"/>
      <c r="H13" s="12"/>
      <c r="I13" s="12"/>
      <c r="V13" s="61">
        <v>36</v>
      </c>
      <c r="W13" s="58">
        <v>4</v>
      </c>
      <c r="X13" s="62">
        <f t="shared" si="5"/>
        <v>1017.8760197630929</v>
      </c>
      <c r="Y13" s="58">
        <v>816</v>
      </c>
      <c r="Z13" s="58">
        <v>1.3</v>
      </c>
      <c r="AA13" s="57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V13" s="58">
        <v>490</v>
      </c>
      <c r="AW13" s="58">
        <v>765</v>
      </c>
      <c r="AX13" s="58">
        <v>645</v>
      </c>
      <c r="AY13" s="48"/>
      <c r="BI13" s="66" t="s">
        <v>146</v>
      </c>
      <c r="BJ13" s="67" t="s">
        <v>147</v>
      </c>
      <c r="BK13" s="68">
        <v>37000</v>
      </c>
      <c r="BL13" s="69">
        <v>32</v>
      </c>
      <c r="BM13" s="69">
        <v>25</v>
      </c>
      <c r="BN13" s="70">
        <v>2.25</v>
      </c>
      <c r="BO13" s="70">
        <v>1.5</v>
      </c>
      <c r="BP13" s="53" t="s">
        <v>148</v>
      </c>
      <c r="BQ13" s="53">
        <f t="shared" si="9"/>
        <v>35</v>
      </c>
      <c r="BR13" s="41"/>
      <c r="CC13" s="63" t="s">
        <v>149</v>
      </c>
      <c r="CD13" s="64">
        <v>400</v>
      </c>
      <c r="CE13" s="64">
        <v>570</v>
      </c>
      <c r="CF13" s="63">
        <f t="shared" si="1"/>
        <v>400</v>
      </c>
      <c r="CG13" s="63">
        <f t="shared" si="10"/>
        <v>347.82608695652175</v>
      </c>
      <c r="CH13" s="63">
        <f t="shared" si="3"/>
        <v>400</v>
      </c>
      <c r="CI13" s="63">
        <v>280</v>
      </c>
      <c r="CJ13" s="63">
        <v>200000</v>
      </c>
      <c r="DA13" s="65">
        <f t="shared" si="8"/>
        <v>1.7000000000000006</v>
      </c>
      <c r="DB13" s="65">
        <v>9.0999999999999998E-2</v>
      </c>
      <c r="DC13" s="65">
        <v>4.8000000000000001E-2</v>
      </c>
      <c r="DD13" s="73">
        <v>1.4</v>
      </c>
      <c r="DE13" s="65">
        <v>9.0999999999999998E-2</v>
      </c>
      <c r="DF13" s="41"/>
    </row>
    <row r="14" spans="1:118" ht="15">
      <c r="A14" s="6" t="s">
        <v>41</v>
      </c>
      <c r="B14" s="7">
        <f t="shared" si="0"/>
        <v>206000</v>
      </c>
      <c r="C14" s="7">
        <v>255</v>
      </c>
      <c r="D14" s="7">
        <v>410</v>
      </c>
      <c r="E14" s="12"/>
      <c r="F14" s="12"/>
      <c r="G14" s="12"/>
      <c r="H14" s="12"/>
      <c r="I14" s="12"/>
      <c r="V14" s="61">
        <v>42</v>
      </c>
      <c r="W14" s="58">
        <v>4.5</v>
      </c>
      <c r="X14" s="62">
        <f t="shared" si="5"/>
        <v>1385.4423602330987</v>
      </c>
      <c r="Y14" s="58">
        <v>1120</v>
      </c>
      <c r="Z14" s="58">
        <v>1.6</v>
      </c>
      <c r="AA14" s="57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V14" s="58">
        <v>510</v>
      </c>
      <c r="AW14" s="58">
        <v>795</v>
      </c>
      <c r="AX14" s="58">
        <v>670</v>
      </c>
      <c r="AY14" s="48"/>
      <c r="BI14" s="66" t="s">
        <v>150</v>
      </c>
      <c r="BJ14" s="67" t="s">
        <v>151</v>
      </c>
      <c r="BK14" s="68">
        <v>38000</v>
      </c>
      <c r="BL14" s="69">
        <v>36</v>
      </c>
      <c r="BM14" s="69">
        <v>27.5</v>
      </c>
      <c r="BN14" s="70">
        <v>2.4500000000000002</v>
      </c>
      <c r="BO14" s="70">
        <v>1.6</v>
      </c>
      <c r="BP14" s="53" t="s">
        <v>152</v>
      </c>
      <c r="BQ14" s="53">
        <f t="shared" si="9"/>
        <v>40</v>
      </c>
      <c r="BR14" s="41"/>
      <c r="CC14" s="63" t="s">
        <v>153</v>
      </c>
      <c r="CD14" s="64">
        <v>500</v>
      </c>
      <c r="CE14" s="64">
        <v>650</v>
      </c>
      <c r="CF14" s="63">
        <f t="shared" si="1"/>
        <v>500</v>
      </c>
      <c r="CG14" s="63">
        <f t="shared" si="10"/>
        <v>434.78260869565219</v>
      </c>
      <c r="CH14" s="63">
        <f t="shared" si="3"/>
        <v>500</v>
      </c>
      <c r="CI14" s="63">
        <v>300</v>
      </c>
      <c r="CJ14" s="63">
        <v>200000</v>
      </c>
      <c r="DA14" s="65">
        <f t="shared" si="8"/>
        <v>1.8000000000000007</v>
      </c>
      <c r="DB14" s="65">
        <v>9.4E-2</v>
      </c>
      <c r="DC14" s="65">
        <v>4.8000000000000001E-2</v>
      </c>
      <c r="DD14" s="73">
        <v>2</v>
      </c>
      <c r="DE14" s="65">
        <v>9.4E-2</v>
      </c>
      <c r="DF14" s="41"/>
    </row>
    <row r="15" spans="1:118" ht="15">
      <c r="A15" s="6" t="s">
        <v>42</v>
      </c>
      <c r="B15" s="7">
        <f t="shared" si="0"/>
        <v>206000</v>
      </c>
      <c r="C15" s="7">
        <v>245</v>
      </c>
      <c r="D15" s="7">
        <v>410</v>
      </c>
      <c r="E15" s="12"/>
      <c r="F15" s="12"/>
      <c r="G15" s="12"/>
      <c r="H15" s="12"/>
      <c r="I15" s="12"/>
      <c r="V15" s="61">
        <v>48</v>
      </c>
      <c r="W15" s="58">
        <v>5</v>
      </c>
      <c r="X15" s="62">
        <f t="shared" si="5"/>
        <v>1809.5573684677208</v>
      </c>
      <c r="Y15" s="58">
        <v>1472</v>
      </c>
      <c r="Z15" s="58">
        <v>1.6</v>
      </c>
      <c r="AA15" s="57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V15" s="58">
        <v>540</v>
      </c>
      <c r="AW15" s="58">
        <v>845</v>
      </c>
      <c r="AX15" s="58">
        <v>710</v>
      </c>
      <c r="AY15" s="48"/>
      <c r="BI15" s="66" t="s">
        <v>150</v>
      </c>
      <c r="BJ15" s="67" t="s">
        <v>154</v>
      </c>
      <c r="BK15" s="68">
        <v>39000</v>
      </c>
      <c r="BL15" s="69">
        <v>39.5</v>
      </c>
      <c r="BM15" s="69">
        <v>30</v>
      </c>
      <c r="BN15" s="70">
        <v>2.6</v>
      </c>
      <c r="BO15" s="70">
        <v>1.7</v>
      </c>
      <c r="BP15" s="53" t="s">
        <v>155</v>
      </c>
      <c r="BQ15" s="53">
        <f t="shared" si="9"/>
        <v>45</v>
      </c>
      <c r="BR15" s="41"/>
      <c r="CC15" s="63" t="s">
        <v>156</v>
      </c>
      <c r="CD15" s="64">
        <v>235</v>
      </c>
      <c r="CE15" s="64">
        <v>380</v>
      </c>
      <c r="CF15" s="63">
        <f t="shared" si="1"/>
        <v>235</v>
      </c>
      <c r="CG15" s="63">
        <f t="shared" si="2"/>
        <v>204.34782608695653</v>
      </c>
      <c r="CH15" s="63">
        <f t="shared" si="3"/>
        <v>235</v>
      </c>
      <c r="CI15" s="63">
        <f t="shared" si="4"/>
        <v>164.5</v>
      </c>
      <c r="CJ15" s="75">
        <v>200000</v>
      </c>
      <c r="DA15" s="65">
        <f t="shared" si="8"/>
        <v>1.9000000000000008</v>
      </c>
      <c r="DB15" s="65">
        <v>9.8000000000000004E-2</v>
      </c>
      <c r="DC15" s="65">
        <v>4.7E-2</v>
      </c>
      <c r="DD15" s="73">
        <v>2.0000100000000001</v>
      </c>
      <c r="DE15" s="65">
        <v>9.8000000000000004E-2</v>
      </c>
      <c r="DF15" s="41"/>
    </row>
    <row r="16" spans="1:118" ht="15.75" thickBot="1">
      <c r="A16" s="6" t="s">
        <v>43</v>
      </c>
      <c r="B16" s="7">
        <f t="shared" si="0"/>
        <v>206000</v>
      </c>
      <c r="C16" s="7">
        <v>235</v>
      </c>
      <c r="D16" s="7">
        <v>410</v>
      </c>
      <c r="E16" s="12"/>
      <c r="F16" s="12"/>
      <c r="G16" s="12"/>
      <c r="H16" s="12"/>
      <c r="I16" s="12"/>
      <c r="V16" s="72"/>
      <c r="W16" s="72"/>
      <c r="X16" s="72"/>
      <c r="Y16" s="72"/>
      <c r="Z16" s="72"/>
      <c r="AV16" s="58">
        <v>570</v>
      </c>
      <c r="AW16" s="58">
        <v>890</v>
      </c>
      <c r="AX16" s="58">
        <v>750</v>
      </c>
      <c r="AY16" s="48"/>
      <c r="BI16" s="66" t="s">
        <v>157</v>
      </c>
      <c r="BJ16" s="67" t="s">
        <v>158</v>
      </c>
      <c r="BK16" s="68">
        <v>39500</v>
      </c>
      <c r="BL16" s="69">
        <v>43</v>
      </c>
      <c r="BM16" s="69">
        <v>33</v>
      </c>
      <c r="BN16" s="70">
        <v>2.75</v>
      </c>
      <c r="BO16" s="70">
        <v>1.8</v>
      </c>
      <c r="BP16" s="53" t="s">
        <v>159</v>
      </c>
      <c r="BQ16" s="53">
        <f t="shared" si="9"/>
        <v>50</v>
      </c>
      <c r="BR16" s="41"/>
      <c r="CC16" s="63" t="s">
        <v>160</v>
      </c>
      <c r="CD16" s="64">
        <v>295</v>
      </c>
      <c r="CE16" s="64">
        <v>440</v>
      </c>
      <c r="CF16" s="63">
        <f t="shared" si="1"/>
        <v>295</v>
      </c>
      <c r="CG16" s="63">
        <f t="shared" si="2"/>
        <v>256.52173913043481</v>
      </c>
      <c r="CH16" s="63">
        <f t="shared" si="3"/>
        <v>295</v>
      </c>
      <c r="CI16" s="63">
        <f t="shared" si="4"/>
        <v>206.5</v>
      </c>
      <c r="CJ16" s="75">
        <v>200000</v>
      </c>
      <c r="DA16" s="65">
        <f t="shared" si="8"/>
        <v>2.0000000000000009</v>
      </c>
      <c r="DB16" s="65">
        <v>0.1</v>
      </c>
      <c r="DC16" s="65">
        <v>4.5999999999999999E-2</v>
      </c>
      <c r="DD16" s="73">
        <v>100</v>
      </c>
      <c r="DE16" s="65">
        <v>9.8000000000000004E-2</v>
      </c>
      <c r="DF16" s="41"/>
    </row>
    <row r="17" spans="1:110">
      <c r="A17" s="6" t="s">
        <v>44</v>
      </c>
      <c r="B17" s="7">
        <f t="shared" si="0"/>
        <v>206000</v>
      </c>
      <c r="C17" s="7">
        <v>355</v>
      </c>
      <c r="D17" s="7">
        <v>470</v>
      </c>
      <c r="E17" s="12"/>
      <c r="F17" s="12"/>
      <c r="G17" s="12"/>
      <c r="H17" s="12"/>
      <c r="I17" s="12"/>
      <c r="AV17" s="58">
        <v>590</v>
      </c>
      <c r="AW17" s="58">
        <v>920</v>
      </c>
      <c r="AX17" s="58">
        <v>775</v>
      </c>
      <c r="AY17" s="48"/>
      <c r="BI17" s="76"/>
      <c r="BJ17" s="76"/>
      <c r="BK17" s="76"/>
      <c r="BL17" s="76"/>
      <c r="BM17" s="76"/>
      <c r="BN17" s="76"/>
      <c r="BO17" s="76"/>
      <c r="BP17" s="72"/>
      <c r="BQ17" s="72"/>
      <c r="CC17" s="63" t="s">
        <v>161</v>
      </c>
      <c r="CD17" s="64">
        <v>295</v>
      </c>
      <c r="CE17" s="64">
        <v>440</v>
      </c>
      <c r="CF17" s="63">
        <f t="shared" si="1"/>
        <v>295</v>
      </c>
      <c r="CG17" s="63">
        <f t="shared" si="2"/>
        <v>256.52173913043481</v>
      </c>
      <c r="CH17" s="63">
        <f t="shared" si="3"/>
        <v>295</v>
      </c>
      <c r="CI17" s="63">
        <f t="shared" si="4"/>
        <v>206.5</v>
      </c>
      <c r="CJ17" s="75">
        <v>200000</v>
      </c>
      <c r="DA17" s="65">
        <v>2.0001000000000002</v>
      </c>
      <c r="DB17" s="65">
        <v>0.125</v>
      </c>
      <c r="DC17" s="65">
        <v>3.6999999999999998E-2</v>
      </c>
      <c r="DD17" s="65"/>
      <c r="DE17" s="65"/>
      <c r="DF17" s="41"/>
    </row>
    <row r="18" spans="1:110">
      <c r="A18" s="6" t="s">
        <v>45</v>
      </c>
      <c r="B18" s="7">
        <f t="shared" si="0"/>
        <v>206000</v>
      </c>
      <c r="C18" s="7">
        <v>345</v>
      </c>
      <c r="D18" s="7">
        <v>470</v>
      </c>
      <c r="E18" s="12"/>
      <c r="F18" s="12"/>
      <c r="G18" s="12"/>
      <c r="H18" s="12"/>
      <c r="I18" s="12"/>
      <c r="AV18" s="58"/>
      <c r="AW18" s="58"/>
      <c r="AX18" s="58"/>
      <c r="AY18" s="48"/>
      <c r="CC18" s="63" t="s">
        <v>162</v>
      </c>
      <c r="CD18" s="64">
        <v>390</v>
      </c>
      <c r="CE18" s="64">
        <v>560</v>
      </c>
      <c r="CF18" s="63">
        <f t="shared" si="1"/>
        <v>390</v>
      </c>
      <c r="CG18" s="63">
        <f t="shared" si="2"/>
        <v>339.13043478260875</v>
      </c>
      <c r="CH18" s="63">
        <f t="shared" si="3"/>
        <v>390</v>
      </c>
      <c r="CI18" s="63">
        <f t="shared" si="4"/>
        <v>273</v>
      </c>
      <c r="CJ18" s="74">
        <v>200000</v>
      </c>
      <c r="DA18" s="60">
        <v>999</v>
      </c>
      <c r="DB18" s="60">
        <v>0.125</v>
      </c>
      <c r="DC18" s="60">
        <v>3.6999999999999998E-2</v>
      </c>
      <c r="DD18" s="60"/>
      <c r="DE18" s="60"/>
      <c r="DF18" s="41"/>
    </row>
    <row r="19" spans="1:110">
      <c r="A19" s="6" t="s">
        <v>46</v>
      </c>
      <c r="B19" s="7">
        <f t="shared" si="0"/>
        <v>206000</v>
      </c>
      <c r="C19" s="7">
        <v>335</v>
      </c>
      <c r="D19" s="7">
        <v>470</v>
      </c>
      <c r="E19" s="12"/>
      <c r="F19" s="12"/>
      <c r="G19" s="12"/>
      <c r="H19" s="12"/>
      <c r="I19" s="12"/>
      <c r="AV19" s="58"/>
      <c r="AW19" s="58"/>
      <c r="AX19" s="58"/>
      <c r="AY19" s="48"/>
      <c r="CC19" s="63" t="s">
        <v>163</v>
      </c>
      <c r="CD19" s="64">
        <v>490</v>
      </c>
      <c r="CE19" s="64">
        <v>620</v>
      </c>
      <c r="CF19" s="63">
        <f t="shared" si="1"/>
        <v>490</v>
      </c>
      <c r="CG19" s="63">
        <f t="shared" si="2"/>
        <v>426.08695652173918</v>
      </c>
      <c r="CH19" s="63">
        <f t="shared" si="3"/>
        <v>490</v>
      </c>
      <c r="CI19" s="63">
        <f t="shared" si="4"/>
        <v>343</v>
      </c>
      <c r="CJ19" s="75">
        <v>200000</v>
      </c>
    </row>
    <row r="20" spans="1:110">
      <c r="A20" s="6" t="s">
        <v>47</v>
      </c>
      <c r="B20" s="7">
        <f t="shared" si="0"/>
        <v>206000</v>
      </c>
      <c r="C20" s="7">
        <v>325</v>
      </c>
      <c r="D20" s="7">
        <v>470</v>
      </c>
      <c r="E20" s="12"/>
      <c r="F20" s="12"/>
      <c r="G20" s="12"/>
      <c r="H20" s="12"/>
      <c r="I20" s="12"/>
      <c r="AV20" s="58"/>
      <c r="AW20" s="58"/>
      <c r="AX20" s="58"/>
      <c r="AY20" s="48"/>
      <c r="CC20" s="78"/>
      <c r="CD20" s="79"/>
      <c r="CE20" s="79"/>
      <c r="CF20" s="65"/>
      <c r="CG20" s="65"/>
      <c r="CH20" s="65"/>
      <c r="CI20" s="65"/>
      <c r="CJ20" s="65"/>
    </row>
    <row r="21" spans="1:110">
      <c r="A21" s="6" t="s">
        <v>48</v>
      </c>
      <c r="B21" s="7">
        <f t="shared" si="0"/>
        <v>206000</v>
      </c>
      <c r="C21" s="7">
        <v>315</v>
      </c>
      <c r="D21" s="7">
        <v>470</v>
      </c>
      <c r="E21" s="12"/>
      <c r="F21" s="12"/>
      <c r="G21" s="12"/>
      <c r="H21" s="12"/>
      <c r="I21" s="12"/>
      <c r="AV21" s="58"/>
      <c r="AW21" s="58"/>
      <c r="AX21" s="58"/>
      <c r="AY21" s="48"/>
      <c r="CC21" s="78"/>
      <c r="CD21" s="79"/>
      <c r="CE21" s="79"/>
      <c r="CF21" s="65"/>
      <c r="CG21" s="65"/>
      <c r="CH21" s="65"/>
      <c r="CI21" s="65"/>
      <c r="CJ21" s="65"/>
    </row>
    <row r="22" spans="1:110">
      <c r="A22" s="6" t="s">
        <v>164</v>
      </c>
      <c r="B22" s="7">
        <f t="shared" si="0"/>
        <v>206000</v>
      </c>
      <c r="C22" s="7">
        <v>205</v>
      </c>
      <c r="D22" s="7">
        <v>330</v>
      </c>
      <c r="E22" s="12"/>
      <c r="F22" s="12"/>
      <c r="G22" s="12"/>
      <c r="H22" s="12"/>
      <c r="I22" s="12"/>
      <c r="AV22" s="58"/>
      <c r="AW22" s="58"/>
      <c r="AX22" s="58"/>
      <c r="AY22" s="48"/>
      <c r="CC22" s="65"/>
      <c r="CD22" s="82"/>
      <c r="CE22" s="82"/>
      <c r="CF22" s="65"/>
      <c r="CG22" s="65"/>
      <c r="CH22" s="65"/>
      <c r="CI22" s="65"/>
      <c r="CJ22" s="65"/>
    </row>
    <row r="23" spans="1:110">
      <c r="A23" s="6" t="s">
        <v>165</v>
      </c>
      <c r="B23" s="7">
        <f t="shared" si="0"/>
        <v>206000</v>
      </c>
      <c r="C23" s="7">
        <v>195</v>
      </c>
      <c r="D23" s="7">
        <v>330</v>
      </c>
      <c r="E23" s="12"/>
      <c r="F23" s="12"/>
      <c r="G23" s="12"/>
      <c r="H23" s="12"/>
      <c r="I23" s="12"/>
      <c r="AV23" s="58"/>
      <c r="AW23" s="58"/>
      <c r="AX23" s="58"/>
      <c r="AY23" s="48"/>
      <c r="CC23" s="65"/>
      <c r="CD23" s="82"/>
      <c r="CE23" s="82"/>
      <c r="CF23" s="65"/>
      <c r="CG23" s="65"/>
      <c r="CH23" s="65"/>
      <c r="CI23" s="65"/>
      <c r="CJ23" s="65"/>
    </row>
    <row r="24" spans="1:110">
      <c r="A24" s="6" t="s">
        <v>166</v>
      </c>
      <c r="B24" s="7">
        <f t="shared" si="0"/>
        <v>206000</v>
      </c>
      <c r="C24" s="7">
        <v>245</v>
      </c>
      <c r="D24" s="7">
        <v>400</v>
      </c>
      <c r="E24" s="12"/>
      <c r="F24" s="12"/>
      <c r="G24" s="12"/>
      <c r="H24" s="12"/>
      <c r="I24" s="12"/>
      <c r="AV24" s="72"/>
      <c r="AW24" s="72"/>
      <c r="AX24" s="72"/>
      <c r="CC24" s="65"/>
      <c r="CD24" s="82"/>
      <c r="CE24" s="82"/>
      <c r="CF24" s="65"/>
      <c r="CG24" s="65"/>
      <c r="CH24" s="65"/>
      <c r="CI24" s="65"/>
      <c r="CJ24" s="65"/>
    </row>
    <row r="25" spans="1:110">
      <c r="A25" s="6" t="s">
        <v>167</v>
      </c>
      <c r="B25" s="7">
        <f t="shared" si="0"/>
        <v>206000</v>
      </c>
      <c r="C25" s="7">
        <v>235</v>
      </c>
      <c r="D25" s="7">
        <v>400</v>
      </c>
      <c r="E25" s="12"/>
      <c r="F25" s="12"/>
      <c r="G25" s="12"/>
      <c r="H25" s="12"/>
      <c r="I25" s="12"/>
      <c r="CC25" s="65"/>
      <c r="CD25" s="82"/>
      <c r="CE25" s="82"/>
      <c r="CF25" s="65"/>
      <c r="CG25" s="65"/>
      <c r="CH25" s="65"/>
      <c r="CI25" s="65"/>
      <c r="CJ25" s="65"/>
    </row>
    <row r="26" spans="1:110">
      <c r="A26" s="6" t="s">
        <v>168</v>
      </c>
      <c r="B26" s="7">
        <f t="shared" si="0"/>
        <v>206000</v>
      </c>
      <c r="C26" s="7">
        <v>285</v>
      </c>
      <c r="D26" s="7">
        <v>490</v>
      </c>
      <c r="E26" s="12"/>
      <c r="F26" s="12"/>
      <c r="G26" s="12"/>
      <c r="H26" s="12"/>
      <c r="I26" s="12"/>
      <c r="CC26" s="65"/>
      <c r="CD26" s="82"/>
      <c r="CE26" s="82"/>
      <c r="CF26" s="65"/>
      <c r="CG26" s="65"/>
      <c r="CH26" s="65"/>
      <c r="CI26" s="65"/>
      <c r="CJ26" s="65"/>
    </row>
    <row r="27" spans="1:110">
      <c r="A27" s="6" t="s">
        <v>169</v>
      </c>
      <c r="B27" s="7">
        <f t="shared" si="0"/>
        <v>206000</v>
      </c>
      <c r="C27" s="7">
        <v>275</v>
      </c>
      <c r="D27" s="7">
        <v>490</v>
      </c>
      <c r="E27" s="12"/>
      <c r="F27" s="12"/>
      <c r="G27" s="12"/>
      <c r="H27" s="12"/>
      <c r="I27" s="12"/>
      <c r="CC27" s="65"/>
      <c r="CD27" s="82"/>
      <c r="CE27" s="82"/>
      <c r="CF27" s="65"/>
      <c r="CG27" s="65"/>
      <c r="CH27" s="65"/>
      <c r="CI27" s="65"/>
      <c r="CJ27" s="65"/>
    </row>
    <row r="28" spans="1:110">
      <c r="A28" s="6" t="s">
        <v>170</v>
      </c>
      <c r="B28" s="7">
        <f t="shared" si="0"/>
        <v>206000</v>
      </c>
      <c r="C28" s="7">
        <v>400</v>
      </c>
      <c r="D28" s="7">
        <v>540</v>
      </c>
      <c r="E28" s="12"/>
      <c r="F28" s="12"/>
      <c r="G28" s="12"/>
      <c r="H28" s="12"/>
      <c r="I28" s="12"/>
      <c r="CC28" s="65"/>
      <c r="CD28" s="82"/>
      <c r="CE28" s="82"/>
      <c r="CF28" s="65"/>
      <c r="CG28" s="65"/>
      <c r="CH28" s="65"/>
      <c r="CI28" s="65"/>
      <c r="CJ28" s="65"/>
    </row>
    <row r="29" spans="1:110">
      <c r="A29" s="6" t="s">
        <v>171</v>
      </c>
      <c r="B29" s="7">
        <f t="shared" si="0"/>
        <v>206000</v>
      </c>
      <c r="C29" s="7">
        <v>390</v>
      </c>
      <c r="D29" s="7">
        <v>540</v>
      </c>
      <c r="E29" s="12"/>
      <c r="F29" s="12"/>
      <c r="G29" s="12"/>
      <c r="H29" s="12"/>
      <c r="I29" s="12"/>
      <c r="CC29" s="60"/>
      <c r="CD29" s="81"/>
      <c r="CE29" s="81"/>
      <c r="CF29" s="60"/>
      <c r="CG29" s="60"/>
      <c r="CH29" s="60"/>
      <c r="CI29" s="60"/>
      <c r="CJ29" s="60"/>
    </row>
    <row r="30" spans="1:110">
      <c r="CC30" s="52"/>
      <c r="CD30" s="80"/>
      <c r="CE30" s="80"/>
      <c r="CF30" s="52"/>
      <c r="CG30" s="52"/>
      <c r="CH30" s="52"/>
      <c r="CI30" s="52"/>
      <c r="CJ30" s="77"/>
    </row>
  </sheetData>
  <mergeCells count="18">
    <mergeCell ref="BI1:BJ4"/>
    <mergeCell ref="A1:A2"/>
    <mergeCell ref="K1:O2"/>
    <mergeCell ref="V1:Z2"/>
    <mergeCell ref="AV1:AX1"/>
    <mergeCell ref="AZ1:BB1"/>
    <mergeCell ref="DF1:DG1"/>
    <mergeCell ref="BL2:BM2"/>
    <mergeCell ref="BN2:BO2"/>
    <mergeCell ref="CC2:CC3"/>
    <mergeCell ref="DA2:DC3"/>
    <mergeCell ref="DD2:DE3"/>
    <mergeCell ref="BP3:BP4"/>
    <mergeCell ref="BK1:BK3"/>
    <mergeCell ref="BL1:BO1"/>
    <mergeCell ref="BP1:BQ2"/>
    <mergeCell ref="CC1:CJ1"/>
    <mergeCell ref="DA1:DE1"/>
  </mergeCells>
  <pageMargins left="0.59055118110236227" right="0.31496062992125984" top="0.59055118110236227" bottom="0.59055118110236227" header="0.31496062992125984" footer="0.31496062992125984"/>
  <pageSetup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DB6-365D-4184-BB83-0AD8F3BD7053}">
  <sheetPr codeName="Sheet3">
    <tabColor rgb="FFC00000"/>
  </sheetPr>
  <dimension ref="A1:M49"/>
  <sheetViews>
    <sheetView showGridLines="0" tabSelected="1" topLeftCell="A11" zoomScale="115" zoomScaleNormal="115" zoomScaleSheetLayoutView="100" workbookViewId="0">
      <selection activeCell="T20" sqref="T20"/>
    </sheetView>
  </sheetViews>
  <sheetFormatPr defaultColWidth="7.28515625" defaultRowHeight="12.75"/>
  <cols>
    <col min="1" max="1" width="7.28515625" style="1"/>
    <col min="2" max="2" width="10" style="1" bestFit="1" customWidth="1"/>
    <col min="3" max="3" width="8.42578125" style="1" bestFit="1" customWidth="1"/>
    <col min="4" max="4" width="7.28515625" style="1"/>
    <col min="5" max="5" width="7.28515625" style="1" customWidth="1"/>
    <col min="6" max="6" width="7.28515625" style="1"/>
    <col min="7" max="7" width="7.7109375" style="1" customWidth="1"/>
    <col min="8" max="8" width="8.140625" style="1" bestFit="1" customWidth="1"/>
    <col min="9" max="9" width="8.140625" style="1" customWidth="1"/>
    <col min="10" max="10" width="8.5703125" style="1" bestFit="1" customWidth="1"/>
    <col min="11" max="11" width="7.7109375" style="1" customWidth="1"/>
    <col min="12" max="12" width="0.42578125" style="1" customWidth="1"/>
    <col min="13" max="13" width="2.5703125" style="2" customWidth="1"/>
    <col min="14" max="15" width="7.28515625" style="1"/>
    <col min="16" max="17" width="8.140625" style="1" bestFit="1" customWidth="1"/>
    <col min="18" max="16384" width="7.28515625" style="1"/>
  </cols>
  <sheetData>
    <row r="1" spans="1:13" ht="12.75" hidden="1" customHeight="1">
      <c r="L1"/>
    </row>
    <row r="2" spans="1:13" ht="12.75" hidden="1" customHeight="1">
      <c r="L2"/>
    </row>
    <row r="3" spans="1:13" ht="12.75" hidden="1" customHeight="1">
      <c r="L3"/>
    </row>
    <row r="4" spans="1:13" ht="12.75" hidden="1" customHeight="1">
      <c r="L4"/>
    </row>
    <row r="5" spans="1:13" ht="12.75" hidden="1" customHeight="1">
      <c r="L5"/>
    </row>
    <row r="6" spans="1:13" ht="12.75" hidden="1" customHeight="1">
      <c r="L6"/>
    </row>
    <row r="7" spans="1:13" ht="12.75" hidden="1" customHeight="1">
      <c r="L7"/>
    </row>
    <row r="8" spans="1:13" ht="12.75" hidden="1" customHeight="1">
      <c r="L8"/>
    </row>
    <row r="9" spans="1:13" ht="12.75" hidden="1" customHeight="1">
      <c r="L9"/>
    </row>
    <row r="10" spans="1:13" ht="10.5" hidden="1" customHeight="1">
      <c r="L10"/>
    </row>
    <row r="11" spans="1:13" ht="20.25" customHeight="1">
      <c r="A11" s="108" t="s">
        <v>197</v>
      </c>
      <c r="B11" s="109"/>
      <c r="C11" s="109"/>
      <c r="D11" s="109"/>
      <c r="E11" s="109"/>
      <c r="F11" s="109"/>
      <c r="G11" s="109"/>
      <c r="H11" s="109"/>
      <c r="I11" s="113" t="s">
        <v>172</v>
      </c>
      <c r="J11" s="113"/>
      <c r="K11" s="114"/>
      <c r="L11"/>
      <c r="M11" s="48"/>
    </row>
    <row r="12" spans="1:13" ht="12.75" customHeight="1">
      <c r="A12" s="110"/>
      <c r="B12" s="111"/>
      <c r="C12" s="111"/>
      <c r="D12" s="112"/>
      <c r="E12" s="112"/>
      <c r="F12" s="112"/>
      <c r="G12" s="112"/>
      <c r="H12" s="112"/>
      <c r="I12" s="115"/>
      <c r="J12" s="115"/>
      <c r="K12" s="116"/>
      <c r="L12"/>
      <c r="M12" s="83"/>
    </row>
    <row r="13" spans="1:13" ht="15" customHeight="1">
      <c r="A13" s="117" t="s">
        <v>0</v>
      </c>
      <c r="B13" s="118"/>
      <c r="C13" s="118"/>
      <c r="D13" s="17"/>
      <c r="E13" s="17"/>
      <c r="F13" s="17"/>
      <c r="G13" s="17"/>
      <c r="H13" s="17"/>
      <c r="I13" s="17"/>
      <c r="J13" s="17"/>
      <c r="K13" s="100"/>
      <c r="L13"/>
      <c r="M13" s="48"/>
    </row>
    <row r="14" spans="1:13" ht="12.75" customHeight="1">
      <c r="A14" s="84" t="s">
        <v>180</v>
      </c>
      <c r="B14" s="85"/>
      <c r="C14" s="85"/>
      <c r="D14" s="17"/>
      <c r="E14" s="17"/>
      <c r="F14" s="17"/>
      <c r="G14" s="19"/>
      <c r="H14" s="17"/>
      <c r="I14" s="20"/>
      <c r="J14" s="20"/>
      <c r="K14" s="101"/>
      <c r="L14"/>
      <c r="M14" s="48"/>
    </row>
    <row r="15" spans="1:13" ht="12.75" customHeight="1">
      <c r="A15" s="86"/>
      <c r="B15" s="17" t="str">
        <f>"- Loại thép:"</f>
        <v>- Loại thép:</v>
      </c>
      <c r="C15" s="17"/>
      <c r="D15" s="18"/>
      <c r="E15" s="21"/>
      <c r="F15" s="17"/>
      <c r="G15" s="20"/>
      <c r="H15" s="20"/>
      <c r="I15" s="20"/>
      <c r="J15" s="26" t="s">
        <v>166</v>
      </c>
      <c r="K15" s="102"/>
      <c r="L15"/>
      <c r="M15" s="48"/>
    </row>
    <row r="16" spans="1:13" ht="12.75" customHeight="1">
      <c r="A16" s="86"/>
      <c r="B16" s="17" t="str">
        <f>"- Cường độ tiêu chuẩn của thép:"</f>
        <v>- Cường độ tiêu chuẩn của thép:</v>
      </c>
      <c r="C16" s="17"/>
      <c r="D16" s="18"/>
      <c r="E16" s="21"/>
      <c r="F16" s="17"/>
      <c r="G16" s="20"/>
      <c r="H16" s="20"/>
      <c r="I16" s="22" t="s">
        <v>1</v>
      </c>
      <c r="J16" s="8">
        <f>VLOOKUP(J15,Data!$A$3:$D$99,3,FALSE)</f>
        <v>245</v>
      </c>
      <c r="K16" s="103" t="s">
        <v>2</v>
      </c>
      <c r="L16"/>
      <c r="M16" s="48"/>
    </row>
    <row r="17" spans="1:13" ht="12.75" customHeight="1">
      <c r="A17" s="86"/>
      <c r="B17" s="17" t="str">
        <f>"- Cường độ tiêu chuẩn kéo đứt của thép:"</f>
        <v>- Cường độ tiêu chuẩn kéo đứt của thép:</v>
      </c>
      <c r="C17" s="17"/>
      <c r="D17" s="18"/>
      <c r="E17" s="21"/>
      <c r="F17" s="17"/>
      <c r="G17" s="20"/>
      <c r="H17" s="20"/>
      <c r="I17" s="22" t="s">
        <v>4</v>
      </c>
      <c r="J17" s="8">
        <f>VLOOKUP(J15,Data!$A$3:$D$99,4,FALSE)</f>
        <v>400</v>
      </c>
      <c r="K17" s="103" t="s">
        <v>2</v>
      </c>
      <c r="L17"/>
      <c r="M17" s="48"/>
    </row>
    <row r="18" spans="1:13" ht="12.75" customHeight="1">
      <c r="A18" s="86"/>
      <c r="B18" s="17" t="str">
        <f>"- Cường độ tính toán của thép:"</f>
        <v>- Cường độ tính toán của thép:</v>
      </c>
      <c r="C18" s="17"/>
      <c r="D18" s="18"/>
      <c r="E18" s="21"/>
      <c r="F18" s="20"/>
      <c r="G18" s="4" t="s">
        <v>5</v>
      </c>
      <c r="H18" s="23">
        <v>1.05</v>
      </c>
      <c r="I18" s="22" t="s">
        <v>6</v>
      </c>
      <c r="J18" s="27">
        <f>J16/H18</f>
        <v>233.33333333333331</v>
      </c>
      <c r="K18" s="103" t="s">
        <v>2</v>
      </c>
      <c r="L18"/>
      <c r="M18" s="48"/>
    </row>
    <row r="19" spans="1:13" ht="12.75" customHeight="1">
      <c r="A19" s="86"/>
      <c r="B19" s="17" t="str">
        <f>"- Cường độ tính toán chịu cắt của thép:"</f>
        <v>- Cường độ tính toán chịu cắt của thép:</v>
      </c>
      <c r="C19" s="17"/>
      <c r="D19" s="18"/>
      <c r="E19" s="21"/>
      <c r="F19" s="17"/>
      <c r="G19" s="20"/>
      <c r="H19" s="20"/>
      <c r="I19" s="22" t="s">
        <v>57</v>
      </c>
      <c r="J19" s="27">
        <f>0.58*J16/H18</f>
        <v>135.33333333333331</v>
      </c>
      <c r="K19" s="103" t="s">
        <v>2</v>
      </c>
      <c r="L19"/>
      <c r="M19" s="48"/>
    </row>
    <row r="20" spans="1:13" ht="12.75" customHeight="1">
      <c r="A20" s="86"/>
      <c r="B20" s="17" t="str">
        <f>"- Hệ số điều kiện làm việc của kết cấu (Bảng 1 - Mục 9):"</f>
        <v>- Hệ số điều kiện làm việc của kết cấu (Bảng 1 - Mục 9):</v>
      </c>
      <c r="C20" s="17"/>
      <c r="D20" s="18"/>
      <c r="E20" s="21"/>
      <c r="F20" s="17"/>
      <c r="G20" s="20"/>
      <c r="H20" s="20"/>
      <c r="I20" s="4" t="s">
        <v>7</v>
      </c>
      <c r="J20" s="28">
        <v>0.9</v>
      </c>
      <c r="K20" s="103"/>
      <c r="L20"/>
      <c r="M20" s="48"/>
    </row>
    <row r="21" spans="1:13" ht="12.75" customHeight="1">
      <c r="A21" s="87" t="s">
        <v>181</v>
      </c>
      <c r="B21" s="17"/>
      <c r="C21" s="17"/>
      <c r="D21" s="17"/>
      <c r="E21" s="17"/>
      <c r="F21" s="17"/>
      <c r="G21" s="19"/>
      <c r="H21" s="17"/>
      <c r="I21" s="20"/>
      <c r="J21" s="20"/>
      <c r="K21" s="101"/>
      <c r="L21"/>
      <c r="M21" s="48"/>
    </row>
    <row r="22" spans="1:13" ht="12.75" customHeight="1">
      <c r="A22" s="86"/>
      <c r="B22" s="17" t="str">
        <f>"- Que hàn:"</f>
        <v>- Que hàn:</v>
      </c>
      <c r="C22" s="17"/>
      <c r="D22" s="18"/>
      <c r="E22" s="21"/>
      <c r="F22" s="17"/>
      <c r="G22" s="20"/>
      <c r="H22" s="20"/>
      <c r="I22" s="20"/>
      <c r="J22" s="23" t="s">
        <v>8</v>
      </c>
      <c r="K22" s="102"/>
      <c r="L22"/>
      <c r="M22" s="48"/>
    </row>
    <row r="23" spans="1:13" ht="12.75" customHeight="1">
      <c r="A23" s="86"/>
      <c r="B23" s="17" t="str">
        <f>"- Cường độ tiêu chuẩn theo giới hạn bền:"</f>
        <v>- Cường độ tiêu chuẩn theo giới hạn bền:</v>
      </c>
      <c r="C23" s="17"/>
      <c r="D23" s="18"/>
      <c r="E23" s="21"/>
      <c r="F23" s="17"/>
      <c r="G23" s="20"/>
      <c r="H23" s="20"/>
      <c r="I23" s="22" t="s">
        <v>9</v>
      </c>
      <c r="J23" s="3">
        <f>VLOOKUP(J22,Data!$AZ$3:$BB$10,2,FALSE)</f>
        <v>410</v>
      </c>
      <c r="K23" s="103" t="s">
        <v>2</v>
      </c>
      <c r="L23"/>
      <c r="M23" s="48"/>
    </row>
    <row r="24" spans="1:13" ht="12.75" customHeight="1">
      <c r="A24" s="86"/>
      <c r="B24" s="17" t="str">
        <f>"- Cường độ tính toán theo kim loại đường hàn:"</f>
        <v>- Cường độ tính toán theo kim loại đường hàn:</v>
      </c>
      <c r="C24" s="17"/>
      <c r="D24" s="18"/>
      <c r="E24" s="21"/>
      <c r="F24" s="17"/>
      <c r="G24" s="4" t="s">
        <v>10</v>
      </c>
      <c r="H24" s="23">
        <v>0.7</v>
      </c>
      <c r="I24" s="22" t="s">
        <v>11</v>
      </c>
      <c r="J24" s="3">
        <f>VLOOKUP(J22,Data!$AZ$3:$BB$10,3,FALSE)</f>
        <v>180</v>
      </c>
      <c r="K24" s="103" t="s">
        <v>2</v>
      </c>
      <c r="L24"/>
      <c r="M24" s="48"/>
    </row>
    <row r="25" spans="1:13" ht="12.75" customHeight="1">
      <c r="A25" s="86"/>
      <c r="B25" s="17" t="str">
        <f>"- Cường độ tính toán theo kim loại biên nóng chảy:"</f>
        <v>- Cường độ tính toán theo kim loại biên nóng chảy:</v>
      </c>
      <c r="C25" s="17"/>
      <c r="D25" s="18"/>
      <c r="E25" s="21"/>
      <c r="F25" s="17"/>
      <c r="G25" s="4" t="s">
        <v>12</v>
      </c>
      <c r="H25" s="25">
        <v>1</v>
      </c>
      <c r="I25" s="22" t="s">
        <v>13</v>
      </c>
      <c r="J25" s="3">
        <f>0.45*J17</f>
        <v>180</v>
      </c>
      <c r="K25" s="103" t="s">
        <v>2</v>
      </c>
      <c r="L25"/>
      <c r="M25" s="48"/>
    </row>
    <row r="26" spans="1:13" ht="12.75" customHeight="1">
      <c r="A26" s="86"/>
      <c r="B26" s="17" t="str">
        <f>"- Hệ số điều kiện làm việc :"</f>
        <v>- Hệ số điều kiện làm việc :</v>
      </c>
      <c r="C26" s="17"/>
      <c r="D26" s="18"/>
      <c r="E26" s="21"/>
      <c r="F26" s="17"/>
      <c r="G26" s="20"/>
      <c r="H26" s="20"/>
      <c r="I26" s="4" t="s">
        <v>7</v>
      </c>
      <c r="J26" s="23">
        <v>0.9</v>
      </c>
      <c r="K26" s="103"/>
      <c r="L26"/>
      <c r="M26" s="48"/>
    </row>
    <row r="27" spans="1:13" ht="12.75" customHeight="1">
      <c r="A27" s="86"/>
      <c r="B27" s="17" t="str">
        <f>"- Cường độ tính toán của đường hàn:"</f>
        <v>- Cường độ tính toán của đường hàn:</v>
      </c>
      <c r="C27" s="17"/>
      <c r="D27" s="18"/>
      <c r="E27" s="21"/>
      <c r="F27" s="17"/>
      <c r="G27" s="4"/>
      <c r="H27" s="23"/>
      <c r="I27" s="22" t="s">
        <v>58</v>
      </c>
      <c r="J27" s="25">
        <f>1.15*MIN(H24*J24,H25*J25)*J26</f>
        <v>130.41</v>
      </c>
      <c r="K27" s="103" t="s">
        <v>2</v>
      </c>
      <c r="L27"/>
      <c r="M27" s="48"/>
    </row>
    <row r="28" spans="1:13" ht="12.75" customHeight="1">
      <c r="A28" s="87" t="s">
        <v>182</v>
      </c>
      <c r="B28" s="17"/>
      <c r="C28" s="17"/>
      <c r="D28" s="17"/>
      <c r="E28" s="17"/>
      <c r="F28" s="17"/>
      <c r="G28" s="19"/>
      <c r="H28" s="17"/>
      <c r="I28" s="20"/>
      <c r="J28" s="20"/>
      <c r="K28" s="101"/>
      <c r="L28"/>
      <c r="M28" s="48"/>
    </row>
    <row r="29" spans="1:13" ht="12.75" customHeight="1">
      <c r="A29" s="88"/>
      <c r="B29" s="17" t="str">
        <f>"- Chiều dày bản mã tối thiểu:"</f>
        <v>- Chiều dày bản mã tối thiểu:</v>
      </c>
      <c r="C29" s="17"/>
      <c r="D29" s="20"/>
      <c r="E29" s="29"/>
      <c r="F29" s="17"/>
      <c r="G29" s="19"/>
      <c r="H29" s="17"/>
      <c r="I29" s="22" t="s">
        <v>183</v>
      </c>
      <c r="J29" s="23">
        <v>16</v>
      </c>
      <c r="K29" s="103" t="s">
        <v>3</v>
      </c>
      <c r="L29"/>
      <c r="M29" s="48"/>
    </row>
    <row r="30" spans="1:13" ht="12.75" customHeight="1">
      <c r="A30" s="86"/>
      <c r="B30" s="17" t="str">
        <f>"- Chiều cao đường hàn tối thiểu:"</f>
        <v>- Chiều cao đường hàn tối thiểu:</v>
      </c>
      <c r="C30" s="17"/>
      <c r="D30" s="18"/>
      <c r="E30" s="17"/>
      <c r="F30" s="17"/>
      <c r="G30" s="20"/>
      <c r="H30" s="20"/>
      <c r="I30" s="22" t="s">
        <v>184</v>
      </c>
      <c r="J30" s="23">
        <v>10</v>
      </c>
      <c r="K30" s="103" t="s">
        <v>3</v>
      </c>
      <c r="L30"/>
      <c r="M30" s="48"/>
    </row>
    <row r="31" spans="1:13" ht="12.75" customHeight="1">
      <c r="A31" s="86"/>
      <c r="B31" s="17" t="str">
        <f>"- Loại cấu kiện:"</f>
        <v>- Loại cấu kiện:</v>
      </c>
      <c r="C31" s="17"/>
      <c r="D31" s="18"/>
      <c r="E31" s="17"/>
      <c r="F31" s="17"/>
      <c r="G31" s="20"/>
      <c r="H31" s="24"/>
      <c r="I31" s="22"/>
      <c r="J31" s="23" t="s">
        <v>173</v>
      </c>
      <c r="K31" s="103"/>
      <c r="L31"/>
      <c r="M31" s="48"/>
    </row>
    <row r="32" spans="1:13" ht="12.75" customHeight="1">
      <c r="A32" s="86"/>
      <c r="B32" s="17" t="str">
        <f>"- Chiều dài đường hàn:"</f>
        <v>- Chiều dài đường hàn:</v>
      </c>
      <c r="C32" s="17"/>
      <c r="D32" s="18"/>
      <c r="E32" s="17"/>
      <c r="F32" s="17"/>
      <c r="G32" s="20"/>
      <c r="H32" s="20"/>
      <c r="I32" s="22" t="s">
        <v>185</v>
      </c>
      <c r="J32" s="23">
        <v>200</v>
      </c>
      <c r="K32" s="103" t="s">
        <v>3</v>
      </c>
      <c r="L32"/>
      <c r="M32" s="48"/>
    </row>
    <row r="33" spans="1:13" ht="12.75" customHeight="1">
      <c r="A33" s="86"/>
      <c r="B33" s="20"/>
      <c r="C33" s="20"/>
      <c r="D33" s="22"/>
      <c r="E33" s="17"/>
      <c r="F33" s="30"/>
      <c r="G33" s="20"/>
      <c r="H33" s="20"/>
      <c r="I33" s="22" t="s">
        <v>186</v>
      </c>
      <c r="J33" s="90" t="s">
        <v>202</v>
      </c>
      <c r="K33" s="103" t="s">
        <v>3</v>
      </c>
      <c r="L33"/>
      <c r="M33" s="48"/>
    </row>
    <row r="34" spans="1:13" ht="12.75" customHeight="1">
      <c r="A34" s="88"/>
      <c r="B34" s="17"/>
      <c r="C34" s="17"/>
      <c r="D34" s="20"/>
      <c r="E34" s="29"/>
      <c r="F34" s="17"/>
      <c r="G34" s="19"/>
      <c r="H34" s="17"/>
      <c r="I34" s="22" t="s">
        <v>187</v>
      </c>
      <c r="J34" s="90" t="s">
        <v>202</v>
      </c>
      <c r="K34" s="101" t="s">
        <v>3</v>
      </c>
      <c r="L34"/>
      <c r="M34" s="48"/>
    </row>
    <row r="35" spans="1:13" ht="12.75" customHeight="1">
      <c r="A35" s="87" t="s">
        <v>188</v>
      </c>
      <c r="B35" s="17"/>
      <c r="C35" s="17"/>
      <c r="D35" s="17"/>
      <c r="E35" s="17"/>
      <c r="F35" s="17"/>
      <c r="G35" s="19"/>
      <c r="H35" s="17"/>
      <c r="I35" s="20"/>
      <c r="J35" s="20"/>
      <c r="K35" s="101"/>
      <c r="L35"/>
      <c r="M35" s="48"/>
    </row>
    <row r="36" spans="1:13" ht="12.75" customHeight="1">
      <c r="A36" s="87"/>
      <c r="B36" s="17" t="str">
        <f>"- Moment:"</f>
        <v>- Moment:</v>
      </c>
      <c r="C36" s="17"/>
      <c r="D36" s="17"/>
      <c r="E36" s="21"/>
      <c r="F36" s="17"/>
      <c r="G36" s="20"/>
      <c r="H36" s="21"/>
      <c r="I36" s="22" t="s">
        <v>189</v>
      </c>
      <c r="J36" s="23">
        <v>20</v>
      </c>
      <c r="K36" s="103" t="s">
        <v>15</v>
      </c>
      <c r="L36"/>
      <c r="M36" s="48"/>
    </row>
    <row r="37" spans="1:13" ht="12.75" customHeight="1">
      <c r="A37" s="87"/>
      <c r="B37" s="17" t="str">
        <f>"- Lực dọc:"</f>
        <v>- Lực dọc:</v>
      </c>
      <c r="C37" s="17"/>
      <c r="D37" s="17"/>
      <c r="E37" s="21"/>
      <c r="F37" s="17"/>
      <c r="G37" s="20"/>
      <c r="H37" s="21"/>
      <c r="I37" s="22" t="s">
        <v>190</v>
      </c>
      <c r="J37" s="23">
        <v>40</v>
      </c>
      <c r="K37" s="103" t="s">
        <v>15</v>
      </c>
      <c r="L37"/>
      <c r="M37" s="48"/>
    </row>
    <row r="38" spans="1:13" ht="12.75" customHeight="1">
      <c r="A38" s="87"/>
      <c r="B38" s="17" t="str">
        <f>"- Lực cắt:"</f>
        <v>- Lực cắt:</v>
      </c>
      <c r="C38" s="17"/>
      <c r="D38" s="17"/>
      <c r="E38" s="21"/>
      <c r="F38" s="17"/>
      <c r="G38" s="20"/>
      <c r="H38" s="21"/>
      <c r="I38" s="22" t="s">
        <v>191</v>
      </c>
      <c r="J38" s="23">
        <v>50</v>
      </c>
      <c r="K38" s="103" t="s">
        <v>15</v>
      </c>
      <c r="L38"/>
      <c r="M38" s="48"/>
    </row>
    <row r="39" spans="1:13" ht="15">
      <c r="A39" s="106" t="s">
        <v>14</v>
      </c>
      <c r="B39" s="107"/>
      <c r="C39" s="107"/>
      <c r="D39" s="22"/>
      <c r="E39" s="31"/>
      <c r="F39" s="30"/>
      <c r="G39" s="20"/>
      <c r="H39" s="20"/>
      <c r="I39" s="20"/>
      <c r="J39" s="20"/>
      <c r="K39" s="102"/>
      <c r="L39"/>
      <c r="M39" s="48"/>
    </row>
    <row r="40" spans="1:13" ht="12.75" customHeight="1">
      <c r="A40" s="84" t="s">
        <v>192</v>
      </c>
      <c r="B40" s="85"/>
      <c r="C40" s="85"/>
      <c r="D40" s="17"/>
      <c r="E40" s="17"/>
      <c r="F40" s="17"/>
      <c r="G40" s="19"/>
      <c r="H40" s="17"/>
      <c r="I40" s="20"/>
      <c r="J40" s="20"/>
      <c r="K40" s="101"/>
      <c r="L40"/>
      <c r="M40" s="48"/>
    </row>
    <row r="41" spans="1:13" ht="15">
      <c r="A41" s="86" t="str">
        <f>"- Diện tích mặt cắt tiết diện đường hàn:"</f>
        <v>- Diện tích mặt cắt tiết diện đường hàn:</v>
      </c>
      <c r="B41" s="32"/>
      <c r="C41" s="32"/>
      <c r="D41" s="22"/>
      <c r="E41" s="31"/>
      <c r="F41" s="30"/>
      <c r="G41" s="20"/>
      <c r="H41" s="20"/>
      <c r="I41" s="22" t="s">
        <v>193</v>
      </c>
      <c r="J41" s="27" cm="1">
        <f t="array" ref="J41">_xll.Dce_LKHan($J$31, $J$30, J32, IFERROR(VALUE(J33),0), IFERROR(VALUE(J34),0), "Aw")</f>
        <v>2000</v>
      </c>
      <c r="K41" s="103" t="s">
        <v>198</v>
      </c>
      <c r="L41"/>
      <c r="M41" s="48"/>
    </row>
    <row r="42" spans="1:13" ht="15">
      <c r="A42" s="86" t="str">
        <f>"- Moment quán tính tiết diện đường hàn:"</f>
        <v>- Moment quán tính tiết diện đường hàn:</v>
      </c>
      <c r="B42" s="32"/>
      <c r="C42" s="32"/>
      <c r="D42" s="22"/>
      <c r="E42" s="31"/>
      <c r="F42" s="30"/>
      <c r="G42" s="20"/>
      <c r="H42" s="20"/>
      <c r="I42" s="22" t="s">
        <v>194</v>
      </c>
      <c r="J42" s="38" cm="1">
        <f t="array" ref="J42">_xll.Dce_LKHan($J$31, $J$30, J32, IFERROR(VALUE(J33),0), IFERROR(VALUE(J34),0), "Iw")</f>
        <v>6666666.666666667</v>
      </c>
      <c r="K42" s="103" t="s">
        <v>199</v>
      </c>
      <c r="L42"/>
      <c r="M42" s="48"/>
    </row>
    <row r="43" spans="1:13" ht="15">
      <c r="A43" s="86" t="str">
        <f>"- Moment kháng uốn tiết diện đường hàn:"</f>
        <v>- Moment kháng uốn tiết diện đường hàn:</v>
      </c>
      <c r="B43" s="33"/>
      <c r="C43" s="32"/>
      <c r="D43" s="22"/>
      <c r="E43" s="31"/>
      <c r="F43" s="4"/>
      <c r="G43" s="23"/>
      <c r="H43" s="20"/>
      <c r="I43" s="22" t="s">
        <v>195</v>
      </c>
      <c r="J43" s="38" cm="1">
        <f t="array" ref="J43">_xll.Dce_LKHan($J$31, $J$30, J32, IFERROR(VALUE(J33),0), IFERROR(VALUE(J34),0), "Ww")</f>
        <v>66666.666666666672</v>
      </c>
      <c r="K43" s="103" t="s">
        <v>200</v>
      </c>
      <c r="L43"/>
      <c r="M43" s="48"/>
    </row>
    <row r="44" spans="1:13" ht="15">
      <c r="A44" s="86" t="str">
        <f>"- Ứng suất trong đường hàn:"</f>
        <v>- Ứng suất trong đường hàn:</v>
      </c>
      <c r="B44" s="32"/>
      <c r="C44" s="32"/>
      <c r="D44" s="22"/>
      <c r="E44" s="31"/>
      <c r="F44" s="4"/>
      <c r="G44" s="23"/>
      <c r="H44" s="20"/>
      <c r="I44" s="37" t="s">
        <v>201</v>
      </c>
      <c r="J44" s="99">
        <f>((ABS(J36*10^6)/J43+ABS(J37*10^3)/J41)^2+(J38*1000/J41)^2)^0.5</f>
        <v>320.97507691408066</v>
      </c>
      <c r="K44" s="104" t="s">
        <v>2</v>
      </c>
      <c r="L44"/>
      <c r="M44" s="48"/>
    </row>
    <row r="45" spans="1:13" ht="15" customHeight="1">
      <c r="A45" s="86" t="str">
        <f>"- Kiểm tra:"</f>
        <v>- Kiểm tra:</v>
      </c>
      <c r="B45" s="33"/>
      <c r="C45" s="37" t="s">
        <v>201</v>
      </c>
      <c r="D45" s="27">
        <f>J44</f>
        <v>320.97507691408066</v>
      </c>
      <c r="E45" s="4" t="str">
        <f>IF(D45&gt;H45,"&gt;","&lt;")</f>
        <v>&gt;</v>
      </c>
      <c r="F45" s="105" t="s">
        <v>58</v>
      </c>
      <c r="G45" s="105"/>
      <c r="H45" s="39">
        <f>J27</f>
        <v>130.41</v>
      </c>
      <c r="I45" s="34"/>
      <c r="J45" s="35" t="str">
        <f>IF(D45&gt;H45,"Không đạt","Đạt")</f>
        <v>Không đạt</v>
      </c>
      <c r="K45" s="103"/>
      <c r="L45"/>
      <c r="M45" s="48"/>
    </row>
    <row r="46" spans="1:13" ht="15">
      <c r="A46" s="89" t="s">
        <v>196</v>
      </c>
      <c r="B46" s="33"/>
      <c r="C46" s="40" t="str">
        <f>IF(D45&gt;H45,"Cấu kiện không đảm bảo khả năng chịu lực","Cấu kiện đảm bảo khả năng chịu lực")</f>
        <v>Cấu kiện không đảm bảo khả năng chịu lực</v>
      </c>
      <c r="D46" s="22"/>
      <c r="E46" s="31"/>
      <c r="F46" s="4"/>
      <c r="G46" s="23"/>
      <c r="H46" s="20"/>
      <c r="I46" s="20"/>
      <c r="J46" s="20"/>
      <c r="K46" s="103"/>
      <c r="L46"/>
      <c r="M46" s="48"/>
    </row>
    <row r="47" spans="1:13" ht="15">
      <c r="A47" s="91"/>
      <c r="B47" s="92"/>
      <c r="C47" s="92"/>
      <c r="D47" s="93"/>
      <c r="E47" s="94"/>
      <c r="F47" s="95"/>
      <c r="G47" s="96"/>
      <c r="H47" s="96"/>
      <c r="I47" s="93"/>
      <c r="J47" s="97"/>
      <c r="K47" s="98"/>
      <c r="L47"/>
    </row>
    <row r="48" spans="1:13" ht="2.1" customHeight="1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1">
      <c r="A49" s="72" t="s">
        <v>173</v>
      </c>
      <c r="B49" s="72" t="s">
        <v>174</v>
      </c>
      <c r="C49" s="72" t="s">
        <v>175</v>
      </c>
      <c r="D49" s="72" t="s">
        <v>176</v>
      </c>
      <c r="E49" s="72" t="s">
        <v>177</v>
      </c>
      <c r="F49" s="72" t="s">
        <v>179</v>
      </c>
      <c r="G49" s="72" t="s">
        <v>178</v>
      </c>
      <c r="H49" s="72"/>
      <c r="I49" s="72"/>
      <c r="J49" s="72"/>
      <c r="K49" s="72"/>
    </row>
  </sheetData>
  <mergeCells count="5">
    <mergeCell ref="F45:G45"/>
    <mergeCell ref="A39:C39"/>
    <mergeCell ref="A11:H12"/>
    <mergeCell ref="I11:K12"/>
    <mergeCell ref="A13:C13"/>
  </mergeCells>
  <conditionalFormatting sqref="K47">
    <cfRule type="containsText" dxfId="2" priority="4" operator="containsText" text="Check">
      <formula>NOT(ISERROR(SEARCH("Check",K47)))</formula>
    </cfRule>
    <cfRule type="containsText" dxfId="1" priority="5" operator="containsText" text="OK">
      <formula>NOT(ISERROR(SEARCH("OK",K47)))</formula>
    </cfRule>
  </conditionalFormatting>
  <conditionalFormatting sqref="J45">
    <cfRule type="containsText" dxfId="0" priority="1" operator="containsText" text="Không">
      <formula>NOT(ISERROR(SEARCH("Không",J45)))</formula>
    </cfRule>
  </conditionalFormatting>
  <dataValidations count="1">
    <dataValidation type="list" allowBlank="1" showInputMessage="1" showErrorMessage="1" sqref="J31" xr:uid="{0AFA5873-30C1-4352-AB3D-02DB74AAEA35}">
      <formula1>$A$49:$G$49</formula1>
    </dataValidation>
  </dataValidations>
  <printOptions horizontalCentered="1"/>
  <pageMargins left="0.5" right="0.5" top="0.5" bottom="0.5" header="0.31496062992125984" footer="0.31496062992125984"/>
  <pageSetup fitToHeight="0" orientation="portrait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8C49A45-FB5E-4E7F-8358-91CB9C887549}">
          <x14:formula1>
            <xm:f>Data!$A$3:$A$99</xm:f>
          </x14:formula1>
          <xm:sqref>J15</xm:sqref>
        </x14:dataValidation>
        <x14:dataValidation type="list" allowBlank="1" showInputMessage="1" showErrorMessage="1" xr:uid="{E894006B-D30E-4FE0-8739-D294589416E8}">
          <x14:formula1>
            <xm:f>Data!$AZ$3:$AZ$99</xm:f>
          </x14:formula1>
          <xm:sqref>J22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40085-65FA-4FE2-AB36-735FF22B3C75}">
  <sheetPr codeName="Sheet1"/>
  <dimension ref="A1:B8"/>
  <sheetViews>
    <sheetView topLeftCell="A3" workbookViewId="0">
      <selection activeCell="A9" sqref="A9"/>
    </sheetView>
  </sheetViews>
  <sheetFormatPr defaultRowHeight="15"/>
  <cols>
    <col min="2" max="2" width="36.28515625" customWidth="1"/>
  </cols>
  <sheetData>
    <row r="1" spans="1:2" ht="99.95" customHeight="1">
      <c r="A1" s="36" t="str">
        <f>Cal!A49</f>
        <v>I</v>
      </c>
    </row>
    <row r="2" spans="1:2" ht="99.95" customHeight="1">
      <c r="A2" s="36" t="str">
        <f>Cal!B49</f>
        <v>II</v>
      </c>
    </row>
    <row r="3" spans="1:2" ht="99.95" customHeight="1">
      <c r="A3" s="36" t="str">
        <f>Cal!C49</f>
        <v>H</v>
      </c>
    </row>
    <row r="4" spans="1:2" ht="99.95" customHeight="1">
      <c r="A4" s="36" t="str">
        <f>Cal!D49</f>
        <v>O</v>
      </c>
    </row>
    <row r="5" spans="1:2" ht="99.95" customHeight="1">
      <c r="A5" s="36" t="str">
        <f>Cal!E49</f>
        <v>[]</v>
      </c>
    </row>
    <row r="6" spans="1:2" ht="99.95" customHeight="1">
      <c r="A6" s="36" t="str">
        <f>Cal!F49</f>
        <v>T</v>
      </c>
    </row>
    <row r="7" spans="1:2" ht="99.95" customHeight="1">
      <c r="A7" s="36" t="str">
        <f>Cal!G49</f>
        <v>User</v>
      </c>
    </row>
    <row r="8" spans="1:2">
      <c r="A8">
        <f>MATCH(Cal!J31,$A$1:$A$7,0)</f>
        <v>1</v>
      </c>
      <c r="B8" cm="1">
        <f t="array" ref="B8">INDEX($B$1:$B$7,$A$8)</f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cp:lastPrinted>2026-09-19T03:51:44Z</cp:lastPrinted>
  <dcterms:created xsi:type="dcterms:W3CDTF">2015-06-05T18:17:20Z</dcterms:created>
  <dcterms:modified xsi:type="dcterms:W3CDTF">2026-09-21T13:56:25Z</dcterms:modified>
</cp:coreProperties>
</file>