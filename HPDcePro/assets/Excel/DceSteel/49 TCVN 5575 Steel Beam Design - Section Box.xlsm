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CE61B6AE-DFBA-4447-B043-FC70669D0EE0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Pic" sheetId="8" state="veryHidden" r:id="rId1"/>
    <sheet name="Data" sheetId="7" r:id="rId2"/>
    <sheet name="Cal" sheetId="6" r:id="rId3"/>
  </sheets>
  <functionGroups builtInGroupCount="19"/>
  <definedNames>
    <definedName name="_xlnm._FilterDatabase" localSheetId="2" hidden="1">Cal!$AA$8:$BS$14170</definedName>
    <definedName name="_xleta.ABS" hidden="1" xlm="1">#NAME?</definedName>
    <definedName name="_xleta.IF" hidden="1" xlm="1">#NAME?</definedName>
    <definedName name="_xleta.LEN" hidden="1" xlm="1">#NAME?</definedName>
    <definedName name="_xleta.MIN" hidden="1" xlm="1">#NAME?</definedName>
    <definedName name="_xleta.N" hidden="1" xlm="1">#NAME?</definedName>
    <definedName name="_xleta.SINGLE" hidden="1" xlm="1">#NAME?</definedName>
    <definedName name="PicRefer">INDEX(Pic!$B$1:$B$5,Pic!$B$6)</definedName>
    <definedName name="_xlnm.Print_Area" localSheetId="2">Cal!$B$8:$AZ$73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6" l="1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6" i="8"/>
  <c r="C2" i="8" s="1"/>
  <c r="M64" i="6"/>
  <c r="L64" i="6"/>
  <c r="K64" i="6"/>
  <c r="O62" i="6"/>
  <c r="O61" i="6"/>
  <c r="FZ8" i="6" l="1"/>
  <c r="CB20" i="6"/>
  <c r="AI20" i="6"/>
  <c r="AM20" i="6"/>
  <c r="AO20" i="6"/>
  <c r="AY20" i="6" s="1"/>
  <c r="AL20" i="6"/>
  <c r="AQ20" i="6"/>
  <c r="AK20" i="6"/>
  <c r="AN20" i="6"/>
  <c r="AP20" i="6"/>
  <c r="AJ20" i="6"/>
  <c r="CA20" i="6" l="1"/>
  <c r="BV20" i="6" l="1"/>
  <c r="BE20" i="6" l="1"/>
  <c r="AC14" i="6"/>
  <c r="DC14" i="6" s="1"/>
  <c r="AC13" i="6"/>
  <c r="DC13" i="6" s="1"/>
  <c r="AB12" i="6"/>
  <c r="DB12" i="6" s="1"/>
  <c r="CZ8" i="6" s="1"/>
  <c r="BI20" i="6" l="1"/>
  <c r="L56" i="6"/>
  <c r="N64" i="6" l="1"/>
  <c r="L58" i="6"/>
  <c r="Q63" i="6"/>
  <c r="Q65" i="6"/>
  <c r="Q64" i="6"/>
  <c r="Q67" i="6" s="1"/>
  <c r="Q66" i="6"/>
  <c r="N67" i="6" l="1"/>
  <c r="N28" i="6" s="1"/>
  <c r="G54" i="6"/>
  <c r="K8" i="6"/>
  <c r="M24" i="6"/>
  <c r="M67" i="6" s="1"/>
  <c r="N24" i="6"/>
  <c r="L67" i="6" s="1"/>
  <c r="F16" i="6"/>
  <c r="D54" i="6"/>
  <c r="L51" i="6"/>
  <c r="G24" i="6" l="1"/>
  <c r="H24" i="6"/>
  <c r="J24" i="6" s="1"/>
  <c r="I24" i="6"/>
  <c r="K24" i="6" s="1"/>
  <c r="L24" i="6"/>
  <c r="C24" i="6"/>
  <c r="BR20" i="6" s="1"/>
  <c r="CI19" i="7"/>
  <c r="CF19" i="7"/>
  <c r="CH19" i="7" s="1"/>
  <c r="CI18" i="7"/>
  <c r="CG18" i="7"/>
  <c r="CF18" i="7"/>
  <c r="CH18" i="7" s="1"/>
  <c r="CI17" i="7"/>
  <c r="CF17" i="7"/>
  <c r="CG17" i="7" s="1"/>
  <c r="CI16" i="7"/>
  <c r="CF16" i="7"/>
  <c r="CH16" i="7" s="1"/>
  <c r="CI15" i="7"/>
  <c r="CF15" i="7"/>
  <c r="CH15" i="7" s="1"/>
  <c r="BQ15" i="7"/>
  <c r="X15" i="7"/>
  <c r="CF14" i="7"/>
  <c r="CH14" i="7" s="1"/>
  <c r="BQ14" i="7"/>
  <c r="X14" i="7"/>
  <c r="CF13" i="7"/>
  <c r="CH13" i="7" s="1"/>
  <c r="BQ13" i="7"/>
  <c r="X13" i="7"/>
  <c r="CF12" i="7"/>
  <c r="CH12" i="7" s="1"/>
  <c r="BQ12" i="7"/>
  <c r="X12" i="7"/>
  <c r="CF11" i="7"/>
  <c r="CH11" i="7" s="1"/>
  <c r="BQ11" i="7"/>
  <c r="X11" i="7"/>
  <c r="CF10" i="7"/>
  <c r="CH10" i="7" s="1"/>
  <c r="BQ10" i="7"/>
  <c r="X10" i="7"/>
  <c r="CI9" i="7"/>
  <c r="CF9" i="7"/>
  <c r="CG9" i="7" s="1"/>
  <c r="BQ9" i="7"/>
  <c r="X9" i="7"/>
  <c r="CI8" i="7"/>
  <c r="CF8" i="7"/>
  <c r="CH8" i="7" s="1"/>
  <c r="BQ8" i="7"/>
  <c r="X8" i="7"/>
  <c r="CI7" i="7"/>
  <c r="CH7" i="7"/>
  <c r="CF7" i="7"/>
  <c r="CG7" i="7" s="1"/>
  <c r="BQ7" i="7"/>
  <c r="X7" i="7"/>
  <c r="CI6" i="7"/>
  <c r="CF6" i="7"/>
  <c r="CH6" i="7" s="1"/>
  <c r="BQ6" i="7"/>
  <c r="X6" i="7"/>
  <c r="CI5" i="7"/>
  <c r="CF5" i="7"/>
  <c r="CH5" i="7" s="1"/>
  <c r="CI4" i="7"/>
  <c r="CF4" i="7"/>
  <c r="CH4" i="7" s="1"/>
  <c r="B24" i="6"/>
  <c r="L41" i="6" l="1"/>
  <c r="BF20" i="6" s="1"/>
  <c r="AF12" i="6"/>
  <c r="DF12" i="6" s="1"/>
  <c r="AF11" i="6"/>
  <c r="DF11" i="6" s="1"/>
  <c r="L42" i="6"/>
  <c r="CG15" i="7"/>
  <c r="CG8" i="7"/>
  <c r="CG19" i="7"/>
  <c r="CG5" i="7"/>
  <c r="CH9" i="7"/>
  <c r="CG4" i="7"/>
  <c r="CG16" i="7"/>
  <c r="CG6" i="7"/>
  <c r="CH17" i="7"/>
  <c r="Z8" i="6" l="1"/>
  <c r="D51" i="6" l="1"/>
  <c r="L47" i="6" l="1"/>
  <c r="AF14" i="6" l="1"/>
  <c r="DF14" i="6" s="1"/>
  <c r="D24" i="6" l="1"/>
  <c r="AF13" i="6"/>
  <c r="DF13" i="6" s="1"/>
  <c r="BY20" i="6" l="1"/>
  <c r="CC20" i="6" s="1"/>
  <c r="F51" i="6"/>
  <c r="BS20" i="6"/>
  <c r="L54" i="6"/>
  <c r="L59" i="6" s="1"/>
  <c r="N59" i="6" s="1"/>
  <c r="J54" i="6"/>
  <c r="F34" i="6"/>
  <c r="G34" i="6" s="1"/>
  <c r="L33" i="6"/>
  <c r="BT20" i="6"/>
  <c r="H51" i="6" a="1"/>
  <c r="BC20" i="6" l="1"/>
  <c r="BB20" i="6"/>
  <c r="BA20" i="6"/>
  <c r="AZ20" i="6"/>
  <c r="L38" i="6"/>
  <c r="BW20" i="6"/>
  <c r="BH20" i="6"/>
  <c r="CD20" i="6"/>
  <c r="L52" i="6"/>
  <c r="L36" i="6"/>
  <c r="L35" i="6"/>
  <c r="L37" i="6"/>
  <c r="L46" i="6" s="1"/>
  <c r="BX20" i="6" l="1"/>
  <c r="BG20" i="6"/>
  <c r="BJ20" i="6" s="1"/>
  <c r="BZ20" i="6"/>
  <c r="BD20" i="6"/>
  <c r="N52" i="6"/>
  <c r="D56" i="6"/>
  <c r="L45" i="6"/>
  <c r="L48" i="6" s="1"/>
  <c r="N48" i="6" s="1"/>
  <c r="L39" i="6"/>
  <c r="N39" i="6" s="1"/>
  <c r="L43" i="6"/>
  <c r="N43" i="6" s="1"/>
  <c r="BK20" i="6" l="1"/>
  <c r="BL20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8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8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K61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Toàn
- Sơ đồ 1: Khớp - Khớp
- Sơ đồ 2: Ngàm - Ngàm
- Sơ đồ 3: Ngàm - Khớp
- Sơ đồ 4: Công xôn
- PTHH: Giá trị tính từ phần mềm khác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<sst xmlns="http://schemas.openxmlformats.org/spreadsheetml/2006/main" count="654" uniqueCount="354">
  <si>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</si>
  <si>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</si>
  <si>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</si>
  <si>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</si>
  <si>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</si>
  <si>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</si>
  <si>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</si>
  <si>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</si>
  <si>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</si>
  <si>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</si>
  <si>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</si>
  <si>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</si>
  <si>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</si>
  <si>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</si>
  <si>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</si>
  <si>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</si>
  <si>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</si>
  <si>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</si>
  <si>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</si>
  <si>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</si>
  <si>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</si>
  <si>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</si>
  <si>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t>1. Kích Thước</t>
  </si>
  <si>
    <t>A</t>
  </si>
  <si>
    <t>Đặc Trưng Hình Học</t>
  </si>
  <si>
    <r>
      <t>W</t>
    </r>
    <r>
      <rPr>
        <vertAlign val="subscript"/>
        <sz val="10"/>
        <color theme="1"/>
        <rFont val="Calibri"/>
        <family val="2"/>
        <scheme val="minor"/>
      </rPr>
      <t>x</t>
    </r>
  </si>
  <si>
    <r>
      <t>W</t>
    </r>
    <r>
      <rPr>
        <vertAlign val="subscript"/>
        <sz val="10"/>
        <color theme="1"/>
        <rFont val="Calibri"/>
        <family val="2"/>
        <scheme val="minor"/>
      </rPr>
      <t>y</t>
    </r>
  </si>
  <si>
    <r>
      <t>S</t>
    </r>
    <r>
      <rPr>
        <vertAlign val="subscript"/>
        <sz val="10"/>
        <color theme="1"/>
        <rFont val="Calibri"/>
        <family val="2"/>
        <scheme val="minor"/>
      </rPr>
      <t>x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</si>
  <si>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</si>
  <si>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</si>
  <si>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kN</t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</si>
  <si>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</si>
  <si>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</si>
  <si>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</si>
  <si>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</si>
  <si>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Mác thép</t>
  </si>
  <si>
    <t>E=</t>
  </si>
  <si>
    <t>A. THÔNG SỐ THIẾT KẾ</t>
  </si>
  <si>
    <t>B. TÍNH TOÁN</t>
  </si>
  <si>
    <t>Vị trí</t>
  </si>
  <si>
    <t>t</t>
  </si>
  <si>
    <t>FS</t>
  </si>
  <si>
    <t>Kiểm Tra Điều Kiện Bền</t>
  </si>
  <si>
    <t>Thông Số</t>
  </si>
  <si>
    <t>L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</si>
  <si>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</si>
  <si>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</si>
  <si>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</si>
  <si>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</si>
  <si>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</si>
  <si>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</si>
  <si>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</si>
  <si>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</si>
  <si>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</si>
  <si>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</si>
  <si>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(mm)</t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</si>
  <si>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x</t>
    </r>
  </si>
  <si>
    <r>
      <rPr>
        <sz val="10"/>
        <color theme="1"/>
        <rFont val="Tahoma"/>
        <family val="2"/>
      </rPr>
      <t>I</t>
    </r>
    <r>
      <rPr>
        <vertAlign val="subscript"/>
        <sz val="10"/>
        <color theme="1"/>
        <rFont val="Calibri"/>
        <family val="2"/>
        <scheme val="minor"/>
      </rPr>
      <t>y</t>
    </r>
  </si>
  <si>
    <t>(m)</t>
  </si>
  <si>
    <t>kNm</t>
  </si>
  <si>
    <t>Phần tử</t>
  </si>
  <si>
    <t>Tổ hợp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</si>
  <si>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</si>
  <si>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</si>
  <si>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</si>
  <si>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</si>
  <si>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t>f=</t>
  </si>
  <si>
    <t>Max FS</t>
  </si>
  <si>
    <t>Kết luận</t>
  </si>
  <si>
    <t>Q235</t>
  </si>
  <si>
    <t>Q345</t>
  </si>
  <si>
    <t>A572 gr.50</t>
  </si>
  <si>
    <t>A36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</si>
  <si>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</si>
  <si>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r>
      <t>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= 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</si>
  <si>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r>
      <t xml:space="preserve">t </t>
    </r>
    <r>
      <rPr>
        <sz val="10"/>
        <color theme="1"/>
        <rFont val="Calibri"/>
        <family val="2"/>
        <scheme val="minor"/>
      </rPr>
      <t>= 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/I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 xml:space="preserve">w </t>
    </r>
    <r>
      <rPr>
        <sz val="10"/>
        <color theme="1"/>
        <rFont val="Symbol"/>
        <family val="1"/>
        <charset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</si>
  <si>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 xml:space="preserve">] </t>
    </r>
    <r>
      <rPr>
        <sz val="10"/>
        <color theme="1"/>
        <rFont val="Calibri"/>
        <family val="2"/>
        <scheme val="minor"/>
      </rPr>
      <t xml:space="preserve">= </t>
    </r>
    <r>
      <rPr>
        <sz val="10"/>
        <color theme="1"/>
        <rFont val="Calibri"/>
        <family val="1"/>
        <charset val="2"/>
        <scheme val="minor"/>
      </rPr>
      <t>V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/(I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v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 =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</si>
  <si>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</si>
  <si>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I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</si>
  <si>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</si>
  <si>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W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</si>
  <si>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</si>
  <si>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</si>
  <si>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</si>
  <si>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</si>
  <si>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</si>
  <si>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</si>
  <si>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</si>
  <si>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3</t>
    </r>
  </si>
  <si>
    <t>Tên</t>
  </si>
  <si>
    <t>m</t>
  </si>
  <si>
    <t>B</t>
  </si>
  <si>
    <t>H</t>
  </si>
  <si>
    <t>BẢNG TỔNG HỢP CHI TIẾT  - THUYẾT MINH CẤU KIỆN CHỊU UỐN DẦM HỘP</t>
  </si>
  <si>
    <t>B =</t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</si>
  <si>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</si>
  <si>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</si>
  <si>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</si>
  <si>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</si>
  <si>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</si>
  <si>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</si>
  <si>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</si>
  <si>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</si>
  <si>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</si>
  <si>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THIẾT KẾ DẦM HỘP THEO TCVN 5575 - 2024</t>
  </si>
  <si>
    <t>Bảng C.4 Cường độ tiêu chuẩn
 của thép làm bu lông</t>
  </si>
  <si>
    <t>Bảng C.6 Diện tích tiết diện bu lông</t>
  </si>
  <si>
    <t>Bảng C5: Cường độ ép mặt</t>
  </si>
  <si>
    <t>Bảng C1: Que hàn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</si>
  <si>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</si>
  <si>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</si>
  <si>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</si>
  <si>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</si>
  <si>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</si>
  <si>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Loại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</si>
  <si>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</si>
  <si>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</si>
  <si>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</si>
  <si>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</si>
  <si>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</si>
  <si>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</si>
  <si>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</si>
  <si>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</si>
  <si>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</si>
  <si>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</si>
  <si>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</si>
  <si>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t>Cấp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</si>
  <si>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</si>
  <si>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</si>
  <si>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</si>
  <si>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</si>
  <si>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D</t>
  </si>
  <si>
    <t>p</t>
  </si>
  <si>
    <t>Ab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</si>
  <si>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</si>
  <si>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z</t>
  </si>
  <si>
    <t>E43</t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</si>
  <si>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</si>
  <si>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</si>
  <si>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</si>
  <si>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</si>
  <si>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</si>
  <si>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E51</t>
  </si>
  <si>
    <t>CI</t>
  </si>
  <si>
    <t>N42</t>
  </si>
  <si>
    <t>M150</t>
  </si>
  <si>
    <t>B10</t>
  </si>
  <si>
    <t>CII</t>
  </si>
  <si>
    <t>N46</t>
  </si>
  <si>
    <t>M200</t>
  </si>
  <si>
    <t>B15</t>
  </si>
  <si>
    <t>C12/15</t>
  </si>
  <si>
    <t>CIII</t>
  </si>
  <si>
    <t>N50</t>
  </si>
  <si>
    <t>M250</t>
  </si>
  <si>
    <t>B20</t>
  </si>
  <si>
    <t>C16/20</t>
  </si>
  <si>
    <t>AI</t>
  </si>
  <si>
    <t>M350</t>
  </si>
  <si>
    <t>B25</t>
  </si>
  <si>
    <t>C20/25</t>
  </si>
  <si>
    <t>AII</t>
  </si>
  <si>
    <t>M400</t>
  </si>
  <si>
    <t>B30</t>
  </si>
  <si>
    <t>C25/30</t>
  </si>
  <si>
    <t>AIII</t>
  </si>
  <si>
    <t>M450</t>
  </si>
  <si>
    <t>B35</t>
  </si>
  <si>
    <t>C28/35</t>
  </si>
  <si>
    <t>CB240-T</t>
  </si>
  <si>
    <t>M500</t>
  </si>
  <si>
    <t>B40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</si>
  <si>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</si>
  <si>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</si>
  <si>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</si>
  <si>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</si>
  <si>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</si>
  <si>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</si>
  <si>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</si>
  <si>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</si>
  <si>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</si>
  <si>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</si>
  <si>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</si>
  <si>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</si>
  <si>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</si>
  <si>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</si>
  <si>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</si>
  <si>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</si>
  <si>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</si>
  <si>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</si>
  <si>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</si>
  <si>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</si>
  <si>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</si>
  <si>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</si>
  <si>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 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 xml:space="preserve">c </t>
    </r>
    <r>
      <rPr>
        <sz val="10"/>
        <color theme="1"/>
        <rFont val="Calibri"/>
        <family val="2"/>
      </rPr>
      <t>=</t>
    </r>
  </si>
  <si>
    <t>Mác</t>
  </si>
  <si>
    <r>
      <t>(kNm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)</t>
    </r>
  </si>
  <si>
    <r>
      <t>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"/>
        <family val="2"/>
        <scheme val="minor"/>
      </rPr>
      <t>n</t>
    </r>
  </si>
  <si>
    <t>w</t>
  </si>
  <si>
    <r>
      <t>cm</t>
    </r>
    <r>
      <rPr>
        <vertAlign val="superscript"/>
        <sz val="10"/>
        <color theme="1"/>
        <rFont val="Calibri"/>
        <family val="2"/>
        <scheme val="minor"/>
      </rPr>
      <t>6</t>
    </r>
  </si>
  <si>
    <r>
      <t>(N / An)/f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</si>
  <si>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Calibri"/>
        <family val="2"/>
      </rPr>
      <t>N/(A</t>
    </r>
    <r>
      <rPr>
        <vertAlign val="subscript"/>
        <sz val="10"/>
        <color theme="1"/>
        <rFont val="Calibri"/>
        <family val="2"/>
      </rPr>
      <t xml:space="preserve">n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</si>
  <si>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x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</si>
  <si>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/(W</t>
    </r>
    <r>
      <rPr>
        <vertAlign val="subscript"/>
        <sz val="10"/>
        <color theme="1"/>
        <rFont val="Calibri"/>
        <family val="2"/>
      </rPr>
      <t xml:space="preserve">y 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</si>
  <si>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r>
      <rPr>
        <sz val="10"/>
        <color theme="1"/>
        <rFont val="Calibri"/>
        <family val="2"/>
      </rPr>
      <t>B.</t>
    </r>
    <r>
      <rPr>
        <sz val="10"/>
        <color theme="1"/>
        <rFont val="Symbol"/>
        <family val="1"/>
        <charset val="2"/>
      </rPr>
      <t>w</t>
    </r>
    <r>
      <rPr>
        <sz val="10"/>
        <color theme="1"/>
        <rFont val="Calibri"/>
        <family val="2"/>
      </rPr>
      <t>/(I</t>
    </r>
    <r>
      <rPr>
        <vertAlign val="subscript"/>
        <sz val="10"/>
        <color theme="1"/>
        <rFont val="Symbol"/>
        <family val="1"/>
        <charset val="2"/>
      </rPr>
      <t>w</t>
    </r>
    <r>
      <rPr>
        <vertAlign val="subscript"/>
        <sz val="10"/>
        <color theme="1"/>
        <rFont val="Calibri Light"/>
        <family val="2"/>
      </rPr>
      <t>n</t>
    </r>
    <r>
      <rPr>
        <vertAlign val="subscript"/>
        <sz val="10"/>
        <color theme="1"/>
        <rFont val="Calibri"/>
        <family val="2"/>
      </rPr>
      <t xml:space="preserve"> .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1"/>
        <charset val="2"/>
      </rPr>
      <t>=</t>
    </r>
  </si>
  <si>
    <t>Tỷ số huy động của cấu kiện</t>
  </si>
  <si>
    <t>a. Kiểm tra khi có tác dụng của các moment trong hai mặt phẳng chính (CT.42)</t>
  </si>
  <si>
    <t>c. Kiểm tra khi có tác dụng đồng thời của moment và lực cắt trong bản bụng dầm (CT 43.a)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</si>
  <si>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 xml:space="preserve"> =</t>
    </r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</si>
  <si>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</si>
  <si>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xy </t>
    </r>
    <r>
      <rPr>
        <sz val="10"/>
        <color theme="1"/>
        <rFont val="Symbol"/>
        <family val="1"/>
        <charset val="2"/>
      </rPr>
      <t>=</t>
    </r>
  </si>
  <si>
    <t>b. Kiểm tra khi có tác dụng của lực cắt trong tiết diện (CT.41)</t>
  </si>
  <si>
    <r>
      <t>0.87/(f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1"/>
        <charset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)(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>-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>+</t>
    </r>
    <r>
      <rPr>
        <sz val="10"/>
        <color theme="1"/>
        <rFont val="Symbol"/>
        <family val="1"/>
        <charset val="2"/>
      </rPr>
      <t>s</t>
    </r>
    <r>
      <rPr>
        <vertAlign val="superscript"/>
        <sz val="10"/>
        <color theme="1"/>
        <rFont val="Calibri"/>
        <family val="2"/>
      </rPr>
      <t>2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>+3</t>
    </r>
    <r>
      <rPr>
        <sz val="10"/>
        <color theme="1"/>
        <rFont val="Symbol"/>
        <family val="1"/>
        <charset val="2"/>
      </rPr>
      <t>t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xy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</si>
  <si>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t>1. Tính toán độ bền của dầm (Mục 8.2.1)</t>
  </si>
  <si>
    <t>G</t>
  </si>
  <si>
    <r>
      <t>I</t>
    </r>
    <r>
      <rPr>
        <vertAlign val="subscript"/>
        <sz val="10"/>
        <color theme="1"/>
        <rFont val="Symbol"/>
        <family val="1"/>
        <charset val="2"/>
      </rPr>
      <t>w</t>
    </r>
  </si>
  <si>
    <t>k</t>
  </si>
  <si>
    <t>1/m</t>
  </si>
  <si>
    <t>2. Tính toán về ổn định</t>
  </si>
  <si>
    <t>Bảng 19</t>
  </si>
  <si>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/f</t>
    </r>
    <r>
      <rPr>
        <vertAlign val="subscript"/>
        <sz val="10"/>
        <color theme="1"/>
        <rFont val="Calibri"/>
        <family val="2"/>
      </rPr>
      <t>v</t>
    </r>
    <r>
      <rPr>
        <sz val="10"/>
        <color theme="1"/>
        <rFont val="Calibri"/>
        <family val="2"/>
      </rPr>
      <t xml:space="preserve"> =</t>
    </r>
  </si>
  <si>
    <r>
      <rPr>
        <sz val="10"/>
        <color theme="1"/>
        <rFont val="Symbol"/>
        <family val="1"/>
        <charset val="2"/>
      </rPr>
      <t xml:space="preserve">a </t>
    </r>
    <r>
      <rPr>
        <sz val="10"/>
        <color theme="1"/>
        <rFont val="Calibri"/>
        <family val="1"/>
        <charset val="2"/>
        <scheme val="minor"/>
      </rPr>
      <t>=</t>
    </r>
  </si>
  <si>
    <t>r =</t>
  </si>
  <si>
    <t>`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</si>
  <si>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</rPr>
      <t>f</t>
    </r>
    <r>
      <rPr>
        <sz val="10"/>
        <color theme="1"/>
        <rFont val="Calibri"/>
        <family val="2"/>
      </rPr>
      <t xml:space="preserve"> =</t>
    </r>
  </si>
  <si>
    <r>
      <t>M/[f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1"/>
        <charset val="2"/>
        <scheme val="minor"/>
      </rPr>
      <t>.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.h</t>
    </r>
    <r>
      <rPr>
        <vertAlign val="superscript"/>
        <sz val="10"/>
        <color theme="1"/>
        <rFont val="Calibri"/>
        <family val="2"/>
        <scheme val="minor"/>
      </rPr>
      <t>2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1"/>
        <charset val="2"/>
        <scheme val="minor"/>
      </rPr>
      <t>.t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1"/>
        <charset val="2"/>
        <scheme val="minor"/>
      </rPr>
      <t>.(r</t>
    </r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1"/>
        <charset val="2"/>
        <scheme val="minor"/>
      </rPr>
      <t>+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>)=</t>
    </r>
  </si>
  <si>
    <t>Trường hợp dầm cấp 1 (Mục 8.5.18)</t>
  </si>
  <si>
    <r>
      <t>b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</si>
  <si>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</si>
  <si>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qu,f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</si>
  <si>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</si>
  <si>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</si>
  <si>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u,f</t>
    </r>
    <r>
      <rPr>
        <sz val="10"/>
        <color theme="1"/>
        <rFont val="Calibri"/>
        <family val="1"/>
        <charset val="2"/>
        <scheme val="minor"/>
      </rPr>
      <t xml:space="preserve"> =1.5(f</t>
    </r>
    <r>
      <rPr>
        <vertAlign val="subscript"/>
        <sz val="10"/>
        <color theme="1"/>
        <rFont val="Calibri"/>
        <family val="2"/>
        <scheme val="minor"/>
      </rPr>
      <t>yf</t>
    </r>
    <r>
      <rPr>
        <sz val="10"/>
        <color theme="1"/>
        <rFont val="Calibri"/>
        <family val="1"/>
        <charset val="2"/>
        <scheme val="minor"/>
      </rPr>
      <t>/</t>
    </r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1"/>
        <charset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1"/>
        <charset val="2"/>
        <scheme val="minor"/>
      </rPr>
      <t xml:space="preserve"> =</t>
    </r>
  </si>
  <si>
    <t>Trường hợp dầm cấp 2,3 (Mục 8.5.19)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</si>
  <si>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</si>
  <si>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</si>
  <si>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</si>
  <si>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</si>
  <si>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</si>
  <si>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</si>
  <si>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</si>
  <si>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</si>
  <si>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t xml:space="preserve"> </t>
  </si>
  <si>
    <t>tw</t>
  </si>
  <si>
    <t>tf</t>
  </si>
  <si>
    <r>
      <t>I</t>
    </r>
    <r>
      <rPr>
        <vertAlign val="subscript"/>
        <sz val="10"/>
        <color rgb="FF0070C0"/>
        <rFont val="Symbol"/>
        <family val="1"/>
        <charset val="2"/>
      </rPr>
      <t>w</t>
    </r>
    <r>
      <rPr>
        <vertAlign val="subscript"/>
        <sz val="10"/>
        <color rgb="FF0070C0"/>
        <rFont val="Calibri"/>
        <family val="2"/>
        <scheme val="minor"/>
      </rPr>
      <t>n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</si>
  <si>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6</t>
    </r>
  </si>
  <si>
    <r>
      <t>cm</t>
    </r>
    <r>
      <rPr>
        <vertAlign val="superscript"/>
        <sz val="10"/>
        <color rgb="FF0070C0"/>
        <rFont val="Calibri"/>
        <family val="2"/>
        <scheme val="minor"/>
      </rPr>
      <t>2</t>
    </r>
  </si>
  <si>
    <r>
      <t>kNm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</si>
  <si>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N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</si>
  <si>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</si>
  <si>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 xml:space="preserve"> F</t>
    </r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</si>
  <si>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rPr>
        <b/>
        <sz val="10"/>
        <color rgb="FF0070C0"/>
        <rFont val="Calibri"/>
        <family val="2"/>
        <scheme val="minor"/>
      </rPr>
      <t xml:space="preserve"> FS</t>
    </r>
    <r>
      <rPr>
        <b/>
        <vertAlign val="subscript"/>
        <sz val="10"/>
        <color rgb="FF0070C0"/>
        <rFont val="Calibri"/>
        <family val="2"/>
        <scheme val="minor"/>
      </rPr>
      <t>B</t>
    </r>
  </si>
  <si>
    <r>
      <t xml:space="preserve"> 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Calibri"/>
        <family val="2"/>
      </rPr>
      <t>x</t>
    </r>
  </si>
  <si>
    <r>
      <t xml:space="preserve"> 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Calibri"/>
        <family val="2"/>
        <scheme val="minor"/>
      </rPr>
      <t>y</t>
    </r>
  </si>
  <si>
    <r>
      <t>t</t>
    </r>
    <r>
      <rPr>
        <vertAlign val="subscript"/>
        <sz val="10"/>
        <color rgb="FF0070C0"/>
        <rFont val="Calibri"/>
        <family val="2"/>
        <scheme val="minor"/>
      </rPr>
      <t>xy</t>
    </r>
  </si>
  <si>
    <t>Kiểm Tra Điều Kiện
ổn định bản bụng</t>
  </si>
  <si>
    <r>
      <t>t/f</t>
    </r>
    <r>
      <rPr>
        <b/>
        <vertAlign val="subscript"/>
        <sz val="10"/>
        <color rgb="FF0070C0"/>
        <rFont val="Calibri"/>
        <family val="2"/>
        <scheme val="minor"/>
      </rPr>
      <t>v</t>
    </r>
  </si>
  <si>
    <r>
      <t>λ̅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</si>
  <si>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λ̅</t>
    </r>
    <r>
      <rPr>
        <vertAlign val="subscript"/>
        <sz val="10"/>
        <rFont val="Calibri"/>
        <family val="2"/>
        <scheme val="minor"/>
      </rPr>
      <t>w</t>
    </r>
    <r>
      <rPr>
        <sz val="10"/>
        <rFont val="Calibri"/>
        <family val="2"/>
        <scheme val="minor"/>
      </rPr>
      <t xml:space="preserve"> =</t>
    </r>
  </si>
  <si>
    <t>a</t>
  </si>
  <si>
    <t>r</t>
  </si>
  <si>
    <r>
      <rPr>
        <b/>
        <sz val="10"/>
        <color rgb="FF0070C0"/>
        <rFont val="Symbol"/>
        <family val="1"/>
        <charset val="2"/>
      </rPr>
      <t>a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</si>
  <si>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λ̅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</si>
  <si>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t>Cấp 1</t>
  </si>
  <si>
    <r>
      <t xml:space="preserve"> </t>
    </r>
    <r>
      <rPr>
        <sz val="10"/>
        <color rgb="FF0070C0"/>
        <rFont val="Symbol"/>
        <family val="1"/>
        <charset val="2"/>
      </rPr>
      <t>s</t>
    </r>
    <r>
      <rPr>
        <vertAlign val="subscript"/>
        <sz val="10"/>
        <color rgb="FF0070C0"/>
        <rFont val="Calibri"/>
        <family val="2"/>
      </rPr>
      <t>c</t>
    </r>
  </si>
  <si>
    <t>2,3</t>
  </si>
  <si>
    <r>
      <t>λ̅</t>
    </r>
    <r>
      <rPr>
        <b/>
        <vertAlign val="subscript"/>
        <sz val="10"/>
        <color rgb="FF0070C0"/>
        <rFont val="Calibri"/>
        <family val="2"/>
        <scheme val="minor"/>
      </rPr>
      <t>uf</t>
    </r>
  </si>
  <si>
    <t>K1</t>
  </si>
  <si>
    <t>23</t>
  </si>
  <si>
    <t>1_ULSV2(1.2D+1.3L+1.3Lr)</t>
  </si>
  <si>
    <t>45</t>
  </si>
  <si>
    <t>138</t>
  </si>
  <si>
    <t>139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</si>
  <si>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</si>
  <si>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</si>
  <si>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</si>
  <si>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</si>
  <si>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</si>
  <si>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</si>
  <si>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</si>
  <si>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</si>
  <si>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</si>
  <si>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</si>
  <si>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</si>
  <si>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</si>
  <si>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</si>
  <si>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</si>
  <si>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</si>
  <si>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Kiểm tra
ổn định bản cánh</t>
  </si>
  <si>
    <t>OK</t>
  </si>
  <si>
    <t>-</t>
  </si>
  <si>
    <t>(Theo TCVN 5575-2024)</t>
  </si>
  <si>
    <r>
      <t>λ̅</t>
    </r>
    <r>
      <rPr>
        <vertAlign val="subscript"/>
        <sz val="10"/>
        <rFont val="Calibri"/>
        <family val="2"/>
        <scheme val="minor"/>
      </rPr>
      <t>uw</t>
    </r>
    <r>
      <rPr>
        <sz val="10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</si>
  <si>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u,f</t>
    </r>
    <r>
      <rPr>
        <sz val="10"/>
        <color theme="1"/>
        <rFont val="Calibri"/>
        <family val="1"/>
        <charset val="2"/>
        <scheme val="minor"/>
      </rPr>
      <t xml:space="preserve"> =0.675+0.15</t>
    </r>
    <r>
      <rPr>
        <sz val="10"/>
        <color theme="1"/>
        <rFont val="Calibri"/>
        <family val="2"/>
        <scheme val="minor"/>
      </rPr>
      <t>.λ̅</t>
    </r>
    <r>
      <rPr>
        <vertAlign val="subscript"/>
        <sz val="10"/>
        <color theme="1"/>
        <rFont val="Calibri"/>
        <family val="2"/>
        <scheme val="minor"/>
      </rPr>
      <t>uw</t>
    </r>
    <r>
      <rPr>
        <sz val="10"/>
        <color theme="1"/>
        <rFont val="Calibri"/>
        <family val="1"/>
        <charset val="2"/>
        <scheme val="minor"/>
      </rPr>
      <t xml:space="preserve"> =</t>
    </r>
  </si>
  <si>
    <t>Phụ lục tính toán Bi moment (Tài liệu [2], [3], [4], [5])</t>
  </si>
  <si>
    <t>Giải tích - Sơ đồ 2</t>
  </si>
  <si>
    <t>Giải tích - Sơ đồ 1</t>
  </si>
  <si>
    <t>K-K</t>
  </si>
  <si>
    <t>N-N</t>
  </si>
  <si>
    <t>Giải tích - Sơ đồ 3</t>
  </si>
  <si>
    <t>N-K</t>
  </si>
  <si>
    <t>m6</t>
  </si>
  <si>
    <t>kNm2</t>
  </si>
  <si>
    <t>Giải tích - Sơ đồ 4</t>
  </si>
  <si>
    <t>Cantilever</t>
  </si>
  <si>
    <t>PTHH</t>
  </si>
  <si>
    <t>Tài liệu tham khảo:</t>
  </si>
  <si>
    <t>1. TCVN 5575:2024 Thiết kế kết cấu thép</t>
  </si>
  <si>
    <t>2. Ví dụ tính toán kết cấu thép (Tái bản, sữa chữa, bổ sung theo TCVN 5575:2024)_ThS. Hoàng Văn Quang (Chủ biên) và cộng sự</t>
  </si>
  <si>
    <t>3. Một số vấn đề khi thiết kế kết cấu tạo hình nguội theo EN 1993-1-3_PGS.TS Nguyễn Hồng Sơn</t>
  </si>
  <si>
    <t>4. Tính toán xoắn kiềm chế thanh thành mỏng tiết diện hở_Vũ Lệ Quyên</t>
  </si>
  <si>
    <t>5. Tài liệu tập huấn hội thảo thiết kế kết cấu thép TCVN 5575_PGS.TS Nguyễn Hồng Sơn</t>
  </si>
  <si>
    <t>Khớp - Khớp</t>
  </si>
  <si>
    <t>Ngàm - Ngàm</t>
  </si>
  <si>
    <t>Ngàm - Khớp</t>
  </si>
  <si>
    <t>Công xôn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</si>
  <si>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</si>
  <si>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</si>
  <si>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</si>
  <si>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</si>
  <si>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</si>
  <si>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a. Kiểm tra điều kiện ổn định cục bộ bản bụng (Mục 8.5.8)</t>
  </si>
  <si>
    <t>b. Kiểm tra điều kiện ổn định cục bộ bản cánh (Mục 8.5.19)</t>
  </si>
  <si>
    <t>- Bề rộng tiết diện</t>
  </si>
  <si>
    <t>- Chiều cao tiết diện</t>
  </si>
  <si>
    <t>- Chiều dày bản bụng</t>
  </si>
  <si>
    <t>- Chiều dày bản cánh</t>
  </si>
  <si>
    <t>- Chiều cao bụng</t>
  </si>
  <si>
    <t>- Chiều dài tính toán</t>
  </si>
  <si>
    <t>- Loại dầm</t>
  </si>
  <si>
    <t>- Ứng suất pháp giới hạn</t>
  </si>
  <si>
    <t>- Kiểm tra điều kiện</t>
  </si>
  <si>
    <t>- Tỷ số huy động ứng suất pháp của cấu kiện khi có tác dụng của N</t>
  </si>
  <si>
    <r>
      <t>- 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</si>
  <si>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- Tỷ số huy động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</si>
  <si>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- Tỷ số huy động ứng suất pháp của cấu kiện khi có tác dụng của B</t>
  </si>
  <si>
    <t>- Tỷ số huy động của cấu kiện</t>
  </si>
  <si>
    <t>- Ứng suất tiếp giới hạn</t>
  </si>
  <si>
    <r>
      <t>- Ứng suất tiếp của cấu kiện gây ra bởi V</t>
    </r>
    <r>
      <rPr>
        <vertAlign val="subscript"/>
        <sz val="10"/>
        <color theme="1"/>
        <rFont val="Calibri"/>
        <family val="2"/>
        <scheme val="minor"/>
      </rPr>
      <t>y</t>
    </r>
  </si>
  <si>
    <r>
      <t xml:space="preserve">- Tỉ số 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t</t>
    </r>
    <r>
      <rPr>
        <sz val="10"/>
        <color theme="1"/>
        <rFont val="Calibri"/>
        <family val="2"/>
      </rPr>
      <t>]</t>
    </r>
  </si>
  <si>
    <t>- Ứng suất pháp trong mặt phẳng trung bình của bản bụng, song song trục dọc</t>
  </si>
  <si>
    <t>- Ứng suất pháp trong mặt phẳng trung bình của bản bụng, vuông góc trục dọc</t>
  </si>
  <si>
    <t>- Ứng suất tiếp trong bản bụng</t>
  </si>
  <si>
    <t>- Hệ số</t>
  </si>
  <si>
    <t>(1) - Kiểm tra điều kiện bền</t>
  </si>
  <si>
    <t>(2) - Kiểm tra điều kiện ổn định bản bụng</t>
  </si>
  <si>
    <t>(3) - Kiểm tra điều kiện ổn định bản cánh</t>
  </si>
  <si>
    <t>Kiểm tra
(2)</t>
  </si>
  <si>
    <t>Kiểm tra
(3)</t>
  </si>
  <si>
    <r>
      <t>FS</t>
    </r>
    <r>
      <rPr>
        <b/>
        <vertAlign val="subscript"/>
        <sz val="10"/>
        <color rgb="FF0070C0"/>
        <rFont val="Symbol"/>
        <family val="1"/>
        <charset val="2"/>
      </rPr>
      <t>s</t>
    </r>
  </si>
  <si>
    <r>
      <t>FS</t>
    </r>
    <r>
      <rPr>
        <b/>
        <vertAlign val="subscript"/>
        <sz val="10"/>
        <color rgb="FF0070C0"/>
        <rFont val="Symbol"/>
        <family val="1"/>
        <charset val="2"/>
      </rPr>
      <t>t</t>
    </r>
  </si>
  <si>
    <r>
      <t>FS</t>
    </r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0"/>
        <color rgb="FF0070C0"/>
        <rFont val="Calibri"/>
        <family val="2"/>
        <scheme val="minor"/>
      </rPr>
      <t>td</t>
    </r>
  </si>
  <si>
    <t>Kiểm Tra 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</si>
</sst>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_(* #,##0_);_(* \(#,##0\);_(* &quot;-&quot;??_);_(@_)"/>
    <numFmt numFmtId="166" formatCode="0.0E+00"/>
    <numFmt numFmtId="167" formatCode="0.000"/>
    <numFmt numFmtId="168" formatCode="0&quot; MPa&quot;"/>
    <numFmt numFmtId="169" formatCode="0.0000"/>
  </numFmts>
  <fonts count="7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vertAlign val="superscript"/>
      <sz val="10"/>
      <color theme="1"/>
      <name val="Calibri"/>
      <family val="2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b/>
      <sz val="10"/>
      <color theme="9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sz val="10"/>
      <color rgb="FF0070C0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vertAlign val="superscript"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vertAlign val="subscript"/>
      <sz val="10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vertAlign val="subscript"/>
      <sz val="10"/>
      <color theme="1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color rgb="FF0000FF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vertAlign val="subscript"/>
      <sz val="10"/>
      <color theme="1"/>
      <name val="Symbol"/>
      <family val="1"/>
      <charset val="2"/>
    </font>
    <font>
      <sz val="10"/>
      <color theme="1"/>
      <name val="Calibri"/>
      <family val="2"/>
      <charset val="2"/>
    </font>
    <font>
      <vertAlign val="subscript"/>
      <sz val="10"/>
      <color theme="1"/>
      <name val="Calibri Light"/>
      <family val="2"/>
    </font>
    <font>
      <b/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u/>
      <sz val="10"/>
      <color theme="1"/>
      <name val="Calibri"/>
      <family val="2"/>
      <scheme val="minor"/>
    </font>
    <font>
      <vertAlign val="subscript"/>
      <sz val="10"/>
      <color rgb="FF0070C0"/>
      <name val="Symbol"/>
      <family val="1"/>
      <charset val="2"/>
    </font>
    <font>
      <vertAlign val="subscript"/>
      <sz val="10"/>
      <color rgb="FF0070C0"/>
      <name val="Calibri"/>
      <family val="2"/>
      <scheme val="minor"/>
    </font>
    <font>
      <sz val="10"/>
      <color rgb="FF0070C0"/>
      <name val="Symbol"/>
      <family val="1"/>
      <charset val="2"/>
    </font>
    <font>
      <vertAlign val="superscript"/>
      <sz val="10"/>
      <color rgb="FF0070C0"/>
      <name val="Calibri"/>
      <family val="2"/>
      <scheme val="minor"/>
    </font>
    <font>
      <b/>
      <vertAlign val="subscript"/>
      <sz val="10"/>
      <color rgb="FF0070C0"/>
      <name val="Symbol"/>
      <family val="1"/>
      <charset val="2"/>
    </font>
    <font>
      <b/>
      <sz val="10"/>
      <color rgb="FF0070C0"/>
      <name val="Symbol"/>
      <family val="2"/>
      <charset val="2"/>
    </font>
    <font>
      <vertAlign val="subscript"/>
      <sz val="10"/>
      <color rgb="FF0070C0"/>
      <name val="Calibri"/>
      <family val="2"/>
    </font>
    <font>
      <b/>
      <sz val="10"/>
      <color rgb="FF0070C0"/>
      <name val="Calibri"/>
      <family val="1"/>
      <charset val="2"/>
      <scheme val="minor"/>
    </font>
    <font>
      <sz val="11"/>
      <color rgb="FF006100"/>
      <name val="Calibri"/>
      <family val="2"/>
      <scheme val="minor"/>
    </font>
    <font>
      <b/>
      <sz val="14"/>
      <color rgb="FF0000CC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rgb="FF808080"/>
      </top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/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/>
      <bottom/>
      <diagonal/>
    </border>
    <border>
      <left/>
      <right style="thin">
        <color rgb="FF808080"/>
      </right>
      <top style="thin">
        <color theme="0" tint="-0.499984740745262"/>
      </top>
      <bottom/>
      <diagonal/>
    </border>
    <border>
      <left style="thin">
        <color rgb="FF808080"/>
      </left>
      <right/>
      <top style="thin">
        <color theme="0" tint="-0.499984740745262"/>
      </top>
      <bottom/>
      <diagonal/>
    </border>
    <border>
      <left style="thin">
        <color rgb="FF808080"/>
      </left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</borders>
  <cellStyleXfs count="9">
    <xf numFmtId="0" fontId="0" fillId="0" borderId="0"/>
    <xf numFmtId="0" fontId="22" fillId="0" borderId="0"/>
    <xf numFmtId="0" fontId="36" fillId="7" borderId="21" applyNumberFormat="0" applyAlignment="0" applyProtection="0"/>
    <xf numFmtId="0" fontId="37" fillId="0" borderId="0"/>
    <xf numFmtId="0" fontId="41" fillId="0" borderId="0"/>
    <xf numFmtId="0" fontId="45" fillId="0" borderId="0"/>
    <xf numFmtId="164" fontId="37" fillId="0" borderId="0" applyFont="0" applyFill="0" applyBorder="0" applyAlignment="0" applyProtection="0"/>
    <xf numFmtId="0" fontId="45" fillId="0" borderId="0"/>
    <xf numFmtId="0" fontId="67" fillId="9" borderId="0" applyNumberFormat="0" applyBorder="0" applyAlignment="0" applyProtection="0"/>
  </cellStyleXfs>
  <cellXfs count="322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1" xfId="0" applyFont="1" applyFill="1" applyBorder="1" applyAlignment="1">
      <alignment horizontal="center"/>
    </xf>
    <xf numFmtId="0" fontId="10" fillId="2" borderId="0" xfId="0" applyFont="1" applyFill="1"/>
    <xf numFmtId="0" fontId="1" fillId="2" borderId="13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indent="1"/>
    </xf>
    <xf numFmtId="0" fontId="1" fillId="2" borderId="15" xfId="0" applyFont="1" applyFill="1" applyBorder="1"/>
    <xf numFmtId="0" fontId="1" fillId="2" borderId="13" xfId="0" applyFont="1" applyFill="1" applyBorder="1" applyAlignment="1">
      <alignment horizontal="center"/>
    </xf>
    <xf numFmtId="1" fontId="1" fillId="2" borderId="13" xfId="0" applyNumberFormat="1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/>
    </xf>
    <xf numFmtId="0" fontId="1" fillId="2" borderId="13" xfId="0" applyFont="1" applyFill="1" applyBorder="1"/>
    <xf numFmtId="0" fontId="12" fillId="2" borderId="14" xfId="0" applyFont="1" applyFill="1" applyBorder="1" applyAlignment="1">
      <alignment horizontal="center" vertical="center"/>
    </xf>
    <xf numFmtId="0" fontId="16" fillId="2" borderId="13" xfId="0" applyFont="1" applyFill="1" applyBorder="1"/>
    <xf numFmtId="164" fontId="16" fillId="2" borderId="13" xfId="0" applyNumberFormat="1" applyFont="1" applyFill="1" applyBorder="1"/>
    <xf numFmtId="164" fontId="10" fillId="2" borderId="13" xfId="0" applyNumberFormat="1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2" fontId="10" fillId="2" borderId="13" xfId="0" applyNumberFormat="1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2" fontId="28" fillId="2" borderId="13" xfId="0" applyNumberFormat="1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right" vertical="center"/>
    </xf>
    <xf numFmtId="0" fontId="16" fillId="2" borderId="0" xfId="0" applyFont="1" applyFill="1" applyAlignment="1">
      <alignment horizontal="center" vertical="center"/>
    </xf>
    <xf numFmtId="0" fontId="10" fillId="2" borderId="13" xfId="0" applyFont="1" applyFill="1" applyBorder="1"/>
    <xf numFmtId="2" fontId="10" fillId="2" borderId="13" xfId="0" applyNumberFormat="1" applyFont="1" applyFill="1" applyBorder="1"/>
    <xf numFmtId="0" fontId="28" fillId="2" borderId="1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indent="1"/>
    </xf>
    <xf numFmtId="0" fontId="24" fillId="2" borderId="2" xfId="0" applyFont="1" applyFill="1" applyBorder="1" applyAlignment="1">
      <alignment horizontal="left" indent="1"/>
    </xf>
    <xf numFmtId="0" fontId="16" fillId="2" borderId="2" xfId="0" applyFont="1" applyFill="1" applyBorder="1"/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/>
    <xf numFmtId="164" fontId="16" fillId="2" borderId="2" xfId="0" applyNumberFormat="1" applyFont="1" applyFill="1" applyBorder="1"/>
    <xf numFmtId="164" fontId="10" fillId="2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0" fontId="10" fillId="2" borderId="2" xfId="0" applyFont="1" applyFill="1" applyBorder="1"/>
    <xf numFmtId="2" fontId="10" fillId="2" borderId="2" xfId="0" applyNumberFormat="1" applyFont="1" applyFill="1" applyBorder="1"/>
    <xf numFmtId="0" fontId="28" fillId="2" borderId="2" xfId="0" applyFont="1" applyFill="1" applyBorder="1" applyAlignment="1">
      <alignment horizontal="center" vertical="center"/>
    </xf>
    <xf numFmtId="0" fontId="16" fillId="2" borderId="0" xfId="0" applyFont="1" applyFill="1"/>
    <xf numFmtId="0" fontId="10" fillId="2" borderId="0" xfId="0" applyFont="1" applyFill="1" applyAlignment="1">
      <alignment horizontal="right" vertical="center"/>
    </xf>
    <xf numFmtId="0" fontId="10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/>
    <xf numFmtId="164" fontId="10" fillId="2" borderId="0" xfId="0" applyNumberFormat="1" applyFont="1" applyFill="1" applyAlignment="1">
      <alignment horizontal="center" vertical="center"/>
    </xf>
    <xf numFmtId="164" fontId="10" fillId="2" borderId="0" xfId="0" applyNumberFormat="1" applyFont="1" applyFill="1" applyAlignment="1">
      <alignment horizontal="right"/>
    </xf>
    <xf numFmtId="0" fontId="10" fillId="2" borderId="0" xfId="0" applyFont="1" applyFill="1" applyAlignment="1">
      <alignment horizontal="right" vertical="top"/>
    </xf>
    <xf numFmtId="0" fontId="28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right"/>
    </xf>
    <xf numFmtId="2" fontId="10" fillId="2" borderId="0" xfId="0" applyNumberFormat="1" applyFont="1" applyFill="1" applyAlignment="1">
      <alignment horizontal="center" vertical="center"/>
    </xf>
    <xf numFmtId="2" fontId="10" fillId="2" borderId="0" xfId="0" applyNumberFormat="1" applyFont="1" applyFill="1"/>
    <xf numFmtId="164" fontId="1" fillId="2" borderId="0" xfId="0" applyNumberFormat="1" applyFont="1" applyFill="1"/>
    <xf numFmtId="2" fontId="1" fillId="2" borderId="0" xfId="0" applyNumberFormat="1" applyFont="1" applyFill="1"/>
    <xf numFmtId="2" fontId="1" fillId="0" borderId="0" xfId="0" applyNumberFormat="1" applyFont="1"/>
    <xf numFmtId="0" fontId="1" fillId="6" borderId="0" xfId="0" applyFont="1" applyFill="1"/>
    <xf numFmtId="0" fontId="30" fillId="4" borderId="13" xfId="0" applyFont="1" applyFill="1" applyBorder="1" applyAlignment="1">
      <alignment horizontal="center" vertical="center"/>
    </xf>
    <xf numFmtId="0" fontId="30" fillId="4" borderId="13" xfId="0" applyFont="1" applyFill="1" applyBorder="1" applyAlignment="1">
      <alignment horizontal="center"/>
    </xf>
    <xf numFmtId="164" fontId="30" fillId="4" borderId="13" xfId="0" applyNumberFormat="1" applyFont="1" applyFill="1" applyBorder="1" applyAlignment="1">
      <alignment horizontal="center"/>
    </xf>
    <xf numFmtId="0" fontId="32" fillId="4" borderId="13" xfId="0" applyFont="1" applyFill="1" applyBorder="1" applyAlignment="1">
      <alignment horizontal="center"/>
    </xf>
    <xf numFmtId="2" fontId="30" fillId="4" borderId="13" xfId="0" applyNumberFormat="1" applyFont="1" applyFill="1" applyBorder="1" applyAlignment="1">
      <alignment horizontal="center" vertical="center"/>
    </xf>
    <xf numFmtId="2" fontId="30" fillId="4" borderId="13" xfId="0" applyNumberFormat="1" applyFont="1" applyFill="1" applyBorder="1" applyAlignment="1">
      <alignment horizontal="center"/>
    </xf>
    <xf numFmtId="1" fontId="30" fillId="4" borderId="13" xfId="0" applyNumberFormat="1" applyFont="1" applyFill="1" applyBorder="1" applyAlignment="1">
      <alignment horizontal="center" vertical="center"/>
    </xf>
    <xf numFmtId="1" fontId="1" fillId="2" borderId="0" xfId="0" applyNumberFormat="1" applyFont="1" applyFill="1" applyAlignment="1">
      <alignment horizontal="center" vertical="center"/>
    </xf>
    <xf numFmtId="0" fontId="34" fillId="6" borderId="8" xfId="0" applyFont="1" applyFill="1" applyBorder="1" applyAlignment="1">
      <alignment vertical="center"/>
    </xf>
    <xf numFmtId="2" fontId="16" fillId="2" borderId="2" xfId="0" applyNumberFormat="1" applyFont="1" applyFill="1" applyBorder="1"/>
    <xf numFmtId="2" fontId="16" fillId="2" borderId="13" xfId="0" applyNumberFormat="1" applyFont="1" applyFill="1" applyBorder="1"/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5" fillId="2" borderId="0" xfId="0" applyFont="1" applyFill="1" applyAlignment="1">
      <alignment vertical="top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top"/>
    </xf>
    <xf numFmtId="2" fontId="16" fillId="2" borderId="0" xfId="0" applyNumberFormat="1" applyFont="1" applyFill="1" applyAlignment="1">
      <alignment vertical="top"/>
    </xf>
    <xf numFmtId="164" fontId="1" fillId="2" borderId="0" xfId="0" applyNumberFormat="1" applyFont="1" applyFill="1" applyAlignment="1">
      <alignment vertical="top"/>
    </xf>
    <xf numFmtId="0" fontId="6" fillId="2" borderId="0" xfId="0" applyFont="1" applyFill="1" applyAlignment="1">
      <alignment horizontal="center"/>
    </xf>
    <xf numFmtId="0" fontId="6" fillId="2" borderId="0" xfId="0" applyFont="1" applyFill="1" applyAlignment="1">
      <alignment horizontal="right"/>
    </xf>
    <xf numFmtId="0" fontId="13" fillId="2" borderId="0" xfId="0" applyFont="1" applyFill="1" applyAlignment="1">
      <alignment horizontal="right" vertical="top"/>
    </xf>
    <xf numFmtId="0" fontId="1" fillId="2" borderId="0" xfId="0" applyFont="1" applyFill="1" applyAlignment="1">
      <alignment horizontal="right" vertical="center"/>
    </xf>
    <xf numFmtId="1" fontId="1" fillId="0" borderId="0" xfId="0" applyNumberFormat="1" applyFont="1" applyAlignment="1">
      <alignment horizontal="center" vertical="center"/>
    </xf>
    <xf numFmtId="1" fontId="1" fillId="2" borderId="2" xfId="0" applyNumberFormat="1" applyFont="1" applyFill="1" applyBorder="1" applyAlignment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 applyAlignment="1">
      <alignment horizontal="center" wrapText="1"/>
    </xf>
    <xf numFmtId="0" fontId="19" fillId="5" borderId="0" xfId="0" applyFont="1" applyFill="1" applyAlignment="1">
      <alignment horizontal="center" vertical="center" wrapText="1"/>
    </xf>
    <xf numFmtId="0" fontId="38" fillId="5" borderId="13" xfId="3" applyFont="1" applyFill="1" applyBorder="1" applyAlignment="1">
      <alignment horizontal="center" vertical="center" wrapText="1"/>
    </xf>
    <xf numFmtId="0" fontId="42" fillId="8" borderId="13" xfId="4" applyFont="1" applyFill="1" applyBorder="1" applyAlignment="1">
      <alignment horizontal="center" vertical="center"/>
    </xf>
    <xf numFmtId="0" fontId="43" fillId="8" borderId="13" xfId="0" applyFont="1" applyFill="1" applyBorder="1" applyAlignment="1">
      <alignment horizontal="center" vertical="center"/>
    </xf>
    <xf numFmtId="0" fontId="43" fillId="8" borderId="13" xfId="0" applyFont="1" applyFill="1" applyBorder="1" applyAlignment="1">
      <alignment vertical="center"/>
    </xf>
    <xf numFmtId="0" fontId="42" fillId="8" borderId="16" xfId="5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48" fillId="2" borderId="13" xfId="0" applyFont="1" applyFill="1" applyBorder="1" applyAlignment="1">
      <alignment horizontal="center" vertical="center"/>
    </xf>
    <xf numFmtId="0" fontId="48" fillId="2" borderId="0" xfId="0" applyFont="1" applyFill="1" applyAlignment="1">
      <alignment horizontal="center" vertical="center"/>
    </xf>
    <xf numFmtId="0" fontId="38" fillId="5" borderId="13" xfId="3" applyFont="1" applyFill="1" applyBorder="1" applyAlignment="1">
      <alignment vertical="center"/>
    </xf>
    <xf numFmtId="0" fontId="42" fillId="8" borderId="16" xfId="4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49" fillId="2" borderId="13" xfId="4" applyFont="1" applyFill="1" applyBorder="1" applyAlignment="1">
      <alignment horizontal="left" vertical="center"/>
    </xf>
    <xf numFmtId="0" fontId="49" fillId="2" borderId="13" xfId="4" applyFont="1" applyFill="1" applyBorder="1" applyAlignment="1">
      <alignment horizontal="center" vertical="center"/>
    </xf>
    <xf numFmtId="0" fontId="49" fillId="2" borderId="16" xfId="4" applyFont="1" applyFill="1" applyBorder="1" applyAlignment="1">
      <alignment horizontal="left" vertical="center"/>
    </xf>
    <xf numFmtId="0" fontId="50" fillId="0" borderId="28" xfId="3" applyFont="1" applyBorder="1" applyAlignment="1" applyProtection="1">
      <alignment horizontal="center" vertical="center"/>
      <protection hidden="1"/>
    </xf>
    <xf numFmtId="0" fontId="0" fillId="0" borderId="19" xfId="0" applyBorder="1" applyAlignment="1">
      <alignment horizontal="center" vertical="center"/>
    </xf>
    <xf numFmtId="165" fontId="51" fillId="0" borderId="19" xfId="6" applyNumberFormat="1" applyFont="1" applyBorder="1" applyAlignment="1" applyProtection="1">
      <alignment horizontal="center" vertical="center"/>
      <protection hidden="1"/>
    </xf>
    <xf numFmtId="164" fontId="51" fillId="0" borderId="19" xfId="3" applyNumberFormat="1" applyFont="1" applyBorder="1" applyAlignment="1" applyProtection="1">
      <alignment horizontal="center" vertical="center"/>
      <protection hidden="1"/>
    </xf>
    <xf numFmtId="2" fontId="51" fillId="0" borderId="19" xfId="3" applyNumberFormat="1" applyFont="1" applyBorder="1" applyAlignment="1" applyProtection="1">
      <alignment horizontal="center" vertical="center"/>
      <protection hidden="1"/>
    </xf>
    <xf numFmtId="2" fontId="51" fillId="0" borderId="4" xfId="3" applyNumberFormat="1" applyFont="1" applyBorder="1" applyAlignment="1" applyProtection="1">
      <alignment horizontal="center" vertical="center"/>
      <protection hidden="1"/>
    </xf>
    <xf numFmtId="0" fontId="1" fillId="0" borderId="13" xfId="0" applyFont="1" applyBorder="1"/>
    <xf numFmtId="0" fontId="50" fillId="0" borderId="29" xfId="3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 vertical="center"/>
    </xf>
    <xf numFmtId="165" fontId="51" fillId="0" borderId="13" xfId="6" applyNumberFormat="1" applyFont="1" applyBorder="1" applyAlignment="1" applyProtection="1">
      <alignment horizontal="center" vertical="center"/>
      <protection hidden="1"/>
    </xf>
    <xf numFmtId="164" fontId="51" fillId="0" borderId="13" xfId="3" applyNumberFormat="1" applyFont="1" applyBorder="1" applyAlignment="1" applyProtection="1">
      <alignment horizontal="center" vertical="center"/>
      <protection hidden="1"/>
    </xf>
    <xf numFmtId="2" fontId="51" fillId="0" borderId="13" xfId="3" applyNumberFormat="1" applyFont="1" applyBorder="1" applyAlignment="1" applyProtection="1">
      <alignment horizontal="center" vertical="center"/>
      <protection hidden="1"/>
    </xf>
    <xf numFmtId="2" fontId="51" fillId="0" borderId="16" xfId="3" applyNumberFormat="1" applyFont="1" applyBorder="1" applyAlignment="1" applyProtection="1">
      <alignment horizontal="center" vertical="center"/>
      <protection hidden="1"/>
    </xf>
    <xf numFmtId="0" fontId="49" fillId="2" borderId="16" xfId="5" applyFont="1" applyFill="1" applyBorder="1" applyAlignment="1">
      <alignment horizontal="left" vertical="center"/>
    </xf>
    <xf numFmtId="0" fontId="50" fillId="0" borderId="30" xfId="3" applyFont="1" applyBorder="1" applyAlignment="1" applyProtection="1">
      <alignment horizontal="center" vertical="center"/>
      <protection hidden="1"/>
    </xf>
    <xf numFmtId="0" fontId="0" fillId="0" borderId="31" xfId="0" applyBorder="1" applyAlignment="1">
      <alignment horizontal="center" vertical="center"/>
    </xf>
    <xf numFmtId="165" fontId="51" fillId="0" borderId="31" xfId="6" applyNumberFormat="1" applyFont="1" applyBorder="1" applyAlignment="1" applyProtection="1">
      <alignment horizontal="center" vertical="center"/>
      <protection hidden="1"/>
    </xf>
    <xf numFmtId="164" fontId="51" fillId="0" borderId="31" xfId="3" applyNumberFormat="1" applyFont="1" applyBorder="1" applyAlignment="1" applyProtection="1">
      <alignment horizontal="center" vertical="center"/>
      <protection hidden="1"/>
    </xf>
    <xf numFmtId="2" fontId="51" fillId="0" borderId="31" xfId="3" applyNumberFormat="1" applyFont="1" applyBorder="1" applyAlignment="1" applyProtection="1">
      <alignment horizontal="center" vertical="center"/>
      <protection hidden="1"/>
    </xf>
    <xf numFmtId="2" fontId="51" fillId="0" borderId="32" xfId="3" applyNumberFormat="1" applyFont="1" applyBorder="1" applyAlignment="1" applyProtection="1">
      <alignment horizontal="center" vertical="center"/>
      <protection hidden="1"/>
    </xf>
    <xf numFmtId="0" fontId="49" fillId="2" borderId="16" xfId="7" applyFont="1" applyFill="1" applyBorder="1" applyAlignment="1">
      <alignment horizontal="left" vertical="center"/>
    </xf>
    <xf numFmtId="1" fontId="51" fillId="2" borderId="13" xfId="5" applyNumberFormat="1" applyFont="1" applyFill="1" applyBorder="1" applyAlignment="1">
      <alignment vertical="center"/>
    </xf>
    <xf numFmtId="1" fontId="51" fillId="2" borderId="13" xfId="5" applyNumberFormat="1" applyFont="1" applyFill="1" applyBorder="1" applyAlignment="1">
      <alignment horizontal="center" vertical="center"/>
    </xf>
    <xf numFmtId="0" fontId="51" fillId="2" borderId="13" xfId="5" applyFont="1" applyFill="1" applyBorder="1" applyAlignment="1">
      <alignment vertical="center"/>
    </xf>
    <xf numFmtId="0" fontId="51" fillId="2" borderId="16" xfId="5" applyFont="1" applyFill="1" applyBorder="1" applyAlignment="1">
      <alignment vertical="center"/>
    </xf>
    <xf numFmtId="0" fontId="51" fillId="2" borderId="13" xfId="5" applyFont="1" applyFill="1" applyBorder="1" applyAlignment="1">
      <alignment horizontal="center" vertical="center"/>
    </xf>
    <xf numFmtId="2" fontId="1" fillId="2" borderId="0" xfId="0" applyNumberFormat="1" applyFont="1" applyFill="1" applyAlignment="1">
      <alignment vertical="center"/>
    </xf>
    <xf numFmtId="0" fontId="53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vertical="top"/>
    </xf>
    <xf numFmtId="2" fontId="36" fillId="7" borderId="21" xfId="2" applyNumberFormat="1"/>
    <xf numFmtId="2" fontId="1" fillId="2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56" fillId="0" borderId="13" xfId="0" applyFont="1" applyBorder="1" applyAlignment="1">
      <alignment horizontal="left" vertical="top"/>
    </xf>
    <xf numFmtId="0" fontId="0" fillId="0" borderId="13" xfId="0" applyBorder="1" applyAlignment="1">
      <alignment horizontal="left" vertical="top"/>
    </xf>
    <xf numFmtId="0" fontId="8" fillId="2" borderId="0" xfId="0" applyFont="1" applyFill="1" applyAlignment="1">
      <alignment horizontal="right" vertical="top"/>
    </xf>
    <xf numFmtId="2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1" fontId="10" fillId="2" borderId="0" xfId="0" applyNumberFormat="1" applyFont="1" applyFill="1" applyAlignment="1">
      <alignment horizontal="center" vertical="center"/>
    </xf>
    <xf numFmtId="1" fontId="16" fillId="2" borderId="0" xfId="0" applyNumberFormat="1" applyFont="1" applyFill="1" applyAlignment="1">
      <alignment vertical="top"/>
    </xf>
    <xf numFmtId="0" fontId="13" fillId="2" borderId="0" xfId="0" applyFont="1" applyFill="1" applyAlignment="1">
      <alignment horizontal="right" vertical="center"/>
    </xf>
    <xf numFmtId="168" fontId="1" fillId="2" borderId="0" xfId="0" applyNumberFormat="1" applyFont="1" applyFill="1" applyAlignment="1">
      <alignment horizontal="center" vertical="top"/>
    </xf>
    <xf numFmtId="164" fontId="16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right" vertical="center"/>
    </xf>
    <xf numFmtId="0" fontId="10" fillId="2" borderId="0" xfId="0" applyFont="1" applyFill="1" applyAlignment="1">
      <alignment vertical="top"/>
    </xf>
    <xf numFmtId="164" fontId="10" fillId="2" borderId="0" xfId="0" applyNumberFormat="1" applyFont="1" applyFill="1" applyAlignment="1">
      <alignment horizontal="right" vertical="center"/>
    </xf>
    <xf numFmtId="2" fontId="16" fillId="2" borderId="0" xfId="0" applyNumberFormat="1" applyFont="1" applyFill="1"/>
    <xf numFmtId="0" fontId="5" fillId="4" borderId="13" xfId="0" applyFont="1" applyFill="1" applyBorder="1" applyAlignment="1">
      <alignment horizontal="center" vertical="center"/>
    </xf>
    <xf numFmtId="0" fontId="61" fillId="4" borderId="13" xfId="0" applyFont="1" applyFill="1" applyBorder="1" applyAlignment="1">
      <alignment horizontal="center" vertical="center"/>
    </xf>
    <xf numFmtId="164" fontId="10" fillId="2" borderId="13" xfId="0" applyNumberFormat="1" applyFont="1" applyFill="1" applyBorder="1"/>
    <xf numFmtId="1" fontId="10" fillId="2" borderId="13" xfId="0" applyNumberFormat="1" applyFont="1" applyFill="1" applyBorder="1" applyAlignment="1">
      <alignment horizontal="center" vertical="center"/>
    </xf>
    <xf numFmtId="164" fontId="16" fillId="2" borderId="13" xfId="0" applyNumberFormat="1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66" fillId="4" borderId="18" xfId="0" applyFont="1" applyFill="1" applyBorder="1" applyAlignment="1">
      <alignment horizontal="center" vertical="center"/>
    </xf>
    <xf numFmtId="0" fontId="66" fillId="4" borderId="17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2" fontId="16" fillId="0" borderId="0" xfId="0" applyNumberFormat="1" applyFont="1"/>
    <xf numFmtId="0" fontId="12" fillId="2" borderId="13" xfId="0" applyFont="1" applyFill="1" applyBorder="1" applyAlignment="1">
      <alignment horizontal="center" vertical="center"/>
    </xf>
    <xf numFmtId="2" fontId="28" fillId="2" borderId="19" xfId="0" applyNumberFormat="1" applyFont="1" applyFill="1" applyBorder="1" applyAlignment="1">
      <alignment horizontal="center" vertical="center"/>
    </xf>
    <xf numFmtId="164" fontId="16" fillId="2" borderId="19" xfId="0" applyNumberFormat="1" applyFont="1" applyFill="1" applyBorder="1"/>
    <xf numFmtId="164" fontId="10" fillId="2" borderId="19" xfId="0" applyNumberFormat="1" applyFont="1" applyFill="1" applyBorder="1" applyAlignment="1">
      <alignment horizontal="center" vertical="center"/>
    </xf>
    <xf numFmtId="2" fontId="10" fillId="2" borderId="19" xfId="0" applyNumberFormat="1" applyFont="1" applyFill="1" applyBorder="1" applyAlignment="1">
      <alignment horizontal="center" vertical="center"/>
    </xf>
    <xf numFmtId="1" fontId="10" fillId="2" borderId="19" xfId="0" applyNumberFormat="1" applyFont="1" applyFill="1" applyBorder="1" applyAlignment="1">
      <alignment horizontal="center" vertical="center"/>
    </xf>
    <xf numFmtId="0" fontId="1" fillId="2" borderId="19" xfId="0" applyFont="1" applyFill="1" applyBorder="1"/>
    <xf numFmtId="0" fontId="16" fillId="2" borderId="19" xfId="0" applyFont="1" applyFill="1" applyBorder="1"/>
    <xf numFmtId="2" fontId="16" fillId="2" borderId="19" xfId="0" applyNumberFormat="1" applyFont="1" applyFill="1" applyBorder="1"/>
    <xf numFmtId="0" fontId="16" fillId="2" borderId="19" xfId="0" applyFont="1" applyFill="1" applyBorder="1" applyAlignment="1">
      <alignment horizontal="center" vertical="center"/>
    </xf>
    <xf numFmtId="164" fontId="1" fillId="2" borderId="19" xfId="0" applyNumberFormat="1" applyFont="1" applyFill="1" applyBorder="1" applyAlignment="1">
      <alignment horizontal="center" vertical="center"/>
    </xf>
    <xf numFmtId="1" fontId="1" fillId="2" borderId="19" xfId="0" applyNumberFormat="1" applyFont="1" applyFill="1" applyBorder="1" applyAlignment="1">
      <alignment horizontal="center" vertical="center"/>
    </xf>
    <xf numFmtId="164" fontId="10" fillId="2" borderId="19" xfId="0" applyNumberFormat="1" applyFont="1" applyFill="1" applyBorder="1"/>
    <xf numFmtId="0" fontId="10" fillId="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/>
    <xf numFmtId="0" fontId="1" fillId="2" borderId="0" xfId="0" applyFont="1" applyFill="1" applyAlignment="1">
      <alignment horizontal="left" vertical="center" indent="1"/>
    </xf>
    <xf numFmtId="167" fontId="1" fillId="2" borderId="0" xfId="0" applyNumberFormat="1" applyFont="1" applyFill="1" applyAlignment="1">
      <alignment horizontal="center" vertical="center"/>
    </xf>
    <xf numFmtId="169" fontId="1" fillId="2" borderId="13" xfId="0" applyNumberFormat="1" applyFont="1" applyFill="1" applyBorder="1"/>
    <xf numFmtId="0" fontId="19" fillId="5" borderId="12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69" fillId="5" borderId="11" xfId="0" applyFont="1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30" fillId="4" borderId="1" xfId="0" applyFont="1" applyFill="1" applyBorder="1" applyAlignment="1">
      <alignment vertical="center" wrapText="1"/>
    </xf>
    <xf numFmtId="0" fontId="30" fillId="4" borderId="2" xfId="0" applyFont="1" applyFill="1" applyBorder="1" applyAlignment="1">
      <alignment vertical="center" wrapText="1"/>
    </xf>
    <xf numFmtId="0" fontId="30" fillId="4" borderId="3" xfId="0" applyFont="1" applyFill="1" applyBorder="1" applyAlignment="1">
      <alignment vertical="center" wrapText="1"/>
    </xf>
    <xf numFmtId="0" fontId="30" fillId="4" borderId="4" xfId="0" applyFont="1" applyFill="1" applyBorder="1" applyAlignment="1">
      <alignment vertical="center" wrapText="1"/>
    </xf>
    <xf numFmtId="0" fontId="30" fillId="4" borderId="5" xfId="0" applyFont="1" applyFill="1" applyBorder="1" applyAlignment="1">
      <alignment vertical="center" wrapText="1"/>
    </xf>
    <xf numFmtId="0" fontId="30" fillId="4" borderId="6" xfId="0" applyFont="1" applyFill="1" applyBorder="1" applyAlignment="1">
      <alignment vertical="center" wrapText="1"/>
    </xf>
    <xf numFmtId="164" fontId="1" fillId="2" borderId="0" xfId="0" quotePrefix="1" applyNumberFormat="1" applyFont="1" applyFill="1"/>
    <xf numFmtId="164" fontId="1" fillId="2" borderId="13" xfId="0" applyNumberFormat="1" applyFont="1" applyFill="1" applyBorder="1" applyAlignment="1">
      <alignment horizontal="center" vertical="top"/>
    </xf>
    <xf numFmtId="2" fontId="1" fillId="2" borderId="13" xfId="0" applyNumberFormat="1" applyFont="1" applyFill="1" applyBorder="1"/>
    <xf numFmtId="0" fontId="58" fillId="2" borderId="14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7" xfId="0" applyFont="1" applyFill="1" applyBorder="1"/>
    <xf numFmtId="0" fontId="4" fillId="0" borderId="0" xfId="0" applyFont="1"/>
    <xf numFmtId="0" fontId="14" fillId="0" borderId="0" xfId="0" applyFont="1"/>
    <xf numFmtId="0" fontId="1" fillId="2" borderId="36" xfId="0" applyFont="1" applyFill="1" applyBorder="1" applyAlignment="1">
      <alignment vertical="top"/>
    </xf>
    <xf numFmtId="0" fontId="1" fillId="2" borderId="36" xfId="0" applyFont="1" applyFill="1" applyBorder="1"/>
    <xf numFmtId="0" fontId="12" fillId="2" borderId="36" xfId="0" applyFont="1" applyFill="1" applyBorder="1" applyAlignment="1">
      <alignment horizontal="center" vertical="center"/>
    </xf>
    <xf numFmtId="2" fontId="1" fillId="2" borderId="36" xfId="0" applyNumberFormat="1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vertical="top"/>
    </xf>
    <xf numFmtId="0" fontId="2" fillId="2" borderId="37" xfId="0" applyFont="1" applyFill="1" applyBorder="1" applyAlignment="1">
      <alignment horizontal="left" indent="1"/>
    </xf>
    <xf numFmtId="0" fontId="1" fillId="2" borderId="34" xfId="0" applyFont="1" applyFill="1" applyBorder="1" applyAlignment="1">
      <alignment vertical="top"/>
    </xf>
    <xf numFmtId="0" fontId="1" fillId="2" borderId="39" xfId="0" quotePrefix="1" applyFont="1" applyFill="1" applyBorder="1" applyAlignment="1">
      <alignment horizontal="left" vertical="top" indent="2"/>
    </xf>
    <xf numFmtId="0" fontId="1" fillId="2" borderId="39" xfId="0" applyFont="1" applyFill="1" applyBorder="1" applyAlignment="1">
      <alignment horizontal="left" vertical="top" indent="2"/>
    </xf>
    <xf numFmtId="0" fontId="2" fillId="2" borderId="39" xfId="0" applyFont="1" applyFill="1" applyBorder="1" applyAlignment="1">
      <alignment horizontal="left" indent="1"/>
    </xf>
    <xf numFmtId="0" fontId="1" fillId="2" borderId="37" xfId="0" applyFont="1" applyFill="1" applyBorder="1" applyAlignment="1">
      <alignment horizontal="center" vertical="center"/>
    </xf>
    <xf numFmtId="0" fontId="16" fillId="2" borderId="37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top"/>
    </xf>
    <xf numFmtId="0" fontId="1" fillId="2" borderId="44" xfId="0" applyFont="1" applyFill="1" applyBorder="1" applyAlignment="1">
      <alignment horizontal="center" vertical="top"/>
    </xf>
    <xf numFmtId="0" fontId="1" fillId="2" borderId="34" xfId="0" applyFont="1" applyFill="1" applyBorder="1"/>
    <xf numFmtId="1" fontId="1" fillId="2" borderId="37" xfId="0" applyNumberFormat="1" applyFont="1" applyFill="1" applyBorder="1" applyAlignment="1">
      <alignment horizontal="center" vertical="center"/>
    </xf>
    <xf numFmtId="0" fontId="10" fillId="2" borderId="37" xfId="0" applyFont="1" applyFill="1" applyBorder="1" applyAlignment="1">
      <alignment horizontal="center" vertical="center"/>
    </xf>
    <xf numFmtId="164" fontId="1" fillId="2" borderId="37" xfId="0" applyNumberFormat="1" applyFont="1" applyFill="1" applyBorder="1" applyAlignment="1">
      <alignment horizontal="center"/>
    </xf>
    <xf numFmtId="11" fontId="1" fillId="2" borderId="37" xfId="0" applyNumberFormat="1" applyFont="1" applyFill="1" applyBorder="1" applyAlignment="1">
      <alignment horizontal="center" vertical="top"/>
    </xf>
    <xf numFmtId="1" fontId="1" fillId="2" borderId="37" xfId="0" applyNumberFormat="1" applyFont="1" applyFill="1" applyBorder="1" applyAlignment="1">
      <alignment horizontal="center" vertical="top"/>
    </xf>
    <xf numFmtId="1" fontId="1" fillId="2" borderId="44" xfId="0" applyNumberFormat="1" applyFont="1" applyFill="1" applyBorder="1" applyAlignment="1">
      <alignment horizontal="center" vertical="top"/>
    </xf>
    <xf numFmtId="0" fontId="1" fillId="2" borderId="39" xfId="0" applyFont="1" applyFill="1" applyBorder="1"/>
    <xf numFmtId="0" fontId="5" fillId="2" borderId="34" xfId="0" applyFont="1" applyFill="1" applyBorder="1" applyAlignment="1">
      <alignment horizontal="right"/>
    </xf>
    <xf numFmtId="0" fontId="1" fillId="2" borderId="38" xfId="0" applyFont="1" applyFill="1" applyBorder="1"/>
    <xf numFmtId="0" fontId="10" fillId="2" borderId="37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 vertical="center"/>
    </xf>
    <xf numFmtId="2" fontId="16" fillId="2" borderId="37" xfId="0" applyNumberFormat="1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right" vertical="top"/>
    </xf>
    <xf numFmtId="167" fontId="10" fillId="2" borderId="44" xfId="0" applyNumberFormat="1" applyFont="1" applyFill="1" applyBorder="1" applyAlignment="1">
      <alignment horizontal="center" vertical="center"/>
    </xf>
    <xf numFmtId="0" fontId="55" fillId="2" borderId="37" xfId="0" applyFont="1" applyFill="1" applyBorder="1" applyAlignment="1">
      <alignment horizontal="left" indent="1"/>
    </xf>
    <xf numFmtId="0" fontId="1" fillId="2" borderId="39" xfId="0" applyFont="1" applyFill="1" applyBorder="1" applyAlignment="1">
      <alignment horizontal="right" vertical="center"/>
    </xf>
    <xf numFmtId="0" fontId="55" fillId="2" borderId="39" xfId="0" applyFont="1" applyFill="1" applyBorder="1" applyAlignment="1">
      <alignment horizontal="left" indent="1"/>
    </xf>
    <xf numFmtId="0" fontId="58" fillId="2" borderId="39" xfId="0" applyFont="1" applyFill="1" applyBorder="1" applyAlignment="1">
      <alignment horizontal="left" vertical="top" indent="2"/>
    </xf>
    <xf numFmtId="2" fontId="36" fillId="7" borderId="45" xfId="2" applyNumberFormat="1" applyBorder="1"/>
    <xf numFmtId="0" fontId="1" fillId="2" borderId="46" xfId="0" applyFont="1" applyFill="1" applyBorder="1"/>
    <xf numFmtId="2" fontId="1" fillId="2" borderId="37" xfId="0" applyNumberFormat="1" applyFont="1" applyFill="1" applyBorder="1" applyAlignment="1">
      <alignment horizontal="center" vertical="center"/>
    </xf>
    <xf numFmtId="2" fontId="1" fillId="2" borderId="44" xfId="0" applyNumberFormat="1" applyFont="1" applyFill="1" applyBorder="1" applyAlignment="1">
      <alignment horizontal="center" vertical="center"/>
    </xf>
    <xf numFmtId="167" fontId="1" fillId="2" borderId="44" xfId="0" applyNumberFormat="1" applyFont="1" applyFill="1" applyBorder="1" applyAlignment="1">
      <alignment horizontal="center" vertical="center"/>
    </xf>
    <xf numFmtId="0" fontId="6" fillId="2" borderId="37" xfId="0" applyFont="1" applyFill="1" applyBorder="1" applyAlignment="1">
      <alignment horizontal="center" vertical="center"/>
    </xf>
    <xf numFmtId="0" fontId="55" fillId="2" borderId="39" xfId="0" applyFont="1" applyFill="1" applyBorder="1" applyAlignment="1">
      <alignment horizontal="left" vertical="center" indent="1"/>
    </xf>
    <xf numFmtId="166" fontId="1" fillId="2" borderId="37" xfId="0" applyNumberFormat="1" applyFont="1" applyFill="1" applyBorder="1" applyAlignment="1">
      <alignment horizontal="center" vertical="center"/>
    </xf>
    <xf numFmtId="2" fontId="1" fillId="2" borderId="34" xfId="0" applyNumberFormat="1" applyFont="1" applyFill="1" applyBorder="1" applyAlignment="1">
      <alignment horizontal="center" vertical="center"/>
    </xf>
    <xf numFmtId="11" fontId="1" fillId="2" borderId="37" xfId="0" applyNumberFormat="1" applyFont="1" applyFill="1" applyBorder="1" applyAlignment="1">
      <alignment horizontal="center" vertical="center"/>
    </xf>
    <xf numFmtId="2" fontId="1" fillId="2" borderId="38" xfId="0" applyNumberFormat="1" applyFont="1" applyFill="1" applyBorder="1" applyAlignment="1">
      <alignment horizontal="center" vertical="center"/>
    </xf>
    <xf numFmtId="0" fontId="1" fillId="2" borderId="39" xfId="0" applyFont="1" applyFill="1" applyBorder="1" applyAlignment="1">
      <alignment horizontal="left" vertical="center" indent="1"/>
    </xf>
    <xf numFmtId="0" fontId="1" fillId="2" borderId="42" xfId="0" applyFont="1" applyFill="1" applyBorder="1" applyAlignment="1">
      <alignment horizontal="left" vertical="center" indent="1"/>
    </xf>
    <xf numFmtId="0" fontId="1" fillId="2" borderId="35" xfId="0" applyFont="1" applyFill="1" applyBorder="1" applyAlignment="1">
      <alignment horizontal="left" vertical="center" indent="1"/>
    </xf>
    <xf numFmtId="0" fontId="1" fillId="2" borderId="35" xfId="0" applyFont="1" applyFill="1" applyBorder="1" applyAlignment="1">
      <alignment horizontal="center" vertical="center"/>
    </xf>
    <xf numFmtId="1" fontId="1" fillId="2" borderId="35" xfId="0" applyNumberFormat="1" applyFont="1" applyFill="1" applyBorder="1" applyAlignment="1">
      <alignment horizontal="center" vertical="center"/>
    </xf>
    <xf numFmtId="167" fontId="1" fillId="2" borderId="35" xfId="0" applyNumberFormat="1" applyFont="1" applyFill="1" applyBorder="1" applyAlignment="1">
      <alignment horizontal="center" vertical="center"/>
    </xf>
    <xf numFmtId="2" fontId="1" fillId="2" borderId="35" xfId="0" applyNumberFormat="1" applyFont="1" applyFill="1" applyBorder="1" applyAlignment="1">
      <alignment horizontal="center" vertical="center"/>
    </xf>
    <xf numFmtId="2" fontId="1" fillId="2" borderId="43" xfId="0" applyNumberFormat="1" applyFont="1" applyFill="1" applyBorder="1" applyAlignment="1">
      <alignment horizontal="center" vertical="center"/>
    </xf>
    <xf numFmtId="0" fontId="66" fillId="4" borderId="13" xfId="0" applyFont="1" applyFill="1" applyBorder="1" applyAlignment="1">
      <alignment horizontal="center" vertical="center"/>
    </xf>
    <xf numFmtId="2" fontId="30" fillId="4" borderId="13" xfId="0" applyNumberFormat="1" applyFont="1" applyFill="1" applyBorder="1" applyAlignment="1">
      <alignment horizontal="center" vertical="center"/>
    </xf>
    <xf numFmtId="0" fontId="30" fillId="4" borderId="13" xfId="0" applyFont="1" applyFill="1" applyBorder="1" applyAlignment="1">
      <alignment horizontal="center" vertical="center" wrapText="1"/>
    </xf>
    <xf numFmtId="0" fontId="5" fillId="4" borderId="18" xfId="0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2" fontId="66" fillId="4" borderId="13" xfId="0" applyNumberFormat="1" applyFont="1" applyFill="1" applyBorder="1" applyAlignment="1">
      <alignment horizontal="center" vertical="center"/>
    </xf>
    <xf numFmtId="0" fontId="66" fillId="4" borderId="18" xfId="0" applyFont="1" applyFill="1" applyBorder="1" applyAlignment="1">
      <alignment horizontal="center" vertical="center"/>
    </xf>
    <xf numFmtId="0" fontId="30" fillId="4" borderId="19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/>
    </xf>
    <xf numFmtId="0" fontId="21" fillId="3" borderId="0" xfId="0" applyFont="1" applyFill="1" applyAlignment="1">
      <alignment horizontal="center"/>
    </xf>
    <xf numFmtId="0" fontId="19" fillId="3" borderId="20" xfId="0" applyFont="1" applyFill="1" applyBorder="1" applyAlignment="1">
      <alignment horizontal="center"/>
    </xf>
    <xf numFmtId="0" fontId="19" fillId="3" borderId="5" xfId="0" applyFont="1" applyFill="1" applyBorder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0" fillId="4" borderId="18" xfId="0" applyFont="1" applyFill="1" applyBorder="1" applyAlignment="1">
      <alignment horizontal="center" vertical="center" wrapText="1"/>
    </xf>
    <xf numFmtId="0" fontId="32" fillId="4" borderId="1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 wrapText="1"/>
    </xf>
    <xf numFmtId="0" fontId="30" fillId="4" borderId="2" xfId="0" applyFont="1" applyFill="1" applyBorder="1" applyAlignment="1">
      <alignment horizontal="center" vertical="center" wrapText="1"/>
    </xf>
    <xf numFmtId="0" fontId="30" fillId="4" borderId="3" xfId="0" applyFont="1" applyFill="1" applyBorder="1" applyAlignment="1">
      <alignment horizontal="center" vertical="center" wrapText="1"/>
    </xf>
    <xf numFmtId="0" fontId="30" fillId="4" borderId="4" xfId="0" applyFont="1" applyFill="1" applyBorder="1" applyAlignment="1">
      <alignment horizontal="center" vertical="center" wrapText="1"/>
    </xf>
    <xf numFmtId="0" fontId="30" fillId="4" borderId="5" xfId="0" applyFont="1" applyFill="1" applyBorder="1" applyAlignment="1">
      <alignment horizontal="center" vertical="center" wrapText="1"/>
    </xf>
    <xf numFmtId="0" fontId="30" fillId="4" borderId="6" xfId="0" applyFont="1" applyFill="1" applyBorder="1" applyAlignment="1">
      <alignment horizontal="center" vertical="center" wrapText="1"/>
    </xf>
    <xf numFmtId="0" fontId="30" fillId="4" borderId="13" xfId="0" applyFont="1" applyFill="1" applyBorder="1" applyAlignment="1">
      <alignment horizontal="center" vertical="top"/>
    </xf>
    <xf numFmtId="0" fontId="30" fillId="4" borderId="13" xfId="0" applyFont="1" applyFill="1" applyBorder="1" applyAlignment="1">
      <alignment horizontal="center" vertical="top" wrapText="1"/>
    </xf>
    <xf numFmtId="0" fontId="5" fillId="4" borderId="18" xfId="0" applyFont="1" applyFill="1" applyBorder="1" applyAlignment="1">
      <alignment horizontal="center" vertical="top"/>
    </xf>
    <xf numFmtId="0" fontId="5" fillId="4" borderId="19" xfId="0" applyFont="1" applyFill="1" applyBorder="1" applyAlignment="1">
      <alignment horizontal="center" vertical="top"/>
    </xf>
    <xf numFmtId="0" fontId="64" fillId="4" borderId="18" xfId="0" applyFont="1" applyFill="1" applyBorder="1" applyAlignment="1">
      <alignment horizontal="center" vertical="center"/>
    </xf>
    <xf numFmtId="0" fontId="30" fillId="4" borderId="18" xfId="0" applyFont="1" applyFill="1" applyBorder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0" fontId="30" fillId="4" borderId="13" xfId="0" applyFont="1" applyFill="1" applyBorder="1" applyAlignment="1">
      <alignment horizontal="center" vertical="center"/>
    </xf>
    <xf numFmtId="0" fontId="30" fillId="4" borderId="41" xfId="0" applyFont="1" applyFill="1" applyBorder="1" applyAlignment="1">
      <alignment horizontal="left" vertical="center"/>
    </xf>
    <xf numFmtId="0" fontId="30" fillId="4" borderId="23" xfId="0" applyFont="1" applyFill="1" applyBorder="1" applyAlignment="1">
      <alignment horizontal="left" vertical="center"/>
    </xf>
    <xf numFmtId="0" fontId="10" fillId="2" borderId="37" xfId="0" applyFont="1" applyFill="1" applyBorder="1" applyAlignment="1">
      <alignment horizontal="center" vertical="top"/>
    </xf>
    <xf numFmtId="0" fontId="10" fillId="2" borderId="39" xfId="0" applyFont="1" applyFill="1" applyBorder="1" applyAlignment="1">
      <alignment horizontal="center" vertical="top"/>
    </xf>
    <xf numFmtId="0" fontId="10" fillId="2" borderId="37" xfId="0" applyFont="1" applyFill="1" applyBorder="1" applyAlignment="1">
      <alignment horizontal="center" vertical="top" wrapText="1"/>
    </xf>
    <xf numFmtId="0" fontId="17" fillId="3" borderId="37" xfId="0" applyFont="1" applyFill="1" applyBorder="1" applyAlignment="1">
      <alignment horizontal="center" vertical="center"/>
    </xf>
    <xf numFmtId="0" fontId="17" fillId="3" borderId="34" xfId="0" applyFont="1" applyFill="1" applyBorder="1" applyAlignment="1">
      <alignment horizontal="center" vertical="center"/>
    </xf>
    <xf numFmtId="0" fontId="68" fillId="4" borderId="34" xfId="0" applyFont="1" applyFill="1" applyBorder="1" applyAlignment="1">
      <alignment horizontal="center" vertical="center"/>
    </xf>
    <xf numFmtId="0" fontId="68" fillId="4" borderId="38" xfId="0" applyFont="1" applyFill="1" applyBorder="1" applyAlignment="1">
      <alignment horizontal="center" vertical="center"/>
    </xf>
    <xf numFmtId="0" fontId="67" fillId="9" borderId="27" xfId="8" applyBorder="1" applyAlignment="1">
      <alignment horizontal="center" vertical="center"/>
    </xf>
    <xf numFmtId="0" fontId="67" fillId="9" borderId="17" xfId="8" applyBorder="1" applyAlignment="1">
      <alignment horizontal="center" vertical="center"/>
    </xf>
    <xf numFmtId="0" fontId="16" fillId="2" borderId="37" xfId="0" applyFont="1" applyFill="1" applyBorder="1" applyAlignment="1">
      <alignment horizontal="center" vertical="center"/>
    </xf>
    <xf numFmtId="0" fontId="16" fillId="2" borderId="34" xfId="0" applyFont="1" applyFill="1" applyBorder="1" applyAlignment="1">
      <alignment horizontal="center" vertical="center"/>
    </xf>
    <xf numFmtId="0" fontId="16" fillId="2" borderId="39" xfId="0" applyFont="1" applyFill="1" applyBorder="1" applyAlignment="1">
      <alignment horizontal="center" vertical="center"/>
    </xf>
    <xf numFmtId="0" fontId="67" fillId="9" borderId="5" xfId="8" applyBorder="1" applyAlignment="1">
      <alignment horizontal="center" vertical="center"/>
    </xf>
    <xf numFmtId="0" fontId="67" fillId="9" borderId="6" xfId="8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38" xfId="0" applyFont="1" applyFill="1" applyBorder="1" applyAlignment="1">
      <alignment horizontal="center" vertical="center"/>
    </xf>
    <xf numFmtId="0" fontId="17" fillId="3" borderId="39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vertical="center"/>
    </xf>
    <xf numFmtId="0" fontId="18" fillId="4" borderId="3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/>
    </xf>
    <xf numFmtId="0" fontId="8" fillId="2" borderId="37" xfId="0" applyFont="1" applyFill="1" applyBorder="1" applyAlignment="1">
      <alignment horizontal="center" vertical="center"/>
    </xf>
    <xf numFmtId="0" fontId="38" fillId="5" borderId="13" xfId="3" applyFont="1" applyFill="1" applyBorder="1" applyAlignment="1">
      <alignment horizontal="center" vertical="center"/>
    </xf>
    <xf numFmtId="0" fontId="38" fillId="5" borderId="13" xfId="3" applyFont="1" applyFill="1" applyBorder="1" applyAlignment="1">
      <alignment horizontal="center" vertical="center" wrapText="1"/>
    </xf>
    <xf numFmtId="0" fontId="38" fillId="5" borderId="4" xfId="3" applyFont="1" applyFill="1" applyBorder="1" applyAlignment="1">
      <alignment horizontal="center" vertical="center" wrapText="1"/>
    </xf>
    <xf numFmtId="0" fontId="38" fillId="5" borderId="5" xfId="3" applyFont="1" applyFill="1" applyBorder="1" applyAlignment="1">
      <alignment horizontal="center" vertical="center" wrapText="1"/>
    </xf>
    <xf numFmtId="0" fontId="42" fillId="8" borderId="13" xfId="4" applyFont="1" applyFill="1" applyBorder="1" applyAlignment="1">
      <alignment horizontal="center" vertical="center"/>
    </xf>
    <xf numFmtId="0" fontId="38" fillId="5" borderId="18" xfId="3" applyFont="1" applyFill="1" applyBorder="1" applyAlignment="1">
      <alignment horizontal="center" vertical="center"/>
    </xf>
    <xf numFmtId="0" fontId="38" fillId="5" borderId="19" xfId="3" applyFont="1" applyFill="1" applyBorder="1" applyAlignment="1">
      <alignment horizontal="center" vertical="center"/>
    </xf>
    <xf numFmtId="0" fontId="19" fillId="5" borderId="22" xfId="0" applyFont="1" applyFill="1" applyBorder="1" applyAlignment="1">
      <alignment horizontal="center" wrapText="1"/>
    </xf>
    <xf numFmtId="0" fontId="19" fillId="5" borderId="23" xfId="0" applyFont="1" applyFill="1" applyBorder="1" applyAlignment="1">
      <alignment horizontal="center" wrapText="1"/>
    </xf>
    <xf numFmtId="0" fontId="19" fillId="5" borderId="7" xfId="0" applyFont="1" applyFill="1" applyBorder="1" applyAlignment="1">
      <alignment horizontal="center" wrapText="1"/>
    </xf>
    <xf numFmtId="0" fontId="19" fillId="5" borderId="0" xfId="0" applyFont="1" applyFill="1" applyAlignment="1">
      <alignment horizontal="center" wrapText="1"/>
    </xf>
    <xf numFmtId="0" fontId="19" fillId="5" borderId="0" xfId="0" applyFont="1" applyFill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9" fillId="5" borderId="24" xfId="0" applyFont="1" applyFill="1" applyBorder="1" applyAlignment="1">
      <alignment horizontal="center"/>
    </xf>
    <xf numFmtId="0" fontId="19" fillId="5" borderId="25" xfId="0" applyFont="1" applyFill="1" applyBorder="1" applyAlignment="1">
      <alignment horizontal="center"/>
    </xf>
    <xf numFmtId="0" fontId="19" fillId="5" borderId="26" xfId="0" applyFont="1" applyFill="1" applyBorder="1" applyAlignment="1">
      <alignment horizontal="center"/>
    </xf>
  </cellXfs>
  <cellStyles count="9">
    <cellStyle name="Calculation" xfId="2" builtinId="22"/>
    <cellStyle name="Comma 2" xfId="6" xr:uid="{00000000-0005-0000-0000-000001000000}"/>
    <cellStyle name="Good" xfId="8" builtinId="26"/>
    <cellStyle name="Normal" xfId="0" builtinId="0"/>
    <cellStyle name="Normal 2" xfId="5" xr:uid="{00000000-0005-0000-0000-000004000000}"/>
    <cellStyle name="Normal 2 2" xfId="7" xr:uid="{00000000-0005-0000-0000-000005000000}"/>
    <cellStyle name="Normal 5" xfId="3" xr:uid="{00000000-0005-0000-0000-000006000000}"/>
    <cellStyle name="Normal 6" xfId="1" xr:uid="{00000000-0005-0000-0000-000007000000}"/>
    <cellStyle name="Normal_Sheet3" xfId="4" xr:uid="{00000000-0005-0000-0000-000008000000}"/>
  </cellStyles>
  <dxfs count="10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266270</xdr:colOff>
      <xdr:row>0</xdr:row>
      <xdr:rowOff>207247</xdr:rowOff>
    </xdr:from>
    <xdr:ext cx="2279855" cy="65780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7029020" y="207247"/>
              <a:ext cx="2279855" cy="657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[1−𝑐ℎ(𝑘[𝐿/2−𝑧])/𝑐ℎ(𝑘𝐿/2)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369093</xdr:colOff>
      <xdr:row>0</xdr:row>
      <xdr:rowOff>78581</xdr:rowOff>
    </xdr:from>
    <xdr:to>
      <xdr:col>1</xdr:col>
      <xdr:colOff>3994261</xdr:colOff>
      <xdr:row>0</xdr:row>
      <xdr:rowOff>906065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8693" y="78581"/>
          <a:ext cx="3625168" cy="827484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190501</xdr:colOff>
      <xdr:row>1</xdr:row>
      <xdr:rowOff>166687</xdr:rowOff>
    </xdr:from>
    <xdr:ext cx="2560188" cy="6630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den>
                      </m:f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  <m:d>
                                <m:dPr>
                                  <m:begChr m:val="["/>
                                  <m:endChr m:val="]"/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dPr>
                                <m:e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𝑧</m:t>
                                  </m:r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−</m:t>
                                  </m:r>
                                  <m:f>
                                    <m:fPr>
                                      <m:ctrlP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fPr>
                                    <m:num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𝐿</m:t>
                                      </m:r>
                                    </m:num>
                                    <m:den>
                                      <m:r>
                                        <a:rPr lang="en-US" sz="1800" b="0" i="1">
                                          <a:latin typeface="Cambria Math" panose="02040503050406030204" pitchFamily="18" charset="0"/>
                                        </a:rPr>
                                        <m:t>2</m:t>
                                      </m:r>
                                    </m:den>
                                  </m:f>
                                </m:e>
                              </m:d>
                            </m:e>
                          </m:d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f>
                                <m:fPr>
                                  <m:ctrlP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Pr>
                                <m:num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𝑘𝐿</m:t>
                                  </m:r>
                                </m:num>
                                <m:den>
                                  <m:r>
                                    <a:rPr lang="en-US" sz="1800" b="0" i="1">
                                      <a:latin typeface="Cambria Math" panose="02040503050406030204" pitchFamily="18" charset="0"/>
                                    </a:rPr>
                                    <m:t>2</m:t>
                                  </m:r>
                                </m:den>
                              </m:f>
                            </m:e>
                          </m:d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6953251" y="1147762"/>
              <a:ext cx="2560188" cy="6630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−𝑚/𝑘^2  [1−𝑘𝐿/2  𝑐ℎ(𝑘[𝑧−𝐿/2])/𝑠ℎ(𝑘𝐿/2) 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1</xdr:row>
      <xdr:rowOff>107596</xdr:rowOff>
    </xdr:from>
    <xdr:to>
      <xdr:col>1</xdr:col>
      <xdr:colOff>3962646</xdr:colOff>
      <xdr:row>1</xdr:row>
      <xdr:rowOff>869157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599" y="1088671"/>
          <a:ext cx="3581647" cy="76156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244079</xdr:colOff>
      <xdr:row>2</xdr:row>
      <xdr:rowOff>321467</xdr:rowOff>
    </xdr:from>
    <xdr:ext cx="7042546" cy="4675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</m:den>
                  </m:f>
                  <m:d>
                    <m:dPr>
                      <m:begChr m:val="["/>
                      <m:endChr m:val="]"/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1−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</a:rPr>
                        <m:t>+</m:t>
                      </m:r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𝑠ℎ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800" b="0" i="1"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𝐿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−</m:t>
                              </m:r>
                              <m:r>
                                <a:rPr lang="en-US" sz="1800" b="0" i="1">
                                  <a:latin typeface="Cambria Math" panose="02040503050406030204" pitchFamily="18" charset="0"/>
                                </a:rPr>
                                <m:t>𝑧</m:t>
                              </m:r>
                            </m:e>
                          </m:d>
                        </m:e>
                      </m:d>
                      <m:r>
                        <a:rPr lang="en-US" sz="18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×</m:t>
                      </m:r>
                      <m:f>
                        <m:fPr>
                          <m:ctrlP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1+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sSup>
                            <m:sSup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𝐿</m:t>
                              </m:r>
                            </m:e>
                            <m:sup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/2</m:t>
                          </m:r>
                        </m:num>
                        <m:den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.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𝑐ℎ</m:t>
                          </m:r>
                          <m:d>
                            <m:dPr>
                              <m:ctrlP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𝑘𝐿</m:t>
                              </m:r>
                            </m:e>
                          </m:d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𝑠ℎ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(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𝑘𝐿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)</m:t>
                          </m:r>
                        </m:den>
                      </m:f>
                    </m:e>
                  </m:d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7006829" y="2264567"/>
              <a:ext cx="7042546" cy="4675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𝑚/𝑘^2  [1−𝑐ℎ(𝑘[𝐿−𝑧])+𝑠ℎ(𝑘[𝐿−𝑧])</a:t>
              </a:r>
              <a:r>
                <a:rPr lang="en-US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×(1+𝑘𝐿.𝑠ℎ(𝑘𝐿)−𝑐ℎ(𝑘𝐿)−𝑘^2 𝐿^2/2)/(𝑘𝐿.𝑐ℎ(𝑘𝐿)−𝑠ℎ(𝑘𝐿))]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2</xdr:row>
      <xdr:rowOff>66674</xdr:rowOff>
    </xdr:from>
    <xdr:to>
      <xdr:col>1</xdr:col>
      <xdr:colOff>3886200</xdr:colOff>
      <xdr:row>2</xdr:row>
      <xdr:rowOff>915739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340" t="6121" b="1"/>
        <a:stretch/>
      </xdr:blipFill>
      <xdr:spPr>
        <a:xfrm>
          <a:off x="990599" y="2009774"/>
          <a:ext cx="3505201" cy="849065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oneCellAnchor>
    <xdr:from>
      <xdr:col>5</xdr:col>
      <xdr:colOff>0</xdr:colOff>
      <xdr:row>3</xdr:row>
      <xdr:rowOff>0</xdr:rowOff>
    </xdr:from>
    <xdr:ext cx="4970859" cy="40633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14:m>
                <m:oMath xmlns:m="http://schemas.openxmlformats.org/officeDocument/2006/math">
                  <m:r>
                    <a:rPr lang="en-US" sz="1800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f>
                    <m:f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𝑚</m:t>
                      </m:r>
                    </m:num>
                    <m:den>
                      <m:sSup>
                        <m:sSup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p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𝑐ℎ</m:t>
                      </m:r>
                      <m:d>
                        <m:dPr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𝑘𝐿</m:t>
                          </m:r>
                        </m:e>
                      </m:d>
                    </m:den>
                  </m:f>
                  <m:r>
                    <a:rPr lang="en-US" sz="1800" b="0" i="1">
                      <a:latin typeface="Cambria Math" panose="02040503050406030204" pitchFamily="18" charset="0"/>
                    </a:rPr>
                    <m:t>𝑘𝐿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.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800" b="0" i="1"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𝐿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US" sz="1800" b="0" i="1">
                              <a:latin typeface="Cambria Math" panose="02040503050406030204" pitchFamily="18" charset="0"/>
                            </a:rPr>
                            <m:t>𝑧</m:t>
                          </m:r>
                        </m:e>
                      </m:d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−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𝑠ℎ</m:t>
                  </m:r>
                  <m:d>
                    <m:dPr>
                      <m:ctrlPr>
                        <a:rPr lang="en-US" sz="18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800" b="0" i="1">
                          <a:latin typeface="Cambria Math" panose="02040503050406030204" pitchFamily="18" charset="0"/>
                        </a:rPr>
                        <m:t>𝑘𝐿</m:t>
                      </m:r>
                    </m:e>
                  </m:d>
                  <m:r>
                    <a:rPr lang="en-US" sz="1800" b="0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𝑐ℎ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(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𝑘𝑧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)</m:t>
                  </m:r>
                </m:oMath>
              </a14:m>
              <a:endParaRPr lang="en-US" sz="18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6762750" y="3276600"/>
              <a:ext cx="4970859" cy="40633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/>
                <a:t>B</a:t>
              </a:r>
              <a:r>
                <a:rPr lang="en-US" sz="1800" i="0">
                  <a:latin typeface="Cambria Math" panose="02040503050406030204" pitchFamily="18" charset="0"/>
                </a:rPr>
                <a:t>=</a:t>
              </a:r>
              <a:r>
                <a:rPr lang="en-US" sz="1800" b="0" i="0">
                  <a:latin typeface="Cambria Math" panose="02040503050406030204" pitchFamily="18" charset="0"/>
                </a:rPr>
                <a:t>−𝑚/(𝑘^2 𝑐ℎ(𝑘𝐿) ) 𝑘𝐿.𝑐ℎ(𝑘[𝐿−𝑧])−𝑠ℎ(𝑘𝐿)+𝑐ℎ(𝑘𝑧)</a:t>
              </a:r>
              <a:endParaRPr lang="en-US" sz="1800"/>
            </a:p>
          </xdr:txBody>
        </xdr:sp>
      </mc:Fallback>
    </mc:AlternateContent>
    <xdr:clientData/>
  </xdr:oneCellAnchor>
  <xdr:twoCellAnchor editAs="oneCell">
    <xdr:from>
      <xdr:col>1</xdr:col>
      <xdr:colOff>380999</xdr:colOff>
      <xdr:row>3</xdr:row>
      <xdr:rowOff>83343</xdr:rowOff>
    </xdr:from>
    <xdr:to>
      <xdr:col>1</xdr:col>
      <xdr:colOff>3751501</xdr:colOff>
      <xdr:row>3</xdr:row>
      <xdr:rowOff>924884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90599" y="3359943"/>
          <a:ext cx="3370502" cy="841541"/>
        </a:xfrm>
        <a:prstGeom prst="rect">
          <a:avLst/>
        </a:prstGeom>
        <a:ln>
          <a:solidFill>
            <a:schemeClr val="bg1"/>
          </a:solidFill>
        </a:ln>
      </xdr:spPr>
    </xdr:pic>
    <xdr:clientData/>
  </xdr:twoCellAnchor>
  <xdr:twoCellAnchor editAs="oneCell">
    <xdr:from>
      <xdr:col>1</xdr:col>
      <xdr:colOff>657225</xdr:colOff>
      <xdr:row>4</xdr:row>
      <xdr:rowOff>95250</xdr:rowOff>
    </xdr:from>
    <xdr:to>
      <xdr:col>1</xdr:col>
      <xdr:colOff>3028654</xdr:colOff>
      <xdr:row>4</xdr:row>
      <xdr:rowOff>914298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66825" y="4343400"/>
          <a:ext cx="2371429" cy="819048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10</xdr:col>
      <xdr:colOff>322502</xdr:colOff>
      <xdr:row>4</xdr:row>
      <xdr:rowOff>841541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2750" y="4248150"/>
          <a:ext cx="3370502" cy="841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94896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FA1179-4F8F-4975-A72B-098A41291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DFE45875-CCA3-42AF-B6FF-3DBB93DEC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118193</xdr:colOff>
      <xdr:row>9</xdr:row>
      <xdr:rowOff>141246</xdr:rowOff>
    </xdr:from>
    <xdr:to>
      <xdr:col>10</xdr:col>
      <xdr:colOff>263070</xdr:colOff>
      <xdr:row>19</xdr:row>
      <xdr:rowOff>34506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4348" y="561660"/>
          <a:ext cx="1772930" cy="167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249115</xdr:colOff>
          <xdr:row>61</xdr:row>
          <xdr:rowOff>66650</xdr:rowOff>
        </xdr:from>
        <xdr:to>
          <xdr:col>9</xdr:col>
          <xdr:colOff>414850</xdr:colOff>
          <xdr:row>66</xdr:row>
          <xdr:rowOff>148565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PicRefer" spid="_x0000_s219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53915" y="10706075"/>
              <a:ext cx="4324350" cy="962025"/>
            </a:xfrm>
            <a:prstGeom prst="rect">
              <a:avLst/>
            </a:prstGeom>
            <a:ln>
              <a:solidFill>
                <a:schemeClr val="bg1"/>
              </a:solidFill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750A77-957B-4B69-A447-C02E4F3D1CF9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9e8be9cc-4001-4c2c-9c8b-3143aef2741c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image" Target="../media/image6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C6"/>
  <sheetViews>
    <sheetView showGridLines="0" zoomScaleNormal="100" workbookViewId="0">
      <selection activeCell="D3" sqref="D3"/>
    </sheetView>
  </sheetViews>
  <sheetFormatPr defaultRowHeight="15"/>
  <cols>
    <col min="2" max="2" width="64.85546875" customWidth="1"/>
  </cols>
  <sheetData>
    <row r="1" spans="1:3" ht="75.75" customHeight="1">
      <c r="A1" s="168">
        <v>1</v>
      </c>
      <c r="B1" s="169"/>
    </row>
    <row r="2" spans="1:3" ht="75.75" customHeight="1">
      <c r="A2" s="168">
        <v>2</v>
      </c>
      <c r="B2" s="169"/>
      <c r="C2">
        <f>INDEX(Pic!$B$1:$B$5,Pic!$B$6)</f>
        <v>0</v>
      </c>
    </row>
    <row r="3" spans="1:3" ht="75.75" customHeight="1">
      <c r="A3" s="168">
        <v>3</v>
      </c>
      <c r="B3" s="169"/>
    </row>
    <row r="4" spans="1:3" ht="75.75" customHeight="1">
      <c r="A4" s="168">
        <v>4</v>
      </c>
      <c r="B4" s="169"/>
    </row>
    <row r="5" spans="1:3" ht="81.75" customHeight="1">
      <c r="A5" s="168">
        <v>5</v>
      </c>
      <c r="B5" s="169"/>
    </row>
    <row r="6" spans="1:3">
      <c r="B6" s="105">
        <f>MATCH(Cal!$K$61,Cal!$O$63:$O$67,0)</f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70C0"/>
  </sheetPr>
  <dimension ref="A1:DJ33"/>
  <sheetViews>
    <sheetView showGridLines="0" zoomScale="130" zoomScaleNormal="130" zoomScaleSheetLayoutView="100" workbookViewId="0">
      <selection activeCell="F1" sqref="F1:I1048576"/>
    </sheetView>
  </sheetViews>
  <sheetFormatPr defaultColWidth="7.28515625" defaultRowHeight="12.75"/>
  <cols>
    <col min="1" max="1" width="9.85546875" style="1" customWidth="1"/>
    <col min="2" max="4" width="7.28515625" style="1"/>
    <col min="5" max="5" width="7.28515625" style="1" customWidth="1"/>
    <col min="6" max="9" width="7.28515625" style="1" hidden="1" customWidth="1"/>
    <col min="10" max="10" width="3.28515625" style="53" customWidth="1"/>
    <col min="11" max="15" width="7.28515625" style="1"/>
    <col min="16" max="20" width="0" style="1" hidden="1" customWidth="1"/>
    <col min="21" max="21" width="3.28515625" style="53" customWidth="1"/>
    <col min="22" max="26" width="7.28515625" style="1"/>
    <col min="27" max="41" width="0" style="1" hidden="1" customWidth="1"/>
    <col min="42" max="46" width="7.28515625" style="1" hidden="1" customWidth="1"/>
    <col min="47" max="47" width="3.28515625" style="53" customWidth="1"/>
    <col min="48" max="50" width="7.28515625" style="1"/>
    <col min="51" max="51" width="3.28515625" style="53" customWidth="1"/>
    <col min="52" max="54" width="7.28515625" style="1"/>
    <col min="55" max="59" width="0" style="1" hidden="1" customWidth="1"/>
    <col min="60" max="60" width="3.28515625" style="53" customWidth="1"/>
    <col min="61" max="62" width="7.28515625" style="1"/>
    <col min="63" max="63" width="7.85546875" style="1" bestFit="1" customWidth="1"/>
    <col min="64" max="69" width="7.28515625" style="1"/>
    <col min="70" max="79" width="0" style="1" hidden="1" customWidth="1"/>
    <col min="80" max="80" width="3.28515625" style="53" customWidth="1"/>
    <col min="81" max="81" width="9.5703125" style="120" bestFit="1" customWidth="1"/>
    <col min="82" max="83" width="9.5703125" style="122" customWidth="1"/>
    <col min="84" max="85" width="5" style="120" bestFit="1" customWidth="1"/>
    <col min="86" max="86" width="5" style="120" customWidth="1"/>
    <col min="87" max="87" width="5" style="120" bestFit="1" customWidth="1"/>
    <col min="88" max="88" width="7" style="121" bestFit="1" customWidth="1"/>
    <col min="89" max="103" width="0" style="1" hidden="1" customWidth="1"/>
    <col min="104" max="104" width="3.28515625" style="53" customWidth="1"/>
    <col min="105" max="16384" width="7.28515625" style="1"/>
  </cols>
  <sheetData>
    <row r="1" spans="1:114" ht="14.25" customHeight="1">
      <c r="A1" s="173" t="s">
        <v>2</v>
      </c>
      <c r="B1" s="11" t="s">
        <v>18</v>
      </c>
      <c r="C1" s="11" t="s">
        <v>53</v>
      </c>
      <c r="D1" s="11" t="s">
        <v>54</v>
      </c>
      <c r="E1" s="175" t="s">
        <v>317</v>
      </c>
      <c r="F1" s="79"/>
      <c r="G1" s="79"/>
      <c r="H1" s="79"/>
      <c r="I1" s="79"/>
      <c r="K1" s="313" t="s">
        <v>105</v>
      </c>
      <c r="L1" s="314"/>
      <c r="M1" s="314"/>
      <c r="N1" s="314"/>
      <c r="O1" s="314"/>
      <c r="P1" s="80"/>
      <c r="Q1" s="80"/>
      <c r="R1" s="80"/>
      <c r="S1" s="80"/>
      <c r="T1" s="80"/>
      <c r="V1" s="317" t="s">
        <v>106</v>
      </c>
      <c r="W1" s="317"/>
      <c r="X1" s="317"/>
      <c r="Y1" s="317"/>
      <c r="Z1" s="317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V1" s="319" t="s">
        <v>107</v>
      </c>
      <c r="AW1" s="320"/>
      <c r="AX1" s="321"/>
      <c r="AZ1" s="319" t="s">
        <v>108</v>
      </c>
      <c r="BA1" s="320"/>
      <c r="BB1" s="321"/>
      <c r="BI1" s="307" t="s">
        <v>109</v>
      </c>
      <c r="BJ1" s="307"/>
      <c r="BK1" s="306" t="s">
        <v>110</v>
      </c>
      <c r="BL1" s="307" t="s">
        <v>111</v>
      </c>
      <c r="BM1" s="307"/>
      <c r="BN1" s="307"/>
      <c r="BO1" s="307"/>
      <c r="BP1" s="306" t="s">
        <v>112</v>
      </c>
      <c r="BQ1" s="306"/>
      <c r="CC1" s="308" t="s">
        <v>111</v>
      </c>
      <c r="CD1" s="309"/>
      <c r="CE1" s="309"/>
      <c r="CF1" s="309"/>
      <c r="CG1" s="309"/>
      <c r="CH1" s="309"/>
      <c r="CI1" s="309"/>
      <c r="CJ1" s="309"/>
      <c r="DA1" s="308" t="s">
        <v>219</v>
      </c>
      <c r="DB1" s="309"/>
      <c r="DC1" s="309"/>
      <c r="DD1" s="309"/>
      <c r="DE1" s="309"/>
      <c r="DF1" s="309"/>
      <c r="DG1" s="309"/>
      <c r="DH1" s="309"/>
      <c r="DI1" s="309"/>
      <c r="DJ1" s="309"/>
    </row>
    <row r="2" spans="1:114" ht="14.25">
      <c r="A2" s="174"/>
      <c r="B2" s="11" t="s">
        <v>19</v>
      </c>
      <c r="C2" s="11" t="s">
        <v>19</v>
      </c>
      <c r="D2" s="11" t="s">
        <v>19</v>
      </c>
      <c r="E2" s="176"/>
      <c r="F2" s="79"/>
      <c r="G2" s="79"/>
      <c r="H2" s="79"/>
      <c r="I2" s="79"/>
      <c r="K2" s="315"/>
      <c r="L2" s="316"/>
      <c r="M2" s="316"/>
      <c r="N2" s="316"/>
      <c r="O2" s="316"/>
      <c r="P2" s="80"/>
      <c r="Q2" s="80"/>
      <c r="R2" s="80"/>
      <c r="S2" s="80"/>
      <c r="T2" s="80"/>
      <c r="V2" s="318"/>
      <c r="W2" s="318"/>
      <c r="X2" s="318"/>
      <c r="Y2" s="318"/>
      <c r="Z2" s="318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V2" s="11" t="s">
        <v>113</v>
      </c>
      <c r="AW2" s="11" t="s">
        <v>23</v>
      </c>
      <c r="AX2" s="11" t="s">
        <v>91</v>
      </c>
      <c r="AZ2" s="11" t="s">
        <v>114</v>
      </c>
      <c r="BA2" s="11" t="s">
        <v>115</v>
      </c>
      <c r="BB2" s="11" t="s">
        <v>116</v>
      </c>
      <c r="BI2" s="307"/>
      <c r="BJ2" s="307"/>
      <c r="BK2" s="306"/>
      <c r="BL2" s="307" t="s">
        <v>117</v>
      </c>
      <c r="BM2" s="307"/>
      <c r="BN2" s="307" t="s">
        <v>118</v>
      </c>
      <c r="BO2" s="307"/>
      <c r="BP2" s="306"/>
      <c r="BQ2" s="306"/>
      <c r="CC2" s="310" t="s">
        <v>119</v>
      </c>
      <c r="CD2" s="84" t="s">
        <v>120</v>
      </c>
      <c r="CE2" s="84" t="s">
        <v>113</v>
      </c>
      <c r="CF2" s="85" t="s">
        <v>121</v>
      </c>
      <c r="CG2" s="85" t="s">
        <v>122</v>
      </c>
      <c r="CH2" s="85" t="s">
        <v>123</v>
      </c>
      <c r="CI2" s="85" t="s">
        <v>124</v>
      </c>
      <c r="CJ2" s="86" t="s">
        <v>125</v>
      </c>
      <c r="DA2" s="128">
        <v>0</v>
      </c>
      <c r="DB2" s="128">
        <v>2.2000000000000002</v>
      </c>
      <c r="DC2" s="128">
        <v>2.5</v>
      </c>
      <c r="DD2" s="128">
        <v>3</v>
      </c>
      <c r="DE2" s="128">
        <v>3.5</v>
      </c>
      <c r="DF2" s="128">
        <v>4</v>
      </c>
      <c r="DG2" s="128">
        <v>4.5</v>
      </c>
      <c r="DH2" s="128">
        <v>5</v>
      </c>
      <c r="DI2" s="128">
        <v>5.5</v>
      </c>
      <c r="DJ2" s="128">
        <v>1000</v>
      </c>
    </row>
    <row r="3" spans="1:114" ht="15.75">
      <c r="A3" s="21" t="s">
        <v>69</v>
      </c>
      <c r="B3" s="3">
        <f>2.06*10^5</f>
        <v>206000</v>
      </c>
      <c r="C3" s="3">
        <v>235</v>
      </c>
      <c r="D3" s="177">
        <v>370</v>
      </c>
      <c r="E3" s="9">
        <v>1.1000000000000001</v>
      </c>
      <c r="F3" s="87"/>
      <c r="G3" s="87"/>
      <c r="H3" s="87"/>
      <c r="I3" s="87"/>
      <c r="K3" s="17" t="s">
        <v>126</v>
      </c>
      <c r="L3" s="17" t="s">
        <v>127</v>
      </c>
      <c r="M3" s="17" t="s">
        <v>128</v>
      </c>
      <c r="N3" s="17" t="s">
        <v>129</v>
      </c>
      <c r="O3" s="17" t="s">
        <v>130</v>
      </c>
      <c r="P3" s="40"/>
      <c r="Q3" s="40"/>
      <c r="R3" s="40"/>
      <c r="S3" s="40"/>
      <c r="T3" s="40"/>
      <c r="V3" s="88" t="s">
        <v>131</v>
      </c>
      <c r="W3" s="88" t="s">
        <v>132</v>
      </c>
      <c r="X3" s="88" t="s">
        <v>133</v>
      </c>
      <c r="Y3" s="88" t="s">
        <v>134</v>
      </c>
      <c r="Z3" s="89" t="s">
        <v>135</v>
      </c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0"/>
      <c r="AL3" s="90"/>
      <c r="AM3" s="90"/>
      <c r="AN3" s="90"/>
      <c r="AO3" s="90"/>
      <c r="AP3" s="90"/>
      <c r="AQ3" s="90"/>
      <c r="AR3" s="90"/>
      <c r="AS3" s="90"/>
      <c r="AT3" s="90"/>
      <c r="AV3" s="5">
        <v>360</v>
      </c>
      <c r="AW3" s="5">
        <v>560</v>
      </c>
      <c r="AX3" s="5">
        <v>475</v>
      </c>
      <c r="AZ3" s="5" t="s">
        <v>136</v>
      </c>
      <c r="BA3" s="5">
        <v>430</v>
      </c>
      <c r="BB3" s="5">
        <v>180</v>
      </c>
      <c r="BI3" s="307"/>
      <c r="BJ3" s="307"/>
      <c r="BK3" s="306"/>
      <c r="BL3" s="82" t="s">
        <v>137</v>
      </c>
      <c r="BM3" s="82" t="s">
        <v>138</v>
      </c>
      <c r="BN3" s="82" t="s">
        <v>139</v>
      </c>
      <c r="BO3" s="82" t="s">
        <v>140</v>
      </c>
      <c r="BP3" s="311" t="s">
        <v>89</v>
      </c>
      <c r="BQ3" s="91" t="s">
        <v>141</v>
      </c>
      <c r="CC3" s="310"/>
      <c r="CD3" s="83" t="s">
        <v>51</v>
      </c>
      <c r="CE3" s="83" t="s">
        <v>51</v>
      </c>
      <c r="CF3" s="83" t="s">
        <v>51</v>
      </c>
      <c r="CG3" s="83" t="s">
        <v>51</v>
      </c>
      <c r="CH3" s="83" t="s">
        <v>51</v>
      </c>
      <c r="CI3" s="83" t="s">
        <v>51</v>
      </c>
      <c r="CJ3" s="92" t="s">
        <v>51</v>
      </c>
      <c r="DA3" s="129">
        <v>0</v>
      </c>
      <c r="DB3" s="130">
        <v>0.24</v>
      </c>
      <c r="DC3" s="130">
        <v>0.23899999999999999</v>
      </c>
      <c r="DD3" s="130">
        <v>0.23499999999999999</v>
      </c>
      <c r="DE3" s="130">
        <v>0.22600000000000001</v>
      </c>
      <c r="DF3" s="130">
        <v>0.21299999999999999</v>
      </c>
      <c r="DG3" s="130">
        <v>0.19500000000000001</v>
      </c>
      <c r="DH3" s="130">
        <v>0.17299999999999999</v>
      </c>
      <c r="DI3" s="130">
        <v>0.153</v>
      </c>
      <c r="DJ3" s="130">
        <v>0.153</v>
      </c>
    </row>
    <row r="4" spans="1:114" ht="15">
      <c r="A4" s="21" t="s">
        <v>70</v>
      </c>
      <c r="B4" s="3">
        <f t="shared" ref="B4:B33" si="0">2.06*10^5</f>
        <v>206000</v>
      </c>
      <c r="C4" s="3">
        <v>345</v>
      </c>
      <c r="D4" s="177">
        <v>510</v>
      </c>
      <c r="E4" s="9">
        <v>1.1000000000000001</v>
      </c>
      <c r="F4" s="87"/>
      <c r="G4" s="87"/>
      <c r="H4" s="87"/>
      <c r="I4" s="87"/>
      <c r="K4" s="17">
        <v>5.6</v>
      </c>
      <c r="L4" s="17">
        <v>500</v>
      </c>
      <c r="M4" s="17">
        <v>300</v>
      </c>
      <c r="N4" s="17">
        <v>210</v>
      </c>
      <c r="O4" s="17">
        <v>225</v>
      </c>
      <c r="P4" s="40"/>
      <c r="Q4" s="40"/>
      <c r="R4" s="40"/>
      <c r="S4" s="40"/>
      <c r="T4" s="40"/>
      <c r="V4" s="93">
        <v>10</v>
      </c>
      <c r="W4" s="5">
        <v>1.5</v>
      </c>
      <c r="X4" s="10">
        <v>78.5</v>
      </c>
      <c r="Y4" s="5">
        <v>57.1</v>
      </c>
      <c r="Z4" s="5">
        <v>1</v>
      </c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V4" s="5">
        <v>370</v>
      </c>
      <c r="AW4" s="5">
        <v>580</v>
      </c>
      <c r="AX4" s="5">
        <v>485</v>
      </c>
      <c r="AZ4" s="5" t="s">
        <v>142</v>
      </c>
      <c r="BA4" s="5">
        <v>510</v>
      </c>
      <c r="BB4" s="5">
        <v>225</v>
      </c>
      <c r="BI4" s="307"/>
      <c r="BJ4" s="307"/>
      <c r="BK4" s="82" t="s">
        <v>51</v>
      </c>
      <c r="BL4" s="82" t="s">
        <v>51</v>
      </c>
      <c r="BM4" s="82" t="s">
        <v>51</v>
      </c>
      <c r="BN4" s="82" t="s">
        <v>51</v>
      </c>
      <c r="BO4" s="82" t="s">
        <v>51</v>
      </c>
      <c r="BP4" s="312"/>
      <c r="BQ4" s="82" t="s">
        <v>51</v>
      </c>
      <c r="CC4" s="94" t="s">
        <v>143</v>
      </c>
      <c r="CD4" s="95">
        <v>235</v>
      </c>
      <c r="CE4" s="95">
        <v>373</v>
      </c>
      <c r="CF4" s="94">
        <f>CD4</f>
        <v>235</v>
      </c>
      <c r="CG4" s="94">
        <f>CF4/1.15</f>
        <v>204.34782608695653</v>
      </c>
      <c r="CH4" s="94">
        <f>CF4</f>
        <v>235</v>
      </c>
      <c r="CI4" s="94">
        <f>0.7*CD4</f>
        <v>164.5</v>
      </c>
      <c r="CJ4" s="96">
        <v>200000</v>
      </c>
      <c r="DA4" s="129">
        <v>0.5</v>
      </c>
      <c r="DB4" s="130">
        <v>0.20300000000000001</v>
      </c>
      <c r="DC4" s="130">
        <v>0.20200000000000001</v>
      </c>
      <c r="DD4" s="130">
        <v>0.19700000000000001</v>
      </c>
      <c r="DE4" s="130">
        <v>0.189</v>
      </c>
      <c r="DF4" s="130">
        <v>0.17599999999999999</v>
      </c>
      <c r="DG4" s="130">
        <v>0.158</v>
      </c>
      <c r="DH4" s="130">
        <v>0.13600000000000001</v>
      </c>
      <c r="DI4" s="130">
        <v>0.11600000000000001</v>
      </c>
      <c r="DJ4" s="130">
        <v>0.11600000000000001</v>
      </c>
    </row>
    <row r="5" spans="1:114" ht="15">
      <c r="A5" s="21" t="s">
        <v>318</v>
      </c>
      <c r="B5" s="3">
        <f t="shared" si="0"/>
        <v>206000</v>
      </c>
      <c r="C5" s="3">
        <v>355</v>
      </c>
      <c r="D5" s="177">
        <v>510</v>
      </c>
      <c r="E5" s="9">
        <v>1.1000000000000001</v>
      </c>
      <c r="F5" s="87"/>
      <c r="G5" s="87"/>
      <c r="H5" s="87"/>
      <c r="I5" s="87"/>
      <c r="K5" s="17">
        <v>5.8</v>
      </c>
      <c r="L5" s="17">
        <v>500</v>
      </c>
      <c r="M5" s="17">
        <v>400</v>
      </c>
      <c r="N5" s="17">
        <v>210</v>
      </c>
      <c r="O5" s="17">
        <v>210</v>
      </c>
      <c r="P5" s="40"/>
      <c r="Q5" s="40"/>
      <c r="R5" s="40"/>
      <c r="S5" s="40"/>
      <c r="T5" s="40"/>
      <c r="V5" s="93">
        <v>12</v>
      </c>
      <c r="W5" s="5">
        <v>1.5</v>
      </c>
      <c r="X5" s="10">
        <v>113</v>
      </c>
      <c r="Y5" s="5">
        <v>84.2</v>
      </c>
      <c r="Z5" s="5">
        <v>1</v>
      </c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V5" s="5">
        <v>380</v>
      </c>
      <c r="AW5" s="5">
        <v>590</v>
      </c>
      <c r="AX5" s="5">
        <v>500</v>
      </c>
      <c r="AZ5" s="5" t="s">
        <v>144</v>
      </c>
      <c r="BA5" s="5">
        <v>410</v>
      </c>
      <c r="BB5" s="5">
        <v>180</v>
      </c>
      <c r="BI5" s="97" t="s">
        <v>145</v>
      </c>
      <c r="BJ5" s="98" t="s">
        <v>146</v>
      </c>
      <c r="BK5" s="99">
        <v>19000</v>
      </c>
      <c r="BL5" s="100">
        <v>7.5</v>
      </c>
      <c r="BM5" s="100">
        <v>6</v>
      </c>
      <c r="BN5" s="101">
        <v>0.85</v>
      </c>
      <c r="BO5" s="102">
        <v>0.56000000000000005</v>
      </c>
      <c r="BP5" s="103"/>
      <c r="BQ5" s="103"/>
      <c r="CC5" s="94" t="s">
        <v>147</v>
      </c>
      <c r="CD5" s="95">
        <v>295</v>
      </c>
      <c r="CE5" s="95">
        <v>490</v>
      </c>
      <c r="CF5" s="94">
        <f t="shared" ref="CF5:CF19" si="1">CD5</f>
        <v>295</v>
      </c>
      <c r="CG5" s="94">
        <f t="shared" ref="CG5:CG19" si="2">CF5/1.15</f>
        <v>256.52173913043481</v>
      </c>
      <c r="CH5" s="94">
        <f t="shared" ref="CH5:CH19" si="3">CF5</f>
        <v>295</v>
      </c>
      <c r="CI5" s="94">
        <f t="shared" ref="CI5:CI19" si="4">0.7*CD5</f>
        <v>206.5</v>
      </c>
      <c r="CJ5" s="96">
        <v>200000</v>
      </c>
      <c r="DA5" s="129">
        <v>0.6</v>
      </c>
      <c r="DB5" s="130">
        <v>0.186</v>
      </c>
      <c r="DC5" s="130">
        <v>0.185</v>
      </c>
      <c r="DD5" s="130">
        <v>0.18099999999999999</v>
      </c>
      <c r="DE5" s="130">
        <v>0.17199999999999999</v>
      </c>
      <c r="DF5" s="130">
        <v>0.159</v>
      </c>
      <c r="DG5" s="130">
        <v>0.14099999999999999</v>
      </c>
      <c r="DH5" s="130">
        <v>0.11899999999999999</v>
      </c>
      <c r="DI5" s="130">
        <v>9.9000000000000005E-2</v>
      </c>
      <c r="DJ5" s="130">
        <v>9.9000000000000005E-2</v>
      </c>
    </row>
    <row r="6" spans="1:114" ht="15">
      <c r="A6" s="21" t="s">
        <v>72</v>
      </c>
      <c r="B6" s="3">
        <f t="shared" si="0"/>
        <v>206000</v>
      </c>
      <c r="C6" s="3">
        <v>250</v>
      </c>
      <c r="D6" s="177">
        <v>400</v>
      </c>
      <c r="E6" s="9">
        <v>1.1000000000000001</v>
      </c>
      <c r="F6" s="87"/>
      <c r="G6" s="87"/>
      <c r="H6" s="87"/>
      <c r="I6" s="87"/>
      <c r="K6" s="17">
        <v>8.8000000000000007</v>
      </c>
      <c r="L6" s="17">
        <v>830</v>
      </c>
      <c r="M6" s="17">
        <v>660</v>
      </c>
      <c r="N6" s="17">
        <v>332</v>
      </c>
      <c r="O6" s="17">
        <v>448</v>
      </c>
      <c r="P6" s="40"/>
      <c r="Q6" s="40"/>
      <c r="R6" s="40"/>
      <c r="S6" s="40"/>
      <c r="T6" s="40"/>
      <c r="V6" s="93">
        <v>16</v>
      </c>
      <c r="W6" s="5">
        <v>2</v>
      </c>
      <c r="X6" s="10">
        <f t="shared" ref="X6:X15" si="5">PI()*V6^2/4</f>
        <v>201.06192982974676</v>
      </c>
      <c r="Y6" s="5">
        <v>157</v>
      </c>
      <c r="Z6" s="5">
        <v>1</v>
      </c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V6" s="5">
        <v>390</v>
      </c>
      <c r="AW6" s="5">
        <v>610</v>
      </c>
      <c r="AX6" s="5">
        <v>515</v>
      </c>
      <c r="AZ6" s="5" t="s">
        <v>148</v>
      </c>
      <c r="BA6" s="5">
        <v>450</v>
      </c>
      <c r="BB6" s="5">
        <v>200</v>
      </c>
      <c r="BI6" s="104" t="s">
        <v>149</v>
      </c>
      <c r="BJ6" s="105" t="s">
        <v>150</v>
      </c>
      <c r="BK6" s="106">
        <v>24000</v>
      </c>
      <c r="BL6" s="107">
        <v>11</v>
      </c>
      <c r="BM6" s="107">
        <v>8.5</v>
      </c>
      <c r="BN6" s="108">
        <v>1.1000000000000001</v>
      </c>
      <c r="BO6" s="109">
        <v>0.75</v>
      </c>
      <c r="BP6" s="103" t="s">
        <v>151</v>
      </c>
      <c r="BQ6" s="103">
        <f>VALUE(MID(BP6,2,2))</f>
        <v>12</v>
      </c>
      <c r="CC6" s="94" t="s">
        <v>152</v>
      </c>
      <c r="CD6" s="95">
        <v>390</v>
      </c>
      <c r="CE6" s="95">
        <v>590</v>
      </c>
      <c r="CF6" s="94">
        <f t="shared" si="1"/>
        <v>390</v>
      </c>
      <c r="CG6" s="94">
        <f t="shared" si="2"/>
        <v>339.13043478260875</v>
      </c>
      <c r="CH6" s="94">
        <f t="shared" si="3"/>
        <v>390</v>
      </c>
      <c r="CI6" s="94">
        <f t="shared" si="4"/>
        <v>273</v>
      </c>
      <c r="CJ6" s="96">
        <v>200000</v>
      </c>
      <c r="DA6" s="129">
        <v>0.7</v>
      </c>
      <c r="DB6" s="130">
        <v>0.16700000000000001</v>
      </c>
      <c r="DC6" s="130">
        <v>0.16600000000000001</v>
      </c>
      <c r="DD6" s="130">
        <v>0.16200000000000001</v>
      </c>
      <c r="DE6" s="130">
        <v>0.152</v>
      </c>
      <c r="DF6" s="130">
        <v>0.14000000000000001</v>
      </c>
      <c r="DG6" s="130">
        <v>0.122</v>
      </c>
      <c r="DH6" s="130">
        <v>0.1</v>
      </c>
      <c r="DI6" s="130">
        <v>0.08</v>
      </c>
      <c r="DJ6" s="130">
        <v>0.08</v>
      </c>
    </row>
    <row r="7" spans="1:114" ht="15">
      <c r="A7" s="21" t="s">
        <v>71</v>
      </c>
      <c r="B7" s="3">
        <f t="shared" si="0"/>
        <v>206000</v>
      </c>
      <c r="C7" s="3">
        <v>345</v>
      </c>
      <c r="D7" s="177">
        <v>450</v>
      </c>
      <c r="E7" s="9">
        <v>1.1000000000000001</v>
      </c>
      <c r="F7" s="87"/>
      <c r="G7" s="87"/>
      <c r="H7" s="87"/>
      <c r="I7" s="87"/>
      <c r="K7" s="17">
        <v>10.9</v>
      </c>
      <c r="L7" s="17">
        <v>1040</v>
      </c>
      <c r="M7" s="17">
        <v>940</v>
      </c>
      <c r="N7" s="17">
        <v>416</v>
      </c>
      <c r="O7" s="17">
        <v>728</v>
      </c>
      <c r="P7" s="40"/>
      <c r="Q7" s="40"/>
      <c r="R7" s="40"/>
      <c r="S7" s="40"/>
      <c r="T7" s="40"/>
      <c r="V7" s="93">
        <v>18</v>
      </c>
      <c r="W7" s="5">
        <v>2.5</v>
      </c>
      <c r="X7" s="10">
        <f t="shared" si="5"/>
        <v>254.46900494077323</v>
      </c>
      <c r="Y7" s="5">
        <v>192</v>
      </c>
      <c r="Z7" s="5">
        <v>1.05</v>
      </c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V7" s="5">
        <v>430</v>
      </c>
      <c r="AW7" s="5">
        <v>670</v>
      </c>
      <c r="AX7" s="5">
        <v>565</v>
      </c>
      <c r="AZ7" s="5" t="s">
        <v>153</v>
      </c>
      <c r="BA7" s="5">
        <v>490</v>
      </c>
      <c r="BB7" s="5">
        <v>215</v>
      </c>
      <c r="BI7" s="104" t="s">
        <v>154</v>
      </c>
      <c r="BJ7" s="105" t="s">
        <v>155</v>
      </c>
      <c r="BK7" s="106">
        <v>27500</v>
      </c>
      <c r="BL7" s="107">
        <v>15</v>
      </c>
      <c r="BM7" s="107">
        <v>11.5</v>
      </c>
      <c r="BN7" s="108">
        <v>1.35</v>
      </c>
      <c r="BO7" s="109">
        <v>0.9</v>
      </c>
      <c r="BP7" s="103" t="s">
        <v>156</v>
      </c>
      <c r="BQ7" s="103">
        <f t="shared" ref="BQ7:BQ15" si="6">VALUE(MID(BP7,2,2))</f>
        <v>16</v>
      </c>
      <c r="CC7" s="94" t="s">
        <v>157</v>
      </c>
      <c r="CD7" s="95">
        <v>235</v>
      </c>
      <c r="CE7" s="95">
        <v>373</v>
      </c>
      <c r="CF7" s="94">
        <f t="shared" si="1"/>
        <v>235</v>
      </c>
      <c r="CG7" s="94">
        <f t="shared" si="2"/>
        <v>204.34782608695653</v>
      </c>
      <c r="CH7" s="94">
        <f t="shared" si="3"/>
        <v>235</v>
      </c>
      <c r="CI7" s="94">
        <f t="shared" si="4"/>
        <v>164.5</v>
      </c>
      <c r="CJ7" s="110">
        <v>200000</v>
      </c>
      <c r="DA7" s="129">
        <v>0.8</v>
      </c>
      <c r="DB7" s="130">
        <v>0.14399999999999999</v>
      </c>
      <c r="DC7" s="130">
        <v>0.14299999999999999</v>
      </c>
      <c r="DD7" s="130">
        <v>0.13900000000000001</v>
      </c>
      <c r="DE7" s="130">
        <v>0.13</v>
      </c>
      <c r="DF7" s="130">
        <v>0.11700000000000001</v>
      </c>
      <c r="DG7" s="130">
        <v>9.9000000000000005E-2</v>
      </c>
      <c r="DH7" s="130">
        <v>7.6999999999999999E-2</v>
      </c>
      <c r="DI7" s="130">
        <v>5.7000000000000002E-2</v>
      </c>
      <c r="DJ7" s="130">
        <v>5.7000000000000002E-2</v>
      </c>
    </row>
    <row r="8" spans="1:114" ht="15">
      <c r="A8" s="21" t="s">
        <v>4</v>
      </c>
      <c r="B8" s="3">
        <f t="shared" si="0"/>
        <v>206000</v>
      </c>
      <c r="C8" s="3">
        <v>235</v>
      </c>
      <c r="D8" s="177">
        <v>360</v>
      </c>
      <c r="E8" s="9">
        <v>1.05</v>
      </c>
      <c r="F8" s="87"/>
      <c r="G8" s="87"/>
      <c r="H8" s="87"/>
      <c r="I8" s="87"/>
      <c r="K8" s="17">
        <v>12.9</v>
      </c>
      <c r="L8" s="17">
        <v>1220</v>
      </c>
      <c r="M8" s="17">
        <v>1100</v>
      </c>
      <c r="N8" s="17">
        <v>427</v>
      </c>
      <c r="O8" s="17">
        <v>854</v>
      </c>
      <c r="P8" s="40"/>
      <c r="Q8" s="40"/>
      <c r="R8" s="40"/>
      <c r="S8" s="40"/>
      <c r="T8" s="40"/>
      <c r="V8" s="93">
        <v>20</v>
      </c>
      <c r="W8" s="5">
        <v>2.5</v>
      </c>
      <c r="X8" s="10">
        <f t="shared" si="5"/>
        <v>314.15926535897933</v>
      </c>
      <c r="Y8" s="5">
        <v>245</v>
      </c>
      <c r="Z8" s="5">
        <v>1.1000000000000001</v>
      </c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V8" s="5">
        <v>440</v>
      </c>
      <c r="AW8" s="5">
        <v>685</v>
      </c>
      <c r="AX8" s="5">
        <v>580</v>
      </c>
      <c r="BI8" s="104" t="s">
        <v>158</v>
      </c>
      <c r="BJ8" s="105" t="s">
        <v>159</v>
      </c>
      <c r="BK8" s="106">
        <v>30000</v>
      </c>
      <c r="BL8" s="107">
        <v>18.5</v>
      </c>
      <c r="BM8" s="107">
        <v>14.5</v>
      </c>
      <c r="BN8" s="108">
        <v>1.55</v>
      </c>
      <c r="BO8" s="109">
        <v>1.05</v>
      </c>
      <c r="BP8" s="103" t="s">
        <v>160</v>
      </c>
      <c r="BQ8" s="103">
        <f t="shared" si="6"/>
        <v>20</v>
      </c>
      <c r="CC8" s="94" t="s">
        <v>161</v>
      </c>
      <c r="CD8" s="95">
        <v>295</v>
      </c>
      <c r="CE8" s="95">
        <v>490</v>
      </c>
      <c r="CF8" s="94">
        <f t="shared" si="1"/>
        <v>295</v>
      </c>
      <c r="CG8" s="94">
        <f t="shared" si="2"/>
        <v>256.52173913043481</v>
      </c>
      <c r="CH8" s="94">
        <f t="shared" si="3"/>
        <v>295</v>
      </c>
      <c r="CI8" s="94">
        <f t="shared" si="4"/>
        <v>206.5</v>
      </c>
      <c r="CJ8" s="110">
        <v>200000</v>
      </c>
      <c r="DA8" s="129">
        <v>0.9</v>
      </c>
      <c r="DB8" s="130">
        <v>0.11899999999999999</v>
      </c>
      <c r="DC8" s="130">
        <v>0.11799999999999999</v>
      </c>
      <c r="DD8" s="130">
        <v>0.114</v>
      </c>
      <c r="DE8" s="130">
        <v>0.105</v>
      </c>
      <c r="DF8" s="130">
        <v>9.1999999999999998E-2</v>
      </c>
      <c r="DG8" s="130">
        <v>7.3999999999999996E-2</v>
      </c>
      <c r="DH8" s="130">
        <v>5.1999999999999998E-2</v>
      </c>
      <c r="DI8" s="130">
        <v>3.2000000000000001E-2</v>
      </c>
      <c r="DJ8" s="130">
        <v>3.2000000000000001E-2</v>
      </c>
    </row>
    <row r="9" spans="1:114" ht="15">
      <c r="A9" s="21" t="s">
        <v>3</v>
      </c>
      <c r="B9" s="3">
        <f t="shared" si="0"/>
        <v>206000</v>
      </c>
      <c r="C9" s="3">
        <v>225</v>
      </c>
      <c r="D9" s="177">
        <v>360</v>
      </c>
      <c r="E9" s="9">
        <v>1.05</v>
      </c>
      <c r="F9" s="87"/>
      <c r="G9" s="87"/>
      <c r="H9" s="87"/>
      <c r="I9" s="87"/>
      <c r="V9" s="93">
        <v>22</v>
      </c>
      <c r="W9" s="5">
        <v>2.5</v>
      </c>
      <c r="X9" s="10">
        <f t="shared" si="5"/>
        <v>380.13271108436498</v>
      </c>
      <c r="Y9" s="5">
        <v>303</v>
      </c>
      <c r="Z9" s="5">
        <v>1.1000000000000001</v>
      </c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V9" s="5">
        <v>450</v>
      </c>
      <c r="AW9" s="5">
        <v>700</v>
      </c>
      <c r="AX9" s="5">
        <v>595</v>
      </c>
      <c r="BI9" s="104" t="s">
        <v>162</v>
      </c>
      <c r="BJ9" s="105" t="s">
        <v>163</v>
      </c>
      <c r="BK9" s="106">
        <v>32500</v>
      </c>
      <c r="BL9" s="107">
        <v>22</v>
      </c>
      <c r="BM9" s="107">
        <v>17</v>
      </c>
      <c r="BN9" s="108">
        <v>1.75</v>
      </c>
      <c r="BO9" s="109">
        <v>1.1499999999999999</v>
      </c>
      <c r="BP9" s="103" t="s">
        <v>164</v>
      </c>
      <c r="BQ9" s="103">
        <f t="shared" si="6"/>
        <v>25</v>
      </c>
      <c r="CC9" s="94" t="s">
        <v>165</v>
      </c>
      <c r="CD9" s="95">
        <v>390</v>
      </c>
      <c r="CE9" s="95">
        <v>590</v>
      </c>
      <c r="CF9" s="94">
        <f t="shared" si="1"/>
        <v>390</v>
      </c>
      <c r="CG9" s="94">
        <f t="shared" si="2"/>
        <v>339.13043478260875</v>
      </c>
      <c r="CH9" s="94">
        <f t="shared" si="3"/>
        <v>390</v>
      </c>
      <c r="CI9" s="94">
        <f t="shared" si="4"/>
        <v>273</v>
      </c>
      <c r="CJ9" s="110">
        <v>200000</v>
      </c>
      <c r="DA9" s="129">
        <v>9999</v>
      </c>
      <c r="DB9" s="130">
        <v>0.11899999999999999</v>
      </c>
      <c r="DC9" s="130">
        <v>0.11799999999999999</v>
      </c>
      <c r="DD9" s="130">
        <v>0.114</v>
      </c>
      <c r="DE9" s="130">
        <v>0.105</v>
      </c>
      <c r="DF9" s="130">
        <v>9.1999999999999998E-2</v>
      </c>
      <c r="DG9" s="130">
        <v>7.3999999999999996E-2</v>
      </c>
      <c r="DH9" s="130">
        <v>5.1999999999999998E-2</v>
      </c>
      <c r="DI9" s="130">
        <v>3.2000000000000001E-2</v>
      </c>
      <c r="DJ9" s="130">
        <v>3.2000000000000001E-2</v>
      </c>
    </row>
    <row r="10" spans="1:114" ht="15">
      <c r="A10" s="21" t="s">
        <v>5</v>
      </c>
      <c r="B10" s="3">
        <f t="shared" si="0"/>
        <v>206000</v>
      </c>
      <c r="C10" s="3">
        <v>215</v>
      </c>
      <c r="D10" s="177">
        <v>360</v>
      </c>
      <c r="E10" s="9">
        <v>1.05</v>
      </c>
      <c r="F10" s="87"/>
      <c r="G10" s="87"/>
      <c r="H10" s="87"/>
      <c r="I10" s="87"/>
      <c r="V10" s="93">
        <v>24</v>
      </c>
      <c r="W10" s="5">
        <v>3</v>
      </c>
      <c r="X10" s="10">
        <f t="shared" si="5"/>
        <v>452.38934211693021</v>
      </c>
      <c r="Y10" s="5">
        <v>353</v>
      </c>
      <c r="Z10" s="5">
        <v>1.1000000000000001</v>
      </c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V10" s="5">
        <v>460</v>
      </c>
      <c r="AW10" s="5">
        <v>720</v>
      </c>
      <c r="AX10" s="5">
        <v>605</v>
      </c>
      <c r="BI10" s="104" t="s">
        <v>166</v>
      </c>
      <c r="BJ10" s="105" t="s">
        <v>167</v>
      </c>
      <c r="BK10" s="106">
        <v>34500</v>
      </c>
      <c r="BL10" s="107">
        <v>25.5</v>
      </c>
      <c r="BM10" s="107">
        <v>19.5</v>
      </c>
      <c r="BN10" s="108">
        <v>1.95</v>
      </c>
      <c r="BO10" s="109">
        <v>1.3</v>
      </c>
      <c r="BP10" s="103" t="s">
        <v>168</v>
      </c>
      <c r="BQ10" s="103">
        <f t="shared" si="6"/>
        <v>28</v>
      </c>
      <c r="CC10" s="94" t="s">
        <v>169</v>
      </c>
      <c r="CD10" s="95">
        <v>240</v>
      </c>
      <c r="CE10" s="95">
        <v>380</v>
      </c>
      <c r="CF10" s="94">
        <f t="shared" si="1"/>
        <v>240</v>
      </c>
      <c r="CG10" s="94"/>
      <c r="CH10" s="94">
        <f t="shared" si="3"/>
        <v>240</v>
      </c>
      <c r="CI10" s="94">
        <v>170</v>
      </c>
      <c r="CJ10" s="96">
        <v>200000</v>
      </c>
    </row>
    <row r="11" spans="1:114" ht="15">
      <c r="A11" s="21" t="s">
        <v>6</v>
      </c>
      <c r="B11" s="3">
        <f t="shared" si="0"/>
        <v>206000</v>
      </c>
      <c r="C11" s="3">
        <v>215</v>
      </c>
      <c r="D11" s="177">
        <v>360</v>
      </c>
      <c r="E11" s="9">
        <v>1.05</v>
      </c>
      <c r="F11" s="87"/>
      <c r="G11" s="87"/>
      <c r="H11" s="87"/>
      <c r="I11" s="87"/>
      <c r="V11" s="93">
        <v>27</v>
      </c>
      <c r="W11" s="5">
        <v>3</v>
      </c>
      <c r="X11" s="10">
        <f t="shared" si="5"/>
        <v>572.55526111673976</v>
      </c>
      <c r="Y11" s="5">
        <v>459</v>
      </c>
      <c r="Z11" s="5">
        <v>1.2</v>
      </c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V11" s="5">
        <v>470</v>
      </c>
      <c r="AW11" s="5">
        <v>735</v>
      </c>
      <c r="AX11" s="5">
        <v>620</v>
      </c>
      <c r="BI11" s="104" t="s">
        <v>170</v>
      </c>
      <c r="BJ11" s="105" t="s">
        <v>171</v>
      </c>
      <c r="BK11" s="106">
        <v>36000</v>
      </c>
      <c r="BL11" s="107">
        <v>29</v>
      </c>
      <c r="BM11" s="107">
        <v>22</v>
      </c>
      <c r="BN11" s="108">
        <v>2.1</v>
      </c>
      <c r="BO11" s="109">
        <v>1.4</v>
      </c>
      <c r="BP11" s="103" t="s">
        <v>172</v>
      </c>
      <c r="BQ11" s="103">
        <f t="shared" si="6"/>
        <v>32</v>
      </c>
      <c r="CC11" s="94" t="s">
        <v>173</v>
      </c>
      <c r="CD11" s="95">
        <v>300</v>
      </c>
      <c r="CE11" s="95">
        <v>440</v>
      </c>
      <c r="CF11" s="94">
        <f t="shared" si="1"/>
        <v>300</v>
      </c>
      <c r="CG11" s="94"/>
      <c r="CH11" s="94">
        <f t="shared" si="3"/>
        <v>300</v>
      </c>
      <c r="CI11" s="94">
        <v>210</v>
      </c>
      <c r="CJ11" s="96">
        <v>200000</v>
      </c>
    </row>
    <row r="12" spans="1:114" ht="15">
      <c r="A12" s="21" t="s">
        <v>7</v>
      </c>
      <c r="B12" s="3">
        <f t="shared" si="0"/>
        <v>206000</v>
      </c>
      <c r="C12" s="3">
        <v>215</v>
      </c>
      <c r="D12" s="177">
        <v>360</v>
      </c>
      <c r="E12" s="9">
        <v>1.05</v>
      </c>
      <c r="F12" s="87"/>
      <c r="G12" s="87"/>
      <c r="H12" s="87"/>
      <c r="I12" s="87"/>
      <c r="V12" s="93">
        <v>30</v>
      </c>
      <c r="W12" s="5">
        <v>3.5</v>
      </c>
      <c r="X12" s="10">
        <f t="shared" si="5"/>
        <v>706.85834705770344</v>
      </c>
      <c r="Y12" s="5">
        <v>561</v>
      </c>
      <c r="Z12" s="5">
        <v>1.3</v>
      </c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V12" s="5">
        <v>480</v>
      </c>
      <c r="AW12" s="5">
        <v>750</v>
      </c>
      <c r="AX12" s="5">
        <v>630</v>
      </c>
      <c r="BI12" s="104" t="s">
        <v>174</v>
      </c>
      <c r="BJ12" s="105" t="s">
        <v>175</v>
      </c>
      <c r="BK12" s="106">
        <v>37000</v>
      </c>
      <c r="BL12" s="107">
        <v>32</v>
      </c>
      <c r="BM12" s="107">
        <v>25</v>
      </c>
      <c r="BN12" s="108">
        <v>2.25</v>
      </c>
      <c r="BO12" s="109">
        <v>1.5</v>
      </c>
      <c r="BP12" s="103" t="s">
        <v>176</v>
      </c>
      <c r="BQ12" s="103">
        <f t="shared" si="6"/>
        <v>35</v>
      </c>
      <c r="CC12" s="94" t="s">
        <v>177</v>
      </c>
      <c r="CD12" s="95">
        <v>300</v>
      </c>
      <c r="CE12" s="95">
        <v>450</v>
      </c>
      <c r="CF12" s="94">
        <f t="shared" si="1"/>
        <v>300</v>
      </c>
      <c r="CG12" s="94"/>
      <c r="CH12" s="94">
        <f t="shared" si="3"/>
        <v>300</v>
      </c>
      <c r="CI12" s="94">
        <v>210</v>
      </c>
      <c r="CJ12" s="96">
        <v>200000</v>
      </c>
    </row>
    <row r="13" spans="1:114" ht="15">
      <c r="A13" s="21" t="s">
        <v>8</v>
      </c>
      <c r="B13" s="3">
        <f t="shared" si="0"/>
        <v>206000</v>
      </c>
      <c r="C13" s="3">
        <v>275</v>
      </c>
      <c r="D13" s="177">
        <v>410</v>
      </c>
      <c r="E13" s="9">
        <v>1.05</v>
      </c>
      <c r="F13" s="87"/>
      <c r="G13" s="87"/>
      <c r="H13" s="87"/>
      <c r="I13" s="87"/>
      <c r="V13" s="93">
        <v>36</v>
      </c>
      <c r="W13" s="5">
        <v>4</v>
      </c>
      <c r="X13" s="10">
        <f t="shared" si="5"/>
        <v>1017.8760197630929</v>
      </c>
      <c r="Y13" s="5">
        <v>816</v>
      </c>
      <c r="Z13" s="5">
        <v>1.3</v>
      </c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V13" s="5">
        <v>490</v>
      </c>
      <c r="AW13" s="5">
        <v>765</v>
      </c>
      <c r="AX13" s="5">
        <v>645</v>
      </c>
      <c r="BI13" s="104" t="s">
        <v>178</v>
      </c>
      <c r="BJ13" s="105" t="s">
        <v>179</v>
      </c>
      <c r="BK13" s="106">
        <v>38000</v>
      </c>
      <c r="BL13" s="107">
        <v>36</v>
      </c>
      <c r="BM13" s="107">
        <v>27.5</v>
      </c>
      <c r="BN13" s="108">
        <v>2.4500000000000002</v>
      </c>
      <c r="BO13" s="109">
        <v>1.6</v>
      </c>
      <c r="BP13" s="103" t="s">
        <v>180</v>
      </c>
      <c r="BQ13" s="103">
        <f t="shared" si="6"/>
        <v>40</v>
      </c>
      <c r="CC13" s="94" t="s">
        <v>181</v>
      </c>
      <c r="CD13" s="95">
        <v>400</v>
      </c>
      <c r="CE13" s="95">
        <v>570</v>
      </c>
      <c r="CF13" s="94">
        <f t="shared" si="1"/>
        <v>400</v>
      </c>
      <c r="CG13" s="94"/>
      <c r="CH13" s="94">
        <f t="shared" si="3"/>
        <v>400</v>
      </c>
      <c r="CI13" s="94">
        <v>280</v>
      </c>
      <c r="CJ13" s="96">
        <v>200000</v>
      </c>
    </row>
    <row r="14" spans="1:114" ht="15">
      <c r="A14" s="21" t="s">
        <v>9</v>
      </c>
      <c r="B14" s="3">
        <f t="shared" si="0"/>
        <v>206000</v>
      </c>
      <c r="C14" s="3">
        <v>265</v>
      </c>
      <c r="D14" s="177">
        <v>410</v>
      </c>
      <c r="E14" s="9">
        <v>1.05</v>
      </c>
      <c r="F14" s="87"/>
      <c r="G14" s="87"/>
      <c r="H14" s="87"/>
      <c r="I14" s="87"/>
      <c r="V14" s="93">
        <v>42</v>
      </c>
      <c r="W14" s="5">
        <v>4.5</v>
      </c>
      <c r="X14" s="10">
        <f t="shared" si="5"/>
        <v>1385.4423602330987</v>
      </c>
      <c r="Y14" s="5">
        <v>1120</v>
      </c>
      <c r="Z14" s="5">
        <v>1.6</v>
      </c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V14" s="5">
        <v>510</v>
      </c>
      <c r="AW14" s="5">
        <v>795</v>
      </c>
      <c r="AX14" s="5">
        <v>670</v>
      </c>
      <c r="BI14" s="104" t="s">
        <v>178</v>
      </c>
      <c r="BJ14" s="105" t="s">
        <v>182</v>
      </c>
      <c r="BK14" s="106">
        <v>39000</v>
      </c>
      <c r="BL14" s="107">
        <v>39.5</v>
      </c>
      <c r="BM14" s="107">
        <v>30</v>
      </c>
      <c r="BN14" s="108">
        <v>2.6</v>
      </c>
      <c r="BO14" s="109">
        <v>1.7</v>
      </c>
      <c r="BP14" s="103" t="s">
        <v>183</v>
      </c>
      <c r="BQ14" s="103">
        <f t="shared" si="6"/>
        <v>45</v>
      </c>
      <c r="CC14" s="94" t="s">
        <v>184</v>
      </c>
      <c r="CD14" s="95">
        <v>500</v>
      </c>
      <c r="CE14" s="95">
        <v>650</v>
      </c>
      <c r="CF14" s="94">
        <f t="shared" si="1"/>
        <v>500</v>
      </c>
      <c r="CG14" s="94"/>
      <c r="CH14" s="94">
        <f t="shared" si="3"/>
        <v>500</v>
      </c>
      <c r="CI14" s="94">
        <v>300</v>
      </c>
      <c r="CJ14" s="96">
        <v>200000</v>
      </c>
    </row>
    <row r="15" spans="1:114" ht="15.75" thickBot="1">
      <c r="A15" s="21" t="s">
        <v>10</v>
      </c>
      <c r="B15" s="3">
        <f t="shared" si="0"/>
        <v>206000</v>
      </c>
      <c r="C15" s="3">
        <v>255</v>
      </c>
      <c r="D15" s="177">
        <v>410</v>
      </c>
      <c r="E15" s="9">
        <v>1.05</v>
      </c>
      <c r="F15" s="87"/>
      <c r="G15" s="87"/>
      <c r="H15" s="87"/>
      <c r="I15" s="87"/>
      <c r="V15" s="93">
        <v>48</v>
      </c>
      <c r="W15" s="5">
        <v>5</v>
      </c>
      <c r="X15" s="10">
        <f t="shared" si="5"/>
        <v>1809.5573684677208</v>
      </c>
      <c r="Y15" s="5">
        <v>1472</v>
      </c>
      <c r="Z15" s="5">
        <v>1.6</v>
      </c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V15" s="5">
        <v>540</v>
      </c>
      <c r="AW15" s="5">
        <v>845</v>
      </c>
      <c r="AX15" s="5">
        <v>710</v>
      </c>
      <c r="BI15" s="111" t="s">
        <v>185</v>
      </c>
      <c r="BJ15" s="112" t="s">
        <v>186</v>
      </c>
      <c r="BK15" s="113">
        <v>39500</v>
      </c>
      <c r="BL15" s="114">
        <v>43</v>
      </c>
      <c r="BM15" s="114">
        <v>33</v>
      </c>
      <c r="BN15" s="115">
        <v>2.75</v>
      </c>
      <c r="BO15" s="116">
        <v>1.8</v>
      </c>
      <c r="BP15" s="103" t="s">
        <v>187</v>
      </c>
      <c r="BQ15" s="103">
        <f t="shared" si="6"/>
        <v>50</v>
      </c>
      <c r="CC15" s="94" t="s">
        <v>188</v>
      </c>
      <c r="CD15" s="95">
        <v>235</v>
      </c>
      <c r="CE15" s="95">
        <v>380</v>
      </c>
      <c r="CF15" s="94">
        <f t="shared" si="1"/>
        <v>235</v>
      </c>
      <c r="CG15" s="94">
        <f t="shared" si="2"/>
        <v>204.34782608695653</v>
      </c>
      <c r="CH15" s="94">
        <f t="shared" si="3"/>
        <v>235</v>
      </c>
      <c r="CI15" s="94">
        <f t="shared" si="4"/>
        <v>164.5</v>
      </c>
      <c r="CJ15" s="117">
        <v>200000</v>
      </c>
    </row>
    <row r="16" spans="1:114">
      <c r="A16" s="21" t="s">
        <v>11</v>
      </c>
      <c r="B16" s="3">
        <f t="shared" si="0"/>
        <v>206000</v>
      </c>
      <c r="C16" s="3">
        <v>245</v>
      </c>
      <c r="D16" s="177">
        <v>410</v>
      </c>
      <c r="E16" s="9">
        <v>1.05</v>
      </c>
      <c r="F16" s="87"/>
      <c r="G16" s="87"/>
      <c r="H16" s="87"/>
      <c r="I16" s="87"/>
      <c r="AV16" s="5">
        <v>570</v>
      </c>
      <c r="AW16" s="5">
        <v>890</v>
      </c>
      <c r="AX16" s="5">
        <v>750</v>
      </c>
      <c r="CC16" s="94" t="s">
        <v>189</v>
      </c>
      <c r="CD16" s="95">
        <v>295</v>
      </c>
      <c r="CE16" s="95">
        <v>440</v>
      </c>
      <c r="CF16" s="94">
        <f t="shared" si="1"/>
        <v>295</v>
      </c>
      <c r="CG16" s="94">
        <f t="shared" si="2"/>
        <v>256.52173913043481</v>
      </c>
      <c r="CH16" s="94">
        <f t="shared" si="3"/>
        <v>295</v>
      </c>
      <c r="CI16" s="94">
        <f t="shared" si="4"/>
        <v>206.5</v>
      </c>
      <c r="CJ16" s="117">
        <v>200000</v>
      </c>
    </row>
    <row r="17" spans="1:88">
      <c r="A17" s="21" t="s">
        <v>12</v>
      </c>
      <c r="B17" s="3">
        <f t="shared" si="0"/>
        <v>206000</v>
      </c>
      <c r="C17" s="3">
        <v>235</v>
      </c>
      <c r="D17" s="177">
        <v>410</v>
      </c>
      <c r="E17" s="9">
        <v>1.05</v>
      </c>
      <c r="F17" s="87"/>
      <c r="G17" s="87"/>
      <c r="H17" s="87"/>
      <c r="I17" s="87"/>
      <c r="AV17" s="5">
        <v>590</v>
      </c>
      <c r="AW17" s="5">
        <v>920</v>
      </c>
      <c r="AX17" s="5">
        <v>775</v>
      </c>
      <c r="CC17" s="94" t="s">
        <v>190</v>
      </c>
      <c r="CD17" s="95">
        <v>295</v>
      </c>
      <c r="CE17" s="95">
        <v>440</v>
      </c>
      <c r="CF17" s="94">
        <f t="shared" si="1"/>
        <v>295</v>
      </c>
      <c r="CG17" s="94">
        <f t="shared" si="2"/>
        <v>256.52173913043481</v>
      </c>
      <c r="CH17" s="94">
        <f t="shared" si="3"/>
        <v>295</v>
      </c>
      <c r="CI17" s="94">
        <f t="shared" si="4"/>
        <v>206.5</v>
      </c>
      <c r="CJ17" s="117">
        <v>200000</v>
      </c>
    </row>
    <row r="18" spans="1:88">
      <c r="A18" s="21" t="s">
        <v>13</v>
      </c>
      <c r="B18" s="3">
        <f t="shared" si="0"/>
        <v>206000</v>
      </c>
      <c r="C18" s="3">
        <v>355</v>
      </c>
      <c r="D18" s="177">
        <v>470</v>
      </c>
      <c r="E18" s="9">
        <v>1.05</v>
      </c>
      <c r="F18" s="87"/>
      <c r="G18" s="87"/>
      <c r="H18" s="87"/>
      <c r="I18" s="87"/>
      <c r="AV18" s="5"/>
      <c r="AW18" s="5"/>
      <c r="AX18" s="5"/>
      <c r="CC18" s="94" t="s">
        <v>191</v>
      </c>
      <c r="CD18" s="95">
        <v>390</v>
      </c>
      <c r="CE18" s="95">
        <v>560</v>
      </c>
      <c r="CF18" s="94">
        <f t="shared" si="1"/>
        <v>390</v>
      </c>
      <c r="CG18" s="94">
        <f t="shared" si="2"/>
        <v>339.13043478260875</v>
      </c>
      <c r="CH18" s="94">
        <f t="shared" si="3"/>
        <v>390</v>
      </c>
      <c r="CI18" s="94">
        <f t="shared" si="4"/>
        <v>273</v>
      </c>
      <c r="CJ18" s="110">
        <v>200000</v>
      </c>
    </row>
    <row r="19" spans="1:88">
      <c r="A19" s="21" t="s">
        <v>14</v>
      </c>
      <c r="B19" s="3">
        <f t="shared" si="0"/>
        <v>206000</v>
      </c>
      <c r="C19" s="3">
        <v>345</v>
      </c>
      <c r="D19" s="177">
        <v>470</v>
      </c>
      <c r="E19" s="9">
        <v>1.05</v>
      </c>
      <c r="F19" s="87"/>
      <c r="G19" s="87"/>
      <c r="H19" s="87"/>
      <c r="I19" s="87"/>
      <c r="AV19" s="5"/>
      <c r="AW19" s="5"/>
      <c r="AX19" s="5"/>
      <c r="CC19" s="94" t="s">
        <v>192</v>
      </c>
      <c r="CD19" s="95">
        <v>490</v>
      </c>
      <c r="CE19" s="95">
        <v>620</v>
      </c>
      <c r="CF19" s="94">
        <f t="shared" si="1"/>
        <v>490</v>
      </c>
      <c r="CG19" s="94">
        <f t="shared" si="2"/>
        <v>426.08695652173918</v>
      </c>
      <c r="CH19" s="94">
        <f t="shared" si="3"/>
        <v>490</v>
      </c>
      <c r="CI19" s="94">
        <f t="shared" si="4"/>
        <v>343</v>
      </c>
      <c r="CJ19" s="117">
        <v>200000</v>
      </c>
    </row>
    <row r="20" spans="1:88">
      <c r="A20" s="21" t="s">
        <v>15</v>
      </c>
      <c r="B20" s="3">
        <f t="shared" si="0"/>
        <v>206000</v>
      </c>
      <c r="C20" s="3">
        <v>335</v>
      </c>
      <c r="D20" s="177">
        <v>470</v>
      </c>
      <c r="E20" s="9">
        <v>1.05</v>
      </c>
      <c r="F20" s="87"/>
      <c r="G20" s="87"/>
      <c r="H20" s="87"/>
      <c r="I20" s="87"/>
      <c r="AV20" s="5"/>
      <c r="AW20" s="5"/>
      <c r="AX20" s="5"/>
      <c r="CC20" s="118"/>
      <c r="CD20" s="119"/>
      <c r="CE20" s="119"/>
    </row>
    <row r="21" spans="1:88">
      <c r="A21" s="21" t="s">
        <v>16</v>
      </c>
      <c r="B21" s="3">
        <f t="shared" si="0"/>
        <v>206000</v>
      </c>
      <c r="C21" s="3">
        <v>325</v>
      </c>
      <c r="D21" s="177">
        <v>470</v>
      </c>
      <c r="E21" s="9">
        <v>1.05</v>
      </c>
      <c r="F21" s="87"/>
      <c r="G21" s="87"/>
      <c r="H21" s="87"/>
      <c r="I21" s="87"/>
      <c r="AV21" s="5"/>
      <c r="AW21" s="5"/>
      <c r="AX21" s="5"/>
      <c r="CC21" s="118"/>
      <c r="CD21" s="119"/>
      <c r="CE21" s="119"/>
    </row>
    <row r="22" spans="1:88">
      <c r="A22" s="21" t="s">
        <v>17</v>
      </c>
      <c r="B22" s="3">
        <f t="shared" si="0"/>
        <v>206000</v>
      </c>
      <c r="C22" s="3">
        <v>315</v>
      </c>
      <c r="D22" s="177">
        <v>470</v>
      </c>
      <c r="E22" s="9">
        <v>1.05</v>
      </c>
      <c r="F22" s="87"/>
      <c r="G22" s="87"/>
      <c r="H22" s="87"/>
      <c r="I22" s="87"/>
      <c r="AV22" s="5"/>
      <c r="AW22" s="5"/>
      <c r="AX22" s="5"/>
    </row>
    <row r="23" spans="1:88">
      <c r="A23" s="21" t="s">
        <v>96</v>
      </c>
      <c r="B23" s="3">
        <f t="shared" si="0"/>
        <v>206000</v>
      </c>
      <c r="C23" s="3">
        <v>205</v>
      </c>
      <c r="D23" s="177">
        <v>330</v>
      </c>
      <c r="E23" s="9">
        <v>1.05</v>
      </c>
      <c r="F23" s="87"/>
      <c r="G23" s="87"/>
      <c r="H23" s="87"/>
      <c r="I23" s="87"/>
      <c r="AV23" s="5"/>
      <c r="AW23" s="5"/>
      <c r="AX23" s="5"/>
    </row>
    <row r="24" spans="1:88">
      <c r="A24" s="21" t="s">
        <v>97</v>
      </c>
      <c r="B24" s="3">
        <f t="shared" si="0"/>
        <v>206000</v>
      </c>
      <c r="C24" s="3">
        <v>195</v>
      </c>
      <c r="D24" s="177">
        <v>330</v>
      </c>
      <c r="E24" s="9">
        <v>1.05</v>
      </c>
      <c r="F24" s="87"/>
      <c r="G24" s="87"/>
      <c r="H24" s="87"/>
      <c r="I24" s="87"/>
    </row>
    <row r="25" spans="1:88">
      <c r="A25" s="21" t="s">
        <v>98</v>
      </c>
      <c r="B25" s="3">
        <f t="shared" si="0"/>
        <v>206000</v>
      </c>
      <c r="C25" s="3">
        <v>245</v>
      </c>
      <c r="D25" s="177">
        <v>400</v>
      </c>
      <c r="E25" s="9">
        <v>1.05</v>
      </c>
      <c r="F25" s="87"/>
      <c r="G25" s="87"/>
      <c r="H25" s="87"/>
      <c r="I25" s="87"/>
    </row>
    <row r="26" spans="1:88">
      <c r="A26" s="21" t="s">
        <v>99</v>
      </c>
      <c r="B26" s="3">
        <f t="shared" si="0"/>
        <v>206000</v>
      </c>
      <c r="C26" s="3">
        <v>235</v>
      </c>
      <c r="D26" s="177">
        <v>400</v>
      </c>
      <c r="E26" s="9">
        <v>1.05</v>
      </c>
      <c r="F26" s="87"/>
      <c r="G26" s="87"/>
      <c r="H26" s="87"/>
      <c r="I26" s="87"/>
    </row>
    <row r="27" spans="1:88">
      <c r="A27" s="21" t="s">
        <v>100</v>
      </c>
      <c r="B27" s="3">
        <f t="shared" si="0"/>
        <v>206000</v>
      </c>
      <c r="C27" s="3">
        <v>285</v>
      </c>
      <c r="D27" s="177">
        <v>490</v>
      </c>
      <c r="E27" s="9">
        <v>1.05</v>
      </c>
      <c r="F27" s="87"/>
      <c r="G27" s="87"/>
      <c r="H27" s="87"/>
      <c r="I27" s="87"/>
    </row>
    <row r="28" spans="1:88">
      <c r="A28" s="21" t="s">
        <v>101</v>
      </c>
      <c r="B28" s="3">
        <f t="shared" si="0"/>
        <v>206000</v>
      </c>
      <c r="C28" s="3">
        <v>275</v>
      </c>
      <c r="D28" s="177">
        <v>490</v>
      </c>
      <c r="E28" s="9">
        <v>1.05</v>
      </c>
      <c r="F28" s="87"/>
      <c r="G28" s="87"/>
      <c r="H28" s="87"/>
      <c r="I28" s="87"/>
    </row>
    <row r="29" spans="1:88">
      <c r="A29" s="21" t="s">
        <v>102</v>
      </c>
      <c r="B29" s="3">
        <f t="shared" si="0"/>
        <v>206000</v>
      </c>
      <c r="C29" s="3">
        <v>400</v>
      </c>
      <c r="D29" s="177">
        <v>540</v>
      </c>
      <c r="E29" s="9">
        <v>1.05</v>
      </c>
      <c r="F29" s="87"/>
      <c r="G29" s="87"/>
      <c r="H29" s="87"/>
      <c r="I29" s="87"/>
    </row>
    <row r="30" spans="1:88">
      <c r="A30" s="21" t="s">
        <v>103</v>
      </c>
      <c r="B30" s="3">
        <f t="shared" si="0"/>
        <v>206000</v>
      </c>
      <c r="C30" s="3">
        <v>390</v>
      </c>
      <c r="D30" s="177">
        <v>540</v>
      </c>
      <c r="E30" s="9">
        <v>1.05</v>
      </c>
    </row>
    <row r="31" spans="1:88">
      <c r="A31" s="21" t="s">
        <v>319</v>
      </c>
      <c r="B31" s="3">
        <f t="shared" si="0"/>
        <v>206000</v>
      </c>
      <c r="C31" s="3">
        <v>220</v>
      </c>
      <c r="D31" s="177">
        <v>340</v>
      </c>
      <c r="E31" s="9">
        <v>1.05</v>
      </c>
    </row>
    <row r="32" spans="1:88">
      <c r="A32" s="21" t="s">
        <v>320</v>
      </c>
      <c r="B32" s="3">
        <f t="shared" si="0"/>
        <v>206000</v>
      </c>
      <c r="C32" s="3">
        <v>240</v>
      </c>
      <c r="D32" s="177">
        <v>380</v>
      </c>
      <c r="E32" s="9">
        <v>1.05</v>
      </c>
    </row>
    <row r="33" spans="1:5">
      <c r="A33" s="21" t="s">
        <v>321</v>
      </c>
      <c r="B33" s="3">
        <f t="shared" si="0"/>
        <v>206000</v>
      </c>
      <c r="C33" s="3">
        <v>260</v>
      </c>
      <c r="D33" s="177">
        <v>420</v>
      </c>
      <c r="E33" s="9">
        <v>1.05</v>
      </c>
    </row>
  </sheetData>
  <mergeCells count="14">
    <mergeCell ref="K1:O2"/>
    <mergeCell ref="V1:Z2"/>
    <mergeCell ref="AV1:AX1"/>
    <mergeCell ref="AZ1:BB1"/>
    <mergeCell ref="BI1:BJ4"/>
    <mergeCell ref="BK1:BK3"/>
    <mergeCell ref="BL1:BO1"/>
    <mergeCell ref="BP1:BQ2"/>
    <mergeCell ref="CC1:CJ1"/>
    <mergeCell ref="DA1:DJ1"/>
    <mergeCell ref="BL2:BM2"/>
    <mergeCell ref="BN2:BO2"/>
    <mergeCell ref="CC2:CC3"/>
    <mergeCell ref="BP3:BP4"/>
  </mergeCells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C00000"/>
    <pageSetUpPr fitToPage="1"/>
  </sheetPr>
  <dimension ref="B1:FZ3156"/>
  <sheetViews>
    <sheetView showGridLines="0" tabSelected="1" topLeftCell="BU8" zoomScale="145" zoomScaleNormal="145" zoomScaleSheetLayoutView="115" workbookViewId="0">
      <selection activeCell="DZ16" sqref="DZ16:EL17"/>
    </sheetView>
  </sheetViews>
  <sheetFormatPr defaultColWidth="7.28515625" defaultRowHeight="12.75"/>
  <cols>
    <col min="1" max="1" width="4.5703125" style="1" customWidth="1"/>
    <col min="2" max="2" width="7.85546875" style="1" customWidth="1"/>
    <col min="3" max="3" width="8.140625" style="1" bestFit="1" customWidth="1"/>
    <col min="4" max="5" width="7.85546875" style="1" bestFit="1" customWidth="1"/>
    <col min="6" max="7" width="7.28515625" style="1"/>
    <col min="8" max="10" width="8.140625" style="1" bestFit="1" customWidth="1"/>
    <col min="11" max="11" width="8.28515625" style="1" customWidth="1"/>
    <col min="12" max="12" width="8.140625" style="1" customWidth="1"/>
    <col min="13" max="13" width="8" style="1" customWidth="1"/>
    <col min="14" max="14" width="7" style="1" bestFit="1" customWidth="1"/>
    <col min="15" max="15" width="15" style="1" bestFit="1" customWidth="1"/>
    <col min="16" max="16" width="7.28515625" style="1" hidden="1" customWidth="1"/>
    <col min="17" max="17" width="7.28515625" style="1" customWidth="1"/>
    <col min="18" max="25" width="7.28515625" style="1" hidden="1" customWidth="1"/>
    <col min="26" max="26" width="3.85546875" style="53" customWidth="1"/>
    <col min="27" max="27" width="15.7109375" style="12" customWidth="1"/>
    <col min="28" max="28" width="4.7109375" style="14" customWidth="1"/>
    <col min="29" max="30" width="4.7109375" style="64" customWidth="1"/>
    <col min="31" max="34" width="4.7109375" style="6" customWidth="1"/>
    <col min="35" max="35" width="4.7109375" style="12" customWidth="1"/>
    <col min="36" max="41" width="4.7109375" style="10" customWidth="1"/>
    <col min="42" max="42" width="6" style="10" bestFit="1" customWidth="1"/>
    <col min="43" max="43" width="4.7109375" style="10" customWidth="1"/>
    <col min="44" max="44" width="8.85546875" style="14" customWidth="1"/>
    <col min="45" max="52" width="4.7109375" style="15" customWidth="1"/>
    <col min="53" max="54" width="4.7109375" style="16" customWidth="1"/>
    <col min="55" max="55" width="4.7109375" style="17" customWidth="1"/>
    <col min="56" max="56" width="4.7109375" style="18" customWidth="1"/>
    <col min="57" max="57" width="4.7109375" style="23" customWidth="1"/>
    <col min="58" max="62" width="4.7109375" style="24" customWidth="1"/>
    <col min="63" max="63" width="4.7109375" style="25" customWidth="1"/>
    <col min="64" max="64" width="4.7109375" style="5" customWidth="1"/>
    <col min="65" max="65" width="4.7109375" style="15" hidden="1" customWidth="1"/>
    <col min="66" max="67" width="4.7109375" style="16" hidden="1" customWidth="1"/>
    <col min="68" max="68" width="4.7109375" style="18" hidden="1" customWidth="1"/>
    <col min="69" max="69" width="4.7109375" style="23" hidden="1" customWidth="1"/>
    <col min="70" max="74" width="4.7109375" style="24" customWidth="1"/>
    <col min="75" max="75" width="4.7109375" style="25" customWidth="1"/>
    <col min="76" max="76" width="4.7109375" style="5" customWidth="1"/>
    <col min="77" max="80" width="4.7109375" style="24" customWidth="1"/>
    <col min="81" max="81" width="4.7109375" style="25" customWidth="1"/>
    <col min="82" max="82" width="4.7109375" style="5" customWidth="1"/>
    <col min="83" max="84" width="5.42578125" style="1" hidden="1" customWidth="1"/>
    <col min="85" max="85" width="7.28515625" style="1" hidden="1" customWidth="1"/>
    <col min="86" max="87" width="5.5703125" style="1" hidden="1" customWidth="1"/>
    <col min="88" max="88" width="5.42578125" style="1" hidden="1" customWidth="1"/>
    <col min="89" max="89" width="7.28515625" style="1" hidden="1" customWidth="1"/>
    <col min="90" max="90" width="1" style="1" hidden="1" customWidth="1"/>
    <col min="91" max="91" width="6" style="1" hidden="1" customWidth="1"/>
    <col min="92" max="92" width="7.140625" style="1" hidden="1" customWidth="1"/>
    <col min="93" max="93" width="5.42578125" style="1" hidden="1" customWidth="1"/>
    <col min="94" max="94" width="6" style="1" hidden="1" customWidth="1"/>
    <col min="95" max="95" width="7.28515625" style="1" hidden="1" customWidth="1"/>
    <col min="96" max="96" width="9.140625" style="1" hidden="1" customWidth="1"/>
    <col min="97" max="103" width="7.28515625" style="1" hidden="1" customWidth="1"/>
    <col min="104" max="104" width="3.85546875" style="53" customWidth="1"/>
    <col min="105" max="105" width="10.85546875" style="12" customWidth="1"/>
    <col min="106" max="106" width="4.7109375" style="14" customWidth="1"/>
    <col min="107" max="108" width="4.7109375" style="64" customWidth="1"/>
    <col min="109" max="112" width="4.7109375" style="14" customWidth="1"/>
    <col min="113" max="113" width="4.7109375" style="12" hidden="1" customWidth="1"/>
    <col min="114" max="121" width="4.7109375" style="10" hidden="1" customWidth="1"/>
    <col min="122" max="122" width="5.42578125" style="14" customWidth="1"/>
    <col min="123" max="124" width="4.7109375" style="15" customWidth="1"/>
    <col min="125" max="125" width="5" style="15" bestFit="1" customWidth="1"/>
    <col min="126" max="127" width="4.7109375" style="15" customWidth="1"/>
    <col min="128" max="130" width="4.7109375" style="15" hidden="1" customWidth="1"/>
    <col min="131" max="132" width="4.7109375" style="16" hidden="1" customWidth="1"/>
    <col min="133" max="133" width="4.7109375" style="17" hidden="1" customWidth="1"/>
    <col min="134" max="134" width="4.7109375" style="18" customWidth="1"/>
    <col min="135" max="135" width="4.7109375" style="23" hidden="1" customWidth="1"/>
    <col min="136" max="136" width="4.7109375" style="24" customWidth="1"/>
    <col min="137" max="139" width="4.7109375" style="24" hidden="1" customWidth="1"/>
    <col min="140" max="140" width="4.7109375" style="24" customWidth="1"/>
    <col min="141" max="141" width="4.7109375" style="25" customWidth="1"/>
    <col min="142" max="142" width="4.7109375" style="5" customWidth="1"/>
    <col min="143" max="143" width="4.7109375" style="15" hidden="1" customWidth="1"/>
    <col min="144" max="145" width="4.7109375" style="16" hidden="1" customWidth="1"/>
    <col min="146" max="146" width="4.7109375" style="18" hidden="1" customWidth="1"/>
    <col min="147" max="147" width="4.7109375" style="23" hidden="1" customWidth="1"/>
    <col min="148" max="152" width="4.7109375" style="24" hidden="1" customWidth="1"/>
    <col min="153" max="153" width="4.7109375" style="25" customWidth="1"/>
    <col min="154" max="154" width="4.7109375" style="5" customWidth="1"/>
    <col min="155" max="158" width="4.7109375" style="24" hidden="1" customWidth="1"/>
    <col min="159" max="159" width="4.7109375" style="25" customWidth="1"/>
    <col min="160" max="160" width="4.7109375" style="5" customWidth="1"/>
    <col min="161" max="162" width="5.42578125" style="1" hidden="1" customWidth="1"/>
    <col min="163" max="163" width="7.28515625" style="1" hidden="1" customWidth="1"/>
    <col min="164" max="165" width="5.5703125" style="1" hidden="1" customWidth="1"/>
    <col min="166" max="166" width="5.42578125" style="1" hidden="1" customWidth="1"/>
    <col min="167" max="167" width="7.28515625" style="1" hidden="1" customWidth="1"/>
    <col min="168" max="168" width="1" style="1" hidden="1" customWidth="1"/>
    <col min="169" max="169" width="6" style="1" hidden="1" customWidth="1"/>
    <col min="170" max="170" width="7.140625" style="1" hidden="1" customWidth="1"/>
    <col min="171" max="171" width="5.42578125" style="1" hidden="1" customWidth="1"/>
    <col min="172" max="172" width="6" style="1" hidden="1" customWidth="1"/>
    <col min="173" max="173" width="7.28515625" style="1" hidden="1" customWidth="1"/>
    <col min="174" max="174" width="9.140625" style="1" hidden="1" customWidth="1"/>
    <col min="175" max="176" width="7.28515625" style="1" hidden="1" customWidth="1"/>
    <col min="177" max="181" width="0" style="1" hidden="1" customWidth="1"/>
    <col min="182" max="182" width="3.85546875" style="53" hidden="1" customWidth="1"/>
    <col min="183" max="16384" width="7.28515625" style="1"/>
  </cols>
  <sheetData>
    <row r="1" spans="2:182" ht="15" hidden="1" customHeight="1">
      <c r="AA1" s="52"/>
      <c r="AB1" s="52"/>
      <c r="AC1" s="52"/>
      <c r="AD1" s="52"/>
      <c r="AE1" s="151"/>
      <c r="AF1" s="151"/>
      <c r="AG1" s="151"/>
      <c r="AH1" s="151"/>
      <c r="AI1" s="52"/>
      <c r="AJ1" s="76"/>
      <c r="AK1" s="76"/>
      <c r="AL1" s="76"/>
      <c r="AM1" s="76"/>
      <c r="AN1" s="76"/>
      <c r="AO1" s="76"/>
      <c r="AP1" s="76"/>
      <c r="AQ1" s="76"/>
      <c r="AR1" s="52"/>
      <c r="AS1" s="52"/>
      <c r="AT1" s="52"/>
      <c r="AU1" s="52"/>
      <c r="AV1" s="52"/>
      <c r="AW1" s="52"/>
      <c r="AX1" s="52"/>
      <c r="AY1" s="52"/>
      <c r="AZ1" s="52"/>
      <c r="BA1" s="52"/>
      <c r="BB1" s="52"/>
      <c r="BC1" s="52"/>
      <c r="BD1" s="52"/>
      <c r="BE1" s="52"/>
      <c r="BF1" s="52"/>
      <c r="BG1" s="52"/>
      <c r="BH1" s="52"/>
      <c r="BI1" s="52"/>
      <c r="BJ1" s="52"/>
      <c r="BK1" s="52"/>
      <c r="BL1" s="52"/>
      <c r="BM1" s="153"/>
      <c r="BN1" s="52"/>
      <c r="BO1" s="52"/>
      <c r="BP1" s="52"/>
      <c r="BQ1" s="52"/>
      <c r="BR1" s="52"/>
      <c r="BS1" s="52"/>
      <c r="BT1" s="52"/>
      <c r="BU1" s="52"/>
      <c r="BV1" s="52"/>
      <c r="BW1" s="52"/>
      <c r="BX1" s="52"/>
      <c r="BY1" s="52"/>
      <c r="BZ1" s="52"/>
      <c r="CA1" s="52"/>
      <c r="CB1" s="52"/>
      <c r="CC1" s="52"/>
      <c r="CD1" s="52"/>
      <c r="DA1" s="52"/>
      <c r="DB1" s="52"/>
      <c r="DC1" s="52"/>
      <c r="DD1" s="52"/>
      <c r="DE1" s="52"/>
      <c r="DF1" s="52"/>
      <c r="DG1" s="52"/>
      <c r="DH1" s="52"/>
      <c r="DI1" s="52"/>
      <c r="DJ1" s="76"/>
      <c r="DK1" s="76"/>
      <c r="DL1" s="76"/>
      <c r="DM1" s="76"/>
      <c r="DN1" s="76"/>
      <c r="DO1" s="76"/>
      <c r="DP1" s="76"/>
      <c r="DQ1" s="76"/>
      <c r="DR1" s="52"/>
      <c r="DS1" s="52"/>
      <c r="DT1" s="52"/>
      <c r="DU1" s="52"/>
      <c r="DV1" s="52"/>
      <c r="DW1" s="52"/>
      <c r="DX1" s="52"/>
      <c r="DY1" s="52"/>
      <c r="DZ1" s="52"/>
      <c r="EA1" s="52"/>
      <c r="EB1" s="52"/>
      <c r="EC1" s="52"/>
      <c r="ED1" s="52"/>
      <c r="EE1" s="52"/>
      <c r="EF1" s="52"/>
      <c r="EG1" s="52"/>
      <c r="EH1" s="52"/>
      <c r="EI1" s="52"/>
      <c r="EJ1" s="52"/>
      <c r="EK1" s="52"/>
      <c r="EL1" s="52"/>
      <c r="EM1" s="52"/>
      <c r="EN1" s="52"/>
      <c r="EO1" s="52"/>
      <c r="EP1" s="52"/>
      <c r="EQ1" s="52"/>
      <c r="ER1" s="52"/>
      <c r="ES1" s="52"/>
      <c r="ET1" s="52"/>
      <c r="EU1" s="52"/>
      <c r="EV1" s="52"/>
      <c r="EW1" s="52"/>
      <c r="EX1" s="52"/>
      <c r="EY1" s="52"/>
      <c r="EZ1" s="52"/>
      <c r="FA1" s="52"/>
      <c r="FB1" s="52"/>
      <c r="FC1" s="52"/>
      <c r="FD1" s="52"/>
    </row>
    <row r="2" spans="2:182" ht="15" hidden="1" customHeight="1">
      <c r="AA2" s="52"/>
      <c r="AB2" s="52"/>
      <c r="AC2" s="52"/>
      <c r="AD2" s="52"/>
      <c r="AE2" s="151"/>
      <c r="AF2" s="151"/>
      <c r="AG2" s="151"/>
      <c r="AH2" s="151"/>
      <c r="AI2" s="52"/>
      <c r="AJ2" s="76"/>
      <c r="AK2" s="76"/>
      <c r="AL2" s="76"/>
      <c r="AM2" s="76"/>
      <c r="AN2" s="76"/>
      <c r="AO2" s="76"/>
      <c r="AP2" s="76"/>
      <c r="AQ2" s="76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153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52"/>
      <c r="CC2" s="52"/>
      <c r="CD2" s="52"/>
      <c r="DA2" s="52"/>
      <c r="DB2" s="52"/>
      <c r="DC2" s="52"/>
      <c r="DD2" s="52"/>
      <c r="DE2" s="52"/>
      <c r="DF2" s="52"/>
      <c r="DG2" s="52"/>
      <c r="DH2" s="52"/>
      <c r="DI2" s="52"/>
      <c r="DJ2" s="76"/>
      <c r="DK2" s="76"/>
      <c r="DL2" s="76"/>
      <c r="DM2" s="76"/>
      <c r="DN2" s="76"/>
      <c r="DO2" s="76"/>
      <c r="DP2" s="76"/>
      <c r="DQ2" s="76"/>
      <c r="DR2" s="52"/>
      <c r="DS2" s="52"/>
      <c r="DT2" s="52"/>
      <c r="DU2" s="52"/>
      <c r="DV2" s="52"/>
      <c r="DW2" s="52"/>
      <c r="DX2" s="52"/>
      <c r="DY2" s="52"/>
      <c r="DZ2" s="52"/>
      <c r="EA2" s="52"/>
      <c r="EB2" s="52"/>
      <c r="EC2" s="52"/>
      <c r="ED2" s="52"/>
      <c r="EE2" s="52"/>
      <c r="EF2" s="52"/>
      <c r="EG2" s="52"/>
      <c r="EH2" s="52"/>
      <c r="EI2" s="52"/>
      <c r="EJ2" s="52"/>
      <c r="EK2" s="52"/>
      <c r="EL2" s="52"/>
      <c r="EM2" s="52"/>
      <c r="EN2" s="52"/>
      <c r="EO2" s="52"/>
      <c r="EP2" s="52"/>
      <c r="EQ2" s="52"/>
      <c r="ER2" s="52"/>
      <c r="ES2" s="52"/>
      <c r="ET2" s="52"/>
      <c r="EU2" s="52"/>
      <c r="EV2" s="52"/>
      <c r="EW2" s="52"/>
      <c r="EX2" s="52"/>
      <c r="EY2" s="52"/>
      <c r="EZ2" s="52"/>
      <c r="FA2" s="52"/>
      <c r="FB2" s="52"/>
      <c r="FC2" s="52"/>
      <c r="FD2" s="52"/>
    </row>
    <row r="3" spans="2:182" ht="15" hidden="1" customHeight="1">
      <c r="AA3" s="52"/>
      <c r="AB3" s="52"/>
      <c r="AC3" s="52"/>
      <c r="AD3" s="52"/>
      <c r="AE3" s="151"/>
      <c r="AF3" s="151"/>
      <c r="AG3" s="151"/>
      <c r="AH3" s="151"/>
      <c r="AI3" s="52"/>
      <c r="AJ3" s="76"/>
      <c r="AK3" s="76"/>
      <c r="AL3" s="76"/>
      <c r="AM3" s="76"/>
      <c r="AN3" s="76"/>
      <c r="AO3" s="76"/>
      <c r="AP3" s="76"/>
      <c r="AQ3" s="76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153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DA3" s="52"/>
      <c r="DB3" s="52"/>
      <c r="DC3" s="52"/>
      <c r="DD3" s="52"/>
      <c r="DE3" s="52"/>
      <c r="DF3" s="52"/>
      <c r="DG3" s="52"/>
      <c r="DH3" s="52"/>
      <c r="DI3" s="52"/>
      <c r="DJ3" s="76"/>
      <c r="DK3" s="76"/>
      <c r="DL3" s="76"/>
      <c r="DM3" s="76"/>
      <c r="DN3" s="76"/>
      <c r="DO3" s="76"/>
      <c r="DP3" s="76"/>
      <c r="DQ3" s="76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52"/>
      <c r="EQ3" s="52"/>
      <c r="ER3" s="52"/>
      <c r="ES3" s="52"/>
      <c r="ET3" s="52"/>
      <c r="EU3" s="52"/>
      <c r="EV3" s="52"/>
      <c r="EW3" s="52"/>
      <c r="EX3" s="52"/>
      <c r="EY3" s="52"/>
      <c r="EZ3" s="52"/>
      <c r="FA3" s="52"/>
      <c r="FB3" s="52"/>
      <c r="FC3" s="52"/>
      <c r="FD3" s="52"/>
    </row>
    <row r="4" spans="2:182" ht="15" hidden="1" customHeight="1">
      <c r="AA4" s="52"/>
      <c r="AB4" s="52"/>
      <c r="AC4" s="52"/>
      <c r="AD4" s="52"/>
      <c r="AE4" s="151"/>
      <c r="AF4" s="151"/>
      <c r="AG4" s="151"/>
      <c r="AH4" s="151"/>
      <c r="AI4" s="52"/>
      <c r="AJ4" s="76"/>
      <c r="AK4" s="76"/>
      <c r="AL4" s="76"/>
      <c r="AM4" s="76"/>
      <c r="AN4" s="76"/>
      <c r="AO4" s="76"/>
      <c r="AP4" s="76"/>
      <c r="AQ4" s="76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153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DA4" s="52"/>
      <c r="DB4" s="52"/>
      <c r="DC4" s="52"/>
      <c r="DD4" s="52"/>
      <c r="DE4" s="52"/>
      <c r="DF4" s="52"/>
      <c r="DG4" s="52"/>
      <c r="DH4" s="52"/>
      <c r="DI4" s="52"/>
      <c r="DJ4" s="76"/>
      <c r="DK4" s="76"/>
      <c r="DL4" s="76"/>
      <c r="DM4" s="76"/>
      <c r="DN4" s="76"/>
      <c r="DO4" s="76"/>
      <c r="DP4" s="76"/>
      <c r="DQ4" s="76"/>
      <c r="DR4" s="52"/>
      <c r="DS4" s="52"/>
      <c r="DT4" s="52"/>
      <c r="DU4" s="52"/>
      <c r="DV4" s="52"/>
      <c r="DW4" s="52"/>
      <c r="DX4" s="52"/>
      <c r="DY4" s="52"/>
      <c r="DZ4" s="52"/>
      <c r="EA4" s="52"/>
      <c r="EB4" s="52"/>
      <c r="EC4" s="52"/>
      <c r="ED4" s="52"/>
      <c r="EE4" s="52"/>
      <c r="EF4" s="52"/>
      <c r="EG4" s="52"/>
      <c r="EH4" s="52"/>
      <c r="EI4" s="52"/>
      <c r="EJ4" s="52"/>
      <c r="EK4" s="52"/>
      <c r="EL4" s="52"/>
      <c r="EM4" s="52"/>
      <c r="EN4" s="52"/>
      <c r="EO4" s="52"/>
      <c r="EP4" s="52"/>
      <c r="EQ4" s="52"/>
      <c r="ER4" s="52"/>
      <c r="ES4" s="52"/>
      <c r="ET4" s="52"/>
      <c r="EU4" s="52"/>
      <c r="EV4" s="52"/>
      <c r="EW4" s="52"/>
      <c r="EX4" s="52"/>
      <c r="EY4" s="52"/>
      <c r="EZ4" s="52"/>
      <c r="FA4" s="52"/>
      <c r="FB4" s="52"/>
      <c r="FC4" s="52"/>
      <c r="FD4" s="52"/>
    </row>
    <row r="5" spans="2:182" ht="15" hidden="1" customHeight="1">
      <c r="AA5" s="52"/>
      <c r="AB5" s="52"/>
      <c r="AC5" s="52"/>
      <c r="AD5" s="52"/>
      <c r="AE5" s="151"/>
      <c r="AF5" s="151"/>
      <c r="AG5" s="151"/>
      <c r="AH5" s="151"/>
      <c r="AI5" s="52"/>
      <c r="AJ5" s="76"/>
      <c r="AK5" s="76"/>
      <c r="AL5" s="76"/>
      <c r="AM5" s="76"/>
      <c r="AN5" s="76"/>
      <c r="AO5" s="76"/>
      <c r="AP5" s="76"/>
      <c r="AQ5" s="76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153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DA5" s="52"/>
      <c r="DB5" s="52"/>
      <c r="DC5" s="52"/>
      <c r="DD5" s="52"/>
      <c r="DE5" s="52"/>
      <c r="DF5" s="52"/>
      <c r="DG5" s="52"/>
      <c r="DH5" s="52"/>
      <c r="DI5" s="52"/>
      <c r="DJ5" s="76"/>
      <c r="DK5" s="76"/>
      <c r="DL5" s="76"/>
      <c r="DM5" s="76"/>
      <c r="DN5" s="76"/>
      <c r="DO5" s="76"/>
      <c r="DP5" s="76"/>
      <c r="DQ5" s="76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52"/>
      <c r="EQ5" s="52"/>
      <c r="ER5" s="52"/>
      <c r="ES5" s="52"/>
      <c r="ET5" s="52"/>
      <c r="EU5" s="52"/>
      <c r="EV5" s="52"/>
      <c r="EW5" s="52"/>
      <c r="EX5" s="52"/>
      <c r="EY5" s="52"/>
      <c r="EZ5" s="52"/>
      <c r="FA5" s="52"/>
      <c r="FB5" s="52"/>
      <c r="FC5" s="52"/>
      <c r="FD5" s="52"/>
    </row>
    <row r="6" spans="2:182" ht="15" hidden="1" customHeight="1">
      <c r="AA6" s="52"/>
      <c r="AB6" s="52"/>
      <c r="AC6" s="52"/>
      <c r="AD6" s="52"/>
      <c r="AE6" s="151"/>
      <c r="AF6" s="151"/>
      <c r="AG6" s="151"/>
      <c r="AH6" s="151"/>
      <c r="AI6" s="52"/>
      <c r="AJ6" s="76"/>
      <c r="AK6" s="76"/>
      <c r="AL6" s="76"/>
      <c r="AM6" s="76"/>
      <c r="AN6" s="76"/>
      <c r="AO6" s="76"/>
      <c r="AP6" s="76"/>
      <c r="AQ6" s="76"/>
      <c r="AR6" s="52"/>
      <c r="AS6" s="52"/>
      <c r="AT6" s="52"/>
      <c r="AU6" s="52"/>
      <c r="AV6" s="52"/>
      <c r="AW6" s="52"/>
      <c r="AX6" s="52"/>
      <c r="AY6" s="52"/>
      <c r="AZ6" s="52"/>
      <c r="BA6" s="52"/>
      <c r="BB6" s="52"/>
      <c r="BC6" s="52"/>
      <c r="BD6" s="52"/>
      <c r="BE6" s="52"/>
      <c r="BF6" s="52"/>
      <c r="BG6" s="52"/>
      <c r="BH6" s="52"/>
      <c r="BI6" s="52"/>
      <c r="BJ6" s="52"/>
      <c r="BK6" s="52"/>
      <c r="BL6" s="52"/>
      <c r="BM6" s="153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DA6" s="52"/>
      <c r="DB6" s="52"/>
      <c r="DC6" s="52"/>
      <c r="DD6" s="52"/>
      <c r="DE6" s="52"/>
      <c r="DF6" s="52"/>
      <c r="DG6" s="52"/>
      <c r="DH6" s="52"/>
      <c r="DI6" s="52"/>
      <c r="DJ6" s="76"/>
      <c r="DK6" s="76"/>
      <c r="DL6" s="76"/>
      <c r="DM6" s="76"/>
      <c r="DN6" s="76"/>
      <c r="DO6" s="76"/>
      <c r="DP6" s="76"/>
      <c r="DQ6" s="76"/>
      <c r="DR6" s="52"/>
      <c r="DS6" s="52"/>
      <c r="DT6" s="52"/>
      <c r="DU6" s="52"/>
      <c r="DV6" s="52"/>
      <c r="DW6" s="52"/>
      <c r="DX6" s="52"/>
      <c r="DY6" s="52"/>
      <c r="DZ6" s="52"/>
      <c r="EA6" s="52"/>
      <c r="EB6" s="52"/>
      <c r="EC6" s="52"/>
      <c r="ED6" s="52"/>
      <c r="EE6" s="52"/>
      <c r="EF6" s="52"/>
      <c r="EG6" s="52"/>
      <c r="EH6" s="52"/>
      <c r="EI6" s="52"/>
      <c r="EJ6" s="52"/>
      <c r="EK6" s="52"/>
      <c r="EL6" s="52"/>
      <c r="EM6" s="52"/>
      <c r="EN6" s="52"/>
      <c r="EO6" s="52"/>
      <c r="EP6" s="52"/>
      <c r="EQ6" s="52"/>
      <c r="ER6" s="52"/>
      <c r="ES6" s="52"/>
      <c r="ET6" s="52"/>
      <c r="EU6" s="52"/>
      <c r="EV6" s="52"/>
      <c r="EW6" s="52"/>
      <c r="EX6" s="52"/>
      <c r="EY6" s="52"/>
      <c r="EZ6" s="52"/>
      <c r="FA6" s="52"/>
      <c r="FB6" s="52"/>
      <c r="FC6" s="52"/>
      <c r="FD6" s="52"/>
    </row>
    <row r="7" spans="2:182" ht="15" hidden="1" customHeight="1">
      <c r="AA7" s="52"/>
      <c r="AB7" s="52"/>
      <c r="AC7" s="52"/>
      <c r="AD7" s="52"/>
      <c r="AE7" s="151"/>
      <c r="AF7" s="151"/>
      <c r="AG7" s="151"/>
      <c r="AH7" s="151"/>
      <c r="AI7" s="52"/>
      <c r="AJ7" s="76"/>
      <c r="AK7" s="76"/>
      <c r="AL7" s="76"/>
      <c r="AM7" s="76"/>
      <c r="AN7" s="76"/>
      <c r="AO7" s="76"/>
      <c r="AP7" s="76"/>
      <c r="AQ7" s="76"/>
      <c r="AR7" s="52"/>
      <c r="AS7" s="52"/>
      <c r="AT7" s="52"/>
      <c r="AU7" s="52"/>
      <c r="AV7" s="52"/>
      <c r="AW7" s="52"/>
      <c r="AX7" s="52"/>
      <c r="AY7" s="52"/>
      <c r="AZ7" s="52"/>
      <c r="BA7" s="52"/>
      <c r="BB7" s="52"/>
      <c r="BC7" s="52"/>
      <c r="BD7" s="52"/>
      <c r="BE7" s="52"/>
      <c r="BF7" s="52"/>
      <c r="BG7" s="52"/>
      <c r="BH7" s="52"/>
      <c r="BI7" s="52"/>
      <c r="BJ7" s="52"/>
      <c r="BK7" s="52"/>
      <c r="BL7" s="52"/>
      <c r="BM7" s="153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DA7" s="52"/>
      <c r="DB7" s="52"/>
      <c r="DC7" s="52"/>
      <c r="DD7" s="52"/>
      <c r="DE7" s="52"/>
      <c r="DF7" s="52"/>
      <c r="DG7" s="52"/>
      <c r="DH7" s="52"/>
      <c r="DI7" s="52"/>
      <c r="DJ7" s="76"/>
      <c r="DK7" s="76"/>
      <c r="DL7" s="76"/>
      <c r="DM7" s="76"/>
      <c r="DN7" s="76"/>
      <c r="DO7" s="76"/>
      <c r="DP7" s="76"/>
      <c r="DQ7" s="76"/>
      <c r="DR7" s="52"/>
      <c r="DS7" s="52"/>
      <c r="DT7" s="52"/>
      <c r="DU7" s="52"/>
      <c r="DV7" s="52"/>
      <c r="DW7" s="52"/>
      <c r="DX7" s="52"/>
      <c r="DY7" s="52"/>
      <c r="DZ7" s="52"/>
      <c r="EA7" s="52"/>
      <c r="EB7" s="52"/>
      <c r="EC7" s="52"/>
      <c r="ED7" s="52"/>
      <c r="EE7" s="52"/>
      <c r="EF7" s="52"/>
      <c r="EG7" s="52"/>
      <c r="EH7" s="52"/>
      <c r="EI7" s="52"/>
      <c r="EJ7" s="52"/>
      <c r="EK7" s="52"/>
      <c r="EL7" s="52"/>
      <c r="EM7" s="52"/>
      <c r="EN7" s="52"/>
      <c r="EO7" s="52"/>
      <c r="EP7" s="52"/>
      <c r="EQ7" s="52"/>
      <c r="ER7" s="52"/>
      <c r="ES7" s="52"/>
      <c r="ET7" s="52"/>
      <c r="EU7" s="52"/>
      <c r="EV7" s="52"/>
      <c r="EW7" s="52"/>
      <c r="EX7" s="52"/>
      <c r="EY7" s="52"/>
      <c r="EZ7" s="52"/>
      <c r="FA7" s="52"/>
      <c r="FB7" s="52"/>
      <c r="FC7" s="52"/>
      <c r="FD7" s="52"/>
    </row>
    <row r="8" spans="2:182" ht="20.25" customHeight="1">
      <c r="B8" s="283" t="s">
        <v>104</v>
      </c>
      <c r="C8" s="284"/>
      <c r="D8" s="284"/>
      <c r="E8" s="284"/>
      <c r="F8" s="284"/>
      <c r="G8" s="284"/>
      <c r="H8" s="284"/>
      <c r="I8" s="284"/>
      <c r="J8" s="284"/>
      <c r="K8" s="300" t="str">
        <f>"Box " &amp;IF(F12=F13,F12&amp;"x",F12&amp;"x"&amp;F13&amp;"x")&amp;F14&amp;IF(F14=F15,"","x"&amp;F15)</f>
        <v>Box 150x300x10</v>
      </c>
      <c r="L8" s="300"/>
      <c r="M8" s="300"/>
      <c r="N8" s="301"/>
      <c r="O8" s="190"/>
      <c r="Z8" s="78">
        <f>MAX(COUNTA(AB:AB)+21,23)</f>
        <v>27</v>
      </c>
      <c r="AA8" s="255" t="s">
        <v>93</v>
      </c>
      <c r="AB8" s="256"/>
      <c r="AC8" s="256"/>
      <c r="AD8" s="256"/>
      <c r="AE8" s="256"/>
      <c r="AF8" s="256"/>
      <c r="AG8" s="256"/>
      <c r="AH8" s="256"/>
      <c r="AI8" s="256"/>
      <c r="AJ8" s="256"/>
      <c r="AK8" s="256"/>
      <c r="AL8" s="256"/>
      <c r="AM8" s="256"/>
      <c r="AN8" s="256"/>
      <c r="AO8" s="256"/>
      <c r="AP8" s="256"/>
      <c r="AQ8" s="256"/>
      <c r="AR8" s="256"/>
      <c r="AS8" s="256"/>
      <c r="AT8" s="256"/>
      <c r="AU8" s="256"/>
      <c r="AV8" s="256"/>
      <c r="AW8" s="256"/>
      <c r="AX8" s="256"/>
      <c r="AY8" s="256"/>
      <c r="AZ8" s="256"/>
      <c r="BA8" s="256"/>
      <c r="BB8" s="256"/>
      <c r="BC8" s="256"/>
      <c r="BD8" s="256"/>
      <c r="BE8" s="256"/>
      <c r="BF8" s="256"/>
      <c r="BG8" s="256"/>
      <c r="BH8" s="256"/>
      <c r="BI8" s="256"/>
      <c r="BJ8" s="256"/>
      <c r="BK8" s="256"/>
      <c r="BL8" s="256"/>
      <c r="BM8" s="256"/>
      <c r="BN8" s="256"/>
      <c r="BO8" s="256"/>
      <c r="BP8" s="256"/>
      <c r="BQ8" s="256"/>
      <c r="BR8" s="256"/>
      <c r="BS8" s="256"/>
      <c r="BT8" s="256"/>
      <c r="BU8" s="256"/>
      <c r="BV8" s="256"/>
      <c r="BW8" s="256"/>
      <c r="BX8" s="256"/>
      <c r="BY8" s="256"/>
      <c r="BZ8" s="256"/>
      <c r="CA8" s="256"/>
      <c r="CB8" s="256"/>
      <c r="CC8" s="256"/>
      <c r="CD8" s="256"/>
      <c r="CZ8" s="78">
        <f>MAX(COUNTA(DB:DB)+21,23)</f>
        <v>45</v>
      </c>
      <c r="DA8" s="255" t="s">
        <v>93</v>
      </c>
      <c r="DB8" s="256"/>
      <c r="DC8" s="256"/>
      <c r="DD8" s="256"/>
      <c r="DE8" s="256"/>
      <c r="DF8" s="256"/>
      <c r="DG8" s="256"/>
      <c r="DH8" s="256"/>
      <c r="DI8" s="256"/>
      <c r="DJ8" s="256"/>
      <c r="DK8" s="256"/>
      <c r="DL8" s="256"/>
      <c r="DM8" s="256"/>
      <c r="DN8" s="256"/>
      <c r="DO8" s="256"/>
      <c r="DP8" s="256"/>
      <c r="DQ8" s="256"/>
      <c r="DR8" s="256"/>
      <c r="DS8" s="256"/>
      <c r="DT8" s="256"/>
      <c r="DU8" s="256"/>
      <c r="DV8" s="256"/>
      <c r="DW8" s="256"/>
      <c r="DX8" s="256"/>
      <c r="DY8" s="256"/>
      <c r="DZ8" s="256"/>
      <c r="EA8" s="256"/>
      <c r="EB8" s="256"/>
      <c r="EC8" s="256"/>
      <c r="ED8" s="256"/>
      <c r="EE8" s="256"/>
      <c r="EF8" s="256"/>
      <c r="EG8" s="256"/>
      <c r="EH8" s="256"/>
      <c r="EI8" s="256"/>
      <c r="EJ8" s="256"/>
      <c r="EK8" s="256"/>
      <c r="EL8" s="256"/>
      <c r="EM8" s="256"/>
      <c r="EN8" s="256"/>
      <c r="EO8" s="256"/>
      <c r="EP8" s="256"/>
      <c r="EQ8" s="256"/>
      <c r="ER8" s="256"/>
      <c r="ES8" s="256"/>
      <c r="ET8" s="256"/>
      <c r="EU8" s="256"/>
      <c r="EV8" s="256"/>
      <c r="EW8" s="256"/>
      <c r="EX8" s="256"/>
      <c r="EY8" s="256"/>
      <c r="EZ8" s="256"/>
      <c r="FA8" s="256"/>
      <c r="FB8" s="256"/>
      <c r="FC8" s="256"/>
      <c r="FD8" s="256"/>
      <c r="FZ8" s="78">
        <f>MAX(COUNTA(GB:GB)+21,23)</f>
        <v>23</v>
      </c>
    </row>
    <row r="9" spans="2:182" ht="12.75" customHeight="1">
      <c r="B9" s="297"/>
      <c r="C9" s="298"/>
      <c r="D9" s="298"/>
      <c r="E9" s="299"/>
      <c r="F9" s="299"/>
      <c r="G9" s="299"/>
      <c r="H9" s="299"/>
      <c r="I9" s="299"/>
      <c r="J9" s="299"/>
      <c r="K9" s="302"/>
      <c r="L9" s="302"/>
      <c r="M9" s="302"/>
      <c r="N9" s="303"/>
      <c r="Z9" s="62"/>
      <c r="AA9" s="257" t="s">
        <v>292</v>
      </c>
      <c r="AB9" s="258"/>
      <c r="AC9" s="258"/>
      <c r="AD9" s="258"/>
      <c r="AE9" s="258"/>
      <c r="AF9" s="258"/>
      <c r="AG9" s="258"/>
      <c r="AH9" s="258"/>
      <c r="AI9" s="258"/>
      <c r="AJ9" s="258"/>
      <c r="AK9" s="258"/>
      <c r="AL9" s="258"/>
      <c r="AM9" s="258"/>
      <c r="AN9" s="258"/>
      <c r="AO9" s="258"/>
      <c r="AP9" s="258"/>
      <c r="AQ9" s="258"/>
      <c r="AR9" s="258"/>
      <c r="AS9" s="258"/>
      <c r="AT9" s="258"/>
      <c r="AU9" s="258"/>
      <c r="AV9" s="258"/>
      <c r="AW9" s="258"/>
      <c r="AX9" s="258"/>
      <c r="AY9" s="258"/>
      <c r="AZ9" s="258"/>
      <c r="BA9" s="258"/>
      <c r="BB9" s="258"/>
      <c r="BC9" s="258"/>
      <c r="BD9" s="258"/>
      <c r="BE9" s="258"/>
      <c r="BF9" s="258"/>
      <c r="BG9" s="258"/>
      <c r="BH9" s="258"/>
      <c r="BI9" s="258"/>
      <c r="BJ9" s="258"/>
      <c r="BK9" s="258"/>
      <c r="BL9" s="258"/>
      <c r="BM9" s="258"/>
      <c r="BN9" s="258"/>
      <c r="BO9" s="258"/>
      <c r="BP9" s="258"/>
      <c r="BQ9" s="258"/>
      <c r="BR9" s="258"/>
      <c r="BS9" s="258"/>
      <c r="BT9" s="258"/>
      <c r="BU9" s="258"/>
      <c r="BV9" s="258"/>
      <c r="BW9" s="258"/>
      <c r="BX9" s="258"/>
      <c r="BY9" s="258"/>
      <c r="BZ9" s="258"/>
      <c r="CA9" s="258"/>
      <c r="CB9" s="258"/>
      <c r="CC9" s="258"/>
      <c r="CD9" s="258"/>
      <c r="CZ9" s="62"/>
      <c r="DA9" s="257" t="s">
        <v>292</v>
      </c>
      <c r="DB9" s="258"/>
      <c r="DC9" s="258"/>
      <c r="DD9" s="258"/>
      <c r="DE9" s="258"/>
      <c r="DF9" s="258"/>
      <c r="DG9" s="258"/>
      <c r="DH9" s="258"/>
      <c r="DI9" s="258"/>
      <c r="DJ9" s="258"/>
      <c r="DK9" s="258"/>
      <c r="DL9" s="258"/>
      <c r="DM9" s="258"/>
      <c r="DN9" s="258"/>
      <c r="DO9" s="258"/>
      <c r="DP9" s="258"/>
      <c r="DQ9" s="258"/>
      <c r="DR9" s="258"/>
      <c r="DS9" s="258"/>
      <c r="DT9" s="258"/>
      <c r="DU9" s="258"/>
      <c r="DV9" s="258"/>
      <c r="DW9" s="258"/>
      <c r="DX9" s="258"/>
      <c r="DY9" s="258"/>
      <c r="DZ9" s="258"/>
      <c r="EA9" s="258"/>
      <c r="EB9" s="258"/>
      <c r="EC9" s="258"/>
      <c r="ED9" s="258"/>
      <c r="EE9" s="258"/>
      <c r="EF9" s="258"/>
      <c r="EG9" s="258"/>
      <c r="EH9" s="258"/>
      <c r="EI9" s="258"/>
      <c r="EJ9" s="258"/>
      <c r="EK9" s="258"/>
      <c r="EL9" s="258"/>
      <c r="EM9" s="258"/>
      <c r="EN9" s="258"/>
      <c r="EO9" s="258"/>
      <c r="EP9" s="258"/>
      <c r="EQ9" s="258"/>
      <c r="ER9" s="258"/>
      <c r="ES9" s="258"/>
      <c r="ET9" s="258"/>
      <c r="EU9" s="258"/>
      <c r="EV9" s="258"/>
      <c r="EW9" s="258"/>
      <c r="EX9" s="258"/>
      <c r="EY9" s="258"/>
      <c r="EZ9" s="258"/>
      <c r="FA9" s="258"/>
      <c r="FB9" s="258"/>
      <c r="FC9" s="258"/>
      <c r="FD9" s="258"/>
      <c r="FZ9" s="62"/>
    </row>
    <row r="10" spans="2:182" ht="15" customHeight="1">
      <c r="B10" s="278" t="s">
        <v>0</v>
      </c>
      <c r="C10" s="279"/>
      <c r="D10" s="279"/>
      <c r="E10" s="65"/>
      <c r="F10" s="65"/>
      <c r="G10" s="65"/>
      <c r="H10" s="65"/>
      <c r="I10" s="65"/>
      <c r="J10" s="65"/>
      <c r="K10" s="65"/>
      <c r="L10" s="65"/>
      <c r="M10" s="65"/>
      <c r="N10" s="196"/>
      <c r="AA10" s="26" t="s">
        <v>37</v>
      </c>
      <c r="AB10" s="27"/>
      <c r="AC10" s="63"/>
      <c r="AD10" s="63"/>
      <c r="AE10" s="152"/>
      <c r="AF10" s="152"/>
      <c r="AG10" s="152"/>
      <c r="AH10" s="152"/>
      <c r="AI10" s="30"/>
      <c r="AJ10" s="77"/>
      <c r="AK10" s="77"/>
      <c r="AL10" s="77"/>
      <c r="AM10" s="77"/>
      <c r="AN10" s="77"/>
      <c r="AO10" s="77"/>
      <c r="AP10" s="77"/>
      <c r="AQ10" s="77"/>
      <c r="AR10" s="28"/>
      <c r="AS10" s="31"/>
      <c r="AT10" s="31"/>
      <c r="AU10" s="31"/>
      <c r="AV10" s="31"/>
      <c r="AW10" s="31"/>
      <c r="AX10" s="31"/>
      <c r="AY10" s="31"/>
      <c r="AZ10" s="31"/>
      <c r="BA10" s="32"/>
      <c r="BB10" s="32"/>
      <c r="BC10" s="33"/>
      <c r="BD10" s="34"/>
      <c r="BE10" s="35"/>
      <c r="BF10" s="36"/>
      <c r="BG10" s="36"/>
      <c r="BH10" s="36"/>
      <c r="BI10" s="36"/>
      <c r="BJ10" s="36"/>
      <c r="BK10" s="37"/>
      <c r="BL10" s="29"/>
      <c r="BM10" s="31"/>
      <c r="BN10" s="32"/>
      <c r="BO10" s="32"/>
      <c r="BP10" s="34"/>
      <c r="BQ10" s="35"/>
      <c r="BR10" s="36"/>
      <c r="BS10" s="36"/>
      <c r="BT10" s="36"/>
      <c r="BU10" s="36"/>
      <c r="BV10" s="36"/>
      <c r="BW10" s="37"/>
      <c r="BX10" s="29"/>
      <c r="BY10" s="36"/>
      <c r="BZ10" s="36"/>
      <c r="CA10" s="36"/>
      <c r="CB10" s="36"/>
      <c r="CC10" s="37"/>
      <c r="CD10" s="29"/>
      <c r="DA10" s="26" t="s">
        <v>37</v>
      </c>
      <c r="DB10" s="27"/>
      <c r="DC10" s="63"/>
      <c r="DD10" s="63"/>
      <c r="DE10" s="28"/>
      <c r="DF10" s="28"/>
      <c r="DG10" s="28"/>
      <c r="DH10" s="28"/>
      <c r="DI10" s="30"/>
      <c r="DJ10" s="77"/>
      <c r="DK10" s="77"/>
      <c r="DL10" s="77"/>
      <c r="DM10" s="77"/>
      <c r="DN10" s="77"/>
      <c r="DO10" s="77"/>
      <c r="DP10" s="77"/>
      <c r="DQ10" s="77"/>
      <c r="DR10" s="28"/>
      <c r="DS10" s="31"/>
      <c r="DT10" s="31"/>
      <c r="DU10" s="31"/>
      <c r="DV10" s="31"/>
      <c r="DW10" s="31"/>
      <c r="DX10" s="31"/>
      <c r="DY10" s="31"/>
      <c r="DZ10" s="31"/>
      <c r="EA10" s="32"/>
      <c r="EB10" s="32"/>
      <c r="EC10" s="33"/>
      <c r="ED10" s="34"/>
      <c r="EE10" s="35"/>
      <c r="EF10" s="36"/>
      <c r="EG10" s="36"/>
      <c r="EH10" s="36"/>
      <c r="EI10" s="36"/>
      <c r="EJ10" s="36"/>
      <c r="EK10" s="37"/>
      <c r="EL10" s="29"/>
      <c r="EM10" s="31"/>
      <c r="EN10" s="32"/>
      <c r="EO10" s="32"/>
      <c r="EP10" s="34"/>
      <c r="EQ10" s="35"/>
      <c r="ER10" s="36"/>
      <c r="ES10" s="36"/>
      <c r="ET10" s="36"/>
      <c r="EU10" s="36"/>
      <c r="EV10" s="36"/>
      <c r="EW10" s="37"/>
      <c r="EX10" s="29"/>
      <c r="EY10" s="36"/>
      <c r="EZ10" s="36"/>
      <c r="FA10" s="36"/>
      <c r="FB10" s="36"/>
      <c r="FC10" s="37"/>
      <c r="FD10" s="29"/>
    </row>
    <row r="11" spans="2:182">
      <c r="B11" s="197" t="s">
        <v>22</v>
      </c>
      <c r="C11" s="198"/>
      <c r="D11" s="198"/>
      <c r="E11" s="65"/>
      <c r="F11" s="65"/>
      <c r="G11" s="65"/>
      <c r="H11" s="66"/>
      <c r="I11" s="67"/>
      <c r="J11" s="65"/>
      <c r="K11" s="2"/>
      <c r="L11" s="2"/>
      <c r="M11" s="2"/>
      <c r="N11" s="192"/>
      <c r="AA11" s="8"/>
      <c r="AB11" s="259" t="s">
        <v>35</v>
      </c>
      <c r="AC11" s="259"/>
      <c r="AD11" s="22"/>
      <c r="AE11" s="40" t="s">
        <v>36</v>
      </c>
      <c r="AF11" s="260">
        <f>B24</f>
        <v>206000</v>
      </c>
      <c r="AG11" s="260"/>
      <c r="AH11" s="40" t="s">
        <v>51</v>
      </c>
      <c r="AI11" s="61"/>
      <c r="AJ11" s="61"/>
      <c r="AK11" s="61"/>
      <c r="AL11" s="61"/>
      <c r="AM11" s="61"/>
      <c r="AN11" s="61"/>
      <c r="AO11" s="61"/>
      <c r="AP11" s="61"/>
      <c r="AQ11" s="61"/>
      <c r="AR11" s="38"/>
      <c r="AS11" s="42"/>
      <c r="AT11" s="42"/>
      <c r="AU11" s="42"/>
      <c r="AV11" s="42"/>
      <c r="AW11" s="42"/>
      <c r="AX11" s="42"/>
      <c r="AY11" s="42"/>
      <c r="AZ11" s="38"/>
      <c r="BA11" s="43"/>
      <c r="BB11" s="43"/>
      <c r="BC11" s="44"/>
      <c r="BD11" s="42"/>
      <c r="BE11" s="4"/>
      <c r="BF11" s="45"/>
      <c r="BG11" s="45"/>
      <c r="BH11" s="45"/>
      <c r="BI11" s="45"/>
      <c r="BJ11" s="4"/>
      <c r="BK11" s="46"/>
      <c r="BL11" s="41"/>
      <c r="BM11" s="38"/>
      <c r="BN11" s="43"/>
      <c r="BO11" s="43"/>
      <c r="BP11" s="42"/>
      <c r="BQ11" s="4"/>
      <c r="BR11" s="45"/>
      <c r="BS11" s="45"/>
      <c r="BT11" s="45"/>
      <c r="BU11" s="45"/>
      <c r="BV11" s="4"/>
      <c r="BW11" s="46"/>
      <c r="BX11" s="41"/>
      <c r="BY11" s="45"/>
      <c r="BZ11" s="45"/>
      <c r="CA11" s="45"/>
      <c r="CB11" s="4"/>
      <c r="CC11" s="46"/>
      <c r="CD11" s="41"/>
      <c r="DA11" s="8"/>
      <c r="DB11" s="259" t="s">
        <v>35</v>
      </c>
      <c r="DC11" s="259"/>
      <c r="DD11" s="22"/>
      <c r="DE11" s="39" t="s">
        <v>36</v>
      </c>
      <c r="DF11" s="260">
        <f>AF11</f>
        <v>206000</v>
      </c>
      <c r="DG11" s="260"/>
      <c r="DH11" s="40" t="s">
        <v>51</v>
      </c>
      <c r="DI11" s="61"/>
      <c r="DJ11" s="61"/>
      <c r="DK11" s="61"/>
      <c r="DL11" s="61"/>
      <c r="DM11" s="61"/>
      <c r="DN11" s="61"/>
      <c r="DO11" s="61"/>
      <c r="DP11" s="61"/>
      <c r="DQ11" s="61"/>
      <c r="DR11" s="38"/>
      <c r="DS11" s="42"/>
      <c r="DT11" s="42"/>
      <c r="DU11" s="42"/>
      <c r="DV11" s="42"/>
      <c r="DW11" s="42"/>
      <c r="DX11" s="42"/>
      <c r="DY11" s="42"/>
      <c r="DZ11" s="38"/>
      <c r="EA11" s="43"/>
      <c r="EB11" s="43"/>
      <c r="EC11" s="44"/>
      <c r="ED11" s="184" t="s">
        <v>345</v>
      </c>
      <c r="EE11" s="4"/>
      <c r="EF11" s="45"/>
      <c r="EG11" s="45"/>
      <c r="EH11" s="45"/>
      <c r="EI11" s="45"/>
      <c r="EJ11" s="4"/>
      <c r="EK11" s="46"/>
      <c r="EL11" s="41"/>
      <c r="EM11" s="38"/>
      <c r="EN11" s="43"/>
      <c r="EO11" s="43"/>
      <c r="EP11" s="42"/>
      <c r="EQ11" s="4"/>
      <c r="ER11" s="45"/>
      <c r="ES11" s="45"/>
      <c r="ET11" s="45"/>
      <c r="EU11" s="45"/>
      <c r="EV11" s="4"/>
      <c r="EW11" s="46"/>
      <c r="EX11" s="41"/>
      <c r="EY11" s="45"/>
      <c r="EZ11" s="45"/>
      <c r="FA11" s="45"/>
      <c r="FB11" s="4"/>
      <c r="FC11" s="46"/>
      <c r="FD11" s="41"/>
    </row>
    <row r="12" spans="2:182" ht="14.25">
      <c r="B12" s="199" t="s">
        <v>324</v>
      </c>
      <c r="C12" s="65"/>
      <c r="D12" s="65"/>
      <c r="E12" s="66" t="s">
        <v>94</v>
      </c>
      <c r="F12" s="68">
        <v>150</v>
      </c>
      <c r="G12" s="65" t="s">
        <v>1</v>
      </c>
      <c r="H12" s="2"/>
      <c r="I12" s="2"/>
      <c r="J12" s="2"/>
      <c r="K12" s="2"/>
      <c r="L12" s="2"/>
      <c r="M12" s="2"/>
      <c r="N12" s="193"/>
      <c r="AA12" s="8"/>
      <c r="AB12" s="261" t="str">
        <f>C21</f>
        <v>CCT38</v>
      </c>
      <c r="AC12" s="261"/>
      <c r="AD12" s="22"/>
      <c r="AE12" s="40" t="s">
        <v>62</v>
      </c>
      <c r="AF12" s="260">
        <f>C24</f>
        <v>240</v>
      </c>
      <c r="AG12" s="260"/>
      <c r="AH12" s="40" t="s">
        <v>51</v>
      </c>
      <c r="AI12" s="61"/>
      <c r="AJ12" s="61"/>
      <c r="AK12" s="61"/>
      <c r="AL12" s="61"/>
      <c r="AM12" s="61"/>
      <c r="AN12" s="61"/>
      <c r="AO12" s="61"/>
      <c r="AP12" s="61"/>
      <c r="AQ12" s="61"/>
      <c r="AR12" s="38"/>
      <c r="AS12" s="42"/>
      <c r="AT12" s="42"/>
      <c r="AU12" s="42"/>
      <c r="AV12" s="42"/>
      <c r="AW12" s="42"/>
      <c r="AX12" s="42"/>
      <c r="AY12" s="42"/>
      <c r="AZ12" s="38"/>
      <c r="BA12" s="43"/>
      <c r="BB12" s="43"/>
      <c r="BC12" s="44"/>
      <c r="BD12" s="42"/>
      <c r="BE12" s="4"/>
      <c r="BF12" s="45"/>
      <c r="BG12" s="45"/>
      <c r="BH12" s="45"/>
      <c r="BI12" s="45"/>
      <c r="BJ12" s="4"/>
      <c r="BK12" s="46"/>
      <c r="BL12" s="41"/>
      <c r="BM12" s="38"/>
      <c r="BN12" s="43"/>
      <c r="BO12" s="43"/>
      <c r="BP12" s="42"/>
      <c r="BQ12" s="4"/>
      <c r="BR12" s="45"/>
      <c r="BS12" s="45"/>
      <c r="BT12" s="45"/>
      <c r="BU12" s="45"/>
      <c r="BV12" s="4"/>
      <c r="BW12" s="46"/>
      <c r="BX12" s="41"/>
      <c r="BY12" s="45"/>
      <c r="BZ12" s="45"/>
      <c r="CA12" s="45"/>
      <c r="CB12" s="4"/>
      <c r="CC12" s="46"/>
      <c r="CD12" s="41"/>
      <c r="DA12" s="8"/>
      <c r="DB12" s="261" t="str">
        <f>AB12</f>
        <v>CCT38</v>
      </c>
      <c r="DC12" s="261"/>
      <c r="DD12" s="22"/>
      <c r="DE12" s="39" t="s">
        <v>62</v>
      </c>
      <c r="DF12" s="260">
        <f t="shared" ref="DF12:DF14" si="0">AF12</f>
        <v>240</v>
      </c>
      <c r="DG12" s="260"/>
      <c r="DH12" s="40" t="s">
        <v>51</v>
      </c>
      <c r="DI12" s="61"/>
      <c r="DJ12" s="61"/>
      <c r="DK12" s="61"/>
      <c r="DL12" s="61"/>
      <c r="DM12" s="61"/>
      <c r="DN12" s="61"/>
      <c r="DO12" s="61"/>
      <c r="DP12" s="61"/>
      <c r="DQ12" s="61"/>
      <c r="DR12" s="38"/>
      <c r="DS12" s="42"/>
      <c r="DT12" s="42"/>
      <c r="DU12" s="42"/>
      <c r="DV12" s="42"/>
      <c r="DW12" s="42"/>
      <c r="DX12" s="42"/>
      <c r="DY12" s="42"/>
      <c r="DZ12" s="38"/>
      <c r="EA12" s="43"/>
      <c r="EB12" s="43"/>
      <c r="EC12" s="44"/>
      <c r="ED12" s="184" t="s">
        <v>346</v>
      </c>
      <c r="EE12" s="4"/>
      <c r="EF12" s="45"/>
      <c r="EG12" s="45"/>
      <c r="EH12" s="45"/>
      <c r="EI12" s="45"/>
      <c r="EJ12" s="4"/>
      <c r="EK12" s="46"/>
      <c r="EL12" s="41"/>
      <c r="EM12" s="38"/>
      <c r="EN12" s="43"/>
      <c r="EO12" s="43"/>
      <c r="EP12" s="42"/>
      <c r="EQ12" s="4"/>
      <c r="ER12" s="45"/>
      <c r="ES12" s="45"/>
      <c r="ET12" s="45"/>
      <c r="EU12" s="45"/>
      <c r="EV12" s="4"/>
      <c r="EW12" s="46"/>
      <c r="EX12" s="41"/>
      <c r="EY12" s="45"/>
      <c r="EZ12" s="45"/>
      <c r="FA12" s="45"/>
      <c r="FB12" s="4"/>
      <c r="FC12" s="46"/>
      <c r="FD12" s="41"/>
    </row>
    <row r="13" spans="2:182" ht="15" customHeight="1">
      <c r="B13" s="199" t="s">
        <v>325</v>
      </c>
      <c r="C13" s="65"/>
      <c r="D13" s="65"/>
      <c r="E13" s="66" t="s">
        <v>95</v>
      </c>
      <c r="F13" s="69">
        <v>300</v>
      </c>
      <c r="G13" s="65" t="s">
        <v>1</v>
      </c>
      <c r="H13" s="2"/>
      <c r="I13" s="2"/>
      <c r="J13" s="2"/>
      <c r="K13" s="2"/>
      <c r="L13" s="2"/>
      <c r="M13" s="2"/>
      <c r="N13" s="193"/>
      <c r="AA13" s="8"/>
      <c r="AB13" s="47" t="s">
        <v>65</v>
      </c>
      <c r="AC13" s="38">
        <f>E24</f>
        <v>1.05</v>
      </c>
      <c r="AD13" s="22"/>
      <c r="AE13" s="40" t="s">
        <v>66</v>
      </c>
      <c r="AF13" s="276">
        <f>AF12/AC13</f>
        <v>228.57142857142856</v>
      </c>
      <c r="AG13" s="276"/>
      <c r="AH13" s="40" t="s">
        <v>51</v>
      </c>
      <c r="AI13" s="61"/>
      <c r="AJ13" s="61"/>
      <c r="AK13" s="61"/>
      <c r="AL13" s="61"/>
      <c r="AM13" s="61"/>
      <c r="AN13" s="61"/>
      <c r="AO13" s="61"/>
      <c r="AP13" s="61"/>
      <c r="AQ13" s="61"/>
      <c r="AR13" s="38"/>
      <c r="AS13" s="42"/>
      <c r="AT13" s="42"/>
      <c r="AU13" s="42"/>
      <c r="AV13" s="42"/>
      <c r="AW13" s="42"/>
      <c r="AX13" s="42"/>
      <c r="AY13" s="42"/>
      <c r="AZ13" s="42"/>
      <c r="BA13" s="43"/>
      <c r="BB13" s="43"/>
      <c r="BC13" s="44"/>
      <c r="BD13" s="42"/>
      <c r="BE13" s="4"/>
      <c r="BF13" s="45"/>
      <c r="BG13" s="45"/>
      <c r="BH13" s="45"/>
      <c r="BI13" s="45"/>
      <c r="BJ13" s="4"/>
      <c r="BK13" s="46"/>
      <c r="BL13" s="41"/>
      <c r="BM13" s="42"/>
      <c r="BN13" s="43"/>
      <c r="BO13" s="43"/>
      <c r="BP13" s="42"/>
      <c r="BQ13" s="4"/>
      <c r="BR13" s="45"/>
      <c r="BS13" s="45"/>
      <c r="BT13" s="45"/>
      <c r="BU13" s="45"/>
      <c r="BV13" s="4"/>
      <c r="BW13" s="46"/>
      <c r="BX13" s="45"/>
      <c r="BY13" s="45"/>
      <c r="BZ13" s="45"/>
      <c r="CA13" s="46"/>
      <c r="CB13" s="4"/>
      <c r="CC13" s="46"/>
      <c r="CD13" s="41"/>
      <c r="DA13" s="8"/>
      <c r="DB13" s="47" t="s">
        <v>65</v>
      </c>
      <c r="DC13" s="38">
        <f>AC13</f>
        <v>1.05</v>
      </c>
      <c r="DD13" s="22"/>
      <c r="DE13" s="39" t="s">
        <v>66</v>
      </c>
      <c r="DF13" s="276">
        <f t="shared" si="0"/>
        <v>228.57142857142856</v>
      </c>
      <c r="DG13" s="276"/>
      <c r="DH13" s="40" t="s">
        <v>51</v>
      </c>
      <c r="DI13" s="61"/>
      <c r="DJ13" s="61"/>
      <c r="DK13" s="61"/>
      <c r="DL13" s="61"/>
      <c r="DM13" s="61"/>
      <c r="DN13" s="61"/>
      <c r="DO13" s="61"/>
      <c r="DP13" s="61"/>
      <c r="DQ13" s="61"/>
      <c r="DR13" s="38"/>
      <c r="DS13" s="42"/>
      <c r="DT13" s="42"/>
      <c r="DU13" s="42"/>
      <c r="DV13" s="42"/>
      <c r="DW13" s="42"/>
      <c r="DX13" s="42"/>
      <c r="DY13" s="42"/>
      <c r="DZ13" s="42"/>
      <c r="EA13" s="43"/>
      <c r="EB13" s="43"/>
      <c r="EC13" s="44"/>
      <c r="ED13" s="184" t="s">
        <v>347</v>
      </c>
      <c r="EE13" s="4"/>
      <c r="EF13" s="45"/>
      <c r="EG13" s="45"/>
      <c r="EH13" s="45"/>
      <c r="EI13" s="45"/>
      <c r="EJ13" s="4"/>
      <c r="EK13" s="46"/>
      <c r="EL13" s="41"/>
      <c r="EM13" s="42"/>
      <c r="EN13" s="43"/>
      <c r="EO13" s="43"/>
      <c r="EP13" s="42"/>
      <c r="EQ13" s="4"/>
      <c r="ER13" s="45"/>
      <c r="ES13" s="45"/>
      <c r="ET13" s="45"/>
      <c r="EU13" s="45"/>
      <c r="EV13" s="4"/>
      <c r="EW13" s="46"/>
      <c r="EX13" s="45"/>
      <c r="EY13" s="45"/>
      <c r="EZ13" s="45"/>
      <c r="FA13" s="46"/>
      <c r="FB13" s="4"/>
      <c r="FC13" s="46"/>
      <c r="FD13" s="41"/>
    </row>
    <row r="14" spans="2:182" ht="14.25">
      <c r="B14" s="199" t="s">
        <v>326</v>
      </c>
      <c r="C14" s="65"/>
      <c r="D14" s="65"/>
      <c r="E14" s="66" t="s">
        <v>234</v>
      </c>
      <c r="F14" s="69">
        <v>10</v>
      </c>
      <c r="G14" s="65" t="s">
        <v>1</v>
      </c>
      <c r="H14" s="2"/>
      <c r="I14" s="2"/>
      <c r="J14" s="2"/>
      <c r="K14" s="2"/>
      <c r="L14" s="2"/>
      <c r="M14" s="2"/>
      <c r="N14" s="193"/>
      <c r="AA14" s="8"/>
      <c r="AB14" s="47" t="s">
        <v>64</v>
      </c>
      <c r="AC14" s="38">
        <f>F24</f>
        <v>1</v>
      </c>
      <c r="AD14" s="22"/>
      <c r="AE14" s="40" t="s">
        <v>63</v>
      </c>
      <c r="AF14" s="276">
        <f>0.58*AF12/AC13</f>
        <v>132.57142857142856</v>
      </c>
      <c r="AG14" s="276"/>
      <c r="AH14" s="40" t="s">
        <v>51</v>
      </c>
      <c r="AI14" s="61"/>
      <c r="AJ14" s="61"/>
      <c r="AK14" s="61"/>
      <c r="AL14" s="61"/>
      <c r="AM14" s="61"/>
      <c r="AN14" s="61"/>
      <c r="AO14" s="61"/>
      <c r="AP14" s="61"/>
      <c r="AQ14" s="61"/>
      <c r="AR14" s="38"/>
      <c r="AS14" s="42"/>
      <c r="AT14" s="42"/>
      <c r="AU14" s="42"/>
      <c r="AV14" s="42"/>
      <c r="AW14" s="42"/>
      <c r="AX14" s="42"/>
      <c r="AY14" s="42"/>
      <c r="AZ14" s="42"/>
      <c r="BA14" s="4"/>
      <c r="BB14" s="43"/>
      <c r="BC14" s="40"/>
      <c r="BD14" s="48"/>
      <c r="BE14" s="4"/>
      <c r="BF14" s="49"/>
      <c r="BG14" s="49"/>
      <c r="BH14" s="49"/>
      <c r="BI14" s="49"/>
      <c r="BJ14" s="49"/>
      <c r="BK14" s="46"/>
      <c r="BL14" s="41"/>
      <c r="BM14" s="42"/>
      <c r="BN14" s="4"/>
      <c r="BO14" s="43"/>
      <c r="BP14" s="48"/>
      <c r="BQ14" s="4"/>
      <c r="BR14" s="49"/>
      <c r="BS14" s="49"/>
      <c r="BT14" s="49"/>
      <c r="BU14" s="49"/>
      <c r="BV14" s="49"/>
      <c r="BW14" s="46"/>
      <c r="BX14" s="45"/>
      <c r="BY14" s="49"/>
      <c r="BZ14" s="49"/>
      <c r="CA14" s="46"/>
      <c r="CB14" s="49"/>
      <c r="CC14" s="46"/>
      <c r="CD14" s="41"/>
      <c r="DA14" s="8"/>
      <c r="DB14" s="47" t="s">
        <v>64</v>
      </c>
      <c r="DC14" s="38">
        <f>AC14</f>
        <v>1</v>
      </c>
      <c r="DD14" s="22"/>
      <c r="DE14" s="39" t="s">
        <v>63</v>
      </c>
      <c r="DF14" s="276">
        <f t="shared" si="0"/>
        <v>132.57142857142856</v>
      </c>
      <c r="DG14" s="276"/>
      <c r="DH14" s="40" t="s">
        <v>51</v>
      </c>
      <c r="DI14" s="61"/>
      <c r="DJ14" s="61"/>
      <c r="DK14" s="61"/>
      <c r="DL14" s="61"/>
      <c r="DM14" s="61"/>
      <c r="DN14" s="61"/>
      <c r="DO14" s="61"/>
      <c r="DP14" s="61"/>
      <c r="DQ14" s="61"/>
      <c r="DR14" s="38"/>
      <c r="DS14" s="42"/>
      <c r="DT14" s="42"/>
      <c r="DU14" s="42"/>
      <c r="DV14" s="42"/>
      <c r="DW14" s="42"/>
      <c r="DX14" s="42"/>
      <c r="DY14" s="42"/>
      <c r="DZ14" s="42"/>
      <c r="EA14" s="4"/>
      <c r="EB14" s="43"/>
      <c r="EC14" s="40"/>
      <c r="ED14" s="48"/>
      <c r="EE14" s="4"/>
      <c r="EF14" s="49"/>
      <c r="EG14" s="49"/>
      <c r="EH14" s="49"/>
      <c r="EI14" s="49"/>
      <c r="EJ14" s="49"/>
      <c r="EK14" s="46"/>
      <c r="EL14" s="41"/>
      <c r="EM14" s="42"/>
      <c r="EN14" s="4"/>
      <c r="EO14" s="43"/>
      <c r="EP14" s="48"/>
      <c r="EQ14" s="4"/>
      <c r="ER14" s="49"/>
      <c r="ES14" s="49"/>
      <c r="ET14" s="49"/>
      <c r="EU14" s="49"/>
      <c r="EV14" s="49"/>
      <c r="EW14" s="46"/>
      <c r="EX14" s="45"/>
      <c r="EY14" s="49"/>
      <c r="EZ14" s="49"/>
      <c r="FA14" s="46"/>
      <c r="FB14" s="49"/>
      <c r="FC14" s="46"/>
      <c r="FD14" s="41"/>
    </row>
    <row r="15" spans="2:182" ht="14.25">
      <c r="B15" s="199" t="s">
        <v>327</v>
      </c>
      <c r="C15" s="65"/>
      <c r="D15" s="65"/>
      <c r="E15" s="66" t="s">
        <v>228</v>
      </c>
      <c r="F15" s="69">
        <v>10</v>
      </c>
      <c r="G15" s="65" t="s">
        <v>1</v>
      </c>
      <c r="H15" s="2"/>
      <c r="I15" s="2"/>
      <c r="J15" s="2"/>
      <c r="K15" s="2"/>
      <c r="L15" s="2"/>
      <c r="M15" s="2"/>
      <c r="N15" s="193"/>
      <c r="AA15" s="7" t="s">
        <v>38</v>
      </c>
      <c r="AB15" s="38"/>
      <c r="AC15" s="142"/>
      <c r="AD15" s="22"/>
      <c r="AE15" s="40"/>
      <c r="AF15" s="134"/>
      <c r="AG15" s="134"/>
      <c r="AH15" s="134"/>
      <c r="AI15" s="40"/>
      <c r="AJ15" s="61"/>
      <c r="AK15" s="61"/>
      <c r="AL15" s="61"/>
      <c r="AM15" s="61"/>
      <c r="AN15" s="61"/>
      <c r="AO15" s="61"/>
      <c r="AP15" s="61"/>
      <c r="AQ15" s="61"/>
      <c r="AR15" s="38"/>
      <c r="AS15" s="42"/>
      <c r="AT15" s="42"/>
      <c r="AU15" s="42"/>
      <c r="AV15" s="42"/>
      <c r="AW15" s="42"/>
      <c r="AX15" s="42"/>
      <c r="AY15" s="42"/>
      <c r="AZ15" s="42"/>
      <c r="BA15" s="4"/>
      <c r="BB15" s="43"/>
      <c r="BC15" s="40"/>
      <c r="BD15" s="48"/>
      <c r="BE15" s="4"/>
      <c r="BF15" s="49"/>
      <c r="BG15" s="49"/>
      <c r="BH15" s="49"/>
      <c r="BI15" s="49"/>
      <c r="BJ15" s="49"/>
      <c r="BK15" s="46"/>
      <c r="BL15" s="41"/>
      <c r="BM15" s="42"/>
      <c r="BN15" s="4"/>
      <c r="BO15" s="43"/>
      <c r="BP15" s="48"/>
      <c r="BQ15" s="4"/>
      <c r="BR15" s="49"/>
      <c r="BS15" s="49"/>
      <c r="BT15" s="49"/>
      <c r="BU15" s="49"/>
      <c r="BV15" s="49"/>
      <c r="BW15" s="46"/>
      <c r="BX15" s="41"/>
      <c r="BY15" s="49"/>
      <c r="BZ15" s="49"/>
      <c r="CA15" s="49"/>
      <c r="CB15" s="49"/>
      <c r="CC15" s="46"/>
      <c r="CD15" s="41"/>
      <c r="DA15" s="8"/>
      <c r="DB15" s="38"/>
      <c r="DC15" s="142"/>
      <c r="DD15" s="22"/>
      <c r="DE15" s="39"/>
      <c r="DF15" s="134"/>
      <c r="DG15" s="134"/>
      <c r="DH15" s="134"/>
      <c r="DI15" s="40"/>
      <c r="DJ15" s="61"/>
      <c r="DK15" s="61"/>
      <c r="DL15" s="61"/>
      <c r="DM15" s="61"/>
      <c r="DN15" s="61"/>
      <c r="DO15" s="61"/>
      <c r="DP15" s="61"/>
      <c r="DQ15" s="61"/>
      <c r="DR15" s="38"/>
      <c r="DS15" s="42"/>
      <c r="DT15" s="42"/>
      <c r="DU15" s="42"/>
      <c r="DV15" s="42"/>
      <c r="DW15" s="42"/>
      <c r="DX15" s="42"/>
      <c r="DY15" s="42"/>
      <c r="DZ15" s="42"/>
      <c r="EA15" s="4"/>
      <c r="EB15" s="43"/>
      <c r="EC15" s="40"/>
      <c r="ED15" s="48"/>
      <c r="EE15" s="4"/>
      <c r="EF15" s="49"/>
      <c r="EG15" s="49"/>
      <c r="EH15" s="49"/>
      <c r="EI15" s="49"/>
      <c r="EJ15" s="49"/>
      <c r="EK15" s="46"/>
      <c r="EL15" s="41"/>
      <c r="EM15" s="42"/>
      <c r="EN15" s="4"/>
      <c r="EO15" s="43"/>
      <c r="EP15" s="48"/>
      <c r="EQ15" s="4"/>
      <c r="ER15" s="49"/>
      <c r="ES15" s="49"/>
      <c r="ET15" s="49"/>
      <c r="EU15" s="49"/>
      <c r="EV15" s="49"/>
      <c r="EW15" s="46"/>
      <c r="EX15" s="41"/>
      <c r="EY15" s="49"/>
      <c r="EZ15" s="49"/>
      <c r="FA15" s="49"/>
      <c r="FB15" s="49"/>
      <c r="FC15" s="46"/>
      <c r="FD15" s="41"/>
    </row>
    <row r="16" spans="2:182" ht="14.25" customHeight="1">
      <c r="B16" s="199" t="s">
        <v>328</v>
      </c>
      <c r="C16" s="65"/>
      <c r="D16" s="65"/>
      <c r="E16" s="66" t="s">
        <v>235</v>
      </c>
      <c r="F16" s="140">
        <f>F13-2*F15</f>
        <v>280</v>
      </c>
      <c r="G16" s="65" t="s">
        <v>1</v>
      </c>
      <c r="H16" s="2"/>
      <c r="I16" s="2"/>
      <c r="J16" s="2"/>
      <c r="K16" s="2"/>
      <c r="L16" s="2"/>
      <c r="M16" s="2"/>
      <c r="N16" s="193"/>
      <c r="AA16" s="277" t="s">
        <v>43</v>
      </c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 t="s">
        <v>42</v>
      </c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178"/>
      <c r="BN16" s="179"/>
      <c r="BO16" s="179"/>
      <c r="BP16" s="179"/>
      <c r="BQ16" s="180"/>
      <c r="BR16" s="264" t="s">
        <v>256</v>
      </c>
      <c r="BS16" s="265"/>
      <c r="BT16" s="265"/>
      <c r="BU16" s="265"/>
      <c r="BV16" s="265"/>
      <c r="BW16" s="265"/>
      <c r="BX16" s="266"/>
      <c r="BY16" s="264" t="s">
        <v>289</v>
      </c>
      <c r="BZ16" s="265"/>
      <c r="CA16" s="265"/>
      <c r="CB16" s="265"/>
      <c r="CC16" s="265"/>
      <c r="CD16" s="266"/>
      <c r="DA16" s="277" t="s">
        <v>43</v>
      </c>
      <c r="DB16" s="277"/>
      <c r="DC16" s="277"/>
      <c r="DD16" s="277"/>
      <c r="DE16" s="277"/>
      <c r="DF16" s="277"/>
      <c r="DG16" s="277"/>
      <c r="DH16" s="277"/>
      <c r="DI16" s="277"/>
      <c r="DJ16" s="277"/>
      <c r="DK16" s="277"/>
      <c r="DL16" s="277"/>
      <c r="DM16" s="277"/>
      <c r="DN16" s="277"/>
      <c r="DO16" s="277"/>
      <c r="DP16" s="277"/>
      <c r="DQ16" s="277"/>
      <c r="DR16" s="277"/>
      <c r="DS16" s="277"/>
      <c r="DT16" s="277"/>
      <c r="DU16" s="277"/>
      <c r="DV16" s="277"/>
      <c r="DW16" s="277"/>
      <c r="DX16" s="277"/>
      <c r="DY16" s="277"/>
      <c r="DZ16" s="277" t="s">
        <v>353</v>
      </c>
      <c r="EA16" s="277"/>
      <c r="EB16" s="277"/>
      <c r="EC16" s="277"/>
      <c r="ED16" s="277"/>
      <c r="EE16" s="277"/>
      <c r="EF16" s="277"/>
      <c r="EG16" s="277"/>
      <c r="EH16" s="277"/>
      <c r="EI16" s="277"/>
      <c r="EJ16" s="277"/>
      <c r="EK16" s="277"/>
      <c r="EL16" s="277"/>
      <c r="EM16" s="178"/>
      <c r="EN16" s="179"/>
      <c r="EO16" s="179"/>
      <c r="EP16" s="179"/>
      <c r="EQ16" s="180"/>
      <c r="ER16" s="264" t="s">
        <v>348</v>
      </c>
      <c r="ES16" s="265"/>
      <c r="ET16" s="265"/>
      <c r="EU16" s="265"/>
      <c r="EV16" s="265"/>
      <c r="EW16" s="265"/>
      <c r="EX16" s="266"/>
      <c r="EY16" s="264" t="s">
        <v>349</v>
      </c>
      <c r="EZ16" s="265"/>
      <c r="FA16" s="265"/>
      <c r="FB16" s="265"/>
      <c r="FC16" s="265"/>
      <c r="FD16" s="266"/>
    </row>
    <row r="17" spans="2:160" ht="14.25">
      <c r="B17" s="199" t="s">
        <v>329</v>
      </c>
      <c r="C17" s="65"/>
      <c r="D17" s="65"/>
      <c r="E17" s="66" t="s">
        <v>237</v>
      </c>
      <c r="F17" s="70">
        <v>7.31</v>
      </c>
      <c r="G17" s="65" t="s">
        <v>90</v>
      </c>
      <c r="H17" s="2"/>
      <c r="I17" s="2"/>
      <c r="J17" s="2"/>
      <c r="K17" s="2"/>
      <c r="L17" s="2" t="s">
        <v>242</v>
      </c>
      <c r="M17" s="2"/>
      <c r="N17" s="193"/>
      <c r="O17" s="191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181"/>
      <c r="BN17" s="182"/>
      <c r="BO17" s="182"/>
      <c r="BP17" s="182"/>
      <c r="BQ17" s="183"/>
      <c r="BR17" s="267"/>
      <c r="BS17" s="268"/>
      <c r="BT17" s="268"/>
      <c r="BU17" s="268"/>
      <c r="BV17" s="268"/>
      <c r="BW17" s="268"/>
      <c r="BX17" s="269"/>
      <c r="BY17" s="267"/>
      <c r="BZ17" s="268"/>
      <c r="CA17" s="268"/>
      <c r="CB17" s="268"/>
      <c r="CC17" s="268"/>
      <c r="CD17" s="269"/>
      <c r="DA17" s="277"/>
      <c r="DB17" s="277"/>
      <c r="DC17" s="277"/>
      <c r="DD17" s="277"/>
      <c r="DE17" s="277"/>
      <c r="DF17" s="277"/>
      <c r="DG17" s="277"/>
      <c r="DH17" s="277"/>
      <c r="DI17" s="277"/>
      <c r="DJ17" s="277"/>
      <c r="DK17" s="277"/>
      <c r="DL17" s="277"/>
      <c r="DM17" s="277"/>
      <c r="DN17" s="277"/>
      <c r="DO17" s="277"/>
      <c r="DP17" s="277"/>
      <c r="DQ17" s="277"/>
      <c r="DR17" s="277"/>
      <c r="DS17" s="277"/>
      <c r="DT17" s="277"/>
      <c r="DU17" s="277"/>
      <c r="DV17" s="277"/>
      <c r="DW17" s="277"/>
      <c r="DX17" s="277"/>
      <c r="DY17" s="277"/>
      <c r="DZ17" s="277"/>
      <c r="EA17" s="277"/>
      <c r="EB17" s="277"/>
      <c r="EC17" s="277"/>
      <c r="ED17" s="277"/>
      <c r="EE17" s="277"/>
      <c r="EF17" s="277"/>
      <c r="EG17" s="277"/>
      <c r="EH17" s="277"/>
      <c r="EI17" s="277"/>
      <c r="EJ17" s="277"/>
      <c r="EK17" s="277"/>
      <c r="EL17" s="277"/>
      <c r="EM17" s="181"/>
      <c r="EN17" s="182"/>
      <c r="EO17" s="182"/>
      <c r="EP17" s="182"/>
      <c r="EQ17" s="183"/>
      <c r="ER17" s="267"/>
      <c r="ES17" s="268"/>
      <c r="ET17" s="268"/>
      <c r="EU17" s="268"/>
      <c r="EV17" s="268"/>
      <c r="EW17" s="268"/>
      <c r="EX17" s="269"/>
      <c r="EY17" s="267"/>
      <c r="EZ17" s="268"/>
      <c r="FA17" s="268"/>
      <c r="FB17" s="268"/>
      <c r="FC17" s="268"/>
      <c r="FD17" s="269"/>
    </row>
    <row r="18" spans="2:160" ht="14.25">
      <c r="B18" s="199" t="s">
        <v>330</v>
      </c>
      <c r="C18" s="65"/>
      <c r="D18" s="65"/>
      <c r="E18" s="66" t="s">
        <v>126</v>
      </c>
      <c r="F18" s="135">
        <v>1</v>
      </c>
      <c r="G18" s="65"/>
      <c r="H18" s="2"/>
      <c r="I18" s="2"/>
      <c r="J18" s="2"/>
      <c r="K18" s="2"/>
      <c r="L18" s="2"/>
      <c r="M18" s="2"/>
      <c r="N18" s="193"/>
      <c r="O18" s="191"/>
      <c r="AA18" s="270" t="s">
        <v>89</v>
      </c>
      <c r="AB18" s="271" t="s">
        <v>60</v>
      </c>
      <c r="AC18" s="59" t="s">
        <v>39</v>
      </c>
      <c r="AD18" s="59" t="s">
        <v>44</v>
      </c>
      <c r="AE18" s="54" t="s">
        <v>91</v>
      </c>
      <c r="AF18" s="54" t="s">
        <v>92</v>
      </c>
      <c r="AG18" s="54" t="s">
        <v>243</v>
      </c>
      <c r="AH18" s="54" t="s">
        <v>244</v>
      </c>
      <c r="AI18" s="54" t="s">
        <v>23</v>
      </c>
      <c r="AJ18" s="60" t="s">
        <v>77</v>
      </c>
      <c r="AK18" s="60" t="s">
        <v>78</v>
      </c>
      <c r="AL18" s="60" t="s">
        <v>79</v>
      </c>
      <c r="AM18" s="60" t="s">
        <v>80</v>
      </c>
      <c r="AN18" s="60" t="s">
        <v>81</v>
      </c>
      <c r="AO18" s="272" t="s">
        <v>216</v>
      </c>
      <c r="AP18" s="143" t="s">
        <v>245</v>
      </c>
      <c r="AQ18" s="144" t="s">
        <v>198</v>
      </c>
      <c r="AR18" s="271" t="s">
        <v>61</v>
      </c>
      <c r="AS18" s="56" t="s">
        <v>47</v>
      </c>
      <c r="AT18" s="56" t="s">
        <v>83</v>
      </c>
      <c r="AU18" s="56" t="s">
        <v>82</v>
      </c>
      <c r="AV18" s="56" t="s">
        <v>85</v>
      </c>
      <c r="AW18" s="56" t="s">
        <v>84</v>
      </c>
      <c r="AX18" s="56" t="s">
        <v>48</v>
      </c>
      <c r="AY18" s="56" t="s">
        <v>91</v>
      </c>
      <c r="AZ18" s="274" t="s">
        <v>249</v>
      </c>
      <c r="BA18" s="274" t="s">
        <v>250</v>
      </c>
      <c r="BB18" s="275" t="s">
        <v>251</v>
      </c>
      <c r="BC18" s="275" t="s">
        <v>252</v>
      </c>
      <c r="BD18" s="247" t="s">
        <v>41</v>
      </c>
      <c r="BE18" s="57" t="s">
        <v>40</v>
      </c>
      <c r="BF18" s="247" t="s">
        <v>41</v>
      </c>
      <c r="BG18" s="249" t="s">
        <v>253</v>
      </c>
      <c r="BH18" s="249" t="s">
        <v>254</v>
      </c>
      <c r="BI18" s="249" t="s">
        <v>255</v>
      </c>
      <c r="BJ18" s="247" t="s">
        <v>41</v>
      </c>
      <c r="BK18" s="248" t="s">
        <v>67</v>
      </c>
      <c r="BL18" s="248" t="s">
        <v>68</v>
      </c>
      <c r="BM18" s="262"/>
      <c r="BN18" s="252"/>
      <c r="BO18" s="252"/>
      <c r="BP18" s="247"/>
      <c r="BQ18" s="248"/>
      <c r="BR18" s="247" t="s">
        <v>257</v>
      </c>
      <c r="BS18" s="252" t="s">
        <v>258</v>
      </c>
      <c r="BT18" s="254" t="s">
        <v>260</v>
      </c>
      <c r="BU18" s="249" t="s">
        <v>261</v>
      </c>
      <c r="BV18" s="251" t="s">
        <v>262</v>
      </c>
      <c r="BW18" s="247" t="s">
        <v>41</v>
      </c>
      <c r="BX18" s="248" t="s">
        <v>68</v>
      </c>
      <c r="BY18" s="252" t="s">
        <v>263</v>
      </c>
      <c r="BZ18" s="246" t="s">
        <v>264</v>
      </c>
      <c r="CA18" s="246"/>
      <c r="CB18" s="150" t="s">
        <v>266</v>
      </c>
      <c r="CC18" s="247" t="s">
        <v>41</v>
      </c>
      <c r="CD18" s="248" t="s">
        <v>68</v>
      </c>
      <c r="DA18" s="270" t="s">
        <v>89</v>
      </c>
      <c r="DB18" s="271" t="s">
        <v>60</v>
      </c>
      <c r="DC18" s="59" t="s">
        <v>39</v>
      </c>
      <c r="DD18" s="59" t="s">
        <v>44</v>
      </c>
      <c r="DE18" s="55" t="s">
        <v>91</v>
      </c>
      <c r="DF18" s="55" t="s">
        <v>92</v>
      </c>
      <c r="DG18" s="55" t="s">
        <v>243</v>
      </c>
      <c r="DH18" s="55" t="s">
        <v>244</v>
      </c>
      <c r="DI18" s="54" t="s">
        <v>23</v>
      </c>
      <c r="DJ18" s="60" t="s">
        <v>77</v>
      </c>
      <c r="DK18" s="60" t="s">
        <v>78</v>
      </c>
      <c r="DL18" s="60" t="s">
        <v>79</v>
      </c>
      <c r="DM18" s="60" t="s">
        <v>80</v>
      </c>
      <c r="DN18" s="60" t="s">
        <v>81</v>
      </c>
      <c r="DO18" s="272" t="s">
        <v>216</v>
      </c>
      <c r="DP18" s="143" t="s">
        <v>245</v>
      </c>
      <c r="DQ18" s="144" t="s">
        <v>198</v>
      </c>
      <c r="DR18" s="271" t="s">
        <v>61</v>
      </c>
      <c r="DS18" s="56" t="s">
        <v>47</v>
      </c>
      <c r="DT18" s="56" t="s">
        <v>83</v>
      </c>
      <c r="DU18" s="56" t="s">
        <v>82</v>
      </c>
      <c r="DV18" s="56" t="s">
        <v>85</v>
      </c>
      <c r="DW18" s="56" t="s">
        <v>84</v>
      </c>
      <c r="DX18" s="56" t="s">
        <v>48</v>
      </c>
      <c r="DY18" s="56" t="s">
        <v>91</v>
      </c>
      <c r="DZ18" s="274" t="s">
        <v>249</v>
      </c>
      <c r="EA18" s="274" t="s">
        <v>250</v>
      </c>
      <c r="EB18" s="275" t="s">
        <v>251</v>
      </c>
      <c r="EC18" s="275" t="s">
        <v>252</v>
      </c>
      <c r="ED18" s="247" t="s">
        <v>350</v>
      </c>
      <c r="EE18" s="57" t="s">
        <v>40</v>
      </c>
      <c r="EF18" s="247" t="s">
        <v>351</v>
      </c>
      <c r="EG18" s="249" t="s">
        <v>253</v>
      </c>
      <c r="EH18" s="249" t="s">
        <v>254</v>
      </c>
      <c r="EI18" s="249" t="s">
        <v>255</v>
      </c>
      <c r="EJ18" s="247" t="s">
        <v>352</v>
      </c>
      <c r="EK18" s="248" t="s">
        <v>67</v>
      </c>
      <c r="EL18" s="248" t="s">
        <v>68</v>
      </c>
      <c r="EM18" s="262"/>
      <c r="EN18" s="252"/>
      <c r="EO18" s="252"/>
      <c r="EP18" s="247"/>
      <c r="EQ18" s="248"/>
      <c r="ER18" s="247" t="s">
        <v>257</v>
      </c>
      <c r="ES18" s="252" t="s">
        <v>258</v>
      </c>
      <c r="ET18" s="254" t="s">
        <v>260</v>
      </c>
      <c r="EU18" s="249" t="s">
        <v>261</v>
      </c>
      <c r="EV18" s="251" t="s">
        <v>262</v>
      </c>
      <c r="EW18" s="247" t="s">
        <v>41</v>
      </c>
      <c r="EX18" s="248" t="s">
        <v>68</v>
      </c>
      <c r="EY18" s="252" t="s">
        <v>263</v>
      </c>
      <c r="EZ18" s="246" t="s">
        <v>264</v>
      </c>
      <c r="FA18" s="246"/>
      <c r="FB18" s="150" t="s">
        <v>266</v>
      </c>
      <c r="FC18" s="247" t="s">
        <v>41</v>
      </c>
      <c r="FD18" s="248" t="s">
        <v>68</v>
      </c>
    </row>
    <row r="19" spans="2:160" ht="15" customHeight="1">
      <c r="B19" s="200"/>
      <c r="C19" s="65"/>
      <c r="D19" s="65"/>
      <c r="E19" s="66"/>
      <c r="F19" s="135"/>
      <c r="G19" s="65"/>
      <c r="H19" s="2"/>
      <c r="I19" s="2"/>
      <c r="J19" s="2"/>
      <c r="K19" s="2"/>
      <c r="L19" s="2"/>
      <c r="M19" s="2"/>
      <c r="N19" s="192"/>
      <c r="O19" s="191"/>
      <c r="AA19" s="270"/>
      <c r="AB19" s="271"/>
      <c r="AC19" s="58" t="s">
        <v>58</v>
      </c>
      <c r="AD19" s="58" t="s">
        <v>58</v>
      </c>
      <c r="AE19" s="54" t="s">
        <v>55</v>
      </c>
      <c r="AF19" s="54" t="s">
        <v>55</v>
      </c>
      <c r="AG19" s="54" t="s">
        <v>1</v>
      </c>
      <c r="AH19" s="54" t="s">
        <v>1</v>
      </c>
      <c r="AI19" s="55" t="s">
        <v>86</v>
      </c>
      <c r="AJ19" s="60" t="s">
        <v>87</v>
      </c>
      <c r="AK19" s="60" t="s">
        <v>87</v>
      </c>
      <c r="AL19" s="60" t="s">
        <v>88</v>
      </c>
      <c r="AM19" s="60" t="s">
        <v>88</v>
      </c>
      <c r="AN19" s="60" t="s">
        <v>88</v>
      </c>
      <c r="AO19" s="273"/>
      <c r="AP19" s="143" t="s">
        <v>246</v>
      </c>
      <c r="AQ19" s="143" t="s">
        <v>247</v>
      </c>
      <c r="AR19" s="271"/>
      <c r="AS19" s="56" t="s">
        <v>30</v>
      </c>
      <c r="AT19" s="56" t="s">
        <v>30</v>
      </c>
      <c r="AU19" s="56" t="s">
        <v>30</v>
      </c>
      <c r="AV19" s="56" t="s">
        <v>59</v>
      </c>
      <c r="AW19" s="56" t="s">
        <v>59</v>
      </c>
      <c r="AX19" s="56" t="s">
        <v>59</v>
      </c>
      <c r="AY19" s="56" t="s">
        <v>248</v>
      </c>
      <c r="AZ19" s="263"/>
      <c r="BA19" s="263"/>
      <c r="BB19" s="263"/>
      <c r="BC19" s="263"/>
      <c r="BD19" s="247"/>
      <c r="BE19" s="55" t="s">
        <v>51</v>
      </c>
      <c r="BF19" s="247"/>
      <c r="BG19" s="250"/>
      <c r="BH19" s="250"/>
      <c r="BI19" s="250"/>
      <c r="BJ19" s="247"/>
      <c r="BK19" s="248"/>
      <c r="BL19" s="248"/>
      <c r="BM19" s="263"/>
      <c r="BN19" s="253"/>
      <c r="BO19" s="253"/>
      <c r="BP19" s="247"/>
      <c r="BQ19" s="248"/>
      <c r="BR19" s="247"/>
      <c r="BS19" s="253"/>
      <c r="BT19" s="250"/>
      <c r="BU19" s="250"/>
      <c r="BV19" s="247"/>
      <c r="BW19" s="247"/>
      <c r="BX19" s="248"/>
      <c r="BY19" s="253"/>
      <c r="BZ19" s="148" t="s">
        <v>265</v>
      </c>
      <c r="CA19" s="149" t="s">
        <v>267</v>
      </c>
      <c r="CB19" s="149" t="s">
        <v>267</v>
      </c>
      <c r="CC19" s="247"/>
      <c r="CD19" s="248"/>
      <c r="DA19" s="270"/>
      <c r="DB19" s="271"/>
      <c r="DC19" s="58" t="s">
        <v>58</v>
      </c>
      <c r="DD19" s="58" t="s">
        <v>58</v>
      </c>
      <c r="DE19" s="54" t="s">
        <v>55</v>
      </c>
      <c r="DF19" s="54" t="s">
        <v>55</v>
      </c>
      <c r="DG19" s="55" t="s">
        <v>1</v>
      </c>
      <c r="DH19" s="55" t="s">
        <v>1</v>
      </c>
      <c r="DI19" s="55" t="s">
        <v>86</v>
      </c>
      <c r="DJ19" s="60" t="s">
        <v>87</v>
      </c>
      <c r="DK19" s="60" t="s">
        <v>87</v>
      </c>
      <c r="DL19" s="60" t="s">
        <v>88</v>
      </c>
      <c r="DM19" s="60" t="s">
        <v>88</v>
      </c>
      <c r="DN19" s="60" t="s">
        <v>88</v>
      </c>
      <c r="DO19" s="273"/>
      <c r="DP19" s="143" t="s">
        <v>246</v>
      </c>
      <c r="DQ19" s="143" t="s">
        <v>247</v>
      </c>
      <c r="DR19" s="271"/>
      <c r="DS19" s="56" t="s">
        <v>30</v>
      </c>
      <c r="DT19" s="56" t="s">
        <v>30</v>
      </c>
      <c r="DU19" s="56" t="s">
        <v>30</v>
      </c>
      <c r="DV19" s="56" t="s">
        <v>59</v>
      </c>
      <c r="DW19" s="56" t="s">
        <v>59</v>
      </c>
      <c r="DX19" s="56" t="s">
        <v>59</v>
      </c>
      <c r="DY19" s="56" t="s">
        <v>248</v>
      </c>
      <c r="DZ19" s="263"/>
      <c r="EA19" s="263"/>
      <c r="EB19" s="263"/>
      <c r="EC19" s="263"/>
      <c r="ED19" s="247"/>
      <c r="EE19" s="55" t="s">
        <v>51</v>
      </c>
      <c r="EF19" s="247"/>
      <c r="EG19" s="250"/>
      <c r="EH19" s="250"/>
      <c r="EI19" s="250"/>
      <c r="EJ19" s="247"/>
      <c r="EK19" s="248"/>
      <c r="EL19" s="248"/>
      <c r="EM19" s="263"/>
      <c r="EN19" s="253"/>
      <c r="EO19" s="253"/>
      <c r="EP19" s="247"/>
      <c r="EQ19" s="248"/>
      <c r="ER19" s="247"/>
      <c r="ES19" s="253"/>
      <c r="ET19" s="250"/>
      <c r="EU19" s="250"/>
      <c r="EV19" s="247"/>
      <c r="EW19" s="247"/>
      <c r="EX19" s="248"/>
      <c r="EY19" s="253"/>
      <c r="EZ19" s="148" t="s">
        <v>265</v>
      </c>
      <c r="FA19" s="149" t="s">
        <v>267</v>
      </c>
      <c r="FB19" s="149" t="s">
        <v>267</v>
      </c>
      <c r="FC19" s="247"/>
      <c r="FD19" s="248"/>
    </row>
    <row r="20" spans="2:160">
      <c r="B20" s="201" t="s">
        <v>49</v>
      </c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192"/>
      <c r="AA20" s="12" t="s">
        <v>268</v>
      </c>
      <c r="AB20" s="14" t="s">
        <v>269</v>
      </c>
      <c r="AC20" s="64">
        <v>0.08</v>
      </c>
      <c r="AD20" s="64">
        <v>7.31</v>
      </c>
      <c r="AE20" s="6">
        <v>150</v>
      </c>
      <c r="AF20" s="6">
        <v>300</v>
      </c>
      <c r="AG20" s="6">
        <v>10</v>
      </c>
      <c r="AH20" s="6">
        <v>10</v>
      </c>
      <c r="AI20" s="19">
        <f>_xll.DCEPropSectTube(AE20, AF20, AG20, AH20, "Area")/100</f>
        <v>86</v>
      </c>
      <c r="AJ20" s="10">
        <f>_xll.DCEPropSectTube(AE20, AF20, AG20, AH20, "Ix")/10000</f>
        <v>9968.6666666666661</v>
      </c>
      <c r="AK20" s="10">
        <f>_xll.DCEPropSectTube(AE20, AF20, AG20, AH20, "Iy")/10000</f>
        <v>3311.1666666666665</v>
      </c>
      <c r="AL20" s="10">
        <f>_xll.DCEPropSectTube(AE20, AF20, AG20, AH20, "Wx")/1000</f>
        <v>664.57777777777778</v>
      </c>
      <c r="AM20" s="10">
        <f>_xll.DCEPropSectTube(AE20, AF20, AG20, AH20, "Wy")/1000</f>
        <v>441.48888888888888</v>
      </c>
      <c r="AN20" s="10">
        <f>_xll.DCEPropSectTube(AE20, AF20, AG20, AH20, "Sx")/1000</f>
        <v>413.5</v>
      </c>
      <c r="AO20" s="19">
        <f>_xll.DCEPropBoxQuat(AE20, AF20, AG20, AH20, "k")*1000</f>
        <v>9.7372899112029536</v>
      </c>
      <c r="AP20" s="10">
        <f>_xll.DCEPropBoxQuat(AE20, AF20, AG20, AH20, "Iw")/1000000</f>
        <v>42187.5</v>
      </c>
      <c r="AQ20" s="10">
        <f>ABS(_xll.DCEPropBoxQuat(AE20, AF20, AG20, AH20, "wmax")/100)</f>
        <v>37.5</v>
      </c>
      <c r="AR20" s="14" t="s">
        <v>270</v>
      </c>
      <c r="AS20" s="15">
        <v>-2.5886981295734981</v>
      </c>
      <c r="AT20" s="15">
        <v>2.5607245139684359E-3</v>
      </c>
      <c r="AU20" s="15">
        <v>-11.792044081721453</v>
      </c>
      <c r="AV20" s="15">
        <v>-3.6554808452419181</v>
      </c>
      <c r="AW20" s="15">
        <v>1.1032244606659669E-2</v>
      </c>
      <c r="AX20" s="15">
        <v>0.82694287573488268</v>
      </c>
      <c r="AY20" s="145">
        <f>_xll.Bimoment(AX20, AO20, AC20, AD20, $O$62)</f>
        <v>-4.7195330032453377E-3</v>
      </c>
      <c r="AZ20" s="16">
        <f>ABS(AS20)/(AI20*$L$33)*10</f>
        <v>1.3169249205679135E-3</v>
      </c>
      <c r="BA20" s="16">
        <f>(ABS(AV20)/AL20*1000)/$L$33</f>
        <v>2.4064495131645915E-2</v>
      </c>
      <c r="BB20" s="16">
        <f>(ABS(AW20)/AM20*1000)/$L$33</f>
        <v>1.0932567357608712E-4</v>
      </c>
      <c r="BC20" s="16">
        <f>IFERROR(ABS(AY20)*AQ20/(AP20*$L$33)*100000,0)</f>
        <v>1.8353739457065204E-3</v>
      </c>
      <c r="BD20" s="20">
        <f t="shared" ref="BD20" si="1">AZ20+BA20+BB20+BC20</f>
        <v>2.7326119671496438E-2</v>
      </c>
      <c r="BE20" s="17">
        <f t="shared" ref="BE20" si="2">ABS(AU20)*AN20/(AJ20*AG20)*100</f>
        <v>4.8913364152261973</v>
      </c>
      <c r="BF20" s="20">
        <f>BE20/$L$41</f>
        <v>3.6895856580370028E-2</v>
      </c>
      <c r="BG20" s="146">
        <f t="shared" ref="BG20" si="3">BA20*$L$33</f>
        <v>5.5004560300904943</v>
      </c>
      <c r="BH20" s="146">
        <f t="shared" ref="BH20" si="4">BB20*$L$33</f>
        <v>2.498872538881991E-2</v>
      </c>
      <c r="BI20" s="146">
        <f t="shared" ref="BI20" si="5">BE20</f>
        <v>4.8913364152261973</v>
      </c>
      <c r="BJ20" s="20">
        <f t="shared" ref="BJ20" si="6">0.87/$L$33*SQRT(BG20^2-BG20*BH20+BH20^2+3*BI20^2)</f>
        <v>3.8421205938365288E-2</v>
      </c>
      <c r="BK20" s="20">
        <f t="shared" ref="BK20" si="7">MAX(BD20,BF20,BJ20)</f>
        <v>3.8421205938365288E-2</v>
      </c>
      <c r="BL20" s="154" t="str">
        <f t="shared" ref="BL20" si="8">IF(BK20&lt;=1,"OK","Check")</f>
        <v>OK</v>
      </c>
      <c r="BM20" s="147"/>
      <c r="BP20" s="20"/>
      <c r="BQ20" s="154"/>
      <c r="BR20" s="18">
        <f t="shared" ref="BR20" si="9">ABS(AU20*10/AI20)/(0.58*$C$24/$E$24)</f>
        <v>1.0342861438959777E-2</v>
      </c>
      <c r="BS20" s="16">
        <f t="shared" ref="BS20" si="10">((AF20-2*AG20)/AG20)*SQRT($D$24/$B$24)</f>
        <v>0.93268585955902605</v>
      </c>
      <c r="BT20" s="18">
        <f>noisuy2chieu(BS20,BR20,Data!$DA$2:$DJ$9)</f>
        <v>0.10738109052181244</v>
      </c>
      <c r="BU20" s="18">
        <v>1</v>
      </c>
      <c r="BV20" s="18">
        <f t="shared" ref="BV20" si="11">(AE20*AG20)/((AF20-2*AG20)*AG20)</f>
        <v>0.5357142857142857</v>
      </c>
      <c r="BW20" s="20">
        <f>ABS(AV20)*1000000/($D$24*$F$24*(AF20-2*AG20)^2*AG20*(BU20*BV20+BT20))</f>
        <v>3.1719849650783692E-2</v>
      </c>
      <c r="BX20" s="154" t="str">
        <f t="shared" ref="BX20" si="12">IF(BW20&lt;=1,"OK","Check")</f>
        <v>OK</v>
      </c>
      <c r="BY20" s="18">
        <f t="shared" ref="BY20" si="13">((AE20-2*AG20)/AH20)*SQRT($D$24/$B$24)</f>
        <v>0.43303272050954783</v>
      </c>
      <c r="BZ20" s="146">
        <f t="shared" ref="BZ20" si="14">(BA20+BB20)*$D$24</f>
        <v>5.525444755479314</v>
      </c>
      <c r="CA20" s="18" t="str">
        <f t="shared" ref="CA20" si="15">IF($F$19&lt;&gt;1,"-",1.5*SQRT($D$24/BZ20))</f>
        <v>-</v>
      </c>
      <c r="CB20" s="18">
        <f>IF($F$19=1,"-",0.675+0.15*MIN(MAX($D$58,2.2),5.5))</f>
        <v>1.2000000000000002</v>
      </c>
      <c r="CC20" s="20">
        <f t="shared" ref="CC20" si="16">IFERROR(BY20/CA20,BY20/CB20)</f>
        <v>0.36086060042462315</v>
      </c>
      <c r="CD20" s="154" t="str">
        <f t="shared" ref="CD20" si="17">IF(CC20&lt;=1,"OK","Check")</f>
        <v>OK</v>
      </c>
      <c r="DA20" s="12" t="s">
        <v>268</v>
      </c>
      <c r="DB20" s="14" t="s">
        <v>269</v>
      </c>
      <c r="DC20" s="64">
        <v>0.08</v>
      </c>
      <c r="DD20" s="64">
        <v>7.31</v>
      </c>
      <c r="DE20" s="14">
        <v>150</v>
      </c>
      <c r="DF20" s="14">
        <v>300</v>
      </c>
      <c r="DG20" s="6">
        <v>10</v>
      </c>
      <c r="DH20" s="6">
        <v>10</v>
      </c>
      <c r="DI20" s="19">
        <v>86</v>
      </c>
      <c r="DJ20" s="10">
        <v>9968.6666666666661</v>
      </c>
      <c r="DK20" s="10">
        <v>3311.1666666666665</v>
      </c>
      <c r="DL20" s="10">
        <v>664.57777777777778</v>
      </c>
      <c r="DM20" s="10">
        <v>441.48888888888888</v>
      </c>
      <c r="DN20" s="10">
        <v>413.5</v>
      </c>
      <c r="DO20" s="19">
        <v>9.7372899112029536</v>
      </c>
      <c r="DP20" s="10">
        <v>42187.5</v>
      </c>
      <c r="DQ20" s="10">
        <v>37.5</v>
      </c>
      <c r="DR20" s="14" t="s">
        <v>270</v>
      </c>
      <c r="DS20" s="15">
        <v>-2.5886981295734981</v>
      </c>
      <c r="DT20" s="15">
        <v>2.5607245139684359E-3</v>
      </c>
      <c r="DU20" s="15">
        <v>-11.792044081721453</v>
      </c>
      <c r="DV20" s="15">
        <v>-3.6554808452419181</v>
      </c>
      <c r="DW20" s="15">
        <v>1.1032244606659669E-2</v>
      </c>
      <c r="DX20" s="15">
        <v>0.82694287573488268</v>
      </c>
      <c r="DY20" s="145">
        <v>0.13371332657844939</v>
      </c>
      <c r="DZ20" s="16">
        <v>1.4089895806684058E-3</v>
      </c>
      <c r="EA20" s="16">
        <v>2.574681545999806E-2</v>
      </c>
      <c r="EB20" s="16">
        <v>1.169685018200081E-4</v>
      </c>
      <c r="EC20" s="16">
        <v>5.5634859285595965E-2</v>
      </c>
      <c r="ED20" s="127">
        <v>8.2907632828082445E-2</v>
      </c>
      <c r="EE20" s="5">
        <v>4.8913364152261973</v>
      </c>
      <c r="EF20" s="127">
        <v>3.9475202177174019E-2</v>
      </c>
      <c r="EG20" s="10">
        <v>5.5004560300904943</v>
      </c>
      <c r="EH20" s="10">
        <v>2.498872538881991E-2</v>
      </c>
      <c r="EI20" s="10">
        <v>4.8913364152261973</v>
      </c>
      <c r="EJ20" s="127">
        <v>4.1107186900621831E-2</v>
      </c>
      <c r="EK20" s="127">
        <v>8.2907632828082445E-2</v>
      </c>
      <c r="EL20" s="188" t="s">
        <v>290</v>
      </c>
      <c r="EM20" s="185"/>
      <c r="EN20" s="19"/>
      <c r="EO20" s="19"/>
      <c r="EP20" s="127"/>
      <c r="EQ20" s="187"/>
      <c r="ER20" s="127">
        <v>1.1065918621622619E-2</v>
      </c>
      <c r="ES20" s="19">
        <v>0.90169987550728314</v>
      </c>
      <c r="ET20" s="127">
        <v>0.10456202924251556</v>
      </c>
      <c r="EU20" s="127">
        <v>1</v>
      </c>
      <c r="EV20" s="127">
        <v>0.5357142857142857</v>
      </c>
      <c r="EW20" s="127">
        <v>3.4086768883426287E-2</v>
      </c>
      <c r="EX20" s="188" t="s">
        <v>290</v>
      </c>
      <c r="EY20" s="127">
        <v>0.41864637077123856</v>
      </c>
      <c r="EZ20" s="10">
        <v>5.525444755479314</v>
      </c>
      <c r="FA20" s="127" t="s">
        <v>291</v>
      </c>
      <c r="FB20" s="127">
        <v>1.155</v>
      </c>
      <c r="FC20" s="127">
        <v>0.3624643902781286</v>
      </c>
      <c r="FD20" s="188" t="s">
        <v>290</v>
      </c>
    </row>
    <row r="21" spans="2:160" ht="15" customHeight="1">
      <c r="B21" s="202" t="s">
        <v>195</v>
      </c>
      <c r="C21" s="289" t="s">
        <v>320</v>
      </c>
      <c r="D21" s="289"/>
      <c r="E21" s="304" t="s">
        <v>32</v>
      </c>
      <c r="F21" s="304"/>
      <c r="G21" s="294" t="s">
        <v>24</v>
      </c>
      <c r="H21" s="295"/>
      <c r="I21" s="295"/>
      <c r="J21" s="295"/>
      <c r="K21" s="295"/>
      <c r="L21" s="295"/>
      <c r="M21" s="295"/>
      <c r="N21" s="296"/>
      <c r="AI21" s="19"/>
      <c r="AO21" s="19"/>
      <c r="AY21" s="145"/>
      <c r="AZ21" s="16"/>
      <c r="BC21" s="16"/>
      <c r="BD21" s="20"/>
      <c r="BE21" s="17"/>
      <c r="BF21" s="20"/>
      <c r="BG21" s="146"/>
      <c r="BH21" s="146"/>
      <c r="BI21" s="146"/>
      <c r="BJ21" s="20"/>
      <c r="BK21" s="20"/>
      <c r="BL21" s="154"/>
      <c r="BM21" s="147"/>
      <c r="BP21" s="20"/>
      <c r="BQ21" s="154"/>
      <c r="BR21" s="18"/>
      <c r="BS21" s="16"/>
      <c r="BT21" s="18"/>
      <c r="BU21" s="18"/>
      <c r="BV21" s="18"/>
      <c r="BW21" s="20"/>
      <c r="BX21" s="154"/>
      <c r="BY21" s="18"/>
      <c r="BZ21" s="146"/>
      <c r="CA21" s="18"/>
      <c r="CB21" s="18"/>
      <c r="CC21" s="20"/>
      <c r="CD21" s="154"/>
      <c r="DA21" s="12" t="s">
        <v>268</v>
      </c>
      <c r="DB21" s="14" t="s">
        <v>271</v>
      </c>
      <c r="DC21" s="64">
        <v>0.08</v>
      </c>
      <c r="DD21" s="64">
        <v>7.31</v>
      </c>
      <c r="DE21" s="14">
        <v>150</v>
      </c>
      <c r="DF21" s="14">
        <v>300</v>
      </c>
      <c r="DG21" s="14">
        <v>10</v>
      </c>
      <c r="DH21" s="14">
        <v>10</v>
      </c>
      <c r="DI21" s="19">
        <v>86</v>
      </c>
      <c r="DJ21" s="10">
        <v>9968.6666666666661</v>
      </c>
      <c r="DK21" s="10">
        <v>3311.1666666666665</v>
      </c>
      <c r="DL21" s="10">
        <v>664.57777777777778</v>
      </c>
      <c r="DM21" s="10">
        <v>441.48888888888888</v>
      </c>
      <c r="DN21" s="10">
        <v>413.5</v>
      </c>
      <c r="DO21" s="10">
        <v>9.7372899112029536</v>
      </c>
      <c r="DP21" s="10">
        <v>42187.5</v>
      </c>
      <c r="DQ21" s="10">
        <v>37.5</v>
      </c>
      <c r="DR21" s="14" t="s">
        <v>270</v>
      </c>
      <c r="DS21" s="15">
        <v>-2.5886981295734981</v>
      </c>
      <c r="DT21" s="15">
        <v>2.5607245139684359E-3</v>
      </c>
      <c r="DU21" s="15">
        <v>-11.792044081721453</v>
      </c>
      <c r="DV21" s="15">
        <v>-3.6554808452419181</v>
      </c>
      <c r="DW21" s="15">
        <v>1.1032244606659669E-2</v>
      </c>
      <c r="DX21" s="15">
        <v>0.82694287573488268</v>
      </c>
      <c r="DY21" s="15">
        <v>0.13371332657844939</v>
      </c>
      <c r="DZ21" s="16">
        <v>1.4089895806684058E-3</v>
      </c>
      <c r="EA21" s="16">
        <v>2.574681545999806E-2</v>
      </c>
      <c r="EB21" s="16">
        <v>1.169685018200081E-4</v>
      </c>
      <c r="EC21" s="16">
        <v>5.5634859285595965E-2</v>
      </c>
      <c r="ED21" s="127">
        <v>8.2907632828082445E-2</v>
      </c>
      <c r="EE21" s="5">
        <v>4.8913364152261973</v>
      </c>
      <c r="EF21" s="127">
        <v>3.9475202177174019E-2</v>
      </c>
      <c r="EG21" s="127">
        <v>5.5004560300904943</v>
      </c>
      <c r="EH21" s="127">
        <v>2.498872538881991E-2</v>
      </c>
      <c r="EI21" s="127">
        <v>4.8913364152261973</v>
      </c>
      <c r="EJ21" s="127">
        <v>4.1107186900621831E-2</v>
      </c>
      <c r="EK21" s="127">
        <v>8.2907632828082445E-2</v>
      </c>
      <c r="EL21" s="5" t="s">
        <v>290</v>
      </c>
      <c r="EM21" s="185"/>
      <c r="EN21" s="19"/>
      <c r="EO21" s="19"/>
      <c r="EP21" s="127"/>
      <c r="EQ21" s="5"/>
      <c r="ER21" s="127">
        <v>1.1065918621622619E-2</v>
      </c>
      <c r="ES21" s="127">
        <v>0.90169987550728314</v>
      </c>
      <c r="ET21" s="127">
        <v>0.10456202924251556</v>
      </c>
      <c r="EU21" s="127">
        <v>1</v>
      </c>
      <c r="EV21" s="127">
        <v>0.5357142857142857</v>
      </c>
      <c r="EW21" s="127">
        <v>3.4086768883426287E-2</v>
      </c>
      <c r="EX21" s="5" t="s">
        <v>290</v>
      </c>
      <c r="EY21" s="127">
        <v>0.41864637077123856</v>
      </c>
      <c r="EZ21" s="127">
        <v>5.525444755479314</v>
      </c>
      <c r="FA21" s="127" t="s">
        <v>291</v>
      </c>
      <c r="FB21" s="127">
        <v>1.155</v>
      </c>
      <c r="FC21" s="127">
        <v>0.3624643902781286</v>
      </c>
      <c r="FD21" s="5" t="s">
        <v>290</v>
      </c>
    </row>
    <row r="22" spans="2:160" ht="14.25">
      <c r="B22" s="202" t="s">
        <v>18</v>
      </c>
      <c r="C22" s="202" t="s">
        <v>20</v>
      </c>
      <c r="D22" s="202" t="s">
        <v>193</v>
      </c>
      <c r="E22" s="305" t="s">
        <v>21</v>
      </c>
      <c r="F22" s="305" t="s">
        <v>33</v>
      </c>
      <c r="G22" s="202" t="s">
        <v>23</v>
      </c>
      <c r="H22" s="202" t="s">
        <v>56</v>
      </c>
      <c r="I22" s="202" t="s">
        <v>57</v>
      </c>
      <c r="J22" s="202" t="s">
        <v>25</v>
      </c>
      <c r="K22" s="202" t="s">
        <v>26</v>
      </c>
      <c r="L22" s="202" t="s">
        <v>27</v>
      </c>
      <c r="M22" s="202" t="s">
        <v>197</v>
      </c>
      <c r="N22" s="205" t="s">
        <v>198</v>
      </c>
      <c r="AI22" s="19"/>
      <c r="AO22" s="19"/>
      <c r="AY22" s="145"/>
      <c r="AZ22" s="16"/>
      <c r="BC22" s="16"/>
      <c r="BD22" s="20"/>
      <c r="BE22" s="17"/>
      <c r="BF22" s="20"/>
      <c r="BG22" s="146"/>
      <c r="BH22" s="146"/>
      <c r="BI22" s="146"/>
      <c r="BJ22" s="20"/>
      <c r="BK22" s="20"/>
      <c r="BL22" s="154"/>
      <c r="BM22" s="147"/>
      <c r="BP22" s="20"/>
      <c r="BQ22" s="154"/>
      <c r="BR22" s="18"/>
      <c r="BS22" s="16"/>
      <c r="BT22" s="18"/>
      <c r="BU22" s="18"/>
      <c r="BV22" s="18"/>
      <c r="BW22" s="20"/>
      <c r="BX22" s="154"/>
      <c r="BY22" s="18"/>
      <c r="BZ22" s="146"/>
      <c r="CA22" s="18"/>
      <c r="CB22" s="18"/>
      <c r="CC22" s="20"/>
      <c r="CD22" s="154"/>
      <c r="DA22" s="12" t="s">
        <v>268</v>
      </c>
      <c r="DB22" s="14" t="s">
        <v>272</v>
      </c>
      <c r="DC22" s="64">
        <v>0.08</v>
      </c>
      <c r="DD22" s="64">
        <v>8</v>
      </c>
      <c r="DE22" s="14">
        <v>150</v>
      </c>
      <c r="DF22" s="14">
        <v>300</v>
      </c>
      <c r="DG22" s="14">
        <v>10</v>
      </c>
      <c r="DH22" s="14">
        <v>10</v>
      </c>
      <c r="DI22" s="19">
        <v>86</v>
      </c>
      <c r="DJ22" s="10">
        <v>9968.6666666666661</v>
      </c>
      <c r="DK22" s="10">
        <v>3311.1666666666665</v>
      </c>
      <c r="DL22" s="10">
        <v>664.57777777777778</v>
      </c>
      <c r="DM22" s="10">
        <v>441.48888888888888</v>
      </c>
      <c r="DN22" s="10">
        <v>413.5</v>
      </c>
      <c r="DO22" s="10">
        <v>9.7372899112029536</v>
      </c>
      <c r="DP22" s="10">
        <v>42187.5</v>
      </c>
      <c r="DQ22" s="10">
        <v>37.5</v>
      </c>
      <c r="DR22" s="14" t="s">
        <v>270</v>
      </c>
      <c r="DS22" s="15">
        <v>-2.5886981295734981</v>
      </c>
      <c r="DT22" s="15">
        <v>2.5607245139684359E-3</v>
      </c>
      <c r="DU22" s="15">
        <v>-11.792044081721453</v>
      </c>
      <c r="DV22" s="15">
        <v>-3.6554808452419181</v>
      </c>
      <c r="DW22" s="15">
        <v>1.1032244606659669E-2</v>
      </c>
      <c r="DX22" s="15">
        <v>0.82694287573488268</v>
      </c>
      <c r="DY22" s="15">
        <v>0.14715794257126283</v>
      </c>
      <c r="DZ22" s="16">
        <v>1.4089895806684058E-3</v>
      </c>
      <c r="EA22" s="16">
        <v>2.574681545999806E-2</v>
      </c>
      <c r="EB22" s="16">
        <v>1.169685018200081E-4</v>
      </c>
      <c r="EC22" s="16">
        <v>6.1228836625395425E-2</v>
      </c>
      <c r="ED22" s="127">
        <v>8.8501610167881897E-2</v>
      </c>
      <c r="EE22" s="5">
        <v>4.8913364152261973</v>
      </c>
      <c r="EF22" s="127">
        <v>3.9475202177174019E-2</v>
      </c>
      <c r="EG22" s="127">
        <v>5.5004560300904943</v>
      </c>
      <c r="EH22" s="127">
        <v>2.498872538881991E-2</v>
      </c>
      <c r="EI22" s="127">
        <v>4.8913364152261973</v>
      </c>
      <c r="EJ22" s="127">
        <v>4.1107186900621831E-2</v>
      </c>
      <c r="EK22" s="127">
        <v>8.8501610167881897E-2</v>
      </c>
      <c r="EL22" s="5" t="s">
        <v>290</v>
      </c>
      <c r="EM22" s="185"/>
      <c r="EN22" s="19"/>
      <c r="EO22" s="19"/>
      <c r="EP22" s="127"/>
      <c r="EQ22" s="5"/>
      <c r="ER22" s="127">
        <v>1.1065918621622619E-2</v>
      </c>
      <c r="ES22" s="127">
        <v>0.90169987550728314</v>
      </c>
      <c r="ET22" s="127">
        <v>0.10456202924251556</v>
      </c>
      <c r="EU22" s="127">
        <v>1</v>
      </c>
      <c r="EV22" s="127">
        <v>0.5357142857142857</v>
      </c>
      <c r="EW22" s="127">
        <v>3.4086768883426287E-2</v>
      </c>
      <c r="EX22" s="5" t="s">
        <v>290</v>
      </c>
      <c r="EY22" s="127">
        <v>0.41864637077123856</v>
      </c>
      <c r="EZ22" s="127">
        <v>5.525444755479314</v>
      </c>
      <c r="FA22" s="127" t="s">
        <v>291</v>
      </c>
      <c r="FB22" s="127">
        <v>1.155</v>
      </c>
      <c r="FC22" s="127">
        <v>0.3624643902781286</v>
      </c>
      <c r="FD22" s="5" t="s">
        <v>290</v>
      </c>
    </row>
    <row r="23" spans="2:160" ht="15">
      <c r="B23" s="202" t="s">
        <v>51</v>
      </c>
      <c r="C23" s="202" t="s">
        <v>51</v>
      </c>
      <c r="D23" s="202" t="s">
        <v>51</v>
      </c>
      <c r="E23" s="294"/>
      <c r="F23" s="294"/>
      <c r="G23" s="204" t="s">
        <v>52</v>
      </c>
      <c r="H23" s="206" t="s">
        <v>28</v>
      </c>
      <c r="I23" s="206" t="s">
        <v>28</v>
      </c>
      <c r="J23" s="206" t="s">
        <v>29</v>
      </c>
      <c r="K23" s="206" t="s">
        <v>29</v>
      </c>
      <c r="L23" s="206" t="s">
        <v>29</v>
      </c>
      <c r="M23" s="206" t="s">
        <v>199</v>
      </c>
      <c r="N23" s="207" t="s">
        <v>52</v>
      </c>
      <c r="AI23" s="19"/>
      <c r="AO23" s="19"/>
      <c r="AY23" s="145"/>
      <c r="AZ23" s="16"/>
      <c r="BC23" s="16"/>
      <c r="BD23" s="20"/>
      <c r="BE23" s="17"/>
      <c r="BF23" s="20"/>
      <c r="BG23" s="146"/>
      <c r="BH23" s="146"/>
      <c r="BI23" s="146"/>
      <c r="BJ23" s="20"/>
      <c r="BK23" s="20"/>
      <c r="BL23" s="154"/>
      <c r="BM23" s="147"/>
      <c r="BP23" s="20"/>
      <c r="BQ23" s="154"/>
      <c r="BR23" s="18"/>
      <c r="BS23" s="16"/>
      <c r="BT23" s="18"/>
      <c r="BU23" s="18"/>
      <c r="BV23" s="18"/>
      <c r="BW23" s="20"/>
      <c r="BX23" s="154"/>
      <c r="BY23" s="18"/>
      <c r="BZ23" s="146"/>
      <c r="CA23" s="18"/>
      <c r="CB23" s="18"/>
      <c r="CC23" s="20"/>
      <c r="CD23" s="154"/>
      <c r="DA23" s="12" t="s">
        <v>268</v>
      </c>
      <c r="DB23" s="14" t="s">
        <v>273</v>
      </c>
      <c r="DC23" s="64">
        <v>0.08</v>
      </c>
      <c r="DD23" s="64">
        <v>6.16</v>
      </c>
      <c r="DE23" s="14">
        <v>150</v>
      </c>
      <c r="DF23" s="14">
        <v>300</v>
      </c>
      <c r="DG23" s="14">
        <v>10</v>
      </c>
      <c r="DH23" s="14">
        <v>10</v>
      </c>
      <c r="DI23" s="19">
        <v>86</v>
      </c>
      <c r="DJ23" s="10">
        <v>9968.6666666666661</v>
      </c>
      <c r="DK23" s="10">
        <v>3311.1666666666665</v>
      </c>
      <c r="DL23" s="10">
        <v>664.57777777777778</v>
      </c>
      <c r="DM23" s="10">
        <v>441.48888888888888</v>
      </c>
      <c r="DN23" s="10">
        <v>413.5</v>
      </c>
      <c r="DO23" s="10">
        <v>9.7372899112029536</v>
      </c>
      <c r="DP23" s="10">
        <v>42187.5</v>
      </c>
      <c r="DQ23" s="10">
        <v>37.5</v>
      </c>
      <c r="DR23" s="14" t="s">
        <v>270</v>
      </c>
      <c r="DS23" s="15">
        <v>-2.5886981295734981</v>
      </c>
      <c r="DT23" s="15">
        <v>2.5607245139684359E-3</v>
      </c>
      <c r="DU23" s="15">
        <v>-11.792044081721453</v>
      </c>
      <c r="DV23" s="15">
        <v>-3.6554808452419181</v>
      </c>
      <c r="DW23" s="15">
        <v>1.1032244606659669E-2</v>
      </c>
      <c r="DX23" s="15">
        <v>0.82694287573488268</v>
      </c>
      <c r="DY23" s="15">
        <v>0.11130563325709322</v>
      </c>
      <c r="DZ23" s="16">
        <v>1.4089895806684058E-3</v>
      </c>
      <c r="EA23" s="16">
        <v>2.574681545999806E-2</v>
      </c>
      <c r="EB23" s="16">
        <v>1.169685018200081E-4</v>
      </c>
      <c r="EC23" s="16">
        <v>4.6311563719263378E-2</v>
      </c>
      <c r="ED23" s="127">
        <v>7.3584337261749844E-2</v>
      </c>
      <c r="EE23" s="5">
        <v>4.8913364152261973</v>
      </c>
      <c r="EF23" s="127">
        <v>3.9475202177174019E-2</v>
      </c>
      <c r="EG23" s="127">
        <v>5.5004560300904943</v>
      </c>
      <c r="EH23" s="127">
        <v>2.498872538881991E-2</v>
      </c>
      <c r="EI23" s="127">
        <v>4.8913364152261973</v>
      </c>
      <c r="EJ23" s="127">
        <v>4.1107186900621831E-2</v>
      </c>
      <c r="EK23" s="127">
        <v>7.3584337261749844E-2</v>
      </c>
      <c r="EL23" s="5" t="s">
        <v>290</v>
      </c>
      <c r="EM23" s="185"/>
      <c r="EN23" s="19"/>
      <c r="EO23" s="19"/>
      <c r="EP23" s="127"/>
      <c r="EQ23" s="5"/>
      <c r="ER23" s="127">
        <v>1.1065918621622619E-2</v>
      </c>
      <c r="ES23" s="127">
        <v>0.90169987550728314</v>
      </c>
      <c r="ET23" s="127">
        <v>0.10456202924251556</v>
      </c>
      <c r="EU23" s="127">
        <v>1</v>
      </c>
      <c r="EV23" s="127">
        <v>0.5357142857142857</v>
      </c>
      <c r="EW23" s="127">
        <v>3.4086768883426287E-2</v>
      </c>
      <c r="EX23" s="5" t="s">
        <v>290</v>
      </c>
      <c r="EY23" s="127">
        <v>0.41864637077123856</v>
      </c>
      <c r="EZ23" s="127">
        <v>5.525444755479314</v>
      </c>
      <c r="FA23" s="127" t="s">
        <v>291</v>
      </c>
      <c r="FB23" s="127">
        <v>1.155</v>
      </c>
      <c r="FC23" s="127">
        <v>0.3624643902781286</v>
      </c>
      <c r="FD23" s="5" t="s">
        <v>290</v>
      </c>
    </row>
    <row r="24" spans="2:160" ht="15" customHeight="1">
      <c r="B24" s="202">
        <f>VLOOKUP(C21,Data!$A$3:$D$9999,2,FALSE)</f>
        <v>206000</v>
      </c>
      <c r="C24" s="202">
        <f>VLOOKUP(C21,Data!$A$3:$D$9999,3,FALSE)</f>
        <v>240</v>
      </c>
      <c r="D24" s="209">
        <f>C24/E24</f>
        <v>228.57142857142856</v>
      </c>
      <c r="E24" s="210">
        <f>VLOOKUP(C21,Data!$A$3:$E$9999,5,FALSE)</f>
        <v>1.05</v>
      </c>
      <c r="F24" s="203">
        <v>1</v>
      </c>
      <c r="G24" s="211">
        <f>2*(F12*F15+F16*F14)/100</f>
        <v>86</v>
      </c>
      <c r="H24" s="212">
        <f>2*(F14*F16^3/12+F12*F15^3/12+F12*F15*(F16/2+F15/2)^2)/10000</f>
        <v>9968.6666666666661</v>
      </c>
      <c r="I24" s="212">
        <f>2*(F15*F12^3/12+F16*F14^3/12+F16*F14*(F12/2-F14/2)^2)/10000</f>
        <v>3311.166666666667</v>
      </c>
      <c r="J24" s="213">
        <f>H24/(F13/20)</f>
        <v>664.57777777777778</v>
      </c>
      <c r="K24" s="213">
        <f>I24/(F12/20)</f>
        <v>441.48888888888894</v>
      </c>
      <c r="L24" s="213">
        <f>(2*F14*(F16/2)*(F16/4)+F12*F15*(F16/2+F15/2))/1000</f>
        <v>413.5</v>
      </c>
      <c r="M24" s="212">
        <f>(F12^2*F13^2/24*(F12*F14-F13*F15)^2/(F12*F14+F13*F15)^2*(F12*F15+F13*F14))/1000000</f>
        <v>42187.5</v>
      </c>
      <c r="N24" s="214">
        <f>ABS(F12*F13/4*(F12*F14-F13*F15)/(F12*F14+F13*F15))/100</f>
        <v>37.5</v>
      </c>
      <c r="AI24" s="19"/>
      <c r="AO24" s="19"/>
      <c r="AY24" s="145"/>
      <c r="AZ24" s="16"/>
      <c r="BC24" s="16"/>
      <c r="BD24" s="20"/>
      <c r="BE24" s="17"/>
      <c r="BF24" s="20"/>
      <c r="BG24" s="146"/>
      <c r="BH24" s="146"/>
      <c r="BI24" s="146"/>
      <c r="BJ24" s="20"/>
      <c r="BK24" s="20"/>
      <c r="BL24" s="154"/>
      <c r="BM24" s="147"/>
      <c r="BP24" s="20"/>
      <c r="BQ24" s="154"/>
      <c r="BR24" s="18"/>
      <c r="BS24" s="16"/>
      <c r="BT24" s="18"/>
      <c r="BU24" s="18"/>
      <c r="BV24" s="18"/>
      <c r="BW24" s="20"/>
      <c r="BX24" s="154"/>
      <c r="BY24" s="18"/>
      <c r="BZ24" s="146"/>
      <c r="CA24" s="18"/>
      <c r="CB24" s="18"/>
      <c r="CC24" s="20"/>
      <c r="CD24" s="154"/>
      <c r="DA24" s="12" t="s">
        <v>268</v>
      </c>
      <c r="DB24" s="14" t="s">
        <v>274</v>
      </c>
      <c r="DC24" s="64">
        <v>0.08</v>
      </c>
      <c r="DD24" s="64">
        <v>8</v>
      </c>
      <c r="DE24" s="14">
        <v>150</v>
      </c>
      <c r="DF24" s="14">
        <v>300</v>
      </c>
      <c r="DG24" s="14">
        <v>10</v>
      </c>
      <c r="DH24" s="14">
        <v>10</v>
      </c>
      <c r="DI24" s="19">
        <v>86</v>
      </c>
      <c r="DJ24" s="10">
        <v>9968.6666666666661</v>
      </c>
      <c r="DK24" s="10">
        <v>3311.1666666666665</v>
      </c>
      <c r="DL24" s="10">
        <v>664.57777777777778</v>
      </c>
      <c r="DM24" s="10">
        <v>441.48888888888888</v>
      </c>
      <c r="DN24" s="10">
        <v>413.5</v>
      </c>
      <c r="DO24" s="10">
        <v>9.7372899112029536</v>
      </c>
      <c r="DP24" s="10">
        <v>42187.5</v>
      </c>
      <c r="DQ24" s="10">
        <v>37.5</v>
      </c>
      <c r="DR24" s="14" t="s">
        <v>270</v>
      </c>
      <c r="DS24" s="15">
        <v>-2.5886981295734981</v>
      </c>
      <c r="DT24" s="15">
        <v>2.5607245139684359E-3</v>
      </c>
      <c r="DU24" s="15">
        <v>-11.792044081721453</v>
      </c>
      <c r="DV24" s="15">
        <v>-3.6554808452419181</v>
      </c>
      <c r="DW24" s="15">
        <v>1.1032244606659669E-2</v>
      </c>
      <c r="DX24" s="15">
        <v>0.82694287573488268</v>
      </c>
      <c r="DY24" s="15">
        <v>0.14715794257126283</v>
      </c>
      <c r="DZ24" s="16">
        <v>1.4089895806684058E-3</v>
      </c>
      <c r="EA24" s="16">
        <v>2.574681545999806E-2</v>
      </c>
      <c r="EB24" s="16">
        <v>1.169685018200081E-4</v>
      </c>
      <c r="EC24" s="16">
        <v>6.1228836625395425E-2</v>
      </c>
      <c r="ED24" s="127">
        <v>8.8501610167881897E-2</v>
      </c>
      <c r="EE24" s="5">
        <v>4.8913364152261973</v>
      </c>
      <c r="EF24" s="127">
        <v>3.9475202177174019E-2</v>
      </c>
      <c r="EG24" s="127">
        <v>5.5004560300904943</v>
      </c>
      <c r="EH24" s="127">
        <v>2.498872538881991E-2</v>
      </c>
      <c r="EI24" s="127">
        <v>4.8913364152261973</v>
      </c>
      <c r="EJ24" s="127">
        <v>4.1107186900621831E-2</v>
      </c>
      <c r="EK24" s="127">
        <v>8.8501610167881897E-2</v>
      </c>
      <c r="EL24" s="5" t="s">
        <v>290</v>
      </c>
      <c r="EM24" s="185"/>
      <c r="EN24" s="19"/>
      <c r="EO24" s="19"/>
      <c r="EP24" s="127"/>
      <c r="EQ24" s="5"/>
      <c r="ER24" s="127">
        <v>1.1065918621622619E-2</v>
      </c>
      <c r="ES24" s="127">
        <v>0.90169987550728314</v>
      </c>
      <c r="ET24" s="127">
        <v>0.10456202924251556</v>
      </c>
      <c r="EU24" s="127">
        <v>1</v>
      </c>
      <c r="EV24" s="127">
        <v>0.5357142857142857</v>
      </c>
      <c r="EW24" s="127">
        <v>3.4086768883426287E-2</v>
      </c>
      <c r="EX24" s="5" t="s">
        <v>290</v>
      </c>
      <c r="EY24" s="127">
        <v>0.41864637077123856</v>
      </c>
      <c r="EZ24" s="127">
        <v>5.525444755479314</v>
      </c>
      <c r="FA24" s="127" t="s">
        <v>291</v>
      </c>
      <c r="FB24" s="127">
        <v>1.155</v>
      </c>
      <c r="FC24" s="127">
        <v>0.3624643902781286</v>
      </c>
      <c r="FD24" s="5" t="s">
        <v>290</v>
      </c>
    </row>
    <row r="25" spans="2:160" ht="15" customHeight="1">
      <c r="B25" s="197" t="s">
        <v>50</v>
      </c>
      <c r="C25" s="208"/>
      <c r="D25" s="208"/>
      <c r="E25" s="208"/>
      <c r="F25" s="208"/>
      <c r="G25" s="208"/>
      <c r="H25" s="208"/>
      <c r="I25" s="208"/>
      <c r="J25" s="208"/>
      <c r="K25" s="208"/>
      <c r="L25" s="216"/>
      <c r="M25" s="208"/>
      <c r="N25" s="217"/>
      <c r="AI25" s="19"/>
      <c r="AO25" s="19"/>
      <c r="AY25" s="145"/>
      <c r="AZ25" s="16"/>
      <c r="BC25" s="16"/>
      <c r="BD25" s="20"/>
      <c r="BE25" s="17"/>
      <c r="BF25" s="20"/>
      <c r="BG25" s="146"/>
      <c r="BH25" s="146"/>
      <c r="BI25" s="146"/>
      <c r="BJ25" s="20"/>
      <c r="BK25" s="20"/>
      <c r="BL25" s="154"/>
      <c r="BM25" s="147"/>
      <c r="BP25" s="20"/>
      <c r="BQ25" s="154"/>
      <c r="BR25" s="18"/>
      <c r="BS25" s="16"/>
      <c r="BT25" s="18"/>
      <c r="BU25" s="18"/>
      <c r="BV25" s="18"/>
      <c r="BW25" s="20"/>
      <c r="BX25" s="154"/>
      <c r="BY25" s="18"/>
      <c r="BZ25" s="146"/>
      <c r="CA25" s="18"/>
      <c r="CB25" s="18"/>
      <c r="CC25" s="20"/>
      <c r="CD25" s="154"/>
      <c r="DA25" s="12" t="s">
        <v>268</v>
      </c>
      <c r="DB25" s="14" t="s">
        <v>275</v>
      </c>
      <c r="DC25" s="64">
        <v>0.08</v>
      </c>
      <c r="DD25" s="64">
        <v>2.34</v>
      </c>
      <c r="DE25" s="14">
        <v>150</v>
      </c>
      <c r="DF25" s="14">
        <v>300</v>
      </c>
      <c r="DG25" s="14">
        <v>10</v>
      </c>
      <c r="DH25" s="14">
        <v>10</v>
      </c>
      <c r="DI25" s="19">
        <v>86</v>
      </c>
      <c r="DJ25" s="10">
        <v>9968.6666666666661</v>
      </c>
      <c r="DK25" s="10">
        <v>3311.1666666666665</v>
      </c>
      <c r="DL25" s="10">
        <v>664.57777777777778</v>
      </c>
      <c r="DM25" s="10">
        <v>441.48888888888888</v>
      </c>
      <c r="DN25" s="10">
        <v>413.5</v>
      </c>
      <c r="DO25" s="10">
        <v>9.7372899112029536</v>
      </c>
      <c r="DP25" s="10">
        <v>42187.5</v>
      </c>
      <c r="DQ25" s="10">
        <v>37.5</v>
      </c>
      <c r="DR25" s="14" t="s">
        <v>270</v>
      </c>
      <c r="DS25" s="15">
        <v>-2.5886981295734981</v>
      </c>
      <c r="DT25" s="15">
        <v>2.5607245139684359E-3</v>
      </c>
      <c r="DU25" s="15">
        <v>-11.792044081721453</v>
      </c>
      <c r="DV25" s="15">
        <v>-3.6554808452419181</v>
      </c>
      <c r="DW25" s="15">
        <v>1.1032244606659669E-2</v>
      </c>
      <c r="DX25" s="15">
        <v>0.82694287573488268</v>
      </c>
      <c r="DY25" s="15">
        <v>3.6873121562107092E-2</v>
      </c>
      <c r="DZ25" s="16">
        <v>1.4089895806684058E-3</v>
      </c>
      <c r="EA25" s="16">
        <v>2.574681545999806E-2</v>
      </c>
      <c r="EB25" s="16">
        <v>1.169685018200081E-4</v>
      </c>
      <c r="EC25" s="16">
        <v>1.534200802584125E-2</v>
      </c>
      <c r="ED25" s="127">
        <v>4.2614781568327723E-2</v>
      </c>
      <c r="EE25" s="5">
        <v>4.8913364152261973</v>
      </c>
      <c r="EF25" s="127">
        <v>3.9475202177174019E-2</v>
      </c>
      <c r="EG25" s="127">
        <v>5.5004560300904943</v>
      </c>
      <c r="EH25" s="127">
        <v>2.498872538881991E-2</v>
      </c>
      <c r="EI25" s="127">
        <v>4.8913364152261973</v>
      </c>
      <c r="EJ25" s="127">
        <v>4.1107186900621831E-2</v>
      </c>
      <c r="EK25" s="127">
        <v>4.2614781568327723E-2</v>
      </c>
      <c r="EL25" s="5" t="s">
        <v>290</v>
      </c>
      <c r="EM25" s="185"/>
      <c r="EN25" s="19"/>
      <c r="EO25" s="19"/>
      <c r="EP25" s="127"/>
      <c r="EQ25" s="5"/>
      <c r="ER25" s="127">
        <v>1.1065918621622619E-2</v>
      </c>
      <c r="ES25" s="127">
        <v>0.90169987550728314</v>
      </c>
      <c r="ET25" s="127">
        <v>0.10456202924251556</v>
      </c>
      <c r="EU25" s="127">
        <v>1</v>
      </c>
      <c r="EV25" s="127">
        <v>0.5357142857142857</v>
      </c>
      <c r="EW25" s="127">
        <v>3.4086768883426287E-2</v>
      </c>
      <c r="EX25" s="5" t="s">
        <v>290</v>
      </c>
      <c r="EY25" s="127">
        <v>0.41864637077123856</v>
      </c>
      <c r="EZ25" s="127">
        <v>5.525444755479314</v>
      </c>
      <c r="FA25" s="127" t="s">
        <v>291</v>
      </c>
      <c r="FB25" s="127">
        <v>1.155</v>
      </c>
      <c r="FC25" s="127">
        <v>0.3624643902781286</v>
      </c>
      <c r="FD25" s="5" t="s">
        <v>290</v>
      </c>
    </row>
    <row r="26" spans="2:160" ht="14.25">
      <c r="B26" s="215"/>
      <c r="C26" s="2"/>
      <c r="D26" s="2"/>
      <c r="E26" s="282" t="s">
        <v>60</v>
      </c>
      <c r="F26" s="218" t="s">
        <v>39</v>
      </c>
      <c r="G26" s="280" t="s">
        <v>61</v>
      </c>
      <c r="H26" s="202" t="s">
        <v>47</v>
      </c>
      <c r="I26" s="202" t="s">
        <v>238</v>
      </c>
      <c r="J26" s="202" t="s">
        <v>239</v>
      </c>
      <c r="K26" s="202" t="s">
        <v>240</v>
      </c>
      <c r="L26" s="202" t="s">
        <v>241</v>
      </c>
      <c r="M26" s="202" t="s">
        <v>48</v>
      </c>
      <c r="N26" s="219" t="s">
        <v>91</v>
      </c>
      <c r="AI26" s="19"/>
      <c r="AO26" s="19"/>
      <c r="AY26" s="145"/>
      <c r="AZ26" s="16"/>
      <c r="BC26" s="16"/>
      <c r="BD26" s="20"/>
      <c r="BE26" s="17"/>
      <c r="BF26" s="20"/>
      <c r="BG26" s="146"/>
      <c r="BH26" s="146"/>
      <c r="BI26" s="146"/>
      <c r="BJ26" s="20"/>
      <c r="BK26" s="20"/>
      <c r="BL26" s="154"/>
      <c r="BM26" s="147"/>
      <c r="BP26" s="20"/>
      <c r="BQ26" s="154"/>
      <c r="BR26" s="18"/>
      <c r="BS26" s="16"/>
      <c r="BT26" s="18"/>
      <c r="BU26" s="18"/>
      <c r="BV26" s="18"/>
      <c r="BW26" s="20"/>
      <c r="BX26" s="154"/>
      <c r="BY26" s="18"/>
      <c r="BZ26" s="146"/>
      <c r="CA26" s="18"/>
      <c r="CB26" s="18"/>
      <c r="CC26" s="20"/>
      <c r="CD26" s="154"/>
      <c r="DA26" s="12" t="s">
        <v>268</v>
      </c>
      <c r="DB26" s="14" t="s">
        <v>276</v>
      </c>
      <c r="DC26" s="64">
        <v>0</v>
      </c>
      <c r="DD26" s="64">
        <v>1.31</v>
      </c>
      <c r="DE26" s="14">
        <v>150</v>
      </c>
      <c r="DF26" s="14">
        <v>300</v>
      </c>
      <c r="DG26" s="14">
        <v>10</v>
      </c>
      <c r="DH26" s="14">
        <v>10</v>
      </c>
      <c r="DI26" s="19">
        <v>86</v>
      </c>
      <c r="DJ26" s="10">
        <v>9968.6666666666661</v>
      </c>
      <c r="DK26" s="10">
        <v>3311.1666666666665</v>
      </c>
      <c r="DL26" s="10">
        <v>664.57777777777778</v>
      </c>
      <c r="DM26" s="10">
        <v>441.48888888888888</v>
      </c>
      <c r="DN26" s="10">
        <v>413.5</v>
      </c>
      <c r="DO26" s="10">
        <v>9.7372899112029536</v>
      </c>
      <c r="DP26" s="10">
        <v>42187.5</v>
      </c>
      <c r="DQ26" s="10">
        <v>37.5</v>
      </c>
      <c r="DR26" s="14" t="s">
        <v>270</v>
      </c>
      <c r="DS26" s="15">
        <v>-2.5886981295734981</v>
      </c>
      <c r="DT26" s="15">
        <v>2.5607245139684359E-3</v>
      </c>
      <c r="DU26" s="15">
        <v>-11.792044081721453</v>
      </c>
      <c r="DV26" s="15">
        <v>-3.6554808452419181</v>
      </c>
      <c r="DW26" s="15">
        <v>1.1032244606659669E-2</v>
      </c>
      <c r="DX26" s="15">
        <v>0.82694287573488268</v>
      </c>
      <c r="DY26" s="15">
        <v>4.6904770319572735E-2</v>
      </c>
      <c r="DZ26" s="16">
        <v>1.4089895806684058E-3</v>
      </c>
      <c r="EA26" s="16">
        <v>2.574681545999806E-2</v>
      </c>
      <c r="EB26" s="16">
        <v>1.169685018200081E-4</v>
      </c>
      <c r="EC26" s="16">
        <v>1.9515932804361237E-2</v>
      </c>
      <c r="ED26" s="127">
        <v>4.678870634684771E-2</v>
      </c>
      <c r="EE26" s="5">
        <v>4.8913364152261973</v>
      </c>
      <c r="EF26" s="127">
        <v>3.9475202177174019E-2</v>
      </c>
      <c r="EG26" s="127">
        <v>5.5004560300904943</v>
      </c>
      <c r="EH26" s="127">
        <v>2.498872538881991E-2</v>
      </c>
      <c r="EI26" s="127">
        <v>4.8913364152261973</v>
      </c>
      <c r="EJ26" s="127">
        <v>4.1107186900621831E-2</v>
      </c>
      <c r="EK26" s="127">
        <v>4.678870634684771E-2</v>
      </c>
      <c r="EL26" s="5" t="s">
        <v>290</v>
      </c>
      <c r="EM26" s="185"/>
      <c r="EN26" s="19"/>
      <c r="EO26" s="19"/>
      <c r="EP26" s="127"/>
      <c r="EQ26" s="5"/>
      <c r="ER26" s="127">
        <v>1.1065918621622619E-2</v>
      </c>
      <c r="ES26" s="127">
        <v>0.90169987550728314</v>
      </c>
      <c r="ET26" s="127">
        <v>0.10456202924251556</v>
      </c>
      <c r="EU26" s="127">
        <v>1</v>
      </c>
      <c r="EV26" s="127">
        <v>0.5357142857142857</v>
      </c>
      <c r="EW26" s="127">
        <v>3.4086768883426287E-2</v>
      </c>
      <c r="EX26" s="5" t="s">
        <v>290</v>
      </c>
      <c r="EY26" s="127">
        <v>0.41864637077123856</v>
      </c>
      <c r="EZ26" s="127">
        <v>5.525444755479314</v>
      </c>
      <c r="FA26" s="127" t="s">
        <v>291</v>
      </c>
      <c r="FB26" s="127">
        <v>1.155</v>
      </c>
      <c r="FC26" s="127">
        <v>0.3624643902781286</v>
      </c>
      <c r="FD26" s="5" t="s">
        <v>290</v>
      </c>
    </row>
    <row r="27" spans="2:160" ht="15">
      <c r="B27" s="215"/>
      <c r="C27" s="2"/>
      <c r="D27" s="2"/>
      <c r="E27" s="282"/>
      <c r="F27" s="210" t="s">
        <v>58</v>
      </c>
      <c r="G27" s="281"/>
      <c r="H27" s="202" t="s">
        <v>46</v>
      </c>
      <c r="I27" s="202" t="s">
        <v>46</v>
      </c>
      <c r="J27" s="202" t="s">
        <v>46</v>
      </c>
      <c r="K27" s="202" t="s">
        <v>45</v>
      </c>
      <c r="L27" s="202" t="s">
        <v>45</v>
      </c>
      <c r="M27" s="202" t="s">
        <v>45</v>
      </c>
      <c r="N27" s="219" t="s">
        <v>196</v>
      </c>
      <c r="AI27" s="19"/>
      <c r="AO27" s="19"/>
      <c r="AY27" s="145"/>
      <c r="AZ27" s="16"/>
      <c r="BC27" s="16"/>
      <c r="BD27" s="20"/>
      <c r="BE27" s="17"/>
      <c r="BF27" s="20"/>
      <c r="BG27" s="146"/>
      <c r="BH27" s="146"/>
      <c r="BI27" s="146"/>
      <c r="BJ27" s="20"/>
      <c r="BK27" s="20"/>
      <c r="BL27" s="154"/>
      <c r="BM27" s="147"/>
      <c r="BP27" s="20"/>
      <c r="BQ27" s="154"/>
      <c r="BR27" s="18"/>
      <c r="BS27" s="16"/>
      <c r="BT27" s="18"/>
      <c r="BU27" s="18"/>
      <c r="BV27" s="18"/>
      <c r="BW27" s="20"/>
      <c r="BX27" s="154"/>
      <c r="BY27" s="18"/>
      <c r="BZ27" s="146"/>
      <c r="CA27" s="18"/>
      <c r="CB27" s="18"/>
      <c r="CC27" s="20"/>
      <c r="CD27" s="154"/>
      <c r="DA27" s="12" t="s">
        <v>268</v>
      </c>
      <c r="DB27" s="14" t="s">
        <v>277</v>
      </c>
      <c r="DC27" s="64">
        <v>0.08</v>
      </c>
      <c r="DD27" s="64">
        <v>8</v>
      </c>
      <c r="DE27" s="14">
        <v>150</v>
      </c>
      <c r="DF27" s="14">
        <v>300</v>
      </c>
      <c r="DG27" s="14">
        <v>10</v>
      </c>
      <c r="DH27" s="14">
        <v>10</v>
      </c>
      <c r="DI27" s="19">
        <v>86</v>
      </c>
      <c r="DJ27" s="10">
        <v>9968.6666666666661</v>
      </c>
      <c r="DK27" s="10">
        <v>3311.1666666666665</v>
      </c>
      <c r="DL27" s="10">
        <v>664.57777777777778</v>
      </c>
      <c r="DM27" s="10">
        <v>441.48888888888888</v>
      </c>
      <c r="DN27" s="10">
        <v>413.5</v>
      </c>
      <c r="DO27" s="10">
        <v>9.7372899112029536</v>
      </c>
      <c r="DP27" s="10">
        <v>42187.5</v>
      </c>
      <c r="DQ27" s="10">
        <v>37.5</v>
      </c>
      <c r="DR27" s="14" t="s">
        <v>270</v>
      </c>
      <c r="DS27" s="15">
        <v>-2.5886981295734981</v>
      </c>
      <c r="DT27" s="15">
        <v>2.5607245139684359E-3</v>
      </c>
      <c r="DU27" s="15">
        <v>-11.792044081721453</v>
      </c>
      <c r="DV27" s="15">
        <v>-3.6554808452419181</v>
      </c>
      <c r="DW27" s="15">
        <v>1.1032244606659669E-2</v>
      </c>
      <c r="DX27" s="15">
        <v>0.82694287573488268</v>
      </c>
      <c r="DY27" s="15">
        <v>0.14715794257126283</v>
      </c>
      <c r="DZ27" s="16">
        <v>1.4089895806684058E-3</v>
      </c>
      <c r="EA27" s="16">
        <v>2.574681545999806E-2</v>
      </c>
      <c r="EB27" s="16">
        <v>1.169685018200081E-4</v>
      </c>
      <c r="EC27" s="16">
        <v>6.1228836625395425E-2</v>
      </c>
      <c r="ED27" s="127">
        <v>8.8501610167881897E-2</v>
      </c>
      <c r="EE27" s="5">
        <v>4.8913364152261973</v>
      </c>
      <c r="EF27" s="127">
        <v>3.9475202177174019E-2</v>
      </c>
      <c r="EG27" s="127">
        <v>5.5004560300904943</v>
      </c>
      <c r="EH27" s="127">
        <v>2.498872538881991E-2</v>
      </c>
      <c r="EI27" s="127">
        <v>4.8913364152261973</v>
      </c>
      <c r="EJ27" s="127">
        <v>4.1107186900621831E-2</v>
      </c>
      <c r="EK27" s="127">
        <v>8.8501610167881897E-2</v>
      </c>
      <c r="EL27" s="5" t="s">
        <v>290</v>
      </c>
      <c r="EM27" s="185"/>
      <c r="EN27" s="19"/>
      <c r="EO27" s="19"/>
      <c r="EP27" s="127"/>
      <c r="EQ27" s="5"/>
      <c r="ER27" s="127">
        <v>1.1065918621622619E-2</v>
      </c>
      <c r="ES27" s="127">
        <v>0.90169987550728314</v>
      </c>
      <c r="ET27" s="127">
        <v>0.10456202924251556</v>
      </c>
      <c r="EU27" s="127">
        <v>1</v>
      </c>
      <c r="EV27" s="127">
        <v>0.5357142857142857</v>
      </c>
      <c r="EW27" s="127">
        <v>3.4086768883426287E-2</v>
      </c>
      <c r="EX27" s="5" t="s">
        <v>290</v>
      </c>
      <c r="EY27" s="127">
        <v>0.41864637077123856</v>
      </c>
      <c r="EZ27" s="127">
        <v>5.525444755479314</v>
      </c>
      <c r="FA27" s="127" t="s">
        <v>291</v>
      </c>
      <c r="FB27" s="127">
        <v>1.155</v>
      </c>
      <c r="FC27" s="127">
        <v>0.3624643902781286</v>
      </c>
      <c r="FD27" s="5" t="s">
        <v>290</v>
      </c>
    </row>
    <row r="28" spans="2:160">
      <c r="B28" s="215"/>
      <c r="C28" s="2"/>
      <c r="D28" s="2"/>
      <c r="E28" s="203">
        <v>23</v>
      </c>
      <c r="F28" s="220">
        <v>0.08</v>
      </c>
      <c r="G28" s="203" t="s">
        <v>270</v>
      </c>
      <c r="H28" s="220">
        <v>-2.5886981295734981</v>
      </c>
      <c r="I28" s="220">
        <v>2.5607245139684359E-3</v>
      </c>
      <c r="J28" s="220">
        <v>-11.792044081721453</v>
      </c>
      <c r="K28" s="220">
        <v>-3.6554808452419181</v>
      </c>
      <c r="L28" s="220">
        <v>1.1032244606659669E-2</v>
      </c>
      <c r="M28" s="220">
        <v>0.82694287573488268</v>
      </c>
      <c r="N28" s="222">
        <f>ABS(N67)</f>
        <v>4.7195330032453377E-3</v>
      </c>
      <c r="AI28" s="19"/>
      <c r="AO28" s="19"/>
      <c r="AY28" s="145"/>
      <c r="AZ28" s="16"/>
      <c r="BC28" s="16"/>
      <c r="BD28" s="20"/>
      <c r="BE28" s="17"/>
      <c r="BF28" s="20"/>
      <c r="BG28" s="146"/>
      <c r="BH28" s="146"/>
      <c r="BI28" s="146"/>
      <c r="BJ28" s="20"/>
      <c r="BK28" s="20"/>
      <c r="BL28" s="154"/>
      <c r="BM28" s="147"/>
      <c r="BP28" s="20"/>
      <c r="BQ28" s="154"/>
      <c r="BR28" s="18"/>
      <c r="BS28" s="16"/>
      <c r="BT28" s="18"/>
      <c r="BU28" s="18"/>
      <c r="BV28" s="18"/>
      <c r="BW28" s="20"/>
      <c r="BX28" s="154"/>
      <c r="BY28" s="18"/>
      <c r="BZ28" s="146"/>
      <c r="CA28" s="18"/>
      <c r="CB28" s="18"/>
      <c r="CC28" s="20"/>
      <c r="CD28" s="154"/>
      <c r="DA28" s="12" t="s">
        <v>268</v>
      </c>
      <c r="DB28" s="14" t="s">
        <v>278</v>
      </c>
      <c r="DC28" s="64">
        <v>0.08</v>
      </c>
      <c r="DD28" s="64">
        <v>4.66</v>
      </c>
      <c r="DE28" s="14">
        <v>150</v>
      </c>
      <c r="DF28" s="14">
        <v>300</v>
      </c>
      <c r="DG28" s="14">
        <v>10</v>
      </c>
      <c r="DH28" s="14">
        <v>10</v>
      </c>
      <c r="DI28" s="19">
        <v>86</v>
      </c>
      <c r="DJ28" s="10">
        <v>9968.6666666666661</v>
      </c>
      <c r="DK28" s="10">
        <v>3311.1666666666665</v>
      </c>
      <c r="DL28" s="10">
        <v>664.57777777777778</v>
      </c>
      <c r="DM28" s="10">
        <v>441.48888888888888</v>
      </c>
      <c r="DN28" s="10">
        <v>413.5</v>
      </c>
      <c r="DO28" s="10">
        <v>9.7372899112029536</v>
      </c>
      <c r="DP28" s="10">
        <v>42187.5</v>
      </c>
      <c r="DQ28" s="10">
        <v>37.5</v>
      </c>
      <c r="DR28" s="14" t="s">
        <v>270</v>
      </c>
      <c r="DS28" s="15">
        <v>-2.5886981295734981</v>
      </c>
      <c r="DT28" s="15">
        <v>2.5607245139684359E-3</v>
      </c>
      <c r="DU28" s="15">
        <v>-11.792044081721453</v>
      </c>
      <c r="DV28" s="15">
        <v>-3.6554808452419181</v>
      </c>
      <c r="DW28" s="15">
        <v>1.1032244606659669E-2</v>
      </c>
      <c r="DX28" s="15">
        <v>0.82694287573488268</v>
      </c>
      <c r="DY28" s="15">
        <v>8.2078207185759713E-2</v>
      </c>
      <c r="DZ28" s="16">
        <v>1.4089895806684058E-3</v>
      </c>
      <c r="EA28" s="16">
        <v>2.574681545999806E-2</v>
      </c>
      <c r="EB28" s="16">
        <v>1.169685018200081E-4</v>
      </c>
      <c r="EC28" s="16">
        <v>3.4150743415351563E-2</v>
      </c>
      <c r="ED28" s="127">
        <v>6.1423516957838036E-2</v>
      </c>
      <c r="EE28" s="5">
        <v>4.8913364152261973</v>
      </c>
      <c r="EF28" s="127">
        <v>3.9475202177174019E-2</v>
      </c>
      <c r="EG28" s="127">
        <v>5.5004560300904943</v>
      </c>
      <c r="EH28" s="127">
        <v>2.498872538881991E-2</v>
      </c>
      <c r="EI28" s="127">
        <v>4.8913364152261973</v>
      </c>
      <c r="EJ28" s="127">
        <v>4.1107186900621831E-2</v>
      </c>
      <c r="EK28" s="127">
        <v>6.1423516957838036E-2</v>
      </c>
      <c r="EL28" s="5" t="s">
        <v>290</v>
      </c>
      <c r="EM28" s="185"/>
      <c r="EN28" s="19"/>
      <c r="EO28" s="19"/>
      <c r="EP28" s="127"/>
      <c r="EQ28" s="5"/>
      <c r="ER28" s="127">
        <v>1.1065918621622619E-2</v>
      </c>
      <c r="ES28" s="127">
        <v>0.90169987550728314</v>
      </c>
      <c r="ET28" s="127">
        <v>0.10456202924251556</v>
      </c>
      <c r="EU28" s="127">
        <v>1</v>
      </c>
      <c r="EV28" s="127">
        <v>0.5357142857142857</v>
      </c>
      <c r="EW28" s="127">
        <v>3.4086768883426287E-2</v>
      </c>
      <c r="EX28" s="5" t="s">
        <v>290</v>
      </c>
      <c r="EY28" s="127">
        <v>0.41864637077123856</v>
      </c>
      <c r="EZ28" s="127">
        <v>5.525444755479314</v>
      </c>
      <c r="FA28" s="127" t="s">
        <v>291</v>
      </c>
      <c r="FB28" s="127">
        <v>1.155</v>
      </c>
      <c r="FC28" s="127">
        <v>0.3624643902781286</v>
      </c>
      <c r="FD28" s="5" t="s">
        <v>290</v>
      </c>
    </row>
    <row r="29" spans="2:160">
      <c r="B29" s="215"/>
      <c r="C29" s="2"/>
      <c r="D29" s="2"/>
      <c r="E29" s="208"/>
      <c r="F29" s="221"/>
      <c r="G29" s="208"/>
      <c r="H29" s="208"/>
      <c r="I29" s="208"/>
      <c r="J29" s="208"/>
      <c r="K29" s="208"/>
      <c r="L29" s="208"/>
      <c r="M29" s="208"/>
      <c r="N29" s="217"/>
      <c r="AI29" s="19"/>
      <c r="AO29" s="19"/>
      <c r="AY29" s="145"/>
      <c r="AZ29" s="16"/>
      <c r="BC29" s="16"/>
      <c r="BD29" s="20"/>
      <c r="BE29" s="17"/>
      <c r="BF29" s="20"/>
      <c r="BG29" s="146"/>
      <c r="BH29" s="146"/>
      <c r="BI29" s="146"/>
      <c r="BJ29" s="20"/>
      <c r="BK29" s="20"/>
      <c r="BL29" s="154"/>
      <c r="BM29" s="147"/>
      <c r="BP29" s="20"/>
      <c r="BQ29" s="154"/>
      <c r="BR29" s="18"/>
      <c r="BS29" s="16"/>
      <c r="BT29" s="18"/>
      <c r="BU29" s="18"/>
      <c r="BV29" s="18"/>
      <c r="BW29" s="20"/>
      <c r="BX29" s="154"/>
      <c r="BY29" s="18"/>
      <c r="BZ29" s="146"/>
      <c r="CA29" s="18"/>
      <c r="CB29" s="18"/>
      <c r="CC29" s="20"/>
      <c r="CD29" s="154"/>
      <c r="DA29" s="12" t="s">
        <v>268</v>
      </c>
      <c r="DB29" s="14" t="s">
        <v>279</v>
      </c>
      <c r="DC29" s="64">
        <v>0.08</v>
      </c>
      <c r="DD29" s="64">
        <v>8</v>
      </c>
      <c r="DE29" s="14">
        <v>150</v>
      </c>
      <c r="DF29" s="14">
        <v>300</v>
      </c>
      <c r="DG29" s="14">
        <v>10</v>
      </c>
      <c r="DH29" s="14">
        <v>10</v>
      </c>
      <c r="DI29" s="19">
        <v>86</v>
      </c>
      <c r="DJ29" s="10">
        <v>9968.6666666666661</v>
      </c>
      <c r="DK29" s="10">
        <v>3311.1666666666665</v>
      </c>
      <c r="DL29" s="10">
        <v>664.57777777777778</v>
      </c>
      <c r="DM29" s="10">
        <v>441.48888888888888</v>
      </c>
      <c r="DN29" s="10">
        <v>413.5</v>
      </c>
      <c r="DO29" s="10">
        <v>9.7372899112029536</v>
      </c>
      <c r="DP29" s="10">
        <v>42187.5</v>
      </c>
      <c r="DQ29" s="10">
        <v>37.5</v>
      </c>
      <c r="DR29" s="14" t="s">
        <v>270</v>
      </c>
      <c r="DS29" s="15">
        <v>-2.5886981295734981</v>
      </c>
      <c r="DT29" s="15">
        <v>2.5607245139684359E-3</v>
      </c>
      <c r="DU29" s="15">
        <v>-11.792044081721453</v>
      </c>
      <c r="DV29" s="15">
        <v>-3.6554808452419181</v>
      </c>
      <c r="DW29" s="15">
        <v>1.1032244606659669E-2</v>
      </c>
      <c r="DX29" s="15">
        <v>0.82694287573488268</v>
      </c>
      <c r="DY29" s="15">
        <v>0.14715794257126283</v>
      </c>
      <c r="DZ29" s="16">
        <v>1.4089895806684058E-3</v>
      </c>
      <c r="EA29" s="16">
        <v>2.574681545999806E-2</v>
      </c>
      <c r="EB29" s="16">
        <v>1.169685018200081E-4</v>
      </c>
      <c r="EC29" s="16">
        <v>6.1228836625395425E-2</v>
      </c>
      <c r="ED29" s="127">
        <v>8.8501610167881897E-2</v>
      </c>
      <c r="EE29" s="5">
        <v>4.8913364152261973</v>
      </c>
      <c r="EF29" s="127">
        <v>3.9475202177174019E-2</v>
      </c>
      <c r="EG29" s="127">
        <v>5.5004560300904943</v>
      </c>
      <c r="EH29" s="127">
        <v>2.498872538881991E-2</v>
      </c>
      <c r="EI29" s="127">
        <v>4.8913364152261973</v>
      </c>
      <c r="EJ29" s="127">
        <v>4.1107186900621831E-2</v>
      </c>
      <c r="EK29" s="127">
        <v>8.8501610167881897E-2</v>
      </c>
      <c r="EL29" s="5" t="s">
        <v>290</v>
      </c>
      <c r="EM29" s="185"/>
      <c r="EN29" s="19"/>
      <c r="EO29" s="19"/>
      <c r="EP29" s="127"/>
      <c r="EQ29" s="5"/>
      <c r="ER29" s="127">
        <v>1.1065918621622619E-2</v>
      </c>
      <c r="ES29" s="127">
        <v>0.90169987550728314</v>
      </c>
      <c r="ET29" s="127">
        <v>0.10456202924251556</v>
      </c>
      <c r="EU29" s="127">
        <v>1</v>
      </c>
      <c r="EV29" s="127">
        <v>0.5357142857142857</v>
      </c>
      <c r="EW29" s="127">
        <v>3.4086768883426287E-2</v>
      </c>
      <c r="EX29" s="5" t="s">
        <v>290</v>
      </c>
      <c r="EY29" s="127">
        <v>0.41864637077123856</v>
      </c>
      <c r="EZ29" s="127">
        <v>5.525444755479314</v>
      </c>
      <c r="FA29" s="127" t="s">
        <v>291</v>
      </c>
      <c r="FB29" s="127">
        <v>1.155</v>
      </c>
      <c r="FC29" s="127">
        <v>0.3624643902781286</v>
      </c>
      <c r="FD29" s="5" t="s">
        <v>290</v>
      </c>
    </row>
    <row r="30" spans="2:160">
      <c r="B30" s="278" t="s">
        <v>31</v>
      </c>
      <c r="C30" s="279"/>
      <c r="D30" s="279"/>
      <c r="E30" s="2"/>
      <c r="F30" s="2"/>
      <c r="G30" s="2"/>
      <c r="H30" s="2"/>
      <c r="I30" s="2"/>
      <c r="J30" s="2"/>
      <c r="K30" s="2"/>
      <c r="L30" s="2"/>
      <c r="M30" s="65"/>
      <c r="N30" s="192"/>
      <c r="AI30" s="19"/>
      <c r="AO30" s="19"/>
      <c r="AY30" s="145"/>
      <c r="AZ30" s="16"/>
      <c r="BC30" s="16"/>
      <c r="BD30" s="20"/>
      <c r="BE30" s="17"/>
      <c r="BF30" s="20"/>
      <c r="BG30" s="146"/>
      <c r="BH30" s="146"/>
      <c r="BI30" s="146"/>
      <c r="BJ30" s="20"/>
      <c r="BK30" s="20"/>
      <c r="BL30" s="154"/>
      <c r="BP30" s="20"/>
      <c r="BQ30" s="154"/>
      <c r="BR30" s="18"/>
      <c r="BS30" s="16"/>
      <c r="BT30" s="18"/>
      <c r="BU30" s="18"/>
      <c r="BV30" s="18"/>
      <c r="BW30" s="20"/>
      <c r="BX30" s="154"/>
      <c r="BY30" s="18"/>
      <c r="BZ30" s="146"/>
      <c r="CA30" s="18"/>
      <c r="CB30" s="18"/>
      <c r="CC30" s="20"/>
      <c r="CD30" s="154"/>
      <c r="DA30" s="12" t="s">
        <v>268</v>
      </c>
      <c r="DB30" s="14" t="s">
        <v>280</v>
      </c>
      <c r="DC30" s="64">
        <v>0.08</v>
      </c>
      <c r="DD30" s="64">
        <v>5.4</v>
      </c>
      <c r="DE30" s="14">
        <v>150</v>
      </c>
      <c r="DF30" s="14">
        <v>300</v>
      </c>
      <c r="DG30" s="14">
        <v>10</v>
      </c>
      <c r="DH30" s="14">
        <v>10</v>
      </c>
      <c r="DI30" s="12">
        <v>86</v>
      </c>
      <c r="DJ30" s="10">
        <v>9968.6666666666661</v>
      </c>
      <c r="DK30" s="10">
        <v>3311.1666666666665</v>
      </c>
      <c r="DL30" s="10">
        <v>664.57777777777778</v>
      </c>
      <c r="DM30" s="10">
        <v>441.48888888888888</v>
      </c>
      <c r="DN30" s="10">
        <v>413.5</v>
      </c>
      <c r="DO30" s="10">
        <v>9.7372899112029536</v>
      </c>
      <c r="DP30" s="10">
        <v>42187.5</v>
      </c>
      <c r="DQ30" s="10">
        <v>37.5</v>
      </c>
      <c r="DR30" s="14" t="s">
        <v>270</v>
      </c>
      <c r="DS30" s="15">
        <v>-2.5886981295734981</v>
      </c>
      <c r="DT30" s="15">
        <v>2.5607245139684359E-3</v>
      </c>
      <c r="DU30" s="15">
        <v>-11.792044081721453</v>
      </c>
      <c r="DV30" s="15">
        <v>-3.6554808452419181</v>
      </c>
      <c r="DW30" s="15">
        <v>1.1032244606659669E-2</v>
      </c>
      <c r="DX30" s="15">
        <v>0.82694287573488268</v>
      </c>
      <c r="DY30" s="15">
        <v>9.6497070714284622E-2</v>
      </c>
      <c r="DZ30" s="15">
        <v>1.4089895806684058E-3</v>
      </c>
      <c r="EA30" s="16">
        <v>2.574681545999806E-2</v>
      </c>
      <c r="EB30" s="16">
        <v>1.169685018200081E-4</v>
      </c>
      <c r="EC30" s="17">
        <v>4.0150081431948217E-2</v>
      </c>
      <c r="ED30" s="127">
        <v>6.742285497443469E-2</v>
      </c>
      <c r="EE30" s="12">
        <v>4.8913364152261973</v>
      </c>
      <c r="EF30" s="186">
        <v>3.9475202177174019E-2</v>
      </c>
      <c r="EG30" s="186">
        <v>5.5004560300904943</v>
      </c>
      <c r="EH30" s="186">
        <v>2.498872538881991E-2</v>
      </c>
      <c r="EI30" s="186">
        <v>4.8913364152261973</v>
      </c>
      <c r="EJ30" s="186">
        <v>4.1107186900621831E-2</v>
      </c>
      <c r="EK30" s="5">
        <v>6.742285497443469E-2</v>
      </c>
      <c r="EL30" s="5" t="s">
        <v>290</v>
      </c>
      <c r="EM30" s="185"/>
      <c r="EN30" s="19"/>
      <c r="EO30" s="19"/>
      <c r="EP30" s="127"/>
      <c r="EQ30" s="12"/>
      <c r="ER30" s="186">
        <v>1.1065918621622619E-2</v>
      </c>
      <c r="ES30" s="186">
        <v>0.90169987550728314</v>
      </c>
      <c r="ET30" s="186">
        <v>0.10456202924251556</v>
      </c>
      <c r="EU30" s="186">
        <v>1</v>
      </c>
      <c r="EV30" s="186">
        <v>0.5357142857142857</v>
      </c>
      <c r="EW30" s="5">
        <v>3.4086768883426287E-2</v>
      </c>
      <c r="EX30" s="5" t="s">
        <v>290</v>
      </c>
      <c r="EY30" s="186">
        <v>0.41864637077123856</v>
      </c>
      <c r="EZ30" s="186">
        <v>5.525444755479314</v>
      </c>
      <c r="FA30" s="186" t="s">
        <v>291</v>
      </c>
      <c r="FB30" s="186">
        <v>1.155</v>
      </c>
      <c r="FC30" s="5">
        <v>0.3624643902781286</v>
      </c>
      <c r="FD30" s="5" t="s">
        <v>290</v>
      </c>
    </row>
    <row r="31" spans="2:160">
      <c r="B31" s="223" t="s">
        <v>213</v>
      </c>
      <c r="C31" s="208"/>
      <c r="D31" s="208"/>
      <c r="E31" s="2"/>
      <c r="F31" s="2"/>
      <c r="G31" s="2"/>
      <c r="H31" s="2"/>
      <c r="I31" s="2"/>
      <c r="J31" s="2"/>
      <c r="K31" s="2"/>
      <c r="L31" s="2"/>
      <c r="M31" s="2"/>
      <c r="N31" s="193"/>
      <c r="AI31" s="19"/>
      <c r="AO31" s="19"/>
      <c r="AY31" s="145"/>
      <c r="AZ31" s="16"/>
      <c r="BC31" s="16"/>
      <c r="BD31" s="20"/>
      <c r="BE31" s="17"/>
      <c r="BF31" s="20"/>
      <c r="BG31" s="146"/>
      <c r="BH31" s="146"/>
      <c r="BI31" s="146"/>
      <c r="BJ31" s="20"/>
      <c r="BK31" s="20"/>
      <c r="BL31" s="154"/>
      <c r="BP31" s="20"/>
      <c r="BQ31" s="154"/>
      <c r="BR31" s="18"/>
      <c r="BS31" s="16"/>
      <c r="BT31" s="18"/>
      <c r="BU31" s="18"/>
      <c r="BV31" s="18"/>
      <c r="BW31" s="20"/>
      <c r="BX31" s="154"/>
      <c r="BY31" s="18"/>
      <c r="BZ31" s="146"/>
      <c r="CA31" s="18"/>
      <c r="CB31" s="18"/>
      <c r="CC31" s="20"/>
      <c r="CD31" s="154"/>
      <c r="DA31" s="12" t="s">
        <v>268</v>
      </c>
      <c r="DB31" s="14" t="s">
        <v>281</v>
      </c>
      <c r="DC31" s="64">
        <v>0</v>
      </c>
      <c r="DD31" s="64">
        <v>1.31</v>
      </c>
      <c r="DE31" s="14">
        <v>150</v>
      </c>
      <c r="DF31" s="14">
        <v>300</v>
      </c>
      <c r="DG31" s="14">
        <v>10</v>
      </c>
      <c r="DH31" s="14">
        <v>10</v>
      </c>
      <c r="DI31" s="12">
        <v>86</v>
      </c>
      <c r="DJ31" s="10">
        <v>9968.6666666666661</v>
      </c>
      <c r="DK31" s="10">
        <v>3311.1666666666665</v>
      </c>
      <c r="DL31" s="10">
        <v>664.57777777777778</v>
      </c>
      <c r="DM31" s="10">
        <v>441.48888888888888</v>
      </c>
      <c r="DN31" s="10">
        <v>413.5</v>
      </c>
      <c r="DO31" s="10">
        <v>9.7372899112029536</v>
      </c>
      <c r="DP31" s="10">
        <v>42187.5</v>
      </c>
      <c r="DQ31" s="10">
        <v>37.5</v>
      </c>
      <c r="DR31" s="14" t="s">
        <v>270</v>
      </c>
      <c r="DS31" s="15">
        <v>-2.5886981295734981</v>
      </c>
      <c r="DT31" s="15">
        <v>2.5607245139684359E-3</v>
      </c>
      <c r="DU31" s="15">
        <v>-11.792044081721453</v>
      </c>
      <c r="DV31" s="15">
        <v>-3.6554808452419181</v>
      </c>
      <c r="DW31" s="15">
        <v>1.1032244606659669E-2</v>
      </c>
      <c r="DX31" s="15">
        <v>0.82694287573488268</v>
      </c>
      <c r="DY31" s="15">
        <v>4.6904770319572735E-2</v>
      </c>
      <c r="DZ31" s="15">
        <v>1.4089895806684058E-3</v>
      </c>
      <c r="EA31" s="16">
        <v>2.574681545999806E-2</v>
      </c>
      <c r="EB31" s="16">
        <v>1.169685018200081E-4</v>
      </c>
      <c r="EC31" s="17">
        <v>1.9515932804361237E-2</v>
      </c>
      <c r="ED31" s="127">
        <v>4.678870634684771E-2</v>
      </c>
      <c r="EE31" s="12">
        <v>4.8913364152261973</v>
      </c>
      <c r="EF31" s="186">
        <v>3.9475202177174019E-2</v>
      </c>
      <c r="EG31" s="186">
        <v>5.5004560300904943</v>
      </c>
      <c r="EH31" s="186">
        <v>2.498872538881991E-2</v>
      </c>
      <c r="EI31" s="186">
        <v>4.8913364152261973</v>
      </c>
      <c r="EJ31" s="186">
        <v>4.1107186900621831E-2</v>
      </c>
      <c r="EK31" s="5">
        <v>4.678870634684771E-2</v>
      </c>
      <c r="EL31" s="5" t="s">
        <v>290</v>
      </c>
      <c r="EM31" s="185"/>
      <c r="EN31" s="19"/>
      <c r="EO31" s="19"/>
      <c r="EP31" s="127"/>
      <c r="EQ31" s="12"/>
      <c r="ER31" s="186">
        <v>1.1065918621622619E-2</v>
      </c>
      <c r="ES31" s="186">
        <v>0.90169987550728314</v>
      </c>
      <c r="ET31" s="186">
        <v>0.10456202924251556</v>
      </c>
      <c r="EU31" s="186">
        <v>1</v>
      </c>
      <c r="EV31" s="186">
        <v>0.5357142857142857</v>
      </c>
      <c r="EW31" s="5">
        <v>3.4086768883426287E-2</v>
      </c>
      <c r="EX31" s="5" t="s">
        <v>290</v>
      </c>
      <c r="EY31" s="186">
        <v>0.41864637077123856</v>
      </c>
      <c r="EZ31" s="186">
        <v>5.525444755479314</v>
      </c>
      <c r="FA31" s="186" t="s">
        <v>291</v>
      </c>
      <c r="FB31" s="186">
        <v>1.155</v>
      </c>
      <c r="FC31" s="5">
        <v>0.3624643902781286</v>
      </c>
      <c r="FD31" s="5" t="s">
        <v>290</v>
      </c>
    </row>
    <row r="32" spans="2:160">
      <c r="B32" s="201" t="s">
        <v>206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93"/>
      <c r="AI32" s="19"/>
      <c r="AO32" s="19"/>
      <c r="AY32" s="145"/>
      <c r="AZ32" s="16"/>
      <c r="BC32" s="16"/>
      <c r="BD32" s="20"/>
      <c r="BE32" s="17"/>
      <c r="BF32" s="20"/>
      <c r="BG32" s="146"/>
      <c r="BH32" s="146"/>
      <c r="BI32" s="146"/>
      <c r="BJ32" s="20"/>
      <c r="BK32" s="20"/>
      <c r="BL32" s="154"/>
      <c r="BM32" s="147"/>
      <c r="BP32" s="20"/>
      <c r="BQ32" s="154"/>
      <c r="BR32" s="18"/>
      <c r="BS32" s="16"/>
      <c r="BT32" s="18"/>
      <c r="BU32" s="18"/>
      <c r="BV32" s="18"/>
      <c r="BW32" s="20"/>
      <c r="BX32" s="154"/>
      <c r="BY32" s="18"/>
      <c r="BZ32" s="146"/>
      <c r="CA32" s="18"/>
      <c r="CB32" s="18"/>
      <c r="CC32" s="20"/>
      <c r="CD32" s="154"/>
      <c r="DA32" s="12" t="s">
        <v>268</v>
      </c>
      <c r="DB32" s="14" t="s">
        <v>282</v>
      </c>
      <c r="DC32" s="64">
        <v>0.08</v>
      </c>
      <c r="DD32" s="64">
        <v>8</v>
      </c>
      <c r="DE32" s="14">
        <v>150</v>
      </c>
      <c r="DF32" s="14">
        <v>300</v>
      </c>
      <c r="DG32" s="14">
        <v>10</v>
      </c>
      <c r="DH32" s="14">
        <v>10</v>
      </c>
      <c r="DI32" s="19">
        <v>86</v>
      </c>
      <c r="DJ32" s="10">
        <v>9968.6666666666661</v>
      </c>
      <c r="DK32" s="10">
        <v>3311.1666666666665</v>
      </c>
      <c r="DL32" s="10">
        <v>664.57777777777778</v>
      </c>
      <c r="DM32" s="10">
        <v>441.48888888888888</v>
      </c>
      <c r="DN32" s="10">
        <v>413.5</v>
      </c>
      <c r="DO32" s="10">
        <v>9.7372899112029536</v>
      </c>
      <c r="DP32" s="10">
        <v>42187.5</v>
      </c>
      <c r="DQ32" s="10">
        <v>37.5</v>
      </c>
      <c r="DR32" s="14" t="s">
        <v>270</v>
      </c>
      <c r="DS32" s="15">
        <v>-2.5886981295734981</v>
      </c>
      <c r="DT32" s="15">
        <v>2.5607245139684359E-3</v>
      </c>
      <c r="DU32" s="15">
        <v>-11.792044081721453</v>
      </c>
      <c r="DV32" s="15">
        <v>-3.6554808452419181</v>
      </c>
      <c r="DW32" s="15">
        <v>1.1032244606659669E-2</v>
      </c>
      <c r="DX32" s="15">
        <v>0.82694287573488268</v>
      </c>
      <c r="DY32" s="15">
        <v>0.14715794257126283</v>
      </c>
      <c r="DZ32" s="16">
        <v>1.4089895806684058E-3</v>
      </c>
      <c r="EA32" s="16">
        <v>2.574681545999806E-2</v>
      </c>
      <c r="EB32" s="16">
        <v>1.169685018200081E-4</v>
      </c>
      <c r="EC32" s="16">
        <v>6.1228836625395425E-2</v>
      </c>
      <c r="ED32" s="127">
        <v>8.8501610167881897E-2</v>
      </c>
      <c r="EE32" s="5">
        <v>4.8913364152261973</v>
      </c>
      <c r="EF32" s="127">
        <v>3.9475202177174019E-2</v>
      </c>
      <c r="EG32" s="127">
        <v>5.5004560300904943</v>
      </c>
      <c r="EH32" s="127">
        <v>2.498872538881991E-2</v>
      </c>
      <c r="EI32" s="127">
        <v>4.8913364152261973</v>
      </c>
      <c r="EJ32" s="127">
        <v>4.1107186900621831E-2</v>
      </c>
      <c r="EK32" s="127">
        <v>8.8501610167881897E-2</v>
      </c>
      <c r="EL32" s="5" t="s">
        <v>290</v>
      </c>
      <c r="EM32" s="185"/>
      <c r="EN32" s="19"/>
      <c r="EO32" s="19"/>
      <c r="EP32" s="127"/>
      <c r="EQ32" s="5"/>
      <c r="ER32" s="127">
        <v>1.1065918621622619E-2</v>
      </c>
      <c r="ES32" s="127">
        <v>0.90169987550728314</v>
      </c>
      <c r="ET32" s="127">
        <v>0.10456202924251556</v>
      </c>
      <c r="EU32" s="127">
        <v>1</v>
      </c>
      <c r="EV32" s="127">
        <v>0.5357142857142857</v>
      </c>
      <c r="EW32" s="127">
        <v>3.4086768883426287E-2</v>
      </c>
      <c r="EX32" s="5" t="s">
        <v>290</v>
      </c>
      <c r="EY32" s="127">
        <v>0.41864637077123856</v>
      </c>
      <c r="EZ32" s="127">
        <v>5.525444755479314</v>
      </c>
      <c r="FA32" s="127" t="s">
        <v>291</v>
      </c>
      <c r="FB32" s="127">
        <v>1.155</v>
      </c>
      <c r="FC32" s="127">
        <v>0.3624643902781286</v>
      </c>
      <c r="FD32" s="5" t="s">
        <v>290</v>
      </c>
    </row>
    <row r="33" spans="2:160" ht="14.25">
      <c r="B33" s="199" t="s">
        <v>331</v>
      </c>
      <c r="C33" s="2"/>
      <c r="D33" s="2"/>
      <c r="E33" s="2"/>
      <c r="F33" s="2"/>
      <c r="G33" s="2"/>
      <c r="H33" s="2"/>
      <c r="I33" s="2"/>
      <c r="J33" s="2"/>
      <c r="K33" s="66" t="s">
        <v>194</v>
      </c>
      <c r="L33" s="71">
        <f>D24*F24</f>
        <v>228.57142857142856</v>
      </c>
      <c r="M33" s="65" t="s">
        <v>51</v>
      </c>
      <c r="N33" s="192"/>
      <c r="AI33" s="19"/>
      <c r="AO33" s="19"/>
      <c r="AY33" s="145"/>
      <c r="AZ33" s="16"/>
      <c r="BC33" s="16"/>
      <c r="BD33" s="20"/>
      <c r="BE33" s="17"/>
      <c r="BF33" s="20"/>
      <c r="BG33" s="146"/>
      <c r="BH33" s="146"/>
      <c r="BI33" s="146"/>
      <c r="BJ33" s="20"/>
      <c r="BK33" s="20"/>
      <c r="BL33" s="154"/>
      <c r="BM33" s="147"/>
      <c r="BP33" s="20"/>
      <c r="BQ33" s="154"/>
      <c r="BR33" s="18"/>
      <c r="BS33" s="16"/>
      <c r="BT33" s="18"/>
      <c r="BU33" s="18"/>
      <c r="BV33" s="18"/>
      <c r="BW33" s="20"/>
      <c r="BX33" s="154"/>
      <c r="BY33" s="18"/>
      <c r="BZ33" s="146"/>
      <c r="CA33" s="18"/>
      <c r="CB33" s="18"/>
      <c r="CC33" s="20"/>
      <c r="CD33" s="154"/>
      <c r="DA33" s="12" t="s">
        <v>268</v>
      </c>
      <c r="DB33" s="14" t="s">
        <v>283</v>
      </c>
      <c r="DC33" s="64">
        <v>0.08</v>
      </c>
      <c r="DD33" s="64">
        <v>4.66</v>
      </c>
      <c r="DE33" s="14">
        <v>150</v>
      </c>
      <c r="DF33" s="14">
        <v>300</v>
      </c>
      <c r="DG33" s="14">
        <v>10</v>
      </c>
      <c r="DH33" s="14">
        <v>10</v>
      </c>
      <c r="DI33" s="19">
        <v>86</v>
      </c>
      <c r="DJ33" s="10">
        <v>9968.6666666666661</v>
      </c>
      <c r="DK33" s="10">
        <v>3311.1666666666665</v>
      </c>
      <c r="DL33" s="10">
        <v>664.57777777777778</v>
      </c>
      <c r="DM33" s="10">
        <v>441.48888888888888</v>
      </c>
      <c r="DN33" s="10">
        <v>413.5</v>
      </c>
      <c r="DO33" s="10">
        <v>9.7372899112029536</v>
      </c>
      <c r="DP33" s="10">
        <v>42187.5</v>
      </c>
      <c r="DQ33" s="10">
        <v>37.5</v>
      </c>
      <c r="DR33" s="14" t="s">
        <v>270</v>
      </c>
      <c r="DS33" s="15">
        <v>-2.5886981295734981</v>
      </c>
      <c r="DT33" s="15">
        <v>2.5607245139684359E-3</v>
      </c>
      <c r="DU33" s="15">
        <v>-11.792044081721453</v>
      </c>
      <c r="DV33" s="15">
        <v>-3.6554808452419181</v>
      </c>
      <c r="DW33" s="15">
        <v>1.1032244606659669E-2</v>
      </c>
      <c r="DX33" s="15">
        <v>0.82694287573488268</v>
      </c>
      <c r="DY33" s="15">
        <v>8.2078207185759713E-2</v>
      </c>
      <c r="DZ33" s="16">
        <v>1.4089895806684058E-3</v>
      </c>
      <c r="EA33" s="16">
        <v>2.574681545999806E-2</v>
      </c>
      <c r="EB33" s="16">
        <v>1.169685018200081E-4</v>
      </c>
      <c r="EC33" s="16">
        <v>3.4150743415351563E-2</v>
      </c>
      <c r="ED33" s="127">
        <v>6.1423516957838036E-2</v>
      </c>
      <c r="EE33" s="5">
        <v>4.8913364152261973</v>
      </c>
      <c r="EF33" s="127">
        <v>3.9475202177174019E-2</v>
      </c>
      <c r="EG33" s="127">
        <v>5.5004560300904943</v>
      </c>
      <c r="EH33" s="127">
        <v>2.498872538881991E-2</v>
      </c>
      <c r="EI33" s="127">
        <v>4.8913364152261973</v>
      </c>
      <c r="EJ33" s="127">
        <v>4.1107186900621831E-2</v>
      </c>
      <c r="EK33" s="127">
        <v>6.1423516957838036E-2</v>
      </c>
      <c r="EL33" s="5" t="s">
        <v>290</v>
      </c>
      <c r="EM33" s="185"/>
      <c r="EN33" s="19"/>
      <c r="EO33" s="19"/>
      <c r="EP33" s="127"/>
      <c r="EQ33" s="5"/>
      <c r="ER33" s="127">
        <v>1.1065918621622619E-2</v>
      </c>
      <c r="ES33" s="127">
        <v>0.90169987550728314</v>
      </c>
      <c r="ET33" s="127">
        <v>0.10456202924251556</v>
      </c>
      <c r="EU33" s="127">
        <v>1</v>
      </c>
      <c r="EV33" s="127">
        <v>0.5357142857142857</v>
      </c>
      <c r="EW33" s="127">
        <v>3.4086768883426287E-2</v>
      </c>
      <c r="EX33" s="5" t="s">
        <v>290</v>
      </c>
      <c r="EY33" s="127">
        <v>0.41864637077123856</v>
      </c>
      <c r="EZ33" s="127">
        <v>5.525444755479314</v>
      </c>
      <c r="FA33" s="127" t="s">
        <v>291</v>
      </c>
      <c r="FB33" s="127">
        <v>1.155</v>
      </c>
      <c r="FC33" s="127">
        <v>0.3624643902781286</v>
      </c>
      <c r="FD33" s="5" t="s">
        <v>290</v>
      </c>
    </row>
    <row r="34" spans="2:160" ht="14.25">
      <c r="B34" s="199" t="s">
        <v>332</v>
      </c>
      <c r="C34" s="2"/>
      <c r="D34" s="2"/>
      <c r="E34" s="224" t="s">
        <v>200</v>
      </c>
      <c r="F34" s="123">
        <f>ABS(H28)/(D24*G24)*10</f>
        <v>1.3169249205679135E-3</v>
      </c>
      <c r="G34" s="41" t="str">
        <f>IF(F34&lt;0.1,"&lt; 0.1","&gt; 0.1")</f>
        <v>&lt; 0.1</v>
      </c>
      <c r="H34" s="41"/>
      <c r="I34" s="2"/>
      <c r="J34" s="2"/>
      <c r="K34" s="66"/>
      <c r="L34" s="71"/>
      <c r="M34" s="65"/>
      <c r="N34" s="192"/>
      <c r="AI34" s="19"/>
      <c r="AO34" s="19"/>
      <c r="AY34" s="145"/>
      <c r="AZ34" s="16"/>
      <c r="BC34" s="16"/>
      <c r="BD34" s="20"/>
      <c r="BE34" s="17"/>
      <c r="BF34" s="20"/>
      <c r="BG34" s="146"/>
      <c r="BH34" s="146"/>
      <c r="BI34" s="146"/>
      <c r="BJ34" s="20"/>
      <c r="BK34" s="20"/>
      <c r="BL34" s="154"/>
      <c r="BM34" s="147"/>
      <c r="BP34" s="20"/>
      <c r="BQ34" s="154"/>
      <c r="BR34" s="18"/>
      <c r="BS34" s="16"/>
      <c r="BT34" s="18"/>
      <c r="BU34" s="18"/>
      <c r="BV34" s="18"/>
      <c r="BW34" s="20"/>
      <c r="BX34" s="154"/>
      <c r="BY34" s="18"/>
      <c r="BZ34" s="146"/>
      <c r="CA34" s="18"/>
      <c r="CB34" s="18"/>
      <c r="CC34" s="20"/>
      <c r="CD34" s="154"/>
      <c r="DA34" s="12" t="s">
        <v>268</v>
      </c>
      <c r="DB34" s="14" t="s">
        <v>284</v>
      </c>
      <c r="DC34" s="64">
        <v>0.08</v>
      </c>
      <c r="DD34" s="64">
        <v>5.78</v>
      </c>
      <c r="DE34" s="14">
        <v>150</v>
      </c>
      <c r="DF34" s="14">
        <v>300</v>
      </c>
      <c r="DG34" s="14">
        <v>10</v>
      </c>
      <c r="DH34" s="14">
        <v>10</v>
      </c>
      <c r="DI34" s="19">
        <v>86</v>
      </c>
      <c r="DJ34" s="10">
        <v>9968.6666666666661</v>
      </c>
      <c r="DK34" s="10">
        <v>3311.1666666666665</v>
      </c>
      <c r="DL34" s="10">
        <v>664.57777777777778</v>
      </c>
      <c r="DM34" s="10">
        <v>441.48888888888888</v>
      </c>
      <c r="DN34" s="10">
        <v>413.5</v>
      </c>
      <c r="DO34" s="10">
        <v>9.7372899112029536</v>
      </c>
      <c r="DP34" s="10">
        <v>42187.5</v>
      </c>
      <c r="DQ34" s="10">
        <v>37.5</v>
      </c>
      <c r="DR34" s="14" t="s">
        <v>270</v>
      </c>
      <c r="DS34" s="15">
        <v>-2.5886981295734981</v>
      </c>
      <c r="DT34" s="15">
        <v>2.5607245139684359E-3</v>
      </c>
      <c r="DU34" s="15">
        <v>-11.792044081721453</v>
      </c>
      <c r="DV34" s="15">
        <v>-3.6554808452419181</v>
      </c>
      <c r="DW34" s="15">
        <v>1.1032244606659669E-2</v>
      </c>
      <c r="DX34" s="15">
        <v>0.82694287573488268</v>
      </c>
      <c r="DY34" s="15">
        <v>0.10390135198568873</v>
      </c>
      <c r="DZ34" s="16">
        <v>1.4089895806684058E-3</v>
      </c>
      <c r="EA34" s="16">
        <v>2.574681545999806E-2</v>
      </c>
      <c r="EB34" s="16">
        <v>1.169685018200081E-4</v>
      </c>
      <c r="EC34" s="16">
        <v>4.3230822575605718E-2</v>
      </c>
      <c r="ED34" s="127">
        <v>7.0503596118092191E-2</v>
      </c>
      <c r="EE34" s="5">
        <v>4.8913364152261973</v>
      </c>
      <c r="EF34" s="127">
        <v>3.9475202177174019E-2</v>
      </c>
      <c r="EG34" s="127">
        <v>5.5004560300904943</v>
      </c>
      <c r="EH34" s="127">
        <v>2.498872538881991E-2</v>
      </c>
      <c r="EI34" s="127">
        <v>4.8913364152261973</v>
      </c>
      <c r="EJ34" s="127">
        <v>4.1107186900621831E-2</v>
      </c>
      <c r="EK34" s="127">
        <v>7.0503596118092191E-2</v>
      </c>
      <c r="EL34" s="5" t="s">
        <v>290</v>
      </c>
      <c r="EM34" s="185"/>
      <c r="EN34" s="19"/>
      <c r="EO34" s="19"/>
      <c r="EP34" s="127"/>
      <c r="EQ34" s="5"/>
      <c r="ER34" s="127">
        <v>1.1065918621622619E-2</v>
      </c>
      <c r="ES34" s="127">
        <v>0.90169987550728314</v>
      </c>
      <c r="ET34" s="127">
        <v>0.10456202924251556</v>
      </c>
      <c r="EU34" s="127">
        <v>1</v>
      </c>
      <c r="EV34" s="127">
        <v>0.5357142857142857</v>
      </c>
      <c r="EW34" s="127">
        <v>3.4086768883426287E-2</v>
      </c>
      <c r="EX34" s="5" t="s">
        <v>290</v>
      </c>
      <c r="EY34" s="127">
        <v>0.41864637077123856</v>
      </c>
      <c r="EZ34" s="127">
        <v>5.525444755479314</v>
      </c>
      <c r="FA34" s="127" t="s">
        <v>291</v>
      </c>
      <c r="FB34" s="127">
        <v>1.155</v>
      </c>
      <c r="FC34" s="127">
        <v>0.3624643902781286</v>
      </c>
      <c r="FD34" s="5" t="s">
        <v>290</v>
      </c>
    </row>
    <row r="35" spans="2:160" ht="14.25">
      <c r="B35" s="199" t="s">
        <v>333</v>
      </c>
      <c r="C35" s="2"/>
      <c r="D35" s="2"/>
      <c r="E35" s="2"/>
      <c r="F35" s="2"/>
      <c r="G35" s="2"/>
      <c r="H35" s="2"/>
      <c r="I35" s="2"/>
      <c r="J35" s="2"/>
      <c r="K35" s="124" t="s">
        <v>201</v>
      </c>
      <c r="L35" s="125">
        <f>ABS(H28)/(G24*L33)*10</f>
        <v>1.3169249205679135E-3</v>
      </c>
      <c r="M35" s="65"/>
      <c r="N35" s="192"/>
      <c r="AI35" s="19"/>
      <c r="AO35" s="19"/>
      <c r="AY35" s="145"/>
      <c r="AZ35" s="16"/>
      <c r="BC35" s="16"/>
      <c r="BD35" s="20"/>
      <c r="BE35" s="17"/>
      <c r="BF35" s="20"/>
      <c r="BG35" s="146"/>
      <c r="BH35" s="146"/>
      <c r="BI35" s="146"/>
      <c r="BJ35" s="20"/>
      <c r="BK35" s="20"/>
      <c r="BL35" s="154"/>
      <c r="BM35" s="147"/>
      <c r="BP35" s="20"/>
      <c r="BQ35" s="154"/>
      <c r="BR35" s="18"/>
      <c r="BS35" s="16"/>
      <c r="BT35" s="18"/>
      <c r="BU35" s="18"/>
      <c r="BV35" s="18"/>
      <c r="BW35" s="20"/>
      <c r="BX35" s="154"/>
      <c r="BY35" s="18"/>
      <c r="BZ35" s="146"/>
      <c r="CA35" s="18"/>
      <c r="CB35" s="18"/>
      <c r="CC35" s="20"/>
      <c r="CD35" s="154"/>
      <c r="DA35" s="12" t="s">
        <v>268</v>
      </c>
      <c r="DB35" s="14" t="s">
        <v>285</v>
      </c>
      <c r="DC35" s="64">
        <v>0.08</v>
      </c>
      <c r="DD35" s="64">
        <v>8</v>
      </c>
      <c r="DE35" s="14">
        <v>150</v>
      </c>
      <c r="DF35" s="14">
        <v>300</v>
      </c>
      <c r="DG35" s="14">
        <v>10</v>
      </c>
      <c r="DH35" s="14">
        <v>10</v>
      </c>
      <c r="DI35" s="19">
        <v>86</v>
      </c>
      <c r="DJ35" s="10">
        <v>9968.6666666666661</v>
      </c>
      <c r="DK35" s="10">
        <v>3311.1666666666665</v>
      </c>
      <c r="DL35" s="10">
        <v>664.57777777777778</v>
      </c>
      <c r="DM35" s="10">
        <v>441.48888888888888</v>
      </c>
      <c r="DN35" s="10">
        <v>413.5</v>
      </c>
      <c r="DO35" s="10">
        <v>9.7372899112029536</v>
      </c>
      <c r="DP35" s="10">
        <v>42187.5</v>
      </c>
      <c r="DQ35" s="10">
        <v>37.5</v>
      </c>
      <c r="DR35" s="14" t="s">
        <v>270</v>
      </c>
      <c r="DS35" s="15">
        <v>-2.5886981295734981</v>
      </c>
      <c r="DT35" s="15">
        <v>2.5607245139684359E-3</v>
      </c>
      <c r="DU35" s="15">
        <v>-11.792044081721453</v>
      </c>
      <c r="DV35" s="15">
        <v>-3.6554808452419181</v>
      </c>
      <c r="DW35" s="15">
        <v>1.1032244606659669E-2</v>
      </c>
      <c r="DX35" s="15">
        <v>0.82694287573488268</v>
      </c>
      <c r="DY35" s="15">
        <v>0.14715794257126283</v>
      </c>
      <c r="DZ35" s="16">
        <v>1.4089895806684058E-3</v>
      </c>
      <c r="EA35" s="16">
        <v>2.574681545999806E-2</v>
      </c>
      <c r="EB35" s="16">
        <v>1.169685018200081E-4</v>
      </c>
      <c r="EC35" s="16">
        <v>6.1228836625395425E-2</v>
      </c>
      <c r="ED35" s="127">
        <v>8.8501610167881897E-2</v>
      </c>
      <c r="EE35" s="5">
        <v>4.8913364152261973</v>
      </c>
      <c r="EF35" s="127">
        <v>3.9475202177174019E-2</v>
      </c>
      <c r="EG35" s="127">
        <v>5.5004560300904943</v>
      </c>
      <c r="EH35" s="127">
        <v>2.498872538881991E-2</v>
      </c>
      <c r="EI35" s="127">
        <v>4.8913364152261973</v>
      </c>
      <c r="EJ35" s="127">
        <v>4.1107186900621831E-2</v>
      </c>
      <c r="EK35" s="127">
        <v>8.8501610167881897E-2</v>
      </c>
      <c r="EL35" s="5" t="s">
        <v>290</v>
      </c>
      <c r="EM35" s="185"/>
      <c r="EN35" s="19"/>
      <c r="EO35" s="19"/>
      <c r="EP35" s="127"/>
      <c r="EQ35" s="5"/>
      <c r="ER35" s="127">
        <v>1.1065918621622619E-2</v>
      </c>
      <c r="ES35" s="127">
        <v>0.90169987550728314</v>
      </c>
      <c r="ET35" s="127">
        <v>0.10456202924251556</v>
      </c>
      <c r="EU35" s="127">
        <v>1</v>
      </c>
      <c r="EV35" s="127">
        <v>0.5357142857142857</v>
      </c>
      <c r="EW35" s="127">
        <v>3.4086768883426287E-2</v>
      </c>
      <c r="EX35" s="5" t="s">
        <v>290</v>
      </c>
      <c r="EY35" s="127">
        <v>0.41864637077123856</v>
      </c>
      <c r="EZ35" s="127">
        <v>5.525444755479314</v>
      </c>
      <c r="FA35" s="127" t="s">
        <v>291</v>
      </c>
      <c r="FB35" s="127">
        <v>1.155</v>
      </c>
      <c r="FC35" s="127">
        <v>0.3624643902781286</v>
      </c>
      <c r="FD35" s="5" t="s">
        <v>290</v>
      </c>
    </row>
    <row r="36" spans="2:160" ht="14.25">
      <c r="B36" s="199" t="s">
        <v>334</v>
      </c>
      <c r="C36" s="2"/>
      <c r="D36" s="2"/>
      <c r="E36" s="2"/>
      <c r="F36" s="2"/>
      <c r="G36" s="2"/>
      <c r="H36" s="2"/>
      <c r="I36" s="2"/>
      <c r="J36" s="2"/>
      <c r="K36" s="124" t="s">
        <v>202</v>
      </c>
      <c r="L36" s="125">
        <f>(ABS(K28)/J24*1000)/L33</f>
        <v>2.4064495131645915E-2</v>
      </c>
      <c r="M36" s="65"/>
      <c r="N36" s="192"/>
      <c r="AI36" s="19"/>
      <c r="AO36" s="19"/>
      <c r="AY36" s="145"/>
      <c r="AZ36" s="16"/>
      <c r="BC36" s="16"/>
      <c r="BD36" s="20"/>
      <c r="BE36" s="17"/>
      <c r="BF36" s="20"/>
      <c r="BG36" s="146"/>
      <c r="BH36" s="146"/>
      <c r="BI36" s="146"/>
      <c r="BJ36" s="20"/>
      <c r="BK36" s="20"/>
      <c r="BL36" s="154"/>
      <c r="BM36" s="147"/>
      <c r="BP36" s="20"/>
      <c r="BQ36" s="154"/>
      <c r="BR36" s="18"/>
      <c r="BS36" s="16"/>
      <c r="BT36" s="18"/>
      <c r="BU36" s="18"/>
      <c r="BV36" s="18"/>
      <c r="BW36" s="20"/>
      <c r="BX36" s="154"/>
      <c r="BY36" s="18"/>
      <c r="BZ36" s="146"/>
      <c r="CA36" s="18"/>
      <c r="CB36" s="18"/>
      <c r="CC36" s="20"/>
      <c r="CD36" s="154"/>
      <c r="DA36" s="12" t="s">
        <v>268</v>
      </c>
      <c r="DB36" s="14" t="s">
        <v>286</v>
      </c>
      <c r="DC36" s="64">
        <v>0.08</v>
      </c>
      <c r="DD36" s="64">
        <v>2.34</v>
      </c>
      <c r="DE36" s="14">
        <v>150</v>
      </c>
      <c r="DF36" s="14">
        <v>300</v>
      </c>
      <c r="DG36" s="14">
        <v>10</v>
      </c>
      <c r="DH36" s="14">
        <v>10</v>
      </c>
      <c r="DI36" s="19">
        <v>86</v>
      </c>
      <c r="DJ36" s="10">
        <v>9968.6666666666661</v>
      </c>
      <c r="DK36" s="10">
        <v>3311.1666666666665</v>
      </c>
      <c r="DL36" s="10">
        <v>664.57777777777778</v>
      </c>
      <c r="DM36" s="10">
        <v>441.48888888888888</v>
      </c>
      <c r="DN36" s="10">
        <v>413.5</v>
      </c>
      <c r="DO36" s="10">
        <v>9.7372899112029536</v>
      </c>
      <c r="DP36" s="10">
        <v>42187.5</v>
      </c>
      <c r="DQ36" s="10">
        <v>37.5</v>
      </c>
      <c r="DR36" s="14" t="s">
        <v>270</v>
      </c>
      <c r="DS36" s="15">
        <v>-2.5886981295734981</v>
      </c>
      <c r="DT36" s="15">
        <v>2.5607245139684359E-3</v>
      </c>
      <c r="DU36" s="15">
        <v>-11.792044081721453</v>
      </c>
      <c r="DV36" s="15">
        <v>-3.6554808452419181</v>
      </c>
      <c r="DW36" s="15">
        <v>1.1032244606659669E-2</v>
      </c>
      <c r="DX36" s="15">
        <v>0.82694287573488268</v>
      </c>
      <c r="DY36" s="15">
        <v>3.6873121562107092E-2</v>
      </c>
      <c r="DZ36" s="16">
        <v>1.4089895806684058E-3</v>
      </c>
      <c r="EA36" s="16">
        <v>2.574681545999806E-2</v>
      </c>
      <c r="EB36" s="16">
        <v>1.169685018200081E-4</v>
      </c>
      <c r="EC36" s="16">
        <v>1.534200802584125E-2</v>
      </c>
      <c r="ED36" s="127">
        <v>4.2614781568327723E-2</v>
      </c>
      <c r="EE36" s="5">
        <v>4.8913364152261973</v>
      </c>
      <c r="EF36" s="127">
        <v>3.9475202177174019E-2</v>
      </c>
      <c r="EG36" s="127">
        <v>5.5004560300904943</v>
      </c>
      <c r="EH36" s="127">
        <v>2.498872538881991E-2</v>
      </c>
      <c r="EI36" s="127">
        <v>4.8913364152261973</v>
      </c>
      <c r="EJ36" s="127">
        <v>4.1107186900621831E-2</v>
      </c>
      <c r="EK36" s="127">
        <v>4.2614781568327723E-2</v>
      </c>
      <c r="EL36" s="5" t="s">
        <v>290</v>
      </c>
      <c r="EM36" s="185"/>
      <c r="EN36" s="19"/>
      <c r="EO36" s="19"/>
      <c r="EP36" s="127"/>
      <c r="EQ36" s="5"/>
      <c r="ER36" s="127">
        <v>1.1065918621622619E-2</v>
      </c>
      <c r="ES36" s="127">
        <v>0.90169987550728314</v>
      </c>
      <c r="ET36" s="127">
        <v>0.10456202924251556</v>
      </c>
      <c r="EU36" s="127">
        <v>1</v>
      </c>
      <c r="EV36" s="127">
        <v>0.5357142857142857</v>
      </c>
      <c r="EW36" s="127">
        <v>3.4086768883426287E-2</v>
      </c>
      <c r="EX36" s="5" t="s">
        <v>290</v>
      </c>
      <c r="EY36" s="127">
        <v>0.41864637077123856</v>
      </c>
      <c r="EZ36" s="127">
        <v>5.525444755479314</v>
      </c>
      <c r="FA36" s="127" t="s">
        <v>291</v>
      </c>
      <c r="FB36" s="127">
        <v>1.155</v>
      </c>
      <c r="FC36" s="127">
        <v>0.3624643902781286</v>
      </c>
      <c r="FD36" s="5" t="s">
        <v>290</v>
      </c>
    </row>
    <row r="37" spans="2:160" ht="14.25">
      <c r="B37" s="199" t="s">
        <v>335</v>
      </c>
      <c r="C37" s="2"/>
      <c r="D37" s="2"/>
      <c r="E37" s="2"/>
      <c r="F37" s="2"/>
      <c r="G37" s="2"/>
      <c r="H37" s="2"/>
      <c r="I37" s="2"/>
      <c r="J37" s="2"/>
      <c r="K37" s="124" t="s">
        <v>203</v>
      </c>
      <c r="L37" s="125">
        <f>(ABS(L28)/K24*1000)/L33</f>
        <v>1.0932567357608709E-4</v>
      </c>
      <c r="M37" s="65"/>
      <c r="N37" s="192"/>
      <c r="AI37" s="19"/>
      <c r="AO37" s="19"/>
      <c r="AY37" s="145"/>
      <c r="AZ37" s="16"/>
      <c r="BC37" s="16"/>
      <c r="BD37" s="20"/>
      <c r="BE37" s="17"/>
      <c r="BF37" s="20"/>
      <c r="BG37" s="146"/>
      <c r="BH37" s="146"/>
      <c r="BI37" s="146"/>
      <c r="BJ37" s="20"/>
      <c r="BK37" s="20"/>
      <c r="BL37" s="154"/>
      <c r="BM37" s="147"/>
      <c r="BP37" s="20"/>
      <c r="BQ37" s="154"/>
      <c r="BR37" s="18"/>
      <c r="BS37" s="16"/>
      <c r="BT37" s="18"/>
      <c r="BU37" s="18"/>
      <c r="BV37" s="18"/>
      <c r="BW37" s="20"/>
      <c r="BX37" s="154"/>
      <c r="BY37" s="18"/>
      <c r="BZ37" s="146"/>
      <c r="CA37" s="18"/>
      <c r="CB37" s="18"/>
      <c r="CC37" s="20"/>
      <c r="CD37" s="154"/>
      <c r="DA37" s="12" t="s">
        <v>268</v>
      </c>
      <c r="DB37" s="14" t="s">
        <v>287</v>
      </c>
      <c r="DC37" s="64">
        <v>0.08</v>
      </c>
      <c r="DD37" s="64">
        <v>8</v>
      </c>
      <c r="DE37" s="14">
        <v>150</v>
      </c>
      <c r="DF37" s="14">
        <v>300</v>
      </c>
      <c r="DG37" s="14">
        <v>10</v>
      </c>
      <c r="DH37" s="14">
        <v>10</v>
      </c>
      <c r="DI37" s="19">
        <v>86</v>
      </c>
      <c r="DJ37" s="10">
        <v>9968.6666666666661</v>
      </c>
      <c r="DK37" s="10">
        <v>3311.1666666666665</v>
      </c>
      <c r="DL37" s="10">
        <v>664.57777777777778</v>
      </c>
      <c r="DM37" s="10">
        <v>441.48888888888888</v>
      </c>
      <c r="DN37" s="10">
        <v>413.5</v>
      </c>
      <c r="DO37" s="10">
        <v>9.7372899112029536</v>
      </c>
      <c r="DP37" s="10">
        <v>42187.5</v>
      </c>
      <c r="DQ37" s="10">
        <v>37.5</v>
      </c>
      <c r="DR37" s="14" t="s">
        <v>270</v>
      </c>
      <c r="DS37" s="15">
        <v>-2.5886981295734981</v>
      </c>
      <c r="DT37" s="15">
        <v>2.5607245139684359E-3</v>
      </c>
      <c r="DU37" s="15">
        <v>-11.792044081721453</v>
      </c>
      <c r="DV37" s="15">
        <v>-3.6554808452419181</v>
      </c>
      <c r="DW37" s="15">
        <v>1.1032244606659669E-2</v>
      </c>
      <c r="DX37" s="15">
        <v>0.82694287573488268</v>
      </c>
      <c r="DY37" s="15">
        <v>0.14715794257126283</v>
      </c>
      <c r="DZ37" s="16">
        <v>1.4089895806684058E-3</v>
      </c>
      <c r="EA37" s="16">
        <v>2.574681545999806E-2</v>
      </c>
      <c r="EB37" s="16">
        <v>1.169685018200081E-4</v>
      </c>
      <c r="EC37" s="16">
        <v>6.1228836625395425E-2</v>
      </c>
      <c r="ED37" s="127">
        <v>8.8501610167881897E-2</v>
      </c>
      <c r="EE37" s="5">
        <v>4.8913364152261973</v>
      </c>
      <c r="EF37" s="127">
        <v>3.9475202177174019E-2</v>
      </c>
      <c r="EG37" s="127">
        <v>5.5004560300904943</v>
      </c>
      <c r="EH37" s="127">
        <v>2.498872538881991E-2</v>
      </c>
      <c r="EI37" s="127">
        <v>4.8913364152261973</v>
      </c>
      <c r="EJ37" s="127">
        <v>4.1107186900621831E-2</v>
      </c>
      <c r="EK37" s="127">
        <v>8.8501610167881897E-2</v>
      </c>
      <c r="EL37" s="5" t="s">
        <v>290</v>
      </c>
      <c r="EM37" s="185"/>
      <c r="EN37" s="19"/>
      <c r="EO37" s="19"/>
      <c r="EP37" s="127"/>
      <c r="EQ37" s="5"/>
      <c r="ER37" s="127">
        <v>1.1065918621622619E-2</v>
      </c>
      <c r="ES37" s="127">
        <v>0.90169987550728314</v>
      </c>
      <c r="ET37" s="127">
        <v>0.10456202924251556</v>
      </c>
      <c r="EU37" s="127">
        <v>1</v>
      </c>
      <c r="EV37" s="127">
        <v>0.5357142857142857</v>
      </c>
      <c r="EW37" s="127">
        <v>3.4086768883426287E-2</v>
      </c>
      <c r="EX37" s="5" t="s">
        <v>290</v>
      </c>
      <c r="EY37" s="127">
        <v>0.41864637077123856</v>
      </c>
      <c r="EZ37" s="127">
        <v>5.525444755479314</v>
      </c>
      <c r="FA37" s="127" t="s">
        <v>291</v>
      </c>
      <c r="FB37" s="127">
        <v>1.155</v>
      </c>
      <c r="FC37" s="127">
        <v>0.3624643902781286</v>
      </c>
      <c r="FD37" s="5" t="s">
        <v>290</v>
      </c>
    </row>
    <row r="38" spans="2:160" ht="14.25">
      <c r="B38" s="199" t="s">
        <v>336</v>
      </c>
      <c r="C38" s="2"/>
      <c r="D38" s="2"/>
      <c r="E38" s="2"/>
      <c r="F38" s="2"/>
      <c r="G38" s="2"/>
      <c r="H38" s="2"/>
      <c r="I38" s="2"/>
      <c r="J38" s="2"/>
      <c r="K38" s="124" t="s">
        <v>204</v>
      </c>
      <c r="L38" s="125">
        <f>IFERROR(ABS(N28)*N24/(M24*L33)*100000,0)</f>
        <v>1.8353739457065204E-3</v>
      </c>
      <c r="M38" s="65"/>
      <c r="N38" s="192"/>
      <c r="AI38" s="19"/>
      <c r="AO38" s="19"/>
      <c r="AY38" s="145"/>
      <c r="AZ38" s="16"/>
      <c r="BC38" s="16"/>
      <c r="BD38" s="20"/>
      <c r="BE38" s="17"/>
      <c r="BF38" s="20"/>
      <c r="BG38" s="146"/>
      <c r="BH38" s="146"/>
      <c r="BI38" s="146"/>
      <c r="BJ38" s="20"/>
      <c r="BK38" s="20"/>
      <c r="BL38" s="154"/>
      <c r="BP38" s="20"/>
      <c r="BQ38" s="154"/>
      <c r="BR38" s="18"/>
      <c r="BS38" s="16"/>
      <c r="BT38" s="18"/>
      <c r="BU38" s="18"/>
      <c r="BV38" s="18"/>
      <c r="BW38" s="20"/>
      <c r="BX38" s="154"/>
      <c r="BY38" s="18"/>
      <c r="BZ38" s="146"/>
      <c r="CA38" s="18"/>
      <c r="CB38" s="18"/>
      <c r="CC38" s="20"/>
      <c r="CD38" s="154"/>
      <c r="DA38" s="12" t="s">
        <v>268</v>
      </c>
      <c r="DB38" s="14" t="s">
        <v>288</v>
      </c>
      <c r="DC38" s="64">
        <v>0.08</v>
      </c>
      <c r="DD38" s="64">
        <v>6.16</v>
      </c>
      <c r="DE38" s="14">
        <v>150</v>
      </c>
      <c r="DF38" s="14">
        <v>300</v>
      </c>
      <c r="DG38" s="14">
        <v>10</v>
      </c>
      <c r="DH38" s="14">
        <v>10</v>
      </c>
      <c r="DI38" s="12">
        <v>86</v>
      </c>
      <c r="DJ38" s="10">
        <v>9968.6666666666661</v>
      </c>
      <c r="DK38" s="10">
        <v>3311.1666666666665</v>
      </c>
      <c r="DL38" s="10">
        <v>664.57777777777778</v>
      </c>
      <c r="DM38" s="10">
        <v>441.48888888888888</v>
      </c>
      <c r="DN38" s="10">
        <v>413.5</v>
      </c>
      <c r="DO38" s="10">
        <v>9.7372899112029536</v>
      </c>
      <c r="DP38" s="10">
        <v>42187.5</v>
      </c>
      <c r="DQ38" s="10">
        <v>37.5</v>
      </c>
      <c r="DR38" s="14" t="s">
        <v>270</v>
      </c>
      <c r="DS38" s="15">
        <v>-2.5886981295734981</v>
      </c>
      <c r="DT38" s="15">
        <v>2.5607245139684359E-3</v>
      </c>
      <c r="DU38" s="15">
        <v>-11.792044081721453</v>
      </c>
      <c r="DV38" s="15">
        <v>-3.6554808452419181</v>
      </c>
      <c r="DW38" s="15">
        <v>1.1032244606659669E-2</v>
      </c>
      <c r="DX38" s="15">
        <v>0.82694287573488268</v>
      </c>
      <c r="DY38" s="15">
        <v>0.11130563325709322</v>
      </c>
      <c r="DZ38" s="15">
        <v>1.4089895806684058E-3</v>
      </c>
      <c r="EA38" s="16">
        <v>2.574681545999806E-2</v>
      </c>
      <c r="EB38" s="16">
        <v>1.169685018200081E-4</v>
      </c>
      <c r="EC38" s="17">
        <v>4.6311563719263378E-2</v>
      </c>
      <c r="ED38" s="127">
        <v>7.3584337261749844E-2</v>
      </c>
      <c r="EE38" s="12">
        <v>4.8913364152261973</v>
      </c>
      <c r="EF38" s="186">
        <v>3.9475202177174019E-2</v>
      </c>
      <c r="EG38" s="186">
        <v>5.5004560300904943</v>
      </c>
      <c r="EH38" s="186">
        <v>2.498872538881991E-2</v>
      </c>
      <c r="EI38" s="186">
        <v>4.8913364152261973</v>
      </c>
      <c r="EJ38" s="186">
        <v>4.1107186900621831E-2</v>
      </c>
      <c r="EK38" s="5">
        <v>7.3584337261749844E-2</v>
      </c>
      <c r="EL38" s="5" t="s">
        <v>290</v>
      </c>
      <c r="EM38" s="185"/>
      <c r="EN38" s="19"/>
      <c r="EO38" s="19"/>
      <c r="EP38" s="127"/>
      <c r="EQ38" s="12"/>
      <c r="ER38" s="186">
        <v>1.1065918621622619E-2</v>
      </c>
      <c r="ES38" s="186">
        <v>0.90169987550728314</v>
      </c>
      <c r="ET38" s="186">
        <v>0.10456202924251556</v>
      </c>
      <c r="EU38" s="186">
        <v>1</v>
      </c>
      <c r="EV38" s="186">
        <v>0.5357142857142857</v>
      </c>
      <c r="EW38" s="5">
        <v>3.4086768883426287E-2</v>
      </c>
      <c r="EX38" s="5" t="s">
        <v>290</v>
      </c>
      <c r="EY38" s="186">
        <v>0.41864637077123856</v>
      </c>
      <c r="EZ38" s="186">
        <v>5.525444755479314</v>
      </c>
      <c r="FA38" s="186" t="s">
        <v>291</v>
      </c>
      <c r="FB38" s="186">
        <v>1.155</v>
      </c>
      <c r="FC38" s="5">
        <v>0.3624643902781286</v>
      </c>
      <c r="FD38" s="5" t="s">
        <v>290</v>
      </c>
    </row>
    <row r="39" spans="2:160" ht="15">
      <c r="B39" s="199" t="s">
        <v>337</v>
      </c>
      <c r="C39" s="65"/>
      <c r="D39" s="65"/>
      <c r="E39" s="65"/>
      <c r="F39" s="65"/>
      <c r="G39" s="65"/>
      <c r="H39" s="65"/>
      <c r="I39" s="65"/>
      <c r="J39" s="65"/>
      <c r="K39" s="66" t="s">
        <v>73</v>
      </c>
      <c r="L39" s="126">
        <f>L35+L36+L37+L38</f>
        <v>2.7326119671496438E-2</v>
      </c>
      <c r="M39" s="72" t="s">
        <v>34</v>
      </c>
      <c r="N39" s="194" t="str">
        <f>IF(L39&lt;=1,"OK","Check")</f>
        <v>OK</v>
      </c>
      <c r="AI39" s="19"/>
      <c r="AO39" s="19"/>
      <c r="AY39" s="145"/>
      <c r="AZ39" s="16"/>
      <c r="BC39" s="16"/>
      <c r="BD39" s="20"/>
      <c r="BE39" s="17"/>
      <c r="BF39" s="20"/>
      <c r="BG39" s="146"/>
      <c r="BH39" s="146"/>
      <c r="BI39" s="146"/>
      <c r="BJ39" s="20"/>
      <c r="BK39" s="20"/>
      <c r="BL39" s="154"/>
      <c r="BP39" s="20"/>
      <c r="BQ39" s="154"/>
      <c r="BR39" s="18"/>
      <c r="BS39" s="16"/>
      <c r="BT39" s="18"/>
      <c r="BU39" s="18"/>
      <c r="BV39" s="18"/>
      <c r="BW39" s="20"/>
      <c r="BX39" s="154"/>
      <c r="BY39" s="18"/>
      <c r="BZ39" s="146"/>
      <c r="CA39" s="18"/>
      <c r="CB39" s="18"/>
      <c r="CC39" s="20"/>
      <c r="CD39" s="154"/>
    </row>
    <row r="40" spans="2:160">
      <c r="B40" s="201" t="s">
        <v>211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193"/>
      <c r="AI40" s="19"/>
      <c r="AO40" s="19"/>
      <c r="AY40" s="145"/>
      <c r="AZ40" s="16"/>
      <c r="BC40" s="16"/>
      <c r="BD40" s="20"/>
      <c r="BE40" s="17"/>
      <c r="BF40" s="20"/>
      <c r="BG40" s="146"/>
      <c r="BH40" s="146"/>
      <c r="BI40" s="146"/>
      <c r="BJ40" s="20"/>
      <c r="BK40" s="20"/>
      <c r="BL40" s="154"/>
      <c r="BP40" s="20"/>
      <c r="BQ40" s="154"/>
      <c r="BR40" s="18"/>
      <c r="BS40" s="16"/>
      <c r="BT40" s="18"/>
      <c r="BU40" s="18"/>
      <c r="BV40" s="18"/>
      <c r="BW40" s="20"/>
      <c r="BX40" s="154"/>
      <c r="BY40" s="18"/>
      <c r="BZ40" s="146"/>
      <c r="CA40" s="18"/>
      <c r="CB40" s="18"/>
      <c r="CC40" s="20"/>
      <c r="CD40" s="154"/>
    </row>
    <row r="41" spans="2:160" ht="14.25">
      <c r="B41" s="199" t="s">
        <v>338</v>
      </c>
      <c r="C41" s="65"/>
      <c r="D41" s="65"/>
      <c r="E41" s="65"/>
      <c r="F41" s="65"/>
      <c r="G41" s="65"/>
      <c r="H41" s="65"/>
      <c r="I41" s="65"/>
      <c r="J41" s="65"/>
      <c r="K41" s="66" t="s">
        <v>74</v>
      </c>
      <c r="L41" s="71">
        <f>0.58*C24/E24*F24</f>
        <v>132.57142857142856</v>
      </c>
      <c r="M41" s="65" t="s">
        <v>51</v>
      </c>
      <c r="N41" s="192"/>
      <c r="AI41" s="19"/>
      <c r="AO41" s="19"/>
      <c r="AY41" s="145"/>
      <c r="AZ41" s="16"/>
      <c r="BC41" s="16"/>
      <c r="BD41" s="20"/>
      <c r="BE41" s="17"/>
      <c r="BF41" s="20"/>
      <c r="BG41" s="146"/>
      <c r="BH41" s="146"/>
      <c r="BI41" s="146"/>
      <c r="BJ41" s="20"/>
      <c r="BK41" s="20"/>
      <c r="BL41" s="154"/>
      <c r="BP41" s="20"/>
      <c r="BQ41" s="154"/>
      <c r="BR41" s="18"/>
      <c r="BS41" s="16"/>
      <c r="BT41" s="18"/>
      <c r="BU41" s="18"/>
      <c r="BV41" s="18"/>
      <c r="BW41" s="20"/>
      <c r="BX41" s="154"/>
      <c r="BY41" s="18"/>
      <c r="BZ41" s="146"/>
      <c r="CA41" s="18"/>
      <c r="CB41" s="18"/>
      <c r="CC41" s="20"/>
      <c r="CD41" s="154"/>
    </row>
    <row r="42" spans="2:160" ht="14.25">
      <c r="B42" s="199" t="s">
        <v>339</v>
      </c>
      <c r="C42" s="2"/>
      <c r="D42" s="2"/>
      <c r="E42" s="2"/>
      <c r="F42" s="2"/>
      <c r="G42" s="2"/>
      <c r="H42" s="2"/>
      <c r="I42" s="2"/>
      <c r="J42" s="2"/>
      <c r="K42" s="73" t="s">
        <v>75</v>
      </c>
      <c r="L42" s="51">
        <f>ABS(J28)*L24/(H24*F14)*100</f>
        <v>4.8913364152261973</v>
      </c>
      <c r="M42" s="65" t="s">
        <v>51</v>
      </c>
      <c r="N42" s="193"/>
      <c r="AI42" s="19"/>
      <c r="AO42" s="19"/>
      <c r="AY42" s="145"/>
      <c r="AZ42" s="16"/>
      <c r="BC42" s="16"/>
      <c r="BD42" s="20"/>
      <c r="BE42" s="17"/>
      <c r="BF42" s="20"/>
      <c r="BG42" s="146"/>
      <c r="BH42" s="146"/>
      <c r="BI42" s="146"/>
      <c r="BJ42" s="20"/>
      <c r="BK42" s="20"/>
      <c r="BL42" s="154"/>
      <c r="BP42" s="20"/>
      <c r="BQ42" s="154"/>
      <c r="BR42" s="18"/>
      <c r="BS42" s="16"/>
      <c r="BT42" s="18"/>
      <c r="BU42" s="18"/>
      <c r="BV42" s="18"/>
      <c r="BW42" s="20"/>
      <c r="BX42" s="154"/>
      <c r="BY42" s="18"/>
      <c r="BZ42" s="146"/>
      <c r="CA42" s="18"/>
      <c r="CB42" s="18"/>
      <c r="CC42" s="20"/>
      <c r="CD42" s="154"/>
    </row>
    <row r="43" spans="2:160" ht="15">
      <c r="B43" s="199" t="s">
        <v>340</v>
      </c>
      <c r="C43" s="2"/>
      <c r="D43" s="2"/>
      <c r="E43" s="2"/>
      <c r="F43" s="2"/>
      <c r="G43" s="2"/>
      <c r="H43" s="2"/>
      <c r="I43" s="2"/>
      <c r="J43" s="2"/>
      <c r="K43" s="74" t="s">
        <v>76</v>
      </c>
      <c r="L43" s="126">
        <f>L42/L41</f>
        <v>3.6895856580370028E-2</v>
      </c>
      <c r="M43" s="72" t="s">
        <v>34</v>
      </c>
      <c r="N43" s="194" t="str">
        <f>IF(L43&lt;=1,"OK","Check")</f>
        <v>OK</v>
      </c>
      <c r="AI43" s="19"/>
      <c r="AO43" s="19"/>
      <c r="AY43" s="145"/>
      <c r="AZ43" s="16"/>
      <c r="BC43" s="16"/>
      <c r="BD43" s="20"/>
      <c r="BE43" s="17"/>
      <c r="BF43" s="20"/>
      <c r="BG43" s="146"/>
      <c r="BH43" s="146"/>
      <c r="BI43" s="146"/>
      <c r="BJ43" s="20"/>
      <c r="BK43" s="20"/>
      <c r="BL43" s="154"/>
      <c r="BP43" s="20"/>
      <c r="BQ43" s="154"/>
      <c r="BR43" s="18"/>
      <c r="BS43" s="16"/>
      <c r="BT43" s="18"/>
      <c r="BU43" s="18"/>
      <c r="BV43" s="18"/>
      <c r="BW43" s="20"/>
      <c r="BX43" s="154"/>
      <c r="BY43" s="18"/>
      <c r="BZ43" s="146"/>
      <c r="CA43" s="18"/>
      <c r="CB43" s="18"/>
      <c r="CC43" s="20"/>
      <c r="CD43" s="154"/>
    </row>
    <row r="44" spans="2:160">
      <c r="B44" s="201" t="s">
        <v>207</v>
      </c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192"/>
      <c r="AI44" s="19"/>
      <c r="AO44" s="19"/>
      <c r="AY44" s="145"/>
      <c r="AZ44" s="16"/>
      <c r="BC44" s="16"/>
      <c r="BD44" s="20"/>
      <c r="BE44" s="17"/>
      <c r="BF44" s="20"/>
      <c r="BG44" s="146"/>
      <c r="BH44" s="146"/>
      <c r="BI44" s="146"/>
      <c r="BJ44" s="20"/>
      <c r="BK44" s="20"/>
      <c r="BL44" s="154"/>
      <c r="BP44" s="20"/>
      <c r="BQ44" s="154"/>
      <c r="BR44" s="18"/>
      <c r="BS44" s="16"/>
      <c r="BT44" s="18"/>
      <c r="BU44" s="18"/>
      <c r="BV44" s="18"/>
      <c r="BW44" s="20"/>
      <c r="BX44" s="154"/>
      <c r="BY44" s="18"/>
      <c r="BZ44" s="146"/>
      <c r="CA44" s="18"/>
      <c r="CB44" s="18"/>
      <c r="CC44" s="20"/>
      <c r="CD44" s="154"/>
    </row>
    <row r="45" spans="2:160" ht="14.25">
      <c r="B45" s="199" t="s">
        <v>341</v>
      </c>
      <c r="C45" s="65"/>
      <c r="D45" s="65"/>
      <c r="E45" s="65"/>
      <c r="F45" s="65"/>
      <c r="G45" s="65"/>
      <c r="H45" s="65"/>
      <c r="I45" s="65"/>
      <c r="J45" s="65"/>
      <c r="K45" s="66" t="s">
        <v>208</v>
      </c>
      <c r="L45" s="71">
        <f>L36*L33</f>
        <v>5.5004560300904943</v>
      </c>
      <c r="M45" s="65" t="s">
        <v>51</v>
      </c>
      <c r="N45" s="192"/>
      <c r="AI45" s="19"/>
      <c r="AO45" s="19"/>
      <c r="AY45" s="145"/>
      <c r="AZ45" s="16"/>
      <c r="BC45" s="16"/>
      <c r="BD45" s="20"/>
      <c r="BE45" s="17"/>
      <c r="BF45" s="20"/>
      <c r="BG45" s="146"/>
      <c r="BH45" s="146"/>
      <c r="BI45" s="146"/>
      <c r="BJ45" s="20"/>
      <c r="BK45" s="20"/>
      <c r="BL45" s="154"/>
      <c r="BP45" s="20"/>
      <c r="BQ45" s="154"/>
      <c r="BR45" s="18"/>
      <c r="BS45" s="16"/>
      <c r="BT45" s="18"/>
      <c r="BU45" s="18"/>
      <c r="BV45" s="18"/>
      <c r="BW45" s="20"/>
      <c r="BX45" s="154"/>
      <c r="BY45" s="18"/>
      <c r="BZ45" s="146"/>
      <c r="CA45" s="18"/>
      <c r="CB45" s="18"/>
      <c r="CC45" s="20"/>
      <c r="CD45" s="154"/>
    </row>
    <row r="46" spans="2:160" ht="14.25">
      <c r="B46" s="199" t="s">
        <v>342</v>
      </c>
      <c r="C46" s="2"/>
      <c r="D46" s="2"/>
      <c r="E46" s="2"/>
      <c r="F46" s="2"/>
      <c r="G46" s="2"/>
      <c r="H46" s="2"/>
      <c r="I46" s="2"/>
      <c r="J46" s="2"/>
      <c r="K46" s="66" t="s">
        <v>209</v>
      </c>
      <c r="L46" s="141">
        <f>L37*L33</f>
        <v>2.4988725388819907E-2</v>
      </c>
      <c r="M46" s="65" t="s">
        <v>51</v>
      </c>
      <c r="N46" s="193"/>
      <c r="AI46" s="19"/>
      <c r="AO46" s="19"/>
      <c r="AY46" s="145"/>
      <c r="AZ46" s="16"/>
      <c r="BC46" s="16"/>
      <c r="BD46" s="20"/>
      <c r="BE46" s="17"/>
      <c r="BF46" s="20"/>
      <c r="BG46" s="146"/>
      <c r="BH46" s="146"/>
      <c r="BI46" s="146"/>
      <c r="BJ46" s="20"/>
      <c r="BK46" s="20"/>
      <c r="BL46" s="154"/>
      <c r="BP46" s="20"/>
      <c r="BQ46" s="154"/>
      <c r="BR46" s="18"/>
      <c r="BS46" s="16"/>
      <c r="BT46" s="18"/>
      <c r="BU46" s="18"/>
      <c r="BV46" s="18"/>
      <c r="BW46" s="20"/>
      <c r="BX46" s="154"/>
      <c r="BY46" s="18"/>
      <c r="BZ46" s="146"/>
      <c r="CA46" s="18"/>
      <c r="CB46" s="18"/>
      <c r="CC46" s="20"/>
      <c r="CD46" s="154"/>
    </row>
    <row r="47" spans="2:160" ht="14.25">
      <c r="B47" s="199" t="s">
        <v>343</v>
      </c>
      <c r="C47" s="2"/>
      <c r="D47" s="2"/>
      <c r="E47" s="2"/>
      <c r="F47" s="2"/>
      <c r="G47" s="2"/>
      <c r="H47" s="75"/>
      <c r="I47" s="75"/>
      <c r="J47" s="75"/>
      <c r="K47" s="73" t="s">
        <v>210</v>
      </c>
      <c r="L47" s="50">
        <f>L42</f>
        <v>4.8913364152261973</v>
      </c>
      <c r="M47" s="65" t="s">
        <v>51</v>
      </c>
      <c r="N47" s="192"/>
      <c r="AI47" s="19"/>
      <c r="AO47" s="19"/>
      <c r="AY47" s="145"/>
      <c r="AZ47" s="16"/>
      <c r="BC47" s="16"/>
      <c r="BD47" s="20"/>
      <c r="BE47" s="17"/>
      <c r="BF47" s="20"/>
      <c r="BG47" s="146"/>
      <c r="BH47" s="146"/>
      <c r="BI47" s="146"/>
      <c r="BJ47" s="20"/>
      <c r="BK47" s="20"/>
      <c r="BL47" s="154"/>
      <c r="BP47" s="20"/>
      <c r="BQ47" s="154"/>
      <c r="BR47" s="18"/>
      <c r="BS47" s="16"/>
      <c r="BT47" s="18"/>
      <c r="BU47" s="18"/>
      <c r="BV47" s="18"/>
      <c r="BW47" s="20"/>
      <c r="BX47" s="154"/>
      <c r="BY47" s="18"/>
      <c r="BZ47" s="146"/>
      <c r="CA47" s="18"/>
      <c r="CB47" s="18"/>
      <c r="CC47" s="20"/>
      <c r="CD47" s="154"/>
    </row>
    <row r="48" spans="2:160" ht="15">
      <c r="B48" s="199" t="s">
        <v>337</v>
      </c>
      <c r="C48" s="65"/>
      <c r="D48" s="65"/>
      <c r="E48" s="65"/>
      <c r="F48" s="65"/>
      <c r="G48" s="65"/>
      <c r="H48" s="65"/>
      <c r="I48" s="65"/>
      <c r="J48" s="65"/>
      <c r="K48" s="74" t="s">
        <v>212</v>
      </c>
      <c r="L48" s="126">
        <f>0.87/L33*SQRT(L45^2-L45*L46+L46^2+3*L47^2)</f>
        <v>3.8421205938365288E-2</v>
      </c>
      <c r="M48" s="72" t="s">
        <v>34</v>
      </c>
      <c r="N48" s="194" t="str">
        <f>IF(L48&lt;=1,"OK","Check")</f>
        <v>OK</v>
      </c>
      <c r="AI48" s="19"/>
      <c r="AO48" s="19"/>
      <c r="AY48" s="145"/>
      <c r="AZ48" s="16"/>
      <c r="BC48" s="16"/>
      <c r="BD48" s="20"/>
      <c r="BE48" s="17"/>
      <c r="BF48" s="20"/>
      <c r="BG48" s="146"/>
      <c r="BH48" s="146"/>
      <c r="BI48" s="146"/>
      <c r="BJ48" s="20"/>
      <c r="BK48" s="20"/>
      <c r="BL48" s="154"/>
      <c r="BP48" s="20"/>
      <c r="BQ48" s="154"/>
      <c r="BR48" s="18"/>
      <c r="BS48" s="16"/>
      <c r="BT48" s="18"/>
      <c r="BU48" s="18"/>
      <c r="BV48" s="18"/>
      <c r="BW48" s="20"/>
      <c r="BX48" s="154"/>
      <c r="BY48" s="18"/>
      <c r="BZ48" s="146"/>
      <c r="CA48" s="18"/>
      <c r="CB48" s="18"/>
      <c r="CC48" s="20"/>
      <c r="CD48" s="154"/>
    </row>
    <row r="49" spans="2:159">
      <c r="B49" s="225" t="s">
        <v>218</v>
      </c>
      <c r="C49" s="65"/>
      <c r="D49" s="65"/>
      <c r="E49" s="65"/>
      <c r="F49" s="65"/>
      <c r="G49" s="65"/>
      <c r="H49" s="65"/>
      <c r="I49" s="65"/>
      <c r="J49" s="65"/>
      <c r="K49" s="74"/>
      <c r="L49" s="65"/>
      <c r="M49" s="72"/>
      <c r="N49" s="194"/>
      <c r="AI49" s="19"/>
      <c r="AO49" s="19"/>
      <c r="AY49" s="145"/>
      <c r="AZ49" s="16"/>
      <c r="BC49" s="16"/>
      <c r="BD49" s="20"/>
      <c r="BE49" s="17"/>
      <c r="BF49" s="20"/>
      <c r="BG49" s="146"/>
      <c r="BH49" s="146"/>
      <c r="BI49" s="146"/>
      <c r="BJ49" s="20"/>
      <c r="BK49" s="20"/>
      <c r="BL49" s="154"/>
      <c r="BP49" s="20"/>
      <c r="BQ49" s="154"/>
      <c r="BR49" s="18"/>
      <c r="BS49" s="16"/>
      <c r="BT49" s="18"/>
      <c r="BU49" s="18"/>
      <c r="BV49" s="18"/>
      <c r="BW49" s="20"/>
      <c r="BX49" s="154"/>
      <c r="BY49" s="18"/>
      <c r="BZ49" s="146"/>
      <c r="CA49" s="18"/>
      <c r="CB49" s="18"/>
      <c r="CC49" s="20"/>
      <c r="CD49" s="154"/>
    </row>
    <row r="50" spans="2:159">
      <c r="B50" s="201" t="s">
        <v>322</v>
      </c>
      <c r="C50" s="65"/>
      <c r="D50" s="65"/>
      <c r="E50" s="65"/>
      <c r="F50" s="65"/>
      <c r="G50" s="65"/>
      <c r="H50" s="65"/>
      <c r="I50" s="65"/>
      <c r="J50" s="65"/>
      <c r="K50" s="74"/>
      <c r="L50" s="65"/>
      <c r="M50" s="72"/>
      <c r="N50" s="194"/>
      <c r="AI50" s="19"/>
      <c r="AO50" s="19"/>
      <c r="AY50" s="145"/>
      <c r="AZ50" s="16"/>
      <c r="BC50" s="16"/>
      <c r="BD50" s="20"/>
      <c r="BE50" s="17"/>
      <c r="BF50" s="20"/>
      <c r="BG50" s="146"/>
      <c r="BH50" s="146"/>
      <c r="BI50" s="146"/>
      <c r="BJ50" s="20"/>
      <c r="BK50" s="20"/>
      <c r="BL50" s="154"/>
      <c r="BP50" s="20"/>
      <c r="BQ50" s="154"/>
      <c r="BR50" s="18"/>
      <c r="BS50" s="16"/>
      <c r="BT50" s="18"/>
      <c r="BU50" s="18"/>
      <c r="BV50" s="18"/>
      <c r="BW50" s="20"/>
      <c r="BX50" s="154"/>
      <c r="BY50" s="18"/>
      <c r="BZ50" s="146"/>
      <c r="CA50" s="18"/>
      <c r="CB50" s="18"/>
      <c r="CC50" s="20"/>
      <c r="CD50" s="154"/>
    </row>
    <row r="51" spans="2:159" ht="14.25">
      <c r="B51" s="199" t="s">
        <v>344</v>
      </c>
      <c r="C51" s="131" t="s">
        <v>220</v>
      </c>
      <c r="D51" s="132">
        <f>ABS(J28*10/G24)/(0.58*C24/E24)</f>
        <v>1.0342861438959777E-2</v>
      </c>
      <c r="E51" s="39" t="s">
        <v>259</v>
      </c>
      <c r="F51" s="132">
        <f>((F13-2*F14)/F14)*SQRT($D$24/$B$24)</f>
        <v>0.93268585955902605</v>
      </c>
      <c r="G51" s="74" t="s">
        <v>221</v>
      </c>
      <c r="H51" s="132" cm="1">
        <f t="array" ref="H51">noisuy2chieu(F51,D51,Data!$DA$2:$DJ$9)</f>
        <v>0.10738109052181244</v>
      </c>
      <c r="I51" s="75" t="s">
        <v>222</v>
      </c>
      <c r="J51" s="133">
        <v>1</v>
      </c>
      <c r="K51" s="131" t="s">
        <v>224</v>
      </c>
      <c r="L51" s="125">
        <f>(F12*F14)/((F13-2*F14)*F14)</f>
        <v>0.5357142857142857</v>
      </c>
      <c r="M51" s="72"/>
      <c r="N51" s="194"/>
      <c r="AI51" s="19"/>
      <c r="AO51" s="19"/>
      <c r="AY51" s="145"/>
      <c r="AZ51" s="16"/>
      <c r="BC51" s="16"/>
      <c r="BD51" s="20"/>
      <c r="BE51" s="17"/>
      <c r="BF51" s="20"/>
      <c r="BG51" s="146"/>
      <c r="BH51" s="146"/>
      <c r="BI51" s="146"/>
      <c r="BJ51" s="20"/>
      <c r="BK51" s="20"/>
      <c r="BL51" s="154"/>
      <c r="BP51" s="20"/>
      <c r="BQ51" s="154"/>
      <c r="BR51" s="18"/>
      <c r="BS51" s="16"/>
      <c r="BT51" s="18"/>
      <c r="BU51" s="18"/>
      <c r="BV51" s="18"/>
      <c r="BW51" s="20"/>
      <c r="BX51" s="154"/>
      <c r="BY51" s="18"/>
      <c r="BZ51" s="146"/>
      <c r="CA51" s="18"/>
      <c r="CB51" s="18"/>
      <c r="CC51" s="20"/>
      <c r="CD51" s="154"/>
    </row>
    <row r="52" spans="2:159" ht="15">
      <c r="B52" s="199" t="s">
        <v>337</v>
      </c>
      <c r="C52" s="65"/>
      <c r="D52" s="65"/>
      <c r="E52" s="65"/>
      <c r="F52" s="65"/>
      <c r="G52" s="65"/>
      <c r="H52" s="65"/>
      <c r="I52" s="65"/>
      <c r="J52" s="65"/>
      <c r="K52" s="74" t="s">
        <v>225</v>
      </c>
      <c r="L52" s="126">
        <f>ABS(K28)*1000000/(D24*F24*(F13-2*F14)^2*F14*(J51*L51+H51))</f>
        <v>3.1719849650783692E-2</v>
      </c>
      <c r="M52" s="72" t="s">
        <v>34</v>
      </c>
      <c r="N52" s="194" t="str">
        <f>IF(L52&lt;=1,"OK","Check")</f>
        <v>OK</v>
      </c>
      <c r="AI52" s="19"/>
      <c r="AO52" s="19"/>
      <c r="AY52" s="145"/>
      <c r="AZ52" s="16"/>
      <c r="BC52" s="16"/>
      <c r="BD52" s="20"/>
      <c r="BE52" s="17"/>
      <c r="BF52" s="20"/>
      <c r="BG52" s="146"/>
      <c r="BH52" s="146"/>
      <c r="BI52" s="146"/>
      <c r="BJ52" s="20"/>
      <c r="BK52" s="20"/>
      <c r="BL52" s="154"/>
      <c r="BP52" s="20"/>
      <c r="BQ52" s="154"/>
      <c r="BR52" s="18"/>
      <c r="BS52" s="16"/>
      <c r="BT52" s="18"/>
      <c r="BU52" s="18"/>
      <c r="BV52" s="18"/>
      <c r="BW52" s="20"/>
      <c r="BX52" s="154"/>
      <c r="BY52" s="18"/>
      <c r="BZ52" s="146"/>
      <c r="CA52" s="18"/>
      <c r="CB52" s="18"/>
      <c r="CC52" s="20"/>
      <c r="CD52" s="154"/>
    </row>
    <row r="53" spans="2:159">
      <c r="B53" s="201" t="s">
        <v>323</v>
      </c>
      <c r="C53" s="65"/>
      <c r="D53" s="65"/>
      <c r="E53" s="65"/>
      <c r="F53" s="65"/>
      <c r="G53" s="65"/>
      <c r="H53" s="65"/>
      <c r="I53" s="65"/>
      <c r="J53" s="65"/>
      <c r="K53" s="74"/>
      <c r="L53" s="65"/>
      <c r="M53" s="72"/>
      <c r="N53" s="194"/>
      <c r="AI53" s="19"/>
      <c r="AO53" s="19"/>
      <c r="AY53" s="145"/>
      <c r="AZ53" s="16"/>
      <c r="BC53" s="16"/>
      <c r="BD53" s="20"/>
      <c r="BE53" s="17"/>
      <c r="BF53" s="20"/>
      <c r="BG53" s="146"/>
      <c r="BH53" s="146"/>
      <c r="BI53" s="146"/>
      <c r="BJ53" s="20"/>
      <c r="BK53" s="20"/>
      <c r="BL53" s="154"/>
      <c r="BP53" s="20"/>
      <c r="BQ53" s="154"/>
      <c r="BR53" s="18"/>
      <c r="BS53" s="16"/>
      <c r="BT53" s="18"/>
      <c r="BU53" s="18"/>
      <c r="BV53" s="18"/>
      <c r="BW53" s="20"/>
      <c r="BX53" s="154"/>
      <c r="BY53" s="18"/>
      <c r="BZ53" s="146"/>
      <c r="CA53" s="18"/>
      <c r="CB53" s="18"/>
      <c r="CC53" s="20"/>
      <c r="CD53" s="154"/>
    </row>
    <row r="54" spans="2:159" ht="14.25">
      <c r="B54" s="201"/>
      <c r="C54" s="66" t="s">
        <v>227</v>
      </c>
      <c r="D54" s="65">
        <f>F12-2*F14</f>
        <v>130</v>
      </c>
      <c r="E54" s="65" t="s">
        <v>1</v>
      </c>
      <c r="F54" s="75" t="s">
        <v>228</v>
      </c>
      <c r="G54" s="65">
        <f>F15</f>
        <v>10</v>
      </c>
      <c r="H54" s="65" t="s">
        <v>1</v>
      </c>
      <c r="I54" s="75" t="s">
        <v>231</v>
      </c>
      <c r="J54" s="137">
        <f>D24</f>
        <v>228.57142857142856</v>
      </c>
      <c r="K54" s="74" t="s">
        <v>229</v>
      </c>
      <c r="L54" s="125">
        <f>(D54/G54)*SQRT(D24/B24)</f>
        <v>0.43303272050954783</v>
      </c>
      <c r="M54" s="72"/>
      <c r="N54" s="194"/>
      <c r="AI54" s="19"/>
      <c r="AO54" s="19"/>
      <c r="AY54" s="145"/>
      <c r="AZ54" s="16"/>
      <c r="BC54" s="16"/>
      <c r="BD54" s="20"/>
      <c r="BE54" s="17"/>
      <c r="BF54" s="20"/>
      <c r="BG54" s="146"/>
      <c r="BH54" s="146"/>
      <c r="BI54" s="146"/>
      <c r="BJ54" s="20"/>
      <c r="BK54" s="20"/>
      <c r="BL54" s="154"/>
      <c r="BP54" s="20"/>
      <c r="BQ54" s="154"/>
      <c r="BR54" s="18"/>
      <c r="BS54" s="16"/>
      <c r="BT54" s="18"/>
      <c r="BU54" s="18"/>
      <c r="BV54" s="18"/>
      <c r="BW54" s="20"/>
      <c r="BX54" s="154"/>
      <c r="BY54" s="18"/>
      <c r="BZ54" s="146"/>
      <c r="CA54" s="18"/>
      <c r="CB54" s="18"/>
      <c r="CC54" s="20"/>
      <c r="CD54" s="154"/>
    </row>
    <row r="55" spans="2:159">
      <c r="B55" s="226" t="s">
        <v>226</v>
      </c>
      <c r="C55" s="65"/>
      <c r="D55" s="65"/>
      <c r="E55" s="65"/>
      <c r="F55" s="65"/>
      <c r="G55" s="65"/>
      <c r="H55" s="65"/>
      <c r="I55" s="65"/>
      <c r="J55" s="65"/>
      <c r="K55" s="74"/>
      <c r="L55" s="65"/>
      <c r="M55" s="72"/>
      <c r="N55" s="194"/>
      <c r="AI55" s="19"/>
      <c r="AO55" s="19"/>
      <c r="AY55" s="145"/>
      <c r="AZ55" s="16"/>
      <c r="BC55" s="16"/>
      <c r="BD55" s="20"/>
      <c r="BE55" s="17"/>
      <c r="BF55" s="20"/>
      <c r="BG55" s="146"/>
      <c r="BH55" s="146"/>
      <c r="BI55" s="146"/>
      <c r="BJ55" s="20"/>
      <c r="BK55" s="20"/>
      <c r="BL55" s="154"/>
      <c r="BP55" s="20"/>
      <c r="BQ55" s="154"/>
      <c r="BR55" s="18"/>
      <c r="BS55" s="16"/>
      <c r="BT55" s="18"/>
      <c r="BU55" s="18"/>
      <c r="BV55" s="18"/>
      <c r="BW55" s="20"/>
      <c r="BX55" s="154"/>
      <c r="BY55" s="18"/>
      <c r="BZ55" s="146"/>
      <c r="CA55" s="18"/>
      <c r="CB55" s="18"/>
      <c r="CC55" s="20"/>
      <c r="CD55" s="154"/>
    </row>
    <row r="56" spans="2:159" ht="15">
      <c r="B56" s="200"/>
      <c r="C56" s="136" t="s">
        <v>230</v>
      </c>
      <c r="D56" s="61">
        <f>(L36+L37)*D24</f>
        <v>5.525444755479314</v>
      </c>
      <c r="E56" s="65" t="s">
        <v>51</v>
      </c>
      <c r="F56" s="65"/>
      <c r="G56" s="65"/>
      <c r="H56" s="65"/>
      <c r="I56" s="65"/>
      <c r="J56" s="65"/>
      <c r="K56" s="74" t="s">
        <v>232</v>
      </c>
      <c r="L56" s="139" t="str">
        <f>IF(F19&lt;&gt;1,"-",1.5*SQRT(J54/D56))</f>
        <v>-</v>
      </c>
      <c r="M56" s="72"/>
      <c r="N56" s="194"/>
      <c r="AI56" s="19"/>
      <c r="AO56" s="19"/>
      <c r="AY56" s="145"/>
      <c r="AZ56" s="16"/>
      <c r="BC56" s="16"/>
      <c r="BD56" s="20"/>
      <c r="BE56" s="17"/>
      <c r="BF56" s="20"/>
      <c r="BG56" s="146"/>
      <c r="BH56" s="146"/>
      <c r="BI56" s="146"/>
      <c r="BJ56" s="20"/>
      <c r="BK56" s="20"/>
      <c r="BL56" s="154"/>
      <c r="BP56" s="20"/>
      <c r="BQ56" s="154"/>
      <c r="BR56" s="18"/>
      <c r="BS56" s="16"/>
      <c r="BT56" s="18"/>
      <c r="BU56" s="18"/>
      <c r="BV56" s="18"/>
      <c r="BW56" s="20"/>
      <c r="BX56" s="154"/>
      <c r="BY56" s="18"/>
      <c r="BZ56" s="146"/>
      <c r="CA56" s="18"/>
      <c r="CB56" s="18"/>
      <c r="CC56" s="20"/>
      <c r="CD56" s="154"/>
    </row>
    <row r="57" spans="2:159">
      <c r="B57" s="226" t="s">
        <v>233</v>
      </c>
      <c r="C57" s="65"/>
      <c r="D57" s="65"/>
      <c r="E57" s="65"/>
      <c r="F57" s="65"/>
      <c r="G57" s="65"/>
      <c r="H57" s="65"/>
      <c r="I57" s="65"/>
      <c r="J57" s="65" t="s">
        <v>223</v>
      </c>
      <c r="K57" s="74"/>
      <c r="L57" s="65"/>
      <c r="M57" s="72"/>
      <c r="N57" s="194"/>
      <c r="AI57" s="19"/>
      <c r="AO57" s="19"/>
      <c r="AY57" s="145"/>
      <c r="AZ57" s="16"/>
      <c r="BC57" s="16"/>
      <c r="BD57" s="20"/>
      <c r="BE57" s="17"/>
      <c r="BF57" s="20"/>
      <c r="BG57" s="146"/>
      <c r="BH57" s="146"/>
      <c r="BI57" s="146"/>
      <c r="BJ57" s="20"/>
      <c r="BK57" s="20"/>
      <c r="BL57" s="154"/>
      <c r="BP57" s="20"/>
      <c r="BQ57" s="154"/>
      <c r="BR57" s="18"/>
      <c r="BS57" s="16"/>
      <c r="BT57" s="18"/>
      <c r="BU57" s="18"/>
      <c r="BV57" s="18"/>
      <c r="BW57" s="20"/>
      <c r="BX57" s="154"/>
      <c r="BY57" s="18"/>
      <c r="BZ57" s="146"/>
      <c r="CA57" s="18"/>
      <c r="CB57" s="18"/>
      <c r="CC57" s="20"/>
      <c r="CD57" s="154"/>
    </row>
    <row r="58" spans="2:159" ht="14.25">
      <c r="B58" s="200"/>
      <c r="C58" s="39" t="s">
        <v>293</v>
      </c>
      <c r="D58" s="138">
        <v>3.5</v>
      </c>
      <c r="E58" s="65"/>
      <c r="F58" s="65"/>
      <c r="G58" s="65"/>
      <c r="H58" s="65"/>
      <c r="I58" s="65"/>
      <c r="J58" s="65"/>
      <c r="K58" s="74" t="s">
        <v>294</v>
      </c>
      <c r="L58" s="139">
        <f>IF(F19=1,"-",0.675+0.15*MIN(MAX(D58,2.2),5.5))</f>
        <v>1.2000000000000002</v>
      </c>
      <c r="M58" s="72"/>
      <c r="N58" s="194"/>
      <c r="AI58" s="19"/>
      <c r="AO58" s="19"/>
      <c r="AY58" s="145"/>
      <c r="AZ58" s="16"/>
      <c r="BC58" s="16"/>
      <c r="BD58" s="20"/>
      <c r="BE58" s="17"/>
      <c r="BF58" s="20"/>
      <c r="BG58" s="146"/>
      <c r="BH58" s="146"/>
      <c r="BI58" s="146"/>
      <c r="BJ58" s="20"/>
      <c r="BK58" s="20"/>
      <c r="BL58" s="154"/>
      <c r="BM58" s="147"/>
      <c r="BP58" s="20"/>
      <c r="BQ58" s="154"/>
      <c r="BR58" s="18"/>
      <c r="BS58" s="16"/>
      <c r="BT58" s="18"/>
      <c r="BU58" s="18"/>
      <c r="BV58" s="18"/>
      <c r="BW58" s="20"/>
      <c r="BX58" s="154"/>
      <c r="BY58" s="18"/>
      <c r="BZ58" s="146"/>
      <c r="CA58" s="18"/>
      <c r="CB58" s="18"/>
      <c r="CC58" s="20"/>
      <c r="CD58" s="154"/>
      <c r="DI58" s="19"/>
      <c r="DZ58" s="16"/>
      <c r="EC58" s="16"/>
      <c r="EE58" s="17"/>
      <c r="EF58" s="18"/>
      <c r="EG58" s="18"/>
      <c r="EH58" s="18"/>
      <c r="EI58" s="18"/>
      <c r="EJ58" s="18"/>
      <c r="EK58" s="20"/>
      <c r="EM58" s="16"/>
      <c r="EQ58" s="17"/>
      <c r="ER58" s="18"/>
      <c r="ES58" s="18"/>
      <c r="ET58" s="18"/>
      <c r="EU58" s="18"/>
      <c r="EV58" s="18"/>
      <c r="EW58" s="20"/>
      <c r="EY58" s="18"/>
      <c r="EZ58" s="18"/>
      <c r="FA58" s="18"/>
      <c r="FB58" s="18"/>
      <c r="FC58" s="20"/>
    </row>
    <row r="59" spans="2:159" ht="15">
      <c r="B59" s="200" t="s">
        <v>205</v>
      </c>
      <c r="C59" s="65"/>
      <c r="D59" s="65"/>
      <c r="E59" s="65"/>
      <c r="F59" s="65"/>
      <c r="G59" s="65"/>
      <c r="H59" s="65"/>
      <c r="I59" s="65"/>
      <c r="J59" s="65"/>
      <c r="K59" s="74"/>
      <c r="L59" s="227">
        <f>IFERROR(L54/L56,L54/L58)</f>
        <v>0.36086060042462315</v>
      </c>
      <c r="M59" s="72" t="s">
        <v>34</v>
      </c>
      <c r="N59" s="194" t="str">
        <f>IF(L59&lt;=1,"OK","Check")</f>
        <v>OK</v>
      </c>
      <c r="AI59" s="19"/>
      <c r="AO59" s="19"/>
      <c r="AY59" s="145"/>
      <c r="AZ59" s="16"/>
      <c r="BC59" s="16"/>
      <c r="BD59" s="20"/>
      <c r="BE59" s="17"/>
      <c r="BF59" s="20"/>
      <c r="BG59" s="146"/>
      <c r="BH59" s="146"/>
      <c r="BI59" s="146"/>
      <c r="BJ59" s="20"/>
      <c r="BK59" s="20"/>
      <c r="BL59" s="154"/>
      <c r="BM59" s="147"/>
      <c r="BP59" s="20"/>
      <c r="BQ59" s="154"/>
      <c r="BR59" s="18"/>
      <c r="BS59" s="16"/>
      <c r="BT59" s="18"/>
      <c r="BU59" s="18"/>
      <c r="BV59" s="18"/>
      <c r="BW59" s="20"/>
      <c r="BX59" s="154"/>
      <c r="BY59" s="18"/>
      <c r="BZ59" s="146"/>
      <c r="CA59" s="18"/>
      <c r="CB59" s="18"/>
      <c r="CC59" s="20"/>
      <c r="CD59" s="154"/>
      <c r="DI59" s="19"/>
      <c r="DZ59" s="16"/>
      <c r="EC59" s="16"/>
      <c r="EE59" s="17"/>
      <c r="EF59" s="18"/>
      <c r="EG59" s="18"/>
      <c r="EH59" s="18"/>
      <c r="EI59" s="18"/>
      <c r="EJ59" s="18"/>
      <c r="EK59" s="20"/>
      <c r="EM59" s="16"/>
      <c r="EQ59" s="17"/>
      <c r="ER59" s="18"/>
      <c r="ES59" s="18"/>
      <c r="ET59" s="18"/>
      <c r="EU59" s="18"/>
      <c r="EV59" s="18"/>
      <c r="EW59" s="20"/>
      <c r="EY59" s="18"/>
      <c r="EZ59" s="18"/>
      <c r="FA59" s="18"/>
      <c r="FB59" s="18"/>
      <c r="FC59" s="20"/>
    </row>
    <row r="60" spans="2:159">
      <c r="B60" s="215"/>
      <c r="C60" s="2"/>
      <c r="D60" s="2"/>
      <c r="E60" s="2"/>
      <c r="F60" s="2"/>
      <c r="G60" s="2"/>
      <c r="H60" s="2"/>
      <c r="I60" s="2"/>
      <c r="J60" s="2"/>
      <c r="K60" s="2"/>
      <c r="L60" s="228"/>
      <c r="M60" s="65"/>
      <c r="N60" s="192"/>
      <c r="AI60" s="19"/>
      <c r="AO60" s="19"/>
      <c r="AY60" s="145"/>
      <c r="AZ60" s="16"/>
      <c r="BC60" s="16"/>
      <c r="BD60" s="20"/>
      <c r="BE60" s="17"/>
      <c r="BF60" s="20"/>
      <c r="BG60" s="146"/>
      <c r="BH60" s="146"/>
      <c r="BI60" s="146"/>
      <c r="BJ60" s="20"/>
      <c r="BK60" s="20"/>
      <c r="BL60" s="154"/>
      <c r="BM60" s="147"/>
      <c r="BP60" s="20"/>
      <c r="BQ60" s="154"/>
      <c r="BR60" s="18"/>
      <c r="BS60" s="16"/>
      <c r="BT60" s="18"/>
      <c r="BU60" s="18"/>
      <c r="BV60" s="18"/>
      <c r="BW60" s="20"/>
      <c r="BX60" s="154"/>
      <c r="BY60" s="18"/>
      <c r="BZ60" s="146"/>
      <c r="CA60" s="18"/>
      <c r="CB60" s="18"/>
      <c r="CC60" s="20"/>
      <c r="CD60" s="154"/>
      <c r="DI60" s="19"/>
      <c r="DZ60" s="16"/>
      <c r="EC60" s="16"/>
      <c r="EE60" s="17"/>
      <c r="EF60" s="18"/>
      <c r="EG60" s="18"/>
      <c r="EH60" s="18"/>
      <c r="EI60" s="18"/>
      <c r="EJ60" s="18"/>
      <c r="EK60" s="20"/>
      <c r="EM60" s="16"/>
      <c r="EQ60" s="17"/>
      <c r="ER60" s="18"/>
      <c r="ES60" s="18"/>
      <c r="ET60" s="18"/>
      <c r="EU60" s="18"/>
      <c r="EV60" s="18"/>
      <c r="EW60" s="20"/>
      <c r="EY60" s="18"/>
      <c r="EZ60" s="18"/>
      <c r="FA60" s="18"/>
      <c r="FB60" s="18"/>
      <c r="FC60" s="20"/>
    </row>
    <row r="61" spans="2:159" ht="18.75">
      <c r="B61" s="283" t="s">
        <v>295</v>
      </c>
      <c r="C61" s="284"/>
      <c r="D61" s="284"/>
      <c r="E61" s="284"/>
      <c r="F61" s="284"/>
      <c r="G61" s="284"/>
      <c r="H61" s="284"/>
      <c r="I61" s="284"/>
      <c r="J61" s="284"/>
      <c r="K61" s="285" t="s">
        <v>297</v>
      </c>
      <c r="L61" s="285"/>
      <c r="M61" s="285"/>
      <c r="N61" s="286"/>
      <c r="O61" s="287" t="str">
        <f>VLOOKUP(K61,$O$63:$R$67,4,FALSE)</f>
        <v>Khớp - Khớp</v>
      </c>
      <c r="P61" s="287"/>
      <c r="Q61" s="288"/>
      <c r="AI61" s="19"/>
      <c r="AO61" s="19"/>
      <c r="AY61" s="145"/>
      <c r="AZ61" s="16"/>
      <c r="BC61" s="16"/>
      <c r="BD61" s="20"/>
      <c r="BE61" s="17"/>
      <c r="BF61" s="20"/>
      <c r="BG61" s="146"/>
      <c r="BH61" s="146"/>
      <c r="BI61" s="146"/>
      <c r="BJ61" s="20"/>
      <c r="BK61" s="20"/>
      <c r="BL61" s="154"/>
      <c r="BM61" s="147"/>
      <c r="BP61" s="20"/>
      <c r="BQ61" s="154"/>
      <c r="BR61" s="18"/>
      <c r="BS61" s="16"/>
      <c r="BT61" s="18"/>
      <c r="BU61" s="18"/>
      <c r="BV61" s="18"/>
      <c r="BW61" s="20"/>
      <c r="BX61" s="154"/>
      <c r="BY61" s="18"/>
      <c r="BZ61" s="146"/>
      <c r="CA61" s="18"/>
      <c r="CB61" s="18"/>
      <c r="CC61" s="20"/>
      <c r="CD61" s="154"/>
      <c r="DI61" s="19"/>
      <c r="DZ61" s="16"/>
      <c r="EC61" s="16"/>
      <c r="EE61" s="17"/>
      <c r="EF61" s="18"/>
      <c r="EG61" s="18"/>
      <c r="EH61" s="18"/>
      <c r="EI61" s="18"/>
      <c r="EJ61" s="18"/>
      <c r="EK61" s="20"/>
      <c r="EM61" s="16"/>
      <c r="EQ61" s="17"/>
      <c r="ER61" s="18"/>
      <c r="ES61" s="18"/>
      <c r="ET61" s="18"/>
      <c r="EU61" s="18"/>
      <c r="EV61" s="18"/>
      <c r="EW61" s="20"/>
      <c r="EY61" s="18"/>
      <c r="EZ61" s="18"/>
      <c r="FA61" s="18"/>
      <c r="FB61" s="18"/>
      <c r="FC61" s="20"/>
    </row>
    <row r="62" spans="2:159" ht="15">
      <c r="B62" s="289"/>
      <c r="C62" s="290"/>
      <c r="D62" s="290"/>
      <c r="E62" s="290"/>
      <c r="F62" s="290"/>
      <c r="G62" s="290"/>
      <c r="H62" s="290"/>
      <c r="I62" s="290"/>
      <c r="J62" s="290"/>
      <c r="K62" s="229" t="s">
        <v>135</v>
      </c>
      <c r="L62" s="229" t="s">
        <v>44</v>
      </c>
      <c r="M62" s="229" t="s">
        <v>90</v>
      </c>
      <c r="N62" s="230" t="s">
        <v>216</v>
      </c>
      <c r="O62" s="292" t="str">
        <f>VLOOKUP(K61,$O$63:$R$67,2,FALSE)</f>
        <v>K-K</v>
      </c>
      <c r="P62" s="292"/>
      <c r="Q62" s="293"/>
      <c r="AI62" s="19"/>
      <c r="AO62" s="19"/>
      <c r="AY62" s="145"/>
      <c r="AZ62" s="16"/>
      <c r="BC62" s="16"/>
      <c r="BD62" s="20"/>
      <c r="BE62" s="17"/>
      <c r="BF62" s="20"/>
      <c r="BG62" s="146"/>
      <c r="BH62" s="146"/>
      <c r="BI62" s="146"/>
      <c r="BJ62" s="20"/>
      <c r="BK62" s="20"/>
      <c r="BL62" s="154"/>
      <c r="BM62" s="147"/>
      <c r="BP62" s="20"/>
      <c r="BQ62" s="154"/>
      <c r="BR62" s="18"/>
      <c r="BS62" s="16"/>
      <c r="BT62" s="18"/>
      <c r="BU62" s="18"/>
      <c r="BV62" s="18"/>
      <c r="BW62" s="20"/>
      <c r="BX62" s="154"/>
      <c r="BY62" s="18"/>
      <c r="BZ62" s="146"/>
      <c r="CA62" s="18"/>
      <c r="CB62" s="18"/>
      <c r="CC62" s="20"/>
      <c r="CD62" s="154"/>
      <c r="DI62" s="19"/>
      <c r="DZ62" s="16"/>
      <c r="EC62" s="16"/>
      <c r="EE62" s="17"/>
      <c r="EF62" s="18"/>
      <c r="EG62" s="18"/>
      <c r="EH62" s="18"/>
      <c r="EI62" s="18"/>
      <c r="EJ62" s="18"/>
      <c r="EK62" s="20"/>
      <c r="EM62" s="16"/>
      <c r="EQ62" s="17"/>
      <c r="ER62" s="18"/>
      <c r="ES62" s="18"/>
      <c r="ET62" s="18"/>
      <c r="EU62" s="18"/>
      <c r="EV62" s="18"/>
      <c r="EW62" s="20"/>
      <c r="EY62" s="18"/>
      <c r="EZ62" s="18"/>
      <c r="FA62" s="18"/>
      <c r="FB62" s="18"/>
      <c r="FC62" s="20"/>
    </row>
    <row r="63" spans="2:159">
      <c r="B63" s="291"/>
      <c r="C63" s="261"/>
      <c r="D63" s="261"/>
      <c r="E63" s="261"/>
      <c r="F63" s="261"/>
      <c r="G63" s="261"/>
      <c r="H63" s="261"/>
      <c r="I63" s="261"/>
      <c r="J63" s="261"/>
      <c r="K63" s="229" t="s">
        <v>90</v>
      </c>
      <c r="L63" s="229" t="s">
        <v>90</v>
      </c>
      <c r="M63" s="229" t="s">
        <v>59</v>
      </c>
      <c r="N63" s="230" t="s">
        <v>217</v>
      </c>
      <c r="O63" s="189" t="s">
        <v>297</v>
      </c>
      <c r="P63" s="189" t="s">
        <v>298</v>
      </c>
      <c r="Q63" s="12">
        <f>_xll.Bimoment($M$64,$N$64,$K$64,$L$64,P63)</f>
        <v>-4.7195330032453377E-3</v>
      </c>
      <c r="R63" s="1" t="s">
        <v>313</v>
      </c>
      <c r="AI63" s="19"/>
      <c r="AO63" s="19"/>
      <c r="AY63" s="145"/>
      <c r="AZ63" s="16"/>
      <c r="BC63" s="16"/>
      <c r="BD63" s="20"/>
      <c r="BE63" s="17"/>
      <c r="BF63" s="20"/>
      <c r="BG63" s="146"/>
      <c r="BH63" s="146"/>
      <c r="BI63" s="146"/>
      <c r="BJ63" s="20"/>
      <c r="BK63" s="20"/>
      <c r="BL63" s="154"/>
      <c r="BM63" s="147"/>
      <c r="BP63" s="20"/>
      <c r="BQ63" s="154"/>
      <c r="BR63" s="18"/>
      <c r="BS63" s="16"/>
      <c r="BT63" s="18"/>
      <c r="BU63" s="18"/>
      <c r="BV63" s="18"/>
      <c r="BW63" s="20"/>
      <c r="BX63" s="154"/>
      <c r="BY63" s="18"/>
      <c r="BZ63" s="146"/>
      <c r="CA63" s="18"/>
      <c r="CB63" s="18"/>
      <c r="CC63" s="20"/>
      <c r="CD63" s="154"/>
      <c r="DI63" s="19"/>
      <c r="DZ63" s="16"/>
      <c r="EC63" s="16"/>
      <c r="EE63" s="17"/>
      <c r="EF63" s="18"/>
      <c r="EG63" s="18"/>
      <c r="EH63" s="18"/>
      <c r="EI63" s="18"/>
      <c r="EJ63" s="18"/>
      <c r="EK63" s="20"/>
      <c r="EM63" s="16"/>
      <c r="EQ63" s="17"/>
      <c r="ER63" s="18"/>
      <c r="ES63" s="18"/>
      <c r="ET63" s="18"/>
      <c r="EU63" s="18"/>
      <c r="EV63" s="18"/>
      <c r="EW63" s="20"/>
      <c r="EY63" s="18"/>
      <c r="EZ63" s="18"/>
      <c r="FA63" s="18"/>
      <c r="FB63" s="18"/>
      <c r="FC63" s="20"/>
    </row>
    <row r="64" spans="2:159">
      <c r="B64" s="291"/>
      <c r="C64" s="261"/>
      <c r="D64" s="261"/>
      <c r="E64" s="261"/>
      <c r="F64" s="261"/>
      <c r="G64" s="261"/>
      <c r="H64" s="261"/>
      <c r="I64" s="261"/>
      <c r="J64" s="261"/>
      <c r="K64" s="229">
        <f>MIN(F28,F17)</f>
        <v>0.08</v>
      </c>
      <c r="L64" s="229">
        <f>F17</f>
        <v>7.31</v>
      </c>
      <c r="M64" s="229">
        <f>M28</f>
        <v>0.82694287573488268</v>
      </c>
      <c r="N64" s="231">
        <f>SQRT((19.2*F14*F15)/((F12*F14+F13*F15)*(F12*F15+F13*F14)))*1000</f>
        <v>9.7372899112029536</v>
      </c>
      <c r="O64" s="189" t="s">
        <v>296</v>
      </c>
      <c r="P64" s="189" t="s">
        <v>299</v>
      </c>
      <c r="Q64" s="12">
        <f>_xll.Bimoment($M$64,$N$64,$K$64,$L$64,P64)</f>
        <v>0.13371332657844939</v>
      </c>
      <c r="R64" s="1" t="s">
        <v>314</v>
      </c>
      <c r="AI64" s="19"/>
      <c r="AO64" s="19"/>
      <c r="AY64" s="145"/>
      <c r="AZ64" s="16"/>
      <c r="BC64" s="16"/>
      <c r="BD64" s="20"/>
      <c r="BE64" s="17"/>
      <c r="BF64" s="20"/>
      <c r="BG64" s="146"/>
      <c r="BH64" s="146"/>
      <c r="BI64" s="146"/>
      <c r="BJ64" s="20"/>
      <c r="BK64" s="20"/>
      <c r="BL64" s="154"/>
      <c r="BM64" s="147"/>
      <c r="BP64" s="20"/>
      <c r="BQ64" s="154"/>
      <c r="BR64" s="18"/>
      <c r="BS64" s="16"/>
      <c r="BT64" s="18"/>
      <c r="BU64" s="18"/>
      <c r="BV64" s="18"/>
      <c r="BW64" s="20"/>
      <c r="BX64" s="154"/>
      <c r="BY64" s="18"/>
      <c r="BZ64" s="146"/>
      <c r="CA64" s="18"/>
      <c r="CB64" s="18"/>
      <c r="CC64" s="20"/>
      <c r="CD64" s="154"/>
      <c r="DI64" s="19"/>
      <c r="DZ64" s="16"/>
      <c r="EC64" s="16"/>
      <c r="EE64" s="17"/>
      <c r="EF64" s="18"/>
      <c r="EG64" s="18"/>
      <c r="EH64" s="18"/>
      <c r="EI64" s="18"/>
      <c r="EJ64" s="18"/>
      <c r="EK64" s="20"/>
      <c r="EM64" s="16"/>
      <c r="EQ64" s="17"/>
      <c r="ER64" s="18"/>
      <c r="ES64" s="18"/>
      <c r="ET64" s="18"/>
      <c r="EU64" s="18"/>
      <c r="EV64" s="18"/>
      <c r="EW64" s="20"/>
      <c r="EY64" s="18"/>
      <c r="EZ64" s="18"/>
      <c r="FA64" s="18"/>
      <c r="FB64" s="18"/>
      <c r="FC64" s="20"/>
    </row>
    <row r="65" spans="2:159" ht="14.25">
      <c r="B65" s="291"/>
      <c r="C65" s="261"/>
      <c r="D65" s="261"/>
      <c r="E65" s="261"/>
      <c r="F65" s="261"/>
      <c r="G65" s="261"/>
      <c r="H65" s="261"/>
      <c r="I65" s="261"/>
      <c r="J65" s="261"/>
      <c r="K65" s="229" t="s">
        <v>214</v>
      </c>
      <c r="L65" s="232" t="s">
        <v>198</v>
      </c>
      <c r="M65" s="202" t="s">
        <v>215</v>
      </c>
      <c r="N65" s="230" t="s">
        <v>91</v>
      </c>
      <c r="O65" s="189" t="s">
        <v>300</v>
      </c>
      <c r="P65" s="189" t="s">
        <v>301</v>
      </c>
      <c r="Q65" s="172">
        <f>_xll.Bimoment($M$64,$N$64,$K$64,$L$64,P65)</f>
        <v>0</v>
      </c>
      <c r="R65" s="1" t="s">
        <v>315</v>
      </c>
      <c r="AI65" s="19"/>
      <c r="AO65" s="19"/>
      <c r="AY65" s="145"/>
      <c r="AZ65" s="16"/>
      <c r="BC65" s="16"/>
      <c r="BD65" s="20"/>
      <c r="BE65" s="17"/>
      <c r="BF65" s="20"/>
      <c r="BG65" s="146"/>
      <c r="BH65" s="146"/>
      <c r="BI65" s="146"/>
      <c r="BJ65" s="20"/>
      <c r="BK65" s="20"/>
      <c r="BL65" s="154"/>
      <c r="BM65" s="147"/>
      <c r="BP65" s="20"/>
      <c r="BQ65" s="154"/>
      <c r="BR65" s="18"/>
      <c r="BS65" s="16"/>
      <c r="BT65" s="18"/>
      <c r="BU65" s="18"/>
      <c r="BV65" s="18"/>
      <c r="BW65" s="20"/>
      <c r="BX65" s="154"/>
      <c r="BY65" s="18"/>
      <c r="BZ65" s="146"/>
      <c r="CA65" s="18"/>
      <c r="CB65" s="18"/>
      <c r="CC65" s="20"/>
      <c r="CD65" s="154"/>
      <c r="DI65" s="19"/>
      <c r="DZ65" s="16"/>
      <c r="EC65" s="16"/>
      <c r="EE65" s="17"/>
      <c r="EF65" s="18"/>
      <c r="EG65" s="18"/>
      <c r="EH65" s="18"/>
      <c r="EI65" s="18"/>
      <c r="EJ65" s="18"/>
      <c r="EK65" s="20"/>
      <c r="EM65" s="16"/>
      <c r="EQ65" s="17"/>
      <c r="ER65" s="18"/>
      <c r="ES65" s="18"/>
      <c r="ET65" s="18"/>
      <c r="EU65" s="18"/>
      <c r="EV65" s="18"/>
      <c r="EW65" s="20"/>
      <c r="EY65" s="18"/>
      <c r="EZ65" s="18"/>
      <c r="FA65" s="18"/>
      <c r="FB65" s="18"/>
      <c r="FC65" s="20"/>
    </row>
    <row r="66" spans="2:159" ht="15">
      <c r="B66" s="291"/>
      <c r="C66" s="261"/>
      <c r="D66" s="261"/>
      <c r="E66" s="261"/>
      <c r="F66" s="261"/>
      <c r="G66" s="261"/>
      <c r="H66" s="261"/>
      <c r="I66" s="261"/>
      <c r="J66" s="261"/>
      <c r="K66" s="229" t="s">
        <v>51</v>
      </c>
      <c r="L66" s="202" t="s">
        <v>236</v>
      </c>
      <c r="M66" s="229" t="s">
        <v>302</v>
      </c>
      <c r="N66" s="230" t="s">
        <v>303</v>
      </c>
      <c r="O66" s="189" t="s">
        <v>304</v>
      </c>
      <c r="P66" s="189" t="s">
        <v>305</v>
      </c>
      <c r="Q66" s="12">
        <f>_xll.Bimoment($M$64,$N$64,$K$64,$L$64,P66)</f>
        <v>-4.0914084722333607E+30</v>
      </c>
      <c r="R66" s="1" t="s">
        <v>316</v>
      </c>
      <c r="AI66" s="19"/>
      <c r="AO66" s="19"/>
      <c r="AY66" s="145"/>
      <c r="AZ66" s="16"/>
      <c r="BC66" s="16"/>
      <c r="BD66" s="20"/>
      <c r="BE66" s="17"/>
      <c r="BF66" s="20"/>
      <c r="BG66" s="146"/>
      <c r="BH66" s="146"/>
      <c r="BI66" s="146"/>
      <c r="BJ66" s="20"/>
      <c r="BK66" s="20"/>
      <c r="BL66" s="154"/>
      <c r="BM66" s="147"/>
      <c r="BP66" s="20"/>
      <c r="BQ66" s="154"/>
      <c r="BR66" s="18"/>
      <c r="BS66" s="16"/>
      <c r="BT66" s="18"/>
      <c r="BU66" s="18"/>
      <c r="BV66" s="18"/>
      <c r="BW66" s="20"/>
      <c r="BX66" s="154"/>
      <c r="BY66" s="18"/>
      <c r="BZ66" s="146"/>
      <c r="CA66" s="18"/>
      <c r="CB66" s="18"/>
      <c r="CC66" s="20"/>
      <c r="CD66" s="154"/>
      <c r="DI66" s="19"/>
      <c r="DZ66" s="16"/>
      <c r="EC66" s="16"/>
      <c r="EE66" s="17"/>
      <c r="EF66" s="18"/>
      <c r="EG66" s="18"/>
      <c r="EH66" s="18"/>
      <c r="EI66" s="18"/>
      <c r="EJ66" s="18"/>
      <c r="EK66" s="20"/>
      <c r="EM66" s="16"/>
      <c r="EQ66" s="17"/>
      <c r="ER66" s="18"/>
      <c r="ES66" s="18"/>
      <c r="ET66" s="18"/>
      <c r="EU66" s="18"/>
      <c r="EV66" s="18"/>
      <c r="EW66" s="20"/>
      <c r="EY66" s="18"/>
      <c r="EZ66" s="18"/>
      <c r="FA66" s="18"/>
      <c r="FB66" s="18"/>
      <c r="FC66" s="20"/>
    </row>
    <row r="67" spans="2:159">
      <c r="B67" s="291"/>
      <c r="C67" s="261"/>
      <c r="D67" s="261"/>
      <c r="E67" s="261"/>
      <c r="F67" s="261"/>
      <c r="G67" s="261"/>
      <c r="H67" s="261"/>
      <c r="I67" s="261"/>
      <c r="J67" s="261"/>
      <c r="K67" s="234">
        <v>79000</v>
      </c>
      <c r="L67" s="229">
        <f>N24/10000</f>
        <v>3.7499999999999999E-3</v>
      </c>
      <c r="M67" s="236">
        <f>M24/1000000000000</f>
        <v>4.21875E-8</v>
      </c>
      <c r="N67" s="230">
        <f>VLOOKUP(K61,O63:Q67,3,FALSE)</f>
        <v>-4.7195330032453377E-3</v>
      </c>
      <c r="O67" s="189" t="s">
        <v>306</v>
      </c>
      <c r="P67" s="189" t="s">
        <v>291</v>
      </c>
      <c r="Q67" s="14">
        <f>Q64</f>
        <v>0.13371332657844939</v>
      </c>
      <c r="AI67" s="19"/>
      <c r="AO67" s="19"/>
      <c r="AY67" s="145"/>
      <c r="AZ67" s="16"/>
      <c r="BC67" s="16"/>
      <c r="BD67" s="20"/>
      <c r="BE67" s="17"/>
      <c r="BF67" s="20"/>
      <c r="BG67" s="146"/>
      <c r="BH67" s="146"/>
      <c r="BI67" s="146"/>
      <c r="BJ67" s="20"/>
      <c r="BK67" s="20"/>
      <c r="BL67" s="154"/>
      <c r="BM67" s="147"/>
      <c r="BP67" s="20"/>
      <c r="BQ67" s="154"/>
      <c r="BR67" s="18"/>
      <c r="BS67" s="16"/>
      <c r="BT67" s="18"/>
      <c r="BU67" s="18"/>
      <c r="BV67" s="18"/>
      <c r="BW67" s="20"/>
      <c r="BX67" s="154"/>
      <c r="BY67" s="18"/>
      <c r="BZ67" s="146"/>
      <c r="CA67" s="18"/>
      <c r="CB67" s="18"/>
      <c r="CC67" s="20"/>
      <c r="CD67" s="154"/>
      <c r="DI67" s="19"/>
      <c r="DZ67" s="16"/>
      <c r="EC67" s="16"/>
      <c r="EE67" s="17"/>
      <c r="EF67" s="18"/>
      <c r="EG67" s="18"/>
      <c r="EH67" s="18"/>
      <c r="EI67" s="18"/>
      <c r="EJ67" s="18"/>
      <c r="EK67" s="20"/>
      <c r="EM67" s="16"/>
      <c r="EQ67" s="17"/>
      <c r="ER67" s="18"/>
      <c r="ES67" s="18"/>
      <c r="ET67" s="18"/>
      <c r="EU67" s="18"/>
      <c r="EV67" s="18"/>
      <c r="EW67" s="20"/>
      <c r="EY67" s="18"/>
      <c r="EZ67" s="18"/>
      <c r="FA67" s="18"/>
      <c r="FB67" s="18"/>
      <c r="FC67" s="20"/>
    </row>
    <row r="68" spans="2:159">
      <c r="B68" s="233" t="s">
        <v>307</v>
      </c>
      <c r="C68" s="170"/>
      <c r="D68" s="170"/>
      <c r="E68" s="170"/>
      <c r="F68" s="41"/>
      <c r="G68" s="61"/>
      <c r="H68" s="61"/>
      <c r="I68" s="171"/>
      <c r="J68" s="132"/>
      <c r="K68" s="235"/>
      <c r="L68" s="235"/>
      <c r="M68" s="235"/>
      <c r="N68" s="237"/>
      <c r="AI68" s="19"/>
      <c r="AO68" s="19"/>
      <c r="AY68" s="145"/>
      <c r="AZ68" s="16"/>
      <c r="BC68" s="16"/>
      <c r="BD68" s="20"/>
      <c r="BE68" s="17"/>
      <c r="BF68" s="20"/>
      <c r="BG68" s="146"/>
      <c r="BH68" s="146"/>
      <c r="BI68" s="146"/>
      <c r="BJ68" s="20"/>
      <c r="BK68" s="20"/>
      <c r="BL68" s="154"/>
      <c r="BM68" s="147"/>
      <c r="BP68" s="20"/>
      <c r="BQ68" s="154"/>
      <c r="BR68" s="18"/>
      <c r="BS68" s="16"/>
      <c r="BT68" s="18"/>
      <c r="BU68" s="18"/>
      <c r="BV68" s="18"/>
      <c r="BW68" s="20"/>
      <c r="BX68" s="154"/>
      <c r="BY68" s="18"/>
      <c r="BZ68" s="146"/>
      <c r="CA68" s="18"/>
      <c r="CB68" s="18"/>
      <c r="CC68" s="20"/>
      <c r="CD68" s="154"/>
      <c r="DI68" s="19"/>
      <c r="DZ68" s="16"/>
      <c r="EC68" s="16"/>
      <c r="EE68" s="17"/>
      <c r="EF68" s="18"/>
      <c r="EG68" s="18"/>
      <c r="EH68" s="18"/>
      <c r="EI68" s="18"/>
      <c r="EJ68" s="18"/>
      <c r="EK68" s="20"/>
      <c r="EM68" s="16"/>
      <c r="EQ68" s="17"/>
      <c r="ER68" s="18"/>
      <c r="ES68" s="18"/>
      <c r="ET68" s="18"/>
      <c r="EU68" s="18"/>
      <c r="EV68" s="18"/>
      <c r="EW68" s="20"/>
      <c r="EY68" s="18"/>
      <c r="EZ68" s="18"/>
      <c r="FA68" s="18"/>
      <c r="FB68" s="18"/>
      <c r="FC68" s="20"/>
    </row>
    <row r="69" spans="2:159">
      <c r="B69" s="238" t="s">
        <v>308</v>
      </c>
      <c r="C69" s="170"/>
      <c r="D69" s="170"/>
      <c r="E69" s="170"/>
      <c r="F69" s="41"/>
      <c r="G69" s="61"/>
      <c r="H69" s="61"/>
      <c r="I69" s="171"/>
      <c r="J69" s="132"/>
      <c r="K69" s="132"/>
      <c r="L69" s="132"/>
      <c r="M69" s="132"/>
      <c r="N69" s="195"/>
      <c r="AI69" s="19"/>
      <c r="AO69" s="19"/>
      <c r="AY69" s="145"/>
      <c r="AZ69" s="16"/>
      <c r="BC69" s="16"/>
      <c r="BD69" s="20"/>
      <c r="BE69" s="17"/>
      <c r="BF69" s="20"/>
      <c r="BG69" s="146"/>
      <c r="BH69" s="146"/>
      <c r="BI69" s="146"/>
      <c r="BJ69" s="20"/>
      <c r="BK69" s="20"/>
      <c r="BL69" s="154"/>
      <c r="BM69" s="147"/>
      <c r="BP69" s="20"/>
      <c r="BQ69" s="154"/>
      <c r="BR69" s="18"/>
      <c r="BS69" s="16"/>
      <c r="BT69" s="18"/>
      <c r="BU69" s="18"/>
      <c r="BV69" s="18"/>
      <c r="BW69" s="20"/>
      <c r="BX69" s="154"/>
      <c r="BY69" s="18"/>
      <c r="BZ69" s="146"/>
      <c r="CA69" s="18"/>
      <c r="CB69" s="18"/>
      <c r="CC69" s="20"/>
      <c r="CD69" s="154"/>
      <c r="DI69" s="19"/>
      <c r="DZ69" s="16"/>
      <c r="EC69" s="16"/>
      <c r="EE69" s="17"/>
      <c r="EF69" s="18"/>
      <c r="EG69" s="18"/>
      <c r="EH69" s="18"/>
      <c r="EI69" s="18"/>
      <c r="EJ69" s="18"/>
      <c r="EK69" s="20"/>
      <c r="EM69" s="16"/>
      <c r="EQ69" s="17"/>
      <c r="ER69" s="18"/>
      <c r="ES69" s="18"/>
      <c r="ET69" s="18"/>
      <c r="EU69" s="18"/>
      <c r="EV69" s="18"/>
      <c r="EW69" s="20"/>
      <c r="EY69" s="18"/>
      <c r="EZ69" s="18"/>
      <c r="FA69" s="18"/>
      <c r="FB69" s="18"/>
      <c r="FC69" s="20"/>
    </row>
    <row r="70" spans="2:159">
      <c r="B70" s="238" t="s">
        <v>309</v>
      </c>
      <c r="C70" s="170"/>
      <c r="D70" s="170"/>
      <c r="E70" s="170"/>
      <c r="F70" s="41"/>
      <c r="G70" s="61"/>
      <c r="H70" s="61"/>
      <c r="I70" s="171"/>
      <c r="J70" s="132"/>
      <c r="K70" s="132"/>
      <c r="L70" s="132"/>
      <c r="M70" s="132"/>
      <c r="N70" s="195"/>
      <c r="AI70" s="19"/>
      <c r="AO70" s="19"/>
      <c r="AY70" s="145"/>
      <c r="AZ70" s="16"/>
      <c r="BC70" s="16"/>
      <c r="BD70" s="20"/>
      <c r="BE70" s="17"/>
      <c r="BF70" s="20"/>
      <c r="BG70" s="146"/>
      <c r="BH70" s="146"/>
      <c r="BI70" s="146"/>
      <c r="BJ70" s="20"/>
      <c r="BK70" s="20"/>
      <c r="BL70" s="154"/>
      <c r="BM70" s="147"/>
      <c r="BP70" s="20"/>
      <c r="BQ70" s="154"/>
      <c r="BR70" s="18"/>
      <c r="BS70" s="16"/>
      <c r="BT70" s="18"/>
      <c r="BU70" s="18"/>
      <c r="BV70" s="18"/>
      <c r="BW70" s="20"/>
      <c r="BX70" s="154"/>
      <c r="BY70" s="18"/>
      <c r="BZ70" s="146"/>
      <c r="CA70" s="18"/>
      <c r="CB70" s="18"/>
      <c r="CC70" s="20"/>
      <c r="CD70" s="154"/>
      <c r="DI70" s="19"/>
      <c r="DZ70" s="16"/>
      <c r="EC70" s="16"/>
      <c r="EE70" s="17"/>
      <c r="EF70" s="18"/>
      <c r="EG70" s="18"/>
      <c r="EH70" s="18"/>
      <c r="EI70" s="18"/>
      <c r="EJ70" s="18"/>
      <c r="EK70" s="20"/>
      <c r="EM70" s="16"/>
      <c r="EQ70" s="17"/>
      <c r="ER70" s="18"/>
      <c r="ES70" s="18"/>
      <c r="ET70" s="18"/>
      <c r="EU70" s="18"/>
      <c r="EV70" s="18"/>
      <c r="EW70" s="20"/>
      <c r="EY70" s="18"/>
      <c r="EZ70" s="18"/>
      <c r="FA70" s="18"/>
      <c r="FB70" s="18"/>
      <c r="FC70" s="20"/>
    </row>
    <row r="71" spans="2:159">
      <c r="B71" s="238" t="s">
        <v>310</v>
      </c>
      <c r="C71" s="170"/>
      <c r="D71" s="170"/>
      <c r="E71" s="170"/>
      <c r="F71" s="41"/>
      <c r="G71" s="61"/>
      <c r="H71" s="61"/>
      <c r="I71" s="171"/>
      <c r="J71" s="132"/>
      <c r="K71" s="132"/>
      <c r="L71" s="132"/>
      <c r="M71" s="132"/>
      <c r="N71" s="195"/>
      <c r="AI71" s="19"/>
      <c r="AO71" s="19"/>
      <c r="AY71" s="145"/>
      <c r="AZ71" s="16"/>
      <c r="BC71" s="16"/>
      <c r="BD71" s="20"/>
      <c r="BE71" s="17"/>
      <c r="BF71" s="20"/>
      <c r="BG71" s="146"/>
      <c r="BH71" s="146"/>
      <c r="BI71" s="146"/>
      <c r="BJ71" s="20"/>
      <c r="BK71" s="20"/>
      <c r="BL71" s="154"/>
      <c r="BM71" s="147"/>
      <c r="BP71" s="20"/>
      <c r="BQ71" s="154"/>
      <c r="BR71" s="18"/>
      <c r="BS71" s="16"/>
      <c r="BT71" s="18"/>
      <c r="BU71" s="18"/>
      <c r="BV71" s="18"/>
      <c r="BW71" s="20"/>
      <c r="BX71" s="154"/>
      <c r="BY71" s="18"/>
      <c r="BZ71" s="146"/>
      <c r="CA71" s="18"/>
      <c r="CB71" s="18"/>
      <c r="CC71" s="20"/>
      <c r="CD71" s="154"/>
      <c r="DI71" s="19"/>
      <c r="DZ71" s="16"/>
      <c r="EC71" s="16"/>
      <c r="EE71" s="17"/>
      <c r="EF71" s="18"/>
      <c r="EG71" s="18"/>
      <c r="EH71" s="18"/>
      <c r="EI71" s="18"/>
      <c r="EJ71" s="18"/>
      <c r="EK71" s="20"/>
      <c r="EM71" s="16"/>
      <c r="EQ71" s="17"/>
      <c r="ER71" s="18"/>
      <c r="ES71" s="18"/>
      <c r="ET71" s="18"/>
      <c r="EU71" s="18"/>
      <c r="EV71" s="18"/>
      <c r="EW71" s="20"/>
      <c r="EY71" s="18"/>
      <c r="EZ71" s="18"/>
      <c r="FA71" s="18"/>
      <c r="FB71" s="18"/>
      <c r="FC71" s="20"/>
    </row>
    <row r="72" spans="2:159">
      <c r="B72" s="238" t="s">
        <v>311</v>
      </c>
      <c r="C72" s="170"/>
      <c r="D72" s="170"/>
      <c r="E72" s="170"/>
      <c r="F72" s="41"/>
      <c r="G72" s="61"/>
      <c r="H72" s="61"/>
      <c r="I72" s="171"/>
      <c r="J72" s="132"/>
      <c r="K72" s="132"/>
      <c r="L72" s="132"/>
      <c r="M72" s="132"/>
      <c r="N72" s="195"/>
      <c r="Q72" s="1">
        <v>0.13371332657844939</v>
      </c>
      <c r="AI72" s="19"/>
      <c r="AO72" s="19"/>
      <c r="AY72" s="145"/>
      <c r="AZ72" s="16"/>
      <c r="BC72" s="16"/>
      <c r="BD72" s="20"/>
      <c r="BE72" s="17"/>
      <c r="BF72" s="20"/>
      <c r="BG72" s="146"/>
      <c r="BH72" s="146"/>
      <c r="BI72" s="146"/>
      <c r="BJ72" s="20"/>
      <c r="BK72" s="20"/>
      <c r="BL72" s="154"/>
      <c r="BM72" s="147"/>
      <c r="BP72" s="20"/>
      <c r="BQ72" s="154"/>
      <c r="BR72" s="18"/>
      <c r="BS72" s="16"/>
      <c r="BT72" s="18"/>
      <c r="BU72" s="18"/>
      <c r="BV72" s="18"/>
      <c r="BW72" s="20"/>
      <c r="BX72" s="154"/>
      <c r="BY72" s="18"/>
      <c r="BZ72" s="146"/>
      <c r="CA72" s="18"/>
      <c r="CB72" s="18"/>
      <c r="CC72" s="20"/>
      <c r="CD72" s="154"/>
      <c r="DI72" s="19"/>
      <c r="DZ72" s="16"/>
      <c r="EC72" s="16"/>
      <c r="EE72" s="17"/>
      <c r="EF72" s="18"/>
      <c r="EG72" s="18"/>
      <c r="EH72" s="18"/>
      <c r="EI72" s="18"/>
      <c r="EJ72" s="18"/>
      <c r="EK72" s="20"/>
      <c r="EM72" s="16"/>
      <c r="EQ72" s="17"/>
      <c r="ER72" s="18"/>
      <c r="ES72" s="18"/>
      <c r="ET72" s="18"/>
      <c r="EU72" s="18"/>
      <c r="EV72" s="18"/>
      <c r="EW72" s="20"/>
      <c r="EY72" s="18"/>
      <c r="EZ72" s="18"/>
      <c r="FA72" s="18"/>
      <c r="FB72" s="18"/>
      <c r="FC72" s="20"/>
    </row>
    <row r="73" spans="2:159">
      <c r="B73" s="239" t="s">
        <v>312</v>
      </c>
      <c r="C73" s="240"/>
      <c r="D73" s="240"/>
      <c r="E73" s="240"/>
      <c r="F73" s="241"/>
      <c r="G73" s="242"/>
      <c r="H73" s="242"/>
      <c r="I73" s="243"/>
      <c r="J73" s="244"/>
      <c r="K73" s="244"/>
      <c r="L73" s="244"/>
      <c r="M73" s="244"/>
      <c r="N73" s="245"/>
      <c r="AI73" s="19"/>
      <c r="AO73" s="19"/>
      <c r="AY73" s="145"/>
      <c r="AZ73" s="16"/>
      <c r="BC73" s="16"/>
      <c r="BD73" s="20"/>
      <c r="BE73" s="17"/>
      <c r="BF73" s="20"/>
      <c r="BG73" s="146"/>
      <c r="BH73" s="146"/>
      <c r="BI73" s="146"/>
      <c r="BJ73" s="20"/>
      <c r="BK73" s="20"/>
      <c r="BL73" s="154"/>
      <c r="BM73" s="147"/>
      <c r="BP73" s="20"/>
      <c r="BQ73" s="154"/>
      <c r="BR73" s="18"/>
      <c r="BS73" s="16"/>
      <c r="BT73" s="18"/>
      <c r="BU73" s="18"/>
      <c r="BV73" s="18"/>
      <c r="BW73" s="20"/>
      <c r="BX73" s="154"/>
      <c r="BY73" s="18"/>
      <c r="BZ73" s="146"/>
      <c r="CA73" s="18"/>
      <c r="CB73" s="18"/>
      <c r="CC73" s="20"/>
      <c r="CD73" s="154"/>
      <c r="DI73" s="19"/>
      <c r="DZ73" s="16"/>
      <c r="EC73" s="16"/>
      <c r="EE73" s="17"/>
      <c r="EF73" s="18"/>
      <c r="EG73" s="18"/>
      <c r="EH73" s="18"/>
      <c r="EI73" s="18"/>
      <c r="EJ73" s="18"/>
      <c r="EK73" s="20"/>
      <c r="EM73" s="16"/>
      <c r="EQ73" s="17"/>
      <c r="ER73" s="18"/>
      <c r="ES73" s="18"/>
      <c r="ET73" s="18"/>
      <c r="EU73" s="18"/>
      <c r="EV73" s="18"/>
      <c r="EW73" s="20"/>
      <c r="EY73" s="18"/>
      <c r="EZ73" s="18"/>
      <c r="FA73" s="18"/>
      <c r="FB73" s="18"/>
      <c r="FC73" s="20"/>
    </row>
    <row r="74" spans="2:159">
      <c r="AI74" s="19"/>
      <c r="AO74" s="19"/>
      <c r="AY74" s="145"/>
      <c r="AZ74" s="16"/>
      <c r="BC74" s="16"/>
      <c r="BD74" s="20"/>
      <c r="BE74" s="17"/>
      <c r="BF74" s="20"/>
      <c r="BG74" s="146"/>
      <c r="BH74" s="146"/>
      <c r="BI74" s="146"/>
      <c r="BJ74" s="20"/>
      <c r="BK74" s="20"/>
      <c r="BL74" s="154"/>
      <c r="BM74" s="147"/>
      <c r="BP74" s="20"/>
      <c r="BQ74" s="154"/>
      <c r="BR74" s="18"/>
      <c r="BS74" s="16"/>
      <c r="BT74" s="18"/>
      <c r="BU74" s="18"/>
      <c r="BV74" s="18"/>
      <c r="BW74" s="20"/>
      <c r="BX74" s="154"/>
      <c r="BY74" s="18"/>
      <c r="BZ74" s="146"/>
      <c r="CA74" s="18"/>
      <c r="CB74" s="18"/>
      <c r="CC74" s="20"/>
      <c r="CD74" s="154"/>
      <c r="DI74" s="19"/>
      <c r="DZ74" s="16"/>
      <c r="EC74" s="16"/>
      <c r="EE74" s="17"/>
      <c r="EF74" s="18"/>
      <c r="EG74" s="18"/>
      <c r="EH74" s="18"/>
      <c r="EI74" s="18"/>
      <c r="EJ74" s="18"/>
      <c r="EK74" s="20"/>
      <c r="EM74" s="16"/>
      <c r="EQ74" s="17"/>
      <c r="ER74" s="18"/>
      <c r="ES74" s="18"/>
      <c r="ET74" s="18"/>
      <c r="EU74" s="18"/>
      <c r="EV74" s="18"/>
      <c r="EW74" s="20"/>
      <c r="EY74" s="18"/>
      <c r="EZ74" s="18"/>
      <c r="FA74" s="18"/>
      <c r="FB74" s="18"/>
      <c r="FC74" s="20"/>
    </row>
    <row r="75" spans="2:159">
      <c r="AI75" s="19"/>
      <c r="AO75" s="19"/>
      <c r="AY75" s="145"/>
      <c r="AZ75" s="16"/>
      <c r="BC75" s="16"/>
      <c r="BD75" s="20"/>
      <c r="BE75" s="17"/>
      <c r="BF75" s="20"/>
      <c r="BG75" s="146"/>
      <c r="BH75" s="146"/>
      <c r="BI75" s="146"/>
      <c r="BJ75" s="20"/>
      <c r="BK75" s="20"/>
      <c r="BL75" s="154"/>
      <c r="BM75" s="147"/>
      <c r="BP75" s="20"/>
      <c r="BQ75" s="154"/>
      <c r="BR75" s="18"/>
      <c r="BS75" s="16"/>
      <c r="BT75" s="18"/>
      <c r="BU75" s="18"/>
      <c r="BV75" s="18"/>
      <c r="BW75" s="20"/>
      <c r="BX75" s="154"/>
      <c r="BY75" s="18"/>
      <c r="BZ75" s="146"/>
      <c r="CA75" s="18"/>
      <c r="CB75" s="18"/>
      <c r="CC75" s="20"/>
      <c r="CD75" s="154"/>
      <c r="DI75" s="19"/>
      <c r="DZ75" s="16"/>
      <c r="EC75" s="16"/>
      <c r="EE75" s="17"/>
      <c r="EF75" s="18"/>
      <c r="EG75" s="18"/>
      <c r="EH75" s="18"/>
      <c r="EI75" s="18"/>
      <c r="EJ75" s="18"/>
      <c r="EK75" s="20"/>
      <c r="EM75" s="16"/>
      <c r="EQ75" s="17"/>
      <c r="ER75" s="18"/>
      <c r="ES75" s="18"/>
      <c r="ET75" s="18"/>
      <c r="EU75" s="18"/>
      <c r="EV75" s="18"/>
      <c r="EW75" s="20"/>
      <c r="EY75" s="18"/>
      <c r="EZ75" s="18"/>
      <c r="FA75" s="18"/>
      <c r="FB75" s="18"/>
      <c r="FC75" s="20"/>
    </row>
    <row r="76" spans="2:159">
      <c r="AI76" s="19"/>
      <c r="AO76" s="19"/>
      <c r="AY76" s="145"/>
      <c r="AZ76" s="16"/>
      <c r="BC76" s="16"/>
      <c r="BD76" s="20"/>
      <c r="BE76" s="17"/>
      <c r="BF76" s="20"/>
      <c r="BG76" s="146"/>
      <c r="BH76" s="146"/>
      <c r="BI76" s="146"/>
      <c r="BJ76" s="20"/>
      <c r="BK76" s="20"/>
      <c r="BL76" s="154"/>
      <c r="BM76" s="147"/>
      <c r="BP76" s="20"/>
      <c r="BQ76" s="154"/>
      <c r="BR76" s="18"/>
      <c r="BS76" s="16"/>
      <c r="BT76" s="18"/>
      <c r="BU76" s="18"/>
      <c r="BV76" s="18"/>
      <c r="BW76" s="20"/>
      <c r="BX76" s="154"/>
      <c r="BY76" s="18"/>
      <c r="BZ76" s="146"/>
      <c r="CA76" s="18"/>
      <c r="CB76" s="18"/>
      <c r="CC76" s="20"/>
      <c r="CD76" s="154"/>
      <c r="DI76" s="19"/>
      <c r="DZ76" s="16"/>
      <c r="EC76" s="16"/>
      <c r="EE76" s="17"/>
      <c r="EF76" s="18"/>
      <c r="EG76" s="18"/>
      <c r="EH76" s="18"/>
      <c r="EI76" s="18"/>
      <c r="EJ76" s="18"/>
      <c r="EK76" s="20"/>
      <c r="EM76" s="16"/>
      <c r="EQ76" s="17"/>
      <c r="ER76" s="18"/>
      <c r="ES76" s="18"/>
      <c r="ET76" s="18"/>
      <c r="EU76" s="18"/>
      <c r="EV76" s="18"/>
      <c r="EW76" s="20"/>
      <c r="EY76" s="18"/>
      <c r="EZ76" s="18"/>
      <c r="FA76" s="18"/>
      <c r="FB76" s="18"/>
      <c r="FC76" s="20"/>
    </row>
    <row r="77" spans="2:159">
      <c r="AI77" s="19"/>
      <c r="AO77" s="19"/>
      <c r="AY77" s="145"/>
      <c r="AZ77" s="16"/>
      <c r="BC77" s="16"/>
      <c r="BD77" s="20"/>
      <c r="BE77" s="17"/>
      <c r="BF77" s="20"/>
      <c r="BG77" s="146"/>
      <c r="BH77" s="146"/>
      <c r="BI77" s="146"/>
      <c r="BJ77" s="20"/>
      <c r="BK77" s="20"/>
      <c r="BL77" s="154"/>
      <c r="BM77" s="147"/>
      <c r="BP77" s="20"/>
      <c r="BQ77" s="154"/>
      <c r="BR77" s="18"/>
      <c r="BS77" s="16"/>
      <c r="BT77" s="18"/>
      <c r="BU77" s="18"/>
      <c r="BV77" s="18"/>
      <c r="BW77" s="20"/>
      <c r="BX77" s="154"/>
      <c r="BY77" s="18"/>
      <c r="BZ77" s="146"/>
      <c r="CA77" s="18"/>
      <c r="CB77" s="18"/>
      <c r="CC77" s="20"/>
      <c r="CD77" s="154"/>
      <c r="DI77" s="19"/>
      <c r="DZ77" s="16"/>
      <c r="EC77" s="16"/>
      <c r="EE77" s="17"/>
      <c r="EF77" s="18"/>
      <c r="EG77" s="18"/>
      <c r="EH77" s="18"/>
      <c r="EI77" s="18"/>
      <c r="EJ77" s="18"/>
      <c r="EK77" s="20"/>
      <c r="EM77" s="16"/>
      <c r="EQ77" s="17"/>
      <c r="ER77" s="18"/>
      <c r="ES77" s="18"/>
      <c r="ET77" s="18"/>
      <c r="EU77" s="18"/>
      <c r="EV77" s="18"/>
      <c r="EW77" s="20"/>
      <c r="EY77" s="18"/>
      <c r="EZ77" s="18"/>
      <c r="FA77" s="18"/>
      <c r="FB77" s="18"/>
      <c r="FC77" s="20"/>
    </row>
    <row r="78" spans="2:159">
      <c r="AI78" s="19"/>
      <c r="AO78" s="19"/>
      <c r="AY78" s="145"/>
      <c r="AZ78" s="16"/>
      <c r="BC78" s="16"/>
      <c r="BD78" s="20"/>
      <c r="BE78" s="17"/>
      <c r="BF78" s="20"/>
      <c r="BG78" s="146"/>
      <c r="BH78" s="146"/>
      <c r="BI78" s="146"/>
      <c r="BJ78" s="20"/>
      <c r="BK78" s="20"/>
      <c r="BL78" s="154"/>
      <c r="BM78" s="147"/>
      <c r="BP78" s="20"/>
      <c r="BQ78" s="154"/>
      <c r="BR78" s="18"/>
      <c r="BS78" s="16"/>
      <c r="BT78" s="18"/>
      <c r="BU78" s="18"/>
      <c r="BV78" s="18"/>
      <c r="BW78" s="20"/>
      <c r="BX78" s="154"/>
      <c r="BY78" s="18"/>
      <c r="BZ78" s="146"/>
      <c r="CA78" s="18"/>
      <c r="CB78" s="18"/>
      <c r="CC78" s="20"/>
      <c r="CD78" s="154"/>
      <c r="DI78" s="19"/>
      <c r="DZ78" s="16"/>
      <c r="EC78" s="16"/>
      <c r="EE78" s="17"/>
      <c r="EF78" s="18"/>
      <c r="EG78" s="18"/>
      <c r="EH78" s="18"/>
      <c r="EI78" s="18"/>
      <c r="EJ78" s="18"/>
      <c r="EK78" s="20"/>
      <c r="EM78" s="16"/>
      <c r="EQ78" s="17"/>
      <c r="ER78" s="18"/>
      <c r="ES78" s="18"/>
      <c r="ET78" s="18"/>
      <c r="EU78" s="18"/>
      <c r="EV78" s="18"/>
      <c r="EW78" s="20"/>
      <c r="EY78" s="18"/>
      <c r="EZ78" s="18"/>
      <c r="FA78" s="18"/>
      <c r="FB78" s="18"/>
      <c r="FC78" s="20"/>
    </row>
    <row r="79" spans="2:159">
      <c r="AI79" s="19"/>
      <c r="AO79" s="19"/>
      <c r="AY79" s="145"/>
      <c r="AZ79" s="16"/>
      <c r="BC79" s="16"/>
      <c r="BD79" s="20"/>
      <c r="BE79" s="17"/>
      <c r="BF79" s="20"/>
      <c r="BG79" s="146"/>
      <c r="BH79" s="146"/>
      <c r="BI79" s="146"/>
      <c r="BJ79" s="20"/>
      <c r="BK79" s="20"/>
      <c r="BL79" s="154"/>
      <c r="BM79" s="147"/>
      <c r="BP79" s="20"/>
      <c r="BQ79" s="154"/>
      <c r="BR79" s="18"/>
      <c r="BS79" s="16"/>
      <c r="BT79" s="18"/>
      <c r="BU79" s="18"/>
      <c r="BV79" s="18"/>
      <c r="BW79" s="20"/>
      <c r="BX79" s="154"/>
      <c r="BY79" s="18"/>
      <c r="BZ79" s="146"/>
      <c r="CA79" s="18"/>
      <c r="CB79" s="18"/>
      <c r="CC79" s="20"/>
      <c r="CD79" s="154"/>
      <c r="DI79" s="19"/>
      <c r="DZ79" s="16"/>
      <c r="EC79" s="16"/>
      <c r="EE79" s="17"/>
      <c r="EF79" s="18"/>
      <c r="EG79" s="18"/>
      <c r="EH79" s="18"/>
      <c r="EI79" s="18"/>
      <c r="EJ79" s="18"/>
      <c r="EK79" s="20"/>
      <c r="EM79" s="16"/>
      <c r="EQ79" s="17"/>
      <c r="ER79" s="18"/>
      <c r="ES79" s="18"/>
      <c r="ET79" s="18"/>
      <c r="EU79" s="18"/>
      <c r="EV79" s="18"/>
      <c r="EW79" s="20"/>
      <c r="EY79" s="18"/>
      <c r="EZ79" s="18"/>
      <c r="FA79" s="18"/>
      <c r="FB79" s="18"/>
      <c r="FC79" s="20"/>
    </row>
    <row r="80" spans="2:159">
      <c r="AI80" s="19"/>
      <c r="AO80" s="19"/>
      <c r="AY80" s="145"/>
      <c r="AZ80" s="16"/>
      <c r="BC80" s="16"/>
      <c r="BD80" s="20"/>
      <c r="BE80" s="17"/>
      <c r="BF80" s="20"/>
      <c r="BG80" s="146"/>
      <c r="BH80" s="146"/>
      <c r="BI80" s="146"/>
      <c r="BJ80" s="20"/>
      <c r="BK80" s="20"/>
      <c r="BL80" s="154"/>
      <c r="BM80" s="147"/>
      <c r="BP80" s="20"/>
      <c r="BQ80" s="154"/>
      <c r="BR80" s="18"/>
      <c r="BS80" s="16"/>
      <c r="BT80" s="18"/>
      <c r="BU80" s="18"/>
      <c r="BV80" s="18"/>
      <c r="BW80" s="20"/>
      <c r="BX80" s="154"/>
      <c r="BY80" s="18"/>
      <c r="BZ80" s="146"/>
      <c r="CA80" s="18"/>
      <c r="CB80" s="18"/>
      <c r="CC80" s="20"/>
      <c r="CD80" s="154"/>
      <c r="DI80" s="19"/>
      <c r="DZ80" s="16"/>
      <c r="EC80" s="16"/>
      <c r="EE80" s="17"/>
      <c r="EF80" s="18"/>
      <c r="EG80" s="18"/>
      <c r="EH80" s="18"/>
      <c r="EI80" s="18"/>
      <c r="EJ80" s="18"/>
      <c r="EK80" s="20"/>
      <c r="EM80" s="16"/>
      <c r="EQ80" s="17"/>
      <c r="ER80" s="18"/>
      <c r="ES80" s="18"/>
      <c r="ET80" s="18"/>
      <c r="EU80" s="18"/>
      <c r="EV80" s="18"/>
      <c r="EW80" s="20"/>
      <c r="EY80" s="18"/>
      <c r="EZ80" s="18"/>
      <c r="FA80" s="18"/>
      <c r="FB80" s="18"/>
      <c r="FC80" s="20"/>
    </row>
    <row r="81" spans="35:159">
      <c r="AI81" s="19"/>
      <c r="AO81" s="19"/>
      <c r="AY81" s="145"/>
      <c r="AZ81" s="16"/>
      <c r="BC81" s="16"/>
      <c r="BD81" s="20"/>
      <c r="BE81" s="17"/>
      <c r="BF81" s="20"/>
      <c r="BG81" s="146"/>
      <c r="BH81" s="146"/>
      <c r="BI81" s="146"/>
      <c r="BJ81" s="20"/>
      <c r="BK81" s="20"/>
      <c r="BL81" s="154"/>
      <c r="BM81" s="147"/>
      <c r="BP81" s="20"/>
      <c r="BQ81" s="154"/>
      <c r="BR81" s="18"/>
      <c r="BS81" s="16"/>
      <c r="BT81" s="18"/>
      <c r="BU81" s="18"/>
      <c r="BV81" s="18"/>
      <c r="BW81" s="20"/>
      <c r="BX81" s="154"/>
      <c r="BY81" s="18"/>
      <c r="BZ81" s="146"/>
      <c r="CA81" s="18"/>
      <c r="CB81" s="18"/>
      <c r="CC81" s="20"/>
      <c r="CD81" s="154"/>
      <c r="DI81" s="19"/>
      <c r="DZ81" s="16"/>
      <c r="EC81" s="16"/>
      <c r="EE81" s="17"/>
      <c r="EF81" s="18"/>
      <c r="EG81" s="18"/>
      <c r="EH81" s="18"/>
      <c r="EI81" s="18"/>
      <c r="EJ81" s="18"/>
      <c r="EK81" s="20"/>
      <c r="EM81" s="16"/>
      <c r="EQ81" s="17"/>
      <c r="ER81" s="18"/>
      <c r="ES81" s="18"/>
      <c r="ET81" s="18"/>
      <c r="EU81" s="18"/>
      <c r="EV81" s="18"/>
      <c r="EW81" s="20"/>
      <c r="EY81" s="18"/>
      <c r="EZ81" s="18"/>
      <c r="FA81" s="18"/>
      <c r="FB81" s="18"/>
      <c r="FC81" s="20"/>
    </row>
    <row r="82" spans="35:159">
      <c r="AI82" s="19"/>
      <c r="AO82" s="19"/>
      <c r="AY82" s="145"/>
      <c r="AZ82" s="16"/>
      <c r="BC82" s="16"/>
      <c r="BD82" s="20"/>
      <c r="BE82" s="17"/>
      <c r="BF82" s="20"/>
      <c r="BG82" s="146"/>
      <c r="BH82" s="146"/>
      <c r="BI82" s="146"/>
      <c r="BJ82" s="20"/>
      <c r="BK82" s="20"/>
      <c r="BL82" s="154"/>
      <c r="BM82" s="147"/>
      <c r="BP82" s="20"/>
      <c r="BQ82" s="154"/>
      <c r="BR82" s="18"/>
      <c r="BS82" s="16"/>
      <c r="BT82" s="18"/>
      <c r="BU82" s="18"/>
      <c r="BV82" s="18"/>
      <c r="BW82" s="20"/>
      <c r="BX82" s="154"/>
      <c r="BY82" s="18"/>
      <c r="BZ82" s="146"/>
      <c r="CA82" s="18"/>
      <c r="CB82" s="18"/>
      <c r="CC82" s="20"/>
      <c r="CD82" s="154"/>
      <c r="DI82" s="19"/>
      <c r="DZ82" s="16"/>
      <c r="EC82" s="16"/>
      <c r="EE82" s="17"/>
      <c r="EF82" s="18"/>
      <c r="EG82" s="18"/>
      <c r="EH82" s="18"/>
      <c r="EI82" s="18"/>
      <c r="EJ82" s="18"/>
      <c r="EK82" s="20"/>
      <c r="EM82" s="16"/>
      <c r="EQ82" s="17"/>
      <c r="ER82" s="18"/>
      <c r="ES82" s="18"/>
      <c r="ET82" s="18"/>
      <c r="EU82" s="18"/>
      <c r="EV82" s="18"/>
      <c r="EW82" s="20"/>
      <c r="EY82" s="18"/>
      <c r="EZ82" s="18"/>
      <c r="FA82" s="18"/>
      <c r="FB82" s="18"/>
      <c r="FC82" s="20"/>
    </row>
    <row r="83" spans="35:159">
      <c r="AI83" s="19"/>
      <c r="AO83" s="19"/>
      <c r="AY83" s="145"/>
      <c r="AZ83" s="16"/>
      <c r="BC83" s="16"/>
      <c r="BD83" s="20"/>
      <c r="BE83" s="17"/>
      <c r="BF83" s="20"/>
      <c r="BG83" s="146"/>
      <c r="BH83" s="146"/>
      <c r="BI83" s="146"/>
      <c r="BJ83" s="20"/>
      <c r="BK83" s="20"/>
      <c r="BL83" s="154"/>
      <c r="BM83" s="147"/>
      <c r="BP83" s="20"/>
      <c r="BQ83" s="154"/>
      <c r="BR83" s="18"/>
      <c r="BS83" s="16"/>
      <c r="BT83" s="18"/>
      <c r="BU83" s="18"/>
      <c r="BV83" s="18"/>
      <c r="BW83" s="20"/>
      <c r="BX83" s="154"/>
      <c r="BY83" s="18"/>
      <c r="BZ83" s="146"/>
      <c r="CA83" s="18"/>
      <c r="CB83" s="18"/>
      <c r="CC83" s="20"/>
      <c r="CD83" s="154"/>
      <c r="DI83" s="19"/>
      <c r="DZ83" s="16"/>
      <c r="EC83" s="16"/>
      <c r="EE83" s="17"/>
      <c r="EF83" s="18"/>
      <c r="EG83" s="18"/>
      <c r="EH83" s="18"/>
      <c r="EI83" s="18"/>
      <c r="EJ83" s="18"/>
      <c r="EK83" s="20"/>
      <c r="EM83" s="16"/>
      <c r="EQ83" s="17"/>
      <c r="ER83" s="18"/>
      <c r="ES83" s="18"/>
      <c r="ET83" s="18"/>
      <c r="EU83" s="18"/>
      <c r="EV83" s="18"/>
      <c r="EW83" s="20"/>
      <c r="EY83" s="18"/>
      <c r="EZ83" s="18"/>
      <c r="FA83" s="18"/>
      <c r="FB83" s="18"/>
      <c r="FC83" s="20"/>
    </row>
    <row r="84" spans="35:159">
      <c r="AI84" s="19"/>
      <c r="AO84" s="19"/>
      <c r="AY84" s="145"/>
      <c r="AZ84" s="16"/>
      <c r="BC84" s="16"/>
      <c r="BD84" s="20"/>
      <c r="BE84" s="17"/>
      <c r="BF84" s="20"/>
      <c r="BG84" s="146"/>
      <c r="BH84" s="146"/>
      <c r="BI84" s="146"/>
      <c r="BJ84" s="20"/>
      <c r="BK84" s="20"/>
      <c r="BL84" s="154"/>
      <c r="BM84" s="147"/>
      <c r="BP84" s="20"/>
      <c r="BQ84" s="154"/>
      <c r="BR84" s="18"/>
      <c r="BS84" s="16"/>
      <c r="BT84" s="18"/>
      <c r="BU84" s="18"/>
      <c r="BV84" s="18"/>
      <c r="BW84" s="20"/>
      <c r="BX84" s="154"/>
      <c r="BY84" s="18"/>
      <c r="BZ84" s="146"/>
      <c r="CA84" s="18"/>
      <c r="CB84" s="18"/>
      <c r="CC84" s="20"/>
      <c r="CD84" s="154"/>
      <c r="DI84" s="19"/>
      <c r="DZ84" s="16"/>
      <c r="EC84" s="16"/>
      <c r="EE84" s="17"/>
      <c r="EF84" s="18"/>
      <c r="EG84" s="18"/>
      <c r="EH84" s="18"/>
      <c r="EI84" s="18"/>
      <c r="EJ84" s="18"/>
      <c r="EK84" s="20"/>
      <c r="EM84" s="16"/>
      <c r="EQ84" s="17"/>
      <c r="ER84" s="18"/>
      <c r="ES84" s="18"/>
      <c r="ET84" s="18"/>
      <c r="EU84" s="18"/>
      <c r="EV84" s="18"/>
      <c r="EW84" s="20"/>
      <c r="EY84" s="18"/>
      <c r="EZ84" s="18"/>
      <c r="FA84" s="18"/>
      <c r="FB84" s="18"/>
      <c r="FC84" s="20"/>
    </row>
    <row r="85" spans="35:159">
      <c r="AI85" s="19"/>
      <c r="AO85" s="19"/>
      <c r="AY85" s="145"/>
      <c r="AZ85" s="16"/>
      <c r="BC85" s="16"/>
      <c r="BD85" s="20"/>
      <c r="BE85" s="17"/>
      <c r="BF85" s="20"/>
      <c r="BG85" s="146"/>
      <c r="BH85" s="146"/>
      <c r="BI85" s="146"/>
      <c r="BJ85" s="20"/>
      <c r="BK85" s="20"/>
      <c r="BL85" s="154"/>
      <c r="BP85" s="20"/>
      <c r="BQ85" s="154"/>
      <c r="BR85" s="18"/>
      <c r="BS85" s="16"/>
      <c r="BT85" s="18"/>
      <c r="BU85" s="18"/>
      <c r="BV85" s="18"/>
      <c r="BW85" s="20"/>
      <c r="BX85" s="154"/>
      <c r="BY85" s="18"/>
      <c r="BZ85" s="146"/>
      <c r="CA85" s="18"/>
      <c r="CB85" s="18"/>
      <c r="CC85" s="20"/>
      <c r="CD85" s="154"/>
    </row>
    <row r="86" spans="35:159">
      <c r="AI86" s="19"/>
      <c r="AO86" s="19"/>
      <c r="AY86" s="145"/>
      <c r="AZ86" s="16"/>
      <c r="BC86" s="16"/>
      <c r="BD86" s="20"/>
      <c r="BE86" s="17"/>
      <c r="BF86" s="20"/>
      <c r="BG86" s="146"/>
      <c r="BH86" s="146"/>
      <c r="BI86" s="146"/>
      <c r="BJ86" s="20"/>
      <c r="BK86" s="20"/>
      <c r="BL86" s="154"/>
      <c r="BP86" s="20"/>
      <c r="BQ86" s="154"/>
      <c r="BR86" s="18"/>
      <c r="BS86" s="16"/>
      <c r="BT86" s="18"/>
      <c r="BU86" s="18"/>
      <c r="BV86" s="18"/>
      <c r="BW86" s="20"/>
      <c r="BX86" s="154"/>
      <c r="BY86" s="18"/>
      <c r="BZ86" s="146"/>
      <c r="CA86" s="18"/>
      <c r="CB86" s="18"/>
      <c r="CC86" s="20"/>
      <c r="CD86" s="154"/>
    </row>
    <row r="87" spans="35:159">
      <c r="AI87" s="19"/>
      <c r="AO87" s="19"/>
      <c r="AY87" s="145"/>
      <c r="AZ87" s="16"/>
      <c r="BC87" s="16"/>
      <c r="BD87" s="20"/>
      <c r="BE87" s="17"/>
      <c r="BF87" s="20"/>
      <c r="BG87" s="146"/>
      <c r="BH87" s="146"/>
      <c r="BI87" s="146"/>
      <c r="BJ87" s="20"/>
      <c r="BK87" s="20"/>
      <c r="BL87" s="154"/>
      <c r="BP87" s="20"/>
      <c r="BQ87" s="154"/>
      <c r="BR87" s="18"/>
      <c r="BS87" s="16"/>
      <c r="BT87" s="18"/>
      <c r="BU87" s="18"/>
      <c r="BV87" s="18"/>
      <c r="BW87" s="20"/>
      <c r="BX87" s="154"/>
      <c r="BY87" s="18"/>
      <c r="BZ87" s="146"/>
      <c r="CA87" s="18"/>
      <c r="CB87" s="18"/>
      <c r="CC87" s="20"/>
      <c r="CD87" s="154"/>
    </row>
    <row r="88" spans="35:159">
      <c r="AI88" s="19"/>
      <c r="AO88" s="19"/>
      <c r="AY88" s="145"/>
      <c r="AZ88" s="16"/>
      <c r="BC88" s="16"/>
      <c r="BD88" s="20"/>
      <c r="BE88" s="17"/>
      <c r="BF88" s="20"/>
      <c r="BG88" s="146"/>
      <c r="BH88" s="146"/>
      <c r="BI88" s="146"/>
      <c r="BJ88" s="20"/>
      <c r="BK88" s="20"/>
      <c r="BL88" s="154"/>
      <c r="BP88" s="20"/>
      <c r="BQ88" s="154"/>
      <c r="BR88" s="18"/>
      <c r="BS88" s="16"/>
      <c r="BT88" s="18"/>
      <c r="BU88" s="18"/>
      <c r="BV88" s="18"/>
      <c r="BW88" s="20"/>
      <c r="BX88" s="154"/>
      <c r="BY88" s="18"/>
      <c r="BZ88" s="146"/>
      <c r="CA88" s="18"/>
      <c r="CB88" s="18"/>
      <c r="CC88" s="20"/>
      <c r="CD88" s="154"/>
    </row>
    <row r="89" spans="35:159">
      <c r="AI89" s="19"/>
      <c r="AO89" s="19"/>
      <c r="AY89" s="145"/>
      <c r="AZ89" s="16"/>
      <c r="BC89" s="16"/>
      <c r="BD89" s="20"/>
      <c r="BE89" s="17"/>
      <c r="BF89" s="20"/>
      <c r="BG89" s="146"/>
      <c r="BH89" s="146"/>
      <c r="BI89" s="146"/>
      <c r="BJ89" s="20"/>
      <c r="BK89" s="20"/>
      <c r="BL89" s="154"/>
      <c r="BP89" s="20"/>
      <c r="BQ89" s="154"/>
      <c r="BR89" s="18"/>
      <c r="BS89" s="16"/>
      <c r="BT89" s="18"/>
      <c r="BU89" s="18"/>
      <c r="BV89" s="18"/>
      <c r="BW89" s="20"/>
      <c r="BX89" s="154"/>
      <c r="BY89" s="18"/>
      <c r="BZ89" s="146"/>
      <c r="CA89" s="18"/>
      <c r="CB89" s="18"/>
      <c r="CC89" s="20"/>
      <c r="CD89" s="154"/>
    </row>
    <row r="90" spans="35:159">
      <c r="AI90" s="19"/>
      <c r="AO90" s="19"/>
      <c r="AY90" s="145"/>
      <c r="AZ90" s="16"/>
      <c r="BC90" s="16"/>
      <c r="BD90" s="20"/>
      <c r="BE90" s="17"/>
      <c r="BF90" s="20"/>
      <c r="BG90" s="146"/>
      <c r="BH90" s="146"/>
      <c r="BI90" s="146"/>
      <c r="BJ90" s="20"/>
      <c r="BK90" s="20"/>
      <c r="BL90" s="154"/>
      <c r="BP90" s="20"/>
      <c r="BQ90" s="154"/>
      <c r="BR90" s="18"/>
      <c r="BS90" s="16"/>
      <c r="BT90" s="18"/>
      <c r="BU90" s="18"/>
      <c r="BV90" s="18"/>
      <c r="BW90" s="20"/>
      <c r="BX90" s="154"/>
      <c r="BY90" s="18"/>
      <c r="BZ90" s="146"/>
      <c r="CA90" s="18"/>
      <c r="CB90" s="18"/>
      <c r="CC90" s="20"/>
      <c r="CD90" s="154"/>
    </row>
    <row r="91" spans="35:159">
      <c r="AI91" s="19"/>
      <c r="AO91" s="19"/>
      <c r="AY91" s="145"/>
      <c r="AZ91" s="16"/>
      <c r="BC91" s="16"/>
      <c r="BD91" s="20"/>
      <c r="BE91" s="17"/>
      <c r="BF91" s="20"/>
      <c r="BG91" s="146"/>
      <c r="BH91" s="146"/>
      <c r="BI91" s="146"/>
      <c r="BJ91" s="20"/>
      <c r="BK91" s="20"/>
      <c r="BL91" s="154"/>
      <c r="BP91" s="20"/>
      <c r="BQ91" s="154"/>
      <c r="BR91" s="18"/>
      <c r="BS91" s="16"/>
      <c r="BT91" s="18"/>
      <c r="BU91" s="18"/>
      <c r="BV91" s="18"/>
      <c r="BW91" s="20"/>
      <c r="BX91" s="154"/>
      <c r="BY91" s="18"/>
      <c r="BZ91" s="146"/>
      <c r="CA91" s="18"/>
      <c r="CB91" s="18"/>
      <c r="CC91" s="20"/>
      <c r="CD91" s="154"/>
    </row>
    <row r="92" spans="35:159">
      <c r="AI92" s="19"/>
      <c r="AO92" s="19"/>
      <c r="AY92" s="145"/>
      <c r="AZ92" s="16"/>
      <c r="BC92" s="16"/>
      <c r="BD92" s="20"/>
      <c r="BE92" s="17"/>
      <c r="BF92" s="20"/>
      <c r="BG92" s="146"/>
      <c r="BH92" s="146"/>
      <c r="BI92" s="146"/>
      <c r="BJ92" s="20"/>
      <c r="BK92" s="20"/>
      <c r="BL92" s="154"/>
      <c r="BP92" s="20"/>
      <c r="BQ92" s="154"/>
      <c r="BR92" s="18"/>
      <c r="BS92" s="16"/>
      <c r="BT92" s="18"/>
      <c r="BU92" s="18"/>
      <c r="BV92" s="18"/>
      <c r="BW92" s="20"/>
      <c r="BX92" s="154"/>
      <c r="BY92" s="18"/>
      <c r="BZ92" s="146"/>
      <c r="CA92" s="18"/>
      <c r="CB92" s="18"/>
      <c r="CC92" s="20"/>
      <c r="CD92" s="154"/>
    </row>
    <row r="93" spans="35:159">
      <c r="AI93" s="19"/>
      <c r="AO93" s="19"/>
      <c r="AY93" s="145"/>
      <c r="AZ93" s="16"/>
      <c r="BC93" s="16"/>
      <c r="BD93" s="20"/>
      <c r="BE93" s="17"/>
      <c r="BF93" s="20"/>
      <c r="BG93" s="146"/>
      <c r="BH93" s="146"/>
      <c r="BI93" s="146"/>
      <c r="BJ93" s="20"/>
      <c r="BK93" s="20"/>
      <c r="BL93" s="154"/>
      <c r="BP93" s="20"/>
      <c r="BQ93" s="154"/>
      <c r="BR93" s="18"/>
      <c r="BS93" s="16"/>
      <c r="BT93" s="18"/>
      <c r="BU93" s="18"/>
      <c r="BV93" s="18"/>
      <c r="BW93" s="20"/>
      <c r="BX93" s="154"/>
      <c r="BY93" s="18"/>
      <c r="BZ93" s="146"/>
      <c r="CA93" s="18"/>
      <c r="CB93" s="18"/>
      <c r="CC93" s="20"/>
      <c r="CD93" s="154"/>
    </row>
    <row r="94" spans="35:159">
      <c r="AI94" s="19"/>
      <c r="AO94" s="19"/>
      <c r="AY94" s="145"/>
      <c r="AZ94" s="16"/>
      <c r="BC94" s="16"/>
      <c r="BD94" s="20"/>
      <c r="BE94" s="17"/>
      <c r="BF94" s="20"/>
      <c r="BG94" s="146"/>
      <c r="BH94" s="146"/>
      <c r="BI94" s="146"/>
      <c r="BJ94" s="20"/>
      <c r="BK94" s="20"/>
      <c r="BL94" s="154"/>
      <c r="BP94" s="20"/>
      <c r="BQ94" s="154"/>
      <c r="BR94" s="18"/>
      <c r="BS94" s="16"/>
      <c r="BT94" s="18"/>
      <c r="BU94" s="18"/>
      <c r="BV94" s="18"/>
      <c r="BW94" s="20"/>
      <c r="BX94" s="154"/>
      <c r="BY94" s="18"/>
      <c r="BZ94" s="146"/>
      <c r="CA94" s="18"/>
      <c r="CB94" s="18"/>
      <c r="CC94" s="20"/>
      <c r="CD94" s="154"/>
    </row>
    <row r="95" spans="35:159">
      <c r="AI95" s="19"/>
      <c r="AO95" s="19"/>
      <c r="AY95" s="145"/>
      <c r="AZ95" s="16"/>
      <c r="BC95" s="16"/>
      <c r="BD95" s="20"/>
      <c r="BE95" s="17"/>
      <c r="BF95" s="20"/>
      <c r="BG95" s="146"/>
      <c r="BH95" s="146"/>
      <c r="BI95" s="146"/>
      <c r="BJ95" s="20"/>
      <c r="BK95" s="20"/>
      <c r="BL95" s="154"/>
      <c r="BP95" s="20"/>
      <c r="BQ95" s="154"/>
      <c r="BR95" s="18"/>
      <c r="BS95" s="16"/>
      <c r="BT95" s="18"/>
      <c r="BU95" s="18"/>
      <c r="BV95" s="18"/>
      <c r="BW95" s="20"/>
      <c r="BX95" s="154"/>
      <c r="BY95" s="18"/>
      <c r="BZ95" s="146"/>
      <c r="CA95" s="18"/>
      <c r="CB95" s="18"/>
      <c r="CC95" s="20"/>
      <c r="CD95" s="154"/>
    </row>
    <row r="96" spans="35:159">
      <c r="AI96" s="19"/>
      <c r="AO96" s="19"/>
      <c r="AY96" s="145"/>
      <c r="AZ96" s="16"/>
      <c r="BC96" s="16"/>
      <c r="BD96" s="20"/>
      <c r="BE96" s="17"/>
      <c r="BF96" s="20"/>
      <c r="BG96" s="146"/>
      <c r="BH96" s="146"/>
      <c r="BI96" s="146"/>
      <c r="BJ96" s="20"/>
      <c r="BK96" s="20"/>
      <c r="BL96" s="154"/>
      <c r="BP96" s="20"/>
      <c r="BQ96" s="154"/>
      <c r="BR96" s="18"/>
      <c r="BS96" s="16"/>
      <c r="BT96" s="18"/>
      <c r="BU96" s="18"/>
      <c r="BV96" s="18"/>
      <c r="BW96" s="20"/>
      <c r="BX96" s="154"/>
      <c r="BY96" s="18"/>
      <c r="BZ96" s="146"/>
      <c r="CA96" s="18"/>
      <c r="CB96" s="18"/>
      <c r="CC96" s="20"/>
      <c r="CD96" s="154"/>
    </row>
    <row r="97" spans="35:82">
      <c r="AI97" s="19"/>
      <c r="AO97" s="19"/>
      <c r="AY97" s="145"/>
      <c r="AZ97" s="16"/>
      <c r="BC97" s="16"/>
      <c r="BD97" s="20"/>
      <c r="BE97" s="17"/>
      <c r="BF97" s="20"/>
      <c r="BG97" s="146"/>
      <c r="BH97" s="146"/>
      <c r="BI97" s="146"/>
      <c r="BJ97" s="20"/>
      <c r="BK97" s="20"/>
      <c r="BL97" s="154"/>
      <c r="BP97" s="20"/>
      <c r="BQ97" s="154"/>
      <c r="BR97" s="18"/>
      <c r="BS97" s="16"/>
      <c r="BT97" s="18"/>
      <c r="BU97" s="18"/>
      <c r="BV97" s="18"/>
      <c r="BW97" s="20"/>
      <c r="BX97" s="154"/>
      <c r="BY97" s="18"/>
      <c r="BZ97" s="146"/>
      <c r="CA97" s="18"/>
      <c r="CB97" s="18"/>
      <c r="CC97" s="20"/>
      <c r="CD97" s="154"/>
    </row>
    <row r="98" spans="35:82">
      <c r="AI98" s="19"/>
      <c r="AO98" s="19"/>
      <c r="AY98" s="145"/>
      <c r="AZ98" s="16"/>
      <c r="BC98" s="16"/>
      <c r="BD98" s="20"/>
      <c r="BE98" s="17"/>
      <c r="BF98" s="20"/>
      <c r="BG98" s="146"/>
      <c r="BH98" s="146"/>
      <c r="BI98" s="146"/>
      <c r="BJ98" s="20"/>
      <c r="BK98" s="20"/>
      <c r="BL98" s="154"/>
      <c r="BP98" s="20"/>
      <c r="BQ98" s="154"/>
      <c r="BR98" s="18"/>
      <c r="BS98" s="16"/>
      <c r="BT98" s="18"/>
      <c r="BU98" s="18"/>
      <c r="BV98" s="18"/>
      <c r="BW98" s="20"/>
      <c r="BX98" s="154"/>
      <c r="BY98" s="18"/>
      <c r="BZ98" s="146"/>
      <c r="CA98" s="18"/>
      <c r="CB98" s="18"/>
      <c r="CC98" s="20"/>
      <c r="CD98" s="154"/>
    </row>
    <row r="99" spans="35:82">
      <c r="AI99" s="19"/>
      <c r="AO99" s="19"/>
      <c r="AY99" s="145"/>
      <c r="AZ99" s="16"/>
      <c r="BC99" s="16"/>
      <c r="BD99" s="20"/>
      <c r="BE99" s="17"/>
      <c r="BF99" s="20"/>
      <c r="BG99" s="146"/>
      <c r="BH99" s="146"/>
      <c r="BI99" s="146"/>
      <c r="BJ99" s="20"/>
      <c r="BK99" s="20"/>
      <c r="BL99" s="154"/>
      <c r="BP99" s="20"/>
      <c r="BQ99" s="154"/>
      <c r="BR99" s="18"/>
      <c r="BS99" s="16"/>
      <c r="BT99" s="18"/>
      <c r="BU99" s="18"/>
      <c r="BV99" s="18"/>
      <c r="BW99" s="20"/>
      <c r="BX99" s="154"/>
      <c r="BY99" s="18"/>
      <c r="BZ99" s="146"/>
      <c r="CA99" s="18"/>
      <c r="CB99" s="18"/>
      <c r="CC99" s="20"/>
      <c r="CD99" s="154"/>
    </row>
    <row r="100" spans="35:82">
      <c r="AI100" s="19"/>
      <c r="AO100" s="19"/>
      <c r="AY100" s="145"/>
      <c r="AZ100" s="16"/>
      <c r="BC100" s="16"/>
      <c r="BD100" s="20"/>
      <c r="BE100" s="17"/>
      <c r="BF100" s="20"/>
      <c r="BG100" s="146"/>
      <c r="BH100" s="146"/>
      <c r="BI100" s="146"/>
      <c r="BJ100" s="20"/>
      <c r="BK100" s="20"/>
      <c r="BL100" s="154"/>
      <c r="BP100" s="20"/>
      <c r="BQ100" s="154"/>
      <c r="BR100" s="18"/>
      <c r="BS100" s="16"/>
      <c r="BT100" s="18"/>
      <c r="BU100" s="18"/>
      <c r="BV100" s="18"/>
      <c r="BW100" s="20"/>
      <c r="BX100" s="154"/>
      <c r="BY100" s="18"/>
      <c r="BZ100" s="146"/>
      <c r="CA100" s="18"/>
      <c r="CB100" s="18"/>
      <c r="CC100" s="20"/>
      <c r="CD100" s="154"/>
    </row>
    <row r="101" spans="35:82">
      <c r="AI101" s="19"/>
      <c r="AO101" s="19"/>
      <c r="AY101" s="145"/>
      <c r="AZ101" s="16"/>
      <c r="BC101" s="16"/>
      <c r="BD101" s="20"/>
      <c r="BE101" s="17"/>
      <c r="BF101" s="20"/>
      <c r="BG101" s="146"/>
      <c r="BH101" s="146"/>
      <c r="BI101" s="146"/>
      <c r="BJ101" s="20"/>
      <c r="BK101" s="20"/>
      <c r="BL101" s="154"/>
      <c r="BP101" s="20"/>
      <c r="BQ101" s="154"/>
      <c r="BR101" s="18"/>
      <c r="BS101" s="16"/>
      <c r="BT101" s="18"/>
      <c r="BU101" s="18"/>
      <c r="BV101" s="18"/>
      <c r="BW101" s="20"/>
      <c r="BX101" s="154"/>
      <c r="BY101" s="18"/>
      <c r="BZ101" s="146"/>
      <c r="CA101" s="18"/>
      <c r="CB101" s="18"/>
      <c r="CC101" s="20"/>
      <c r="CD101" s="154"/>
    </row>
    <row r="102" spans="35:82">
      <c r="AI102" s="19"/>
      <c r="AO102" s="19"/>
      <c r="AY102" s="145"/>
      <c r="AZ102" s="16"/>
      <c r="BC102" s="16"/>
      <c r="BD102" s="20"/>
      <c r="BE102" s="17"/>
      <c r="BF102" s="20"/>
      <c r="BG102" s="146"/>
      <c r="BH102" s="146"/>
      <c r="BI102" s="146"/>
      <c r="BJ102" s="20"/>
      <c r="BK102" s="20"/>
      <c r="BL102" s="154"/>
      <c r="BP102" s="20"/>
      <c r="BQ102" s="154"/>
      <c r="BR102" s="18"/>
      <c r="BS102" s="16"/>
      <c r="BT102" s="18"/>
      <c r="BU102" s="18"/>
      <c r="BV102" s="18"/>
      <c r="BW102" s="20"/>
      <c r="BX102" s="154"/>
      <c r="BY102" s="18"/>
      <c r="BZ102" s="146"/>
      <c r="CA102" s="18"/>
      <c r="CB102" s="18"/>
      <c r="CC102" s="20"/>
      <c r="CD102" s="154"/>
    </row>
    <row r="103" spans="35:82">
      <c r="AI103" s="19"/>
      <c r="AO103" s="19"/>
      <c r="AY103" s="145"/>
      <c r="AZ103" s="16"/>
      <c r="BC103" s="16"/>
      <c r="BD103" s="20"/>
      <c r="BE103" s="17"/>
      <c r="BF103" s="20"/>
      <c r="BG103" s="146"/>
      <c r="BH103" s="146"/>
      <c r="BI103" s="146"/>
      <c r="BJ103" s="20"/>
      <c r="BK103" s="20"/>
      <c r="BL103" s="154"/>
      <c r="BP103" s="20"/>
      <c r="BQ103" s="154"/>
      <c r="BR103" s="18"/>
      <c r="BS103" s="16"/>
      <c r="BT103" s="18"/>
      <c r="BU103" s="18"/>
      <c r="BV103" s="18"/>
      <c r="BW103" s="20"/>
      <c r="BX103" s="154"/>
      <c r="BY103" s="18"/>
      <c r="BZ103" s="146"/>
      <c r="CA103" s="18"/>
      <c r="CB103" s="18"/>
      <c r="CC103" s="20"/>
      <c r="CD103" s="154"/>
    </row>
    <row r="104" spans="35:82">
      <c r="AI104" s="19"/>
      <c r="AO104" s="19"/>
      <c r="AY104" s="145"/>
      <c r="AZ104" s="16"/>
      <c r="BC104" s="16"/>
      <c r="BD104" s="20"/>
      <c r="BE104" s="17"/>
      <c r="BF104" s="20"/>
      <c r="BG104" s="146"/>
      <c r="BH104" s="146"/>
      <c r="BI104" s="146"/>
      <c r="BJ104" s="20"/>
      <c r="BK104" s="20"/>
      <c r="BL104" s="154"/>
      <c r="BP104" s="20"/>
      <c r="BQ104" s="154"/>
      <c r="BR104" s="18"/>
      <c r="BS104" s="16"/>
      <c r="BT104" s="18"/>
      <c r="BU104" s="18"/>
      <c r="BV104" s="18"/>
      <c r="BW104" s="20"/>
      <c r="BX104" s="154"/>
      <c r="BY104" s="18"/>
      <c r="BZ104" s="146"/>
      <c r="CA104" s="18"/>
      <c r="CB104" s="18"/>
      <c r="CC104" s="20"/>
      <c r="CD104" s="154"/>
    </row>
    <row r="105" spans="35:82">
      <c r="AI105" s="19"/>
      <c r="AO105" s="19"/>
      <c r="AY105" s="145"/>
      <c r="AZ105" s="16"/>
      <c r="BC105" s="16"/>
      <c r="BD105" s="20"/>
      <c r="BE105" s="17"/>
      <c r="BF105" s="20"/>
      <c r="BG105" s="146"/>
      <c r="BH105" s="146"/>
      <c r="BI105" s="146"/>
      <c r="BJ105" s="20"/>
      <c r="BK105" s="20"/>
      <c r="BL105" s="154"/>
      <c r="BP105" s="20"/>
      <c r="BQ105" s="154"/>
      <c r="BR105" s="18"/>
      <c r="BS105" s="16"/>
      <c r="BT105" s="18"/>
      <c r="BU105" s="18"/>
      <c r="BV105" s="18"/>
      <c r="BW105" s="20"/>
      <c r="BX105" s="154"/>
      <c r="BY105" s="18"/>
      <c r="BZ105" s="146"/>
      <c r="CA105" s="18"/>
      <c r="CB105" s="18"/>
      <c r="CC105" s="20"/>
      <c r="CD105" s="154"/>
    </row>
    <row r="106" spans="35:82">
      <c r="AI106" s="19"/>
      <c r="AO106" s="19"/>
      <c r="AY106" s="145"/>
      <c r="AZ106" s="16"/>
      <c r="BC106" s="16"/>
      <c r="BD106" s="20"/>
      <c r="BE106" s="17"/>
      <c r="BF106" s="20"/>
      <c r="BG106" s="146"/>
      <c r="BH106" s="146"/>
      <c r="BI106" s="146"/>
      <c r="BJ106" s="20"/>
      <c r="BK106" s="20"/>
      <c r="BL106" s="154"/>
      <c r="BP106" s="20"/>
      <c r="BQ106" s="154"/>
      <c r="BR106" s="18"/>
      <c r="BS106" s="16"/>
      <c r="BT106" s="18"/>
      <c r="BU106" s="18"/>
      <c r="BV106" s="18"/>
      <c r="BW106" s="20"/>
      <c r="BX106" s="154"/>
      <c r="BY106" s="18"/>
      <c r="BZ106" s="146"/>
      <c r="CA106" s="18"/>
      <c r="CB106" s="18"/>
      <c r="CC106" s="20"/>
      <c r="CD106" s="154"/>
    </row>
    <row r="107" spans="35:82">
      <c r="AI107" s="19"/>
      <c r="AO107" s="19"/>
      <c r="AY107" s="145"/>
      <c r="AZ107" s="16"/>
      <c r="BC107" s="16"/>
      <c r="BD107" s="20"/>
      <c r="BE107" s="17"/>
      <c r="BF107" s="20"/>
      <c r="BG107" s="146"/>
      <c r="BH107" s="146"/>
      <c r="BI107" s="146"/>
      <c r="BJ107" s="20"/>
      <c r="BK107" s="20"/>
      <c r="BL107" s="154"/>
      <c r="BP107" s="20"/>
      <c r="BQ107" s="154"/>
      <c r="BR107" s="18"/>
      <c r="BS107" s="16"/>
      <c r="BT107" s="18"/>
      <c r="BU107" s="18"/>
      <c r="BV107" s="18"/>
      <c r="BW107" s="20"/>
      <c r="BX107" s="154"/>
      <c r="BY107" s="18"/>
      <c r="BZ107" s="146"/>
      <c r="CA107" s="18"/>
      <c r="CB107" s="18"/>
      <c r="CC107" s="20"/>
      <c r="CD107" s="154"/>
    </row>
    <row r="108" spans="35:82">
      <c r="AI108" s="19"/>
      <c r="AO108" s="19"/>
      <c r="AY108" s="145"/>
      <c r="AZ108" s="16"/>
      <c r="BC108" s="16"/>
      <c r="BD108" s="20"/>
      <c r="BE108" s="17"/>
      <c r="BF108" s="20"/>
      <c r="BG108" s="146"/>
      <c r="BH108" s="146"/>
      <c r="BI108" s="146"/>
      <c r="BJ108" s="20"/>
      <c r="BK108" s="20"/>
      <c r="BL108" s="154"/>
      <c r="BP108" s="20"/>
      <c r="BQ108" s="154"/>
      <c r="BR108" s="18"/>
      <c r="BS108" s="16"/>
      <c r="BT108" s="18"/>
      <c r="BU108" s="18"/>
      <c r="BV108" s="18"/>
      <c r="BW108" s="20"/>
      <c r="BX108" s="154"/>
      <c r="BY108" s="18"/>
      <c r="BZ108" s="146"/>
      <c r="CA108" s="18"/>
      <c r="CB108" s="18"/>
      <c r="CC108" s="20"/>
      <c r="CD108" s="154"/>
    </row>
    <row r="109" spans="35:82">
      <c r="AI109" s="19"/>
      <c r="AO109" s="19"/>
      <c r="AY109" s="145"/>
      <c r="AZ109" s="16"/>
      <c r="BC109" s="16"/>
      <c r="BD109" s="20"/>
      <c r="BE109" s="17"/>
      <c r="BF109" s="20"/>
      <c r="BG109" s="146"/>
      <c r="BH109" s="146"/>
      <c r="BI109" s="146"/>
      <c r="BJ109" s="20"/>
      <c r="BK109" s="20"/>
      <c r="BL109" s="154"/>
      <c r="BP109" s="20"/>
      <c r="BQ109" s="154"/>
      <c r="BR109" s="18"/>
      <c r="BS109" s="16"/>
      <c r="BT109" s="18"/>
      <c r="BU109" s="18"/>
      <c r="BV109" s="18"/>
      <c r="BW109" s="20"/>
      <c r="BX109" s="154"/>
      <c r="BY109" s="18"/>
      <c r="BZ109" s="146"/>
      <c r="CA109" s="18"/>
      <c r="CB109" s="18"/>
      <c r="CC109" s="20"/>
      <c r="CD109" s="154"/>
    </row>
    <row r="110" spans="35:82">
      <c r="AI110" s="19"/>
      <c r="AO110" s="19"/>
      <c r="AY110" s="145"/>
      <c r="AZ110" s="16"/>
      <c r="BC110" s="16"/>
      <c r="BD110" s="20"/>
      <c r="BE110" s="17"/>
      <c r="BF110" s="20"/>
      <c r="BG110" s="146"/>
      <c r="BH110" s="146"/>
      <c r="BI110" s="146"/>
      <c r="BJ110" s="20"/>
      <c r="BK110" s="20"/>
      <c r="BL110" s="154"/>
      <c r="BP110" s="20"/>
      <c r="BQ110" s="154"/>
      <c r="BR110" s="18"/>
      <c r="BS110" s="16"/>
      <c r="BT110" s="18"/>
      <c r="BU110" s="18"/>
      <c r="BV110" s="18"/>
      <c r="BW110" s="20"/>
      <c r="BX110" s="154"/>
      <c r="BY110" s="18"/>
      <c r="BZ110" s="146"/>
      <c r="CA110" s="18"/>
      <c r="CB110" s="18"/>
      <c r="CC110" s="20"/>
      <c r="CD110" s="154"/>
    </row>
    <row r="111" spans="35:82">
      <c r="AI111" s="19"/>
      <c r="AO111" s="19"/>
      <c r="AY111" s="145"/>
      <c r="AZ111" s="16"/>
      <c r="BC111" s="16"/>
      <c r="BD111" s="20"/>
      <c r="BE111" s="17"/>
      <c r="BF111" s="20"/>
      <c r="BG111" s="146"/>
      <c r="BH111" s="146"/>
      <c r="BI111" s="146"/>
      <c r="BJ111" s="20"/>
      <c r="BK111" s="20"/>
      <c r="BL111" s="154"/>
      <c r="BP111" s="20"/>
      <c r="BQ111" s="154"/>
      <c r="BR111" s="18"/>
      <c r="BS111" s="16"/>
      <c r="BT111" s="18"/>
      <c r="BU111" s="18"/>
      <c r="BV111" s="18"/>
      <c r="BW111" s="20"/>
      <c r="BX111" s="154"/>
      <c r="BY111" s="18"/>
      <c r="BZ111" s="146"/>
      <c r="CA111" s="18"/>
      <c r="CB111" s="18"/>
      <c r="CC111" s="20"/>
      <c r="CD111" s="154"/>
    </row>
    <row r="112" spans="35:82">
      <c r="AI112" s="19"/>
      <c r="AO112" s="19"/>
      <c r="AY112" s="145"/>
      <c r="AZ112" s="16"/>
      <c r="BC112" s="16"/>
      <c r="BD112" s="20"/>
      <c r="BE112" s="17"/>
      <c r="BF112" s="20"/>
      <c r="BG112" s="146"/>
      <c r="BH112" s="146"/>
      <c r="BI112" s="146"/>
      <c r="BJ112" s="20"/>
      <c r="BK112" s="20"/>
      <c r="BL112" s="154"/>
      <c r="BP112" s="20"/>
      <c r="BQ112" s="154"/>
      <c r="BR112" s="18"/>
      <c r="BS112" s="16"/>
      <c r="BT112" s="18"/>
      <c r="BU112" s="18"/>
      <c r="BV112" s="18"/>
      <c r="BW112" s="20"/>
      <c r="BX112" s="154"/>
      <c r="BY112" s="18"/>
      <c r="BZ112" s="146"/>
      <c r="CA112" s="18"/>
      <c r="CB112" s="18"/>
      <c r="CC112" s="20"/>
      <c r="CD112" s="154"/>
    </row>
    <row r="113" spans="35:82">
      <c r="AI113" s="19"/>
      <c r="AO113" s="19"/>
      <c r="AY113" s="145"/>
      <c r="AZ113" s="16"/>
      <c r="BC113" s="16"/>
      <c r="BD113" s="20"/>
      <c r="BE113" s="17"/>
      <c r="BF113" s="20"/>
      <c r="BG113" s="146"/>
      <c r="BH113" s="146"/>
      <c r="BI113" s="146"/>
      <c r="BJ113" s="20"/>
      <c r="BK113" s="20"/>
      <c r="BL113" s="154"/>
      <c r="BP113" s="20"/>
      <c r="BQ113" s="154"/>
      <c r="BR113" s="18"/>
      <c r="BS113" s="16"/>
      <c r="BT113" s="18"/>
      <c r="BU113" s="18"/>
      <c r="BV113" s="18"/>
      <c r="BW113" s="20"/>
      <c r="BX113" s="154"/>
      <c r="BY113" s="18"/>
      <c r="BZ113" s="146"/>
      <c r="CA113" s="18"/>
      <c r="CB113" s="18"/>
      <c r="CC113" s="20"/>
      <c r="CD113" s="154"/>
    </row>
    <row r="114" spans="35:82">
      <c r="AI114" s="19"/>
      <c r="AO114" s="19"/>
      <c r="AY114" s="145"/>
      <c r="AZ114" s="16"/>
      <c r="BC114" s="16"/>
      <c r="BD114" s="20"/>
      <c r="BE114" s="17"/>
      <c r="BF114" s="20"/>
      <c r="BG114" s="146"/>
      <c r="BH114" s="146"/>
      <c r="BI114" s="146"/>
      <c r="BJ114" s="20"/>
      <c r="BK114" s="20"/>
      <c r="BL114" s="154"/>
      <c r="BP114" s="20"/>
      <c r="BQ114" s="154"/>
      <c r="BR114" s="18"/>
      <c r="BS114" s="16"/>
      <c r="BT114" s="18"/>
      <c r="BU114" s="18"/>
      <c r="BV114" s="18"/>
      <c r="BW114" s="20"/>
      <c r="BX114" s="154"/>
      <c r="BY114" s="18"/>
      <c r="BZ114" s="146"/>
      <c r="CA114" s="18"/>
      <c r="CB114" s="18"/>
      <c r="CC114" s="20"/>
      <c r="CD114" s="154"/>
    </row>
    <row r="115" spans="35:82">
      <c r="AI115" s="19"/>
      <c r="AO115" s="19"/>
      <c r="AY115" s="145"/>
      <c r="AZ115" s="16"/>
      <c r="BC115" s="16"/>
      <c r="BD115" s="20"/>
      <c r="BE115" s="17"/>
      <c r="BF115" s="20"/>
      <c r="BG115" s="146"/>
      <c r="BH115" s="146"/>
      <c r="BI115" s="146"/>
      <c r="BJ115" s="20"/>
      <c r="BK115" s="20"/>
      <c r="BL115" s="154"/>
      <c r="BP115" s="20"/>
      <c r="BQ115" s="154"/>
      <c r="BR115" s="18"/>
      <c r="BS115" s="16"/>
      <c r="BT115" s="18"/>
      <c r="BU115" s="18"/>
      <c r="BV115" s="18"/>
      <c r="BW115" s="20"/>
      <c r="BX115" s="154"/>
      <c r="BY115" s="18"/>
      <c r="BZ115" s="146"/>
      <c r="CA115" s="18"/>
      <c r="CB115" s="18"/>
      <c r="CC115" s="20"/>
      <c r="CD115" s="154"/>
    </row>
    <row r="116" spans="35:82">
      <c r="AI116" s="19"/>
      <c r="AO116" s="19"/>
      <c r="AY116" s="145"/>
      <c r="AZ116" s="16"/>
      <c r="BC116" s="16"/>
      <c r="BD116" s="20"/>
      <c r="BE116" s="17"/>
      <c r="BF116" s="20"/>
      <c r="BG116" s="146"/>
      <c r="BH116" s="146"/>
      <c r="BI116" s="146"/>
      <c r="BJ116" s="20"/>
      <c r="BK116" s="20"/>
      <c r="BL116" s="154"/>
      <c r="BP116" s="20"/>
      <c r="BQ116" s="154"/>
      <c r="BR116" s="18"/>
      <c r="BS116" s="16"/>
      <c r="BT116" s="18"/>
      <c r="BU116" s="18"/>
      <c r="BV116" s="18"/>
      <c r="BW116" s="20"/>
      <c r="BX116" s="154"/>
      <c r="BY116" s="18"/>
      <c r="BZ116" s="146"/>
      <c r="CA116" s="18"/>
      <c r="CB116" s="18"/>
      <c r="CC116" s="20"/>
      <c r="CD116" s="154"/>
    </row>
    <row r="117" spans="35:82">
      <c r="AI117" s="19"/>
      <c r="AO117" s="19"/>
      <c r="AY117" s="145"/>
      <c r="AZ117" s="16"/>
      <c r="BC117" s="16"/>
      <c r="BD117" s="20"/>
      <c r="BE117" s="17"/>
      <c r="BF117" s="20"/>
      <c r="BG117" s="146"/>
      <c r="BH117" s="146"/>
      <c r="BI117" s="146"/>
      <c r="BJ117" s="20"/>
      <c r="BK117" s="20"/>
      <c r="BL117" s="154"/>
      <c r="BP117" s="20"/>
      <c r="BQ117" s="154"/>
      <c r="BR117" s="18"/>
      <c r="BS117" s="16"/>
      <c r="BT117" s="18"/>
      <c r="BU117" s="18"/>
      <c r="BV117" s="18"/>
      <c r="BW117" s="20"/>
      <c r="BX117" s="154"/>
      <c r="BY117" s="18"/>
      <c r="BZ117" s="146"/>
      <c r="CA117" s="18"/>
      <c r="CB117" s="18"/>
      <c r="CC117" s="20"/>
      <c r="CD117" s="154"/>
    </row>
    <row r="118" spans="35:82">
      <c r="AI118" s="19"/>
      <c r="AO118" s="19"/>
      <c r="AY118" s="145"/>
      <c r="AZ118" s="16"/>
      <c r="BC118" s="16"/>
      <c r="BD118" s="20"/>
      <c r="BE118" s="17"/>
      <c r="BF118" s="20"/>
      <c r="BG118" s="146"/>
      <c r="BH118" s="146"/>
      <c r="BI118" s="146"/>
      <c r="BJ118" s="20"/>
      <c r="BK118" s="20"/>
      <c r="BL118" s="154"/>
      <c r="BP118" s="20"/>
      <c r="BQ118" s="154"/>
      <c r="BR118" s="18"/>
      <c r="BS118" s="16"/>
      <c r="BT118" s="18"/>
      <c r="BU118" s="18"/>
      <c r="BV118" s="18"/>
      <c r="BW118" s="20"/>
      <c r="BX118" s="154"/>
      <c r="BY118" s="18"/>
      <c r="BZ118" s="146"/>
      <c r="CA118" s="18"/>
      <c r="CB118" s="18"/>
      <c r="CC118" s="20"/>
      <c r="CD118" s="154"/>
    </row>
    <row r="119" spans="35:82">
      <c r="AI119" s="19"/>
      <c r="AO119" s="19"/>
      <c r="AY119" s="145"/>
      <c r="AZ119" s="16"/>
      <c r="BC119" s="16"/>
      <c r="BD119" s="20"/>
      <c r="BE119" s="17"/>
      <c r="BF119" s="20"/>
      <c r="BG119" s="146"/>
      <c r="BH119" s="146"/>
      <c r="BI119" s="146"/>
      <c r="BJ119" s="20"/>
      <c r="BK119" s="20"/>
      <c r="BL119" s="154"/>
      <c r="BP119" s="20"/>
      <c r="BQ119" s="154"/>
      <c r="BR119" s="18"/>
      <c r="BS119" s="16"/>
      <c r="BT119" s="18"/>
      <c r="BU119" s="18"/>
      <c r="BV119" s="18"/>
      <c r="BW119" s="20"/>
      <c r="BX119" s="154"/>
      <c r="BY119" s="18"/>
      <c r="BZ119" s="146"/>
      <c r="CA119" s="18"/>
      <c r="CB119" s="18"/>
      <c r="CC119" s="20"/>
      <c r="CD119" s="154"/>
    </row>
    <row r="120" spans="35:82">
      <c r="AI120" s="19"/>
      <c r="AO120" s="19"/>
      <c r="AY120" s="145"/>
      <c r="AZ120" s="16"/>
      <c r="BC120" s="16"/>
      <c r="BD120" s="20"/>
      <c r="BE120" s="17"/>
      <c r="BF120" s="20"/>
      <c r="BG120" s="146"/>
      <c r="BH120" s="146"/>
      <c r="BI120" s="146"/>
      <c r="BJ120" s="20"/>
      <c r="BK120" s="20"/>
      <c r="BL120" s="154"/>
      <c r="BP120" s="20"/>
      <c r="BQ120" s="154"/>
      <c r="BR120" s="18"/>
      <c r="BS120" s="16"/>
      <c r="BT120" s="18"/>
      <c r="BU120" s="18"/>
      <c r="BV120" s="18"/>
      <c r="BW120" s="20"/>
      <c r="BX120" s="154"/>
      <c r="BY120" s="18"/>
      <c r="BZ120" s="146"/>
      <c r="CA120" s="18"/>
      <c r="CB120" s="18"/>
      <c r="CC120" s="20"/>
      <c r="CD120" s="154"/>
    </row>
    <row r="121" spans="35:82">
      <c r="AI121" s="19"/>
      <c r="AO121" s="19"/>
      <c r="AY121" s="145"/>
      <c r="AZ121" s="16"/>
      <c r="BC121" s="16"/>
      <c r="BD121" s="20"/>
      <c r="BE121" s="17"/>
      <c r="BF121" s="20"/>
      <c r="BG121" s="146"/>
      <c r="BH121" s="146"/>
      <c r="BI121" s="146"/>
      <c r="BJ121" s="20"/>
      <c r="BK121" s="20"/>
      <c r="BL121" s="154"/>
      <c r="BP121" s="20"/>
      <c r="BQ121" s="154"/>
      <c r="BR121" s="18"/>
      <c r="BS121" s="16"/>
      <c r="BT121" s="18"/>
      <c r="BU121" s="18"/>
      <c r="BV121" s="18"/>
      <c r="BW121" s="20"/>
      <c r="BX121" s="154"/>
      <c r="BY121" s="18"/>
      <c r="BZ121" s="146"/>
      <c r="CA121" s="18"/>
      <c r="CB121" s="18"/>
      <c r="CC121" s="20"/>
      <c r="CD121" s="154"/>
    </row>
    <row r="122" spans="35:82">
      <c r="AI122" s="19"/>
      <c r="AO122" s="19"/>
      <c r="AY122" s="145"/>
      <c r="AZ122" s="16"/>
      <c r="BC122" s="16"/>
      <c r="BD122" s="20"/>
      <c r="BE122" s="17"/>
      <c r="BF122" s="20"/>
      <c r="BG122" s="146"/>
      <c r="BH122" s="146"/>
      <c r="BI122" s="146"/>
      <c r="BJ122" s="20"/>
      <c r="BK122" s="20"/>
      <c r="BL122" s="154"/>
      <c r="BP122" s="20"/>
      <c r="BQ122" s="154"/>
      <c r="BR122" s="18"/>
      <c r="BS122" s="16"/>
      <c r="BT122" s="18"/>
      <c r="BU122" s="18"/>
      <c r="BV122" s="18"/>
      <c r="BW122" s="20"/>
      <c r="BX122" s="154"/>
      <c r="BY122" s="18"/>
      <c r="BZ122" s="146"/>
      <c r="CA122" s="18"/>
      <c r="CB122" s="18"/>
      <c r="CC122" s="20"/>
      <c r="CD122" s="154"/>
    </row>
    <row r="123" spans="35:82">
      <c r="AI123" s="19"/>
      <c r="AO123" s="19"/>
      <c r="AY123" s="145"/>
      <c r="AZ123" s="16"/>
      <c r="BC123" s="16"/>
      <c r="BD123" s="20"/>
      <c r="BE123" s="17"/>
      <c r="BF123" s="20"/>
      <c r="BG123" s="146"/>
      <c r="BH123" s="146"/>
      <c r="BI123" s="146"/>
      <c r="BJ123" s="20"/>
      <c r="BK123" s="20"/>
      <c r="BL123" s="154"/>
      <c r="BP123" s="20"/>
      <c r="BQ123" s="154"/>
      <c r="BR123" s="18"/>
      <c r="BS123" s="16"/>
      <c r="BT123" s="18"/>
      <c r="BU123" s="18"/>
      <c r="BV123" s="18"/>
      <c r="BW123" s="20"/>
      <c r="BX123" s="154"/>
      <c r="BY123" s="18"/>
      <c r="BZ123" s="146"/>
      <c r="CA123" s="18"/>
      <c r="CB123" s="18"/>
      <c r="CC123" s="20"/>
      <c r="CD123" s="154"/>
    </row>
    <row r="124" spans="35:82">
      <c r="AI124" s="19"/>
      <c r="AO124" s="19"/>
      <c r="AY124" s="145"/>
      <c r="AZ124" s="16"/>
      <c r="BC124" s="16"/>
      <c r="BD124" s="20"/>
      <c r="BE124" s="17"/>
      <c r="BF124" s="20"/>
      <c r="BG124" s="146"/>
      <c r="BH124" s="146"/>
      <c r="BI124" s="146"/>
      <c r="BJ124" s="20"/>
      <c r="BK124" s="20"/>
      <c r="BL124" s="154"/>
      <c r="BP124" s="20"/>
      <c r="BQ124" s="154"/>
      <c r="BR124" s="18"/>
      <c r="BS124" s="16"/>
      <c r="BT124" s="18"/>
      <c r="BU124" s="18"/>
      <c r="BV124" s="18"/>
      <c r="BW124" s="20"/>
      <c r="BX124" s="154"/>
      <c r="BY124" s="18"/>
      <c r="BZ124" s="146"/>
      <c r="CA124" s="18"/>
      <c r="CB124" s="18"/>
      <c r="CC124" s="20"/>
      <c r="CD124" s="154"/>
    </row>
    <row r="125" spans="35:82">
      <c r="AI125" s="19"/>
      <c r="AO125" s="19"/>
      <c r="AY125" s="145"/>
      <c r="AZ125" s="16"/>
      <c r="BC125" s="16"/>
      <c r="BD125" s="20"/>
      <c r="BE125" s="17"/>
      <c r="BF125" s="20"/>
      <c r="BG125" s="146"/>
      <c r="BH125" s="146"/>
      <c r="BI125" s="146"/>
      <c r="BJ125" s="20"/>
      <c r="BK125" s="20"/>
      <c r="BL125" s="154"/>
      <c r="BP125" s="20"/>
      <c r="BQ125" s="154"/>
      <c r="BR125" s="18"/>
      <c r="BS125" s="16"/>
      <c r="BT125" s="18"/>
      <c r="BU125" s="18"/>
      <c r="BV125" s="18"/>
      <c r="BW125" s="20"/>
      <c r="BX125" s="154"/>
      <c r="BY125" s="18"/>
      <c r="BZ125" s="146"/>
      <c r="CA125" s="18"/>
      <c r="CB125" s="18"/>
      <c r="CC125" s="20"/>
      <c r="CD125" s="154"/>
    </row>
    <row r="126" spans="35:82">
      <c r="AI126" s="19"/>
      <c r="AO126" s="19"/>
      <c r="AY126" s="145"/>
      <c r="AZ126" s="16"/>
      <c r="BC126" s="16"/>
      <c r="BD126" s="20"/>
      <c r="BE126" s="17"/>
      <c r="BF126" s="20"/>
      <c r="BG126" s="146"/>
      <c r="BH126" s="146"/>
      <c r="BI126" s="146"/>
      <c r="BJ126" s="20"/>
      <c r="BK126" s="20"/>
      <c r="BL126" s="154"/>
      <c r="BP126" s="20"/>
      <c r="BQ126" s="154"/>
      <c r="BR126" s="18"/>
      <c r="BS126" s="16"/>
      <c r="BT126" s="18"/>
      <c r="BU126" s="18"/>
      <c r="BV126" s="18"/>
      <c r="BW126" s="20"/>
      <c r="BX126" s="154"/>
      <c r="BY126" s="18"/>
      <c r="BZ126" s="146"/>
      <c r="CA126" s="18"/>
      <c r="CB126" s="18"/>
      <c r="CC126" s="20"/>
      <c r="CD126" s="154"/>
    </row>
    <row r="127" spans="35:82">
      <c r="AI127" s="19"/>
      <c r="AO127" s="19"/>
      <c r="AY127" s="145"/>
      <c r="AZ127" s="16"/>
      <c r="BC127" s="16"/>
      <c r="BD127" s="20"/>
      <c r="BE127" s="17"/>
      <c r="BF127" s="20"/>
      <c r="BG127" s="146"/>
      <c r="BH127" s="146"/>
      <c r="BI127" s="146"/>
      <c r="BJ127" s="20"/>
      <c r="BK127" s="20"/>
      <c r="BL127" s="154"/>
      <c r="BP127" s="20"/>
      <c r="BQ127" s="154"/>
      <c r="BR127" s="18"/>
      <c r="BS127" s="16"/>
      <c r="BT127" s="18"/>
      <c r="BU127" s="18"/>
      <c r="BV127" s="18"/>
      <c r="BW127" s="20"/>
      <c r="BX127" s="154"/>
      <c r="BY127" s="18"/>
      <c r="BZ127" s="146"/>
      <c r="CA127" s="18"/>
      <c r="CB127" s="18"/>
      <c r="CC127" s="20"/>
      <c r="CD127" s="154"/>
    </row>
    <row r="128" spans="35:82">
      <c r="AI128" s="19"/>
      <c r="AO128" s="19"/>
      <c r="AY128" s="145"/>
      <c r="AZ128" s="16"/>
      <c r="BC128" s="16"/>
      <c r="BD128" s="20"/>
      <c r="BE128" s="17"/>
      <c r="BF128" s="20"/>
      <c r="BG128" s="146"/>
      <c r="BH128" s="146"/>
      <c r="BI128" s="146"/>
      <c r="BJ128" s="20"/>
      <c r="BK128" s="20"/>
      <c r="BL128" s="154"/>
      <c r="BP128" s="20"/>
      <c r="BQ128" s="154"/>
      <c r="BR128" s="18"/>
      <c r="BS128" s="16"/>
      <c r="BT128" s="18"/>
      <c r="BU128" s="18"/>
      <c r="BV128" s="18"/>
      <c r="BW128" s="20"/>
      <c r="BX128" s="154"/>
      <c r="BY128" s="18"/>
      <c r="BZ128" s="146"/>
      <c r="CA128" s="18"/>
      <c r="CB128" s="18"/>
      <c r="CC128" s="20"/>
      <c r="CD128" s="154"/>
    </row>
    <row r="129" spans="35:82">
      <c r="AI129" s="19"/>
      <c r="AO129" s="19"/>
      <c r="AY129" s="145"/>
      <c r="AZ129" s="16"/>
      <c r="BC129" s="16"/>
      <c r="BD129" s="20"/>
      <c r="BE129" s="17"/>
      <c r="BF129" s="20"/>
      <c r="BG129" s="146"/>
      <c r="BH129" s="146"/>
      <c r="BI129" s="146"/>
      <c r="BJ129" s="20"/>
      <c r="BK129" s="20"/>
      <c r="BL129" s="154"/>
      <c r="BP129" s="20"/>
      <c r="BQ129" s="154"/>
      <c r="BR129" s="18"/>
      <c r="BS129" s="16"/>
      <c r="BT129" s="18"/>
      <c r="BU129" s="18"/>
      <c r="BV129" s="18"/>
      <c r="BW129" s="20"/>
      <c r="BX129" s="154"/>
      <c r="BY129" s="18"/>
      <c r="BZ129" s="146"/>
      <c r="CA129" s="18"/>
      <c r="CB129" s="18"/>
      <c r="CC129" s="20"/>
      <c r="CD129" s="154"/>
    </row>
    <row r="130" spans="35:82">
      <c r="AI130" s="19"/>
      <c r="AO130" s="19"/>
      <c r="AY130" s="145"/>
      <c r="AZ130" s="16"/>
      <c r="BC130" s="16"/>
      <c r="BD130" s="20"/>
      <c r="BE130" s="17"/>
      <c r="BF130" s="20"/>
      <c r="BG130" s="146"/>
      <c r="BH130" s="146"/>
      <c r="BI130" s="146"/>
      <c r="BJ130" s="20"/>
      <c r="BK130" s="20"/>
      <c r="BL130" s="154"/>
      <c r="BP130" s="20"/>
      <c r="BQ130" s="154"/>
      <c r="BR130" s="18"/>
      <c r="BS130" s="16"/>
      <c r="BT130" s="18"/>
      <c r="BU130" s="18"/>
      <c r="BV130" s="18"/>
      <c r="BW130" s="20"/>
      <c r="BX130" s="154"/>
      <c r="BY130" s="18"/>
      <c r="BZ130" s="146"/>
      <c r="CA130" s="18"/>
      <c r="CB130" s="18"/>
      <c r="CC130" s="20"/>
      <c r="CD130" s="154"/>
    </row>
    <row r="131" spans="35:82">
      <c r="AI131" s="19"/>
      <c r="AO131" s="19"/>
      <c r="AY131" s="145"/>
      <c r="AZ131" s="16"/>
      <c r="BC131" s="16"/>
      <c r="BD131" s="20"/>
      <c r="BE131" s="17"/>
      <c r="BF131" s="20"/>
      <c r="BG131" s="146"/>
      <c r="BH131" s="146"/>
      <c r="BI131" s="146"/>
      <c r="BJ131" s="20"/>
      <c r="BK131" s="20"/>
      <c r="BL131" s="154"/>
      <c r="BP131" s="20"/>
      <c r="BQ131" s="154"/>
      <c r="BR131" s="18"/>
      <c r="BS131" s="16"/>
      <c r="BT131" s="18"/>
      <c r="BU131" s="18"/>
      <c r="BV131" s="18"/>
      <c r="BW131" s="20"/>
      <c r="BX131" s="154"/>
      <c r="BY131" s="18"/>
      <c r="BZ131" s="146"/>
      <c r="CA131" s="18"/>
      <c r="CB131" s="18"/>
      <c r="CC131" s="20"/>
      <c r="CD131" s="154"/>
    </row>
    <row r="132" spans="35:82">
      <c r="AI132" s="19"/>
      <c r="AO132" s="19"/>
      <c r="AY132" s="145"/>
      <c r="AZ132" s="16"/>
      <c r="BC132" s="16"/>
      <c r="BD132" s="20"/>
      <c r="BE132" s="17"/>
      <c r="BF132" s="20"/>
      <c r="BG132" s="146"/>
      <c r="BH132" s="146"/>
      <c r="BI132" s="146"/>
      <c r="BJ132" s="20"/>
      <c r="BK132" s="20"/>
      <c r="BL132" s="154"/>
      <c r="BP132" s="20"/>
      <c r="BQ132" s="154"/>
      <c r="BR132" s="18"/>
      <c r="BS132" s="16"/>
      <c r="BT132" s="18"/>
      <c r="BU132" s="18"/>
      <c r="BV132" s="18"/>
      <c r="BW132" s="20"/>
      <c r="BX132" s="154"/>
      <c r="BY132" s="18"/>
      <c r="BZ132" s="146"/>
      <c r="CA132" s="18"/>
      <c r="CB132" s="18"/>
      <c r="CC132" s="20"/>
      <c r="CD132" s="154"/>
    </row>
    <row r="133" spans="35:82">
      <c r="AI133" s="19"/>
      <c r="AO133" s="19"/>
      <c r="AY133" s="145"/>
      <c r="AZ133" s="16"/>
      <c r="BC133" s="16"/>
      <c r="BD133" s="20"/>
      <c r="BE133" s="17"/>
      <c r="BF133" s="20"/>
      <c r="BG133" s="146"/>
      <c r="BH133" s="146"/>
      <c r="BI133" s="146"/>
      <c r="BJ133" s="20"/>
      <c r="BK133" s="20"/>
      <c r="BL133" s="154"/>
      <c r="BP133" s="20"/>
      <c r="BQ133" s="154"/>
      <c r="BR133" s="18"/>
      <c r="BS133" s="16"/>
      <c r="BT133" s="18"/>
      <c r="BU133" s="18"/>
      <c r="BV133" s="18"/>
      <c r="BW133" s="20"/>
      <c r="BX133" s="154"/>
      <c r="BY133" s="18"/>
      <c r="BZ133" s="146"/>
      <c r="CA133" s="18"/>
      <c r="CB133" s="18"/>
      <c r="CC133" s="20"/>
      <c r="CD133" s="154"/>
    </row>
    <row r="134" spans="35:82">
      <c r="AI134" s="19"/>
      <c r="AO134" s="19"/>
      <c r="AY134" s="145"/>
      <c r="AZ134" s="16"/>
      <c r="BC134" s="16"/>
      <c r="BD134" s="20"/>
      <c r="BE134" s="17"/>
      <c r="BF134" s="20"/>
      <c r="BG134" s="146"/>
      <c r="BH134" s="146"/>
      <c r="BI134" s="146"/>
      <c r="BJ134" s="20"/>
      <c r="BK134" s="20"/>
      <c r="BL134" s="154"/>
      <c r="BP134" s="20"/>
      <c r="BQ134" s="154"/>
      <c r="BR134" s="18"/>
      <c r="BS134" s="16"/>
      <c r="BT134" s="18"/>
      <c r="BU134" s="18"/>
      <c r="BV134" s="18"/>
      <c r="BW134" s="20"/>
      <c r="BX134" s="154"/>
      <c r="BY134" s="18"/>
      <c r="BZ134" s="146"/>
      <c r="CA134" s="18"/>
      <c r="CB134" s="18"/>
      <c r="CC134" s="20"/>
      <c r="CD134" s="154"/>
    </row>
    <row r="135" spans="35:82">
      <c r="AI135" s="19"/>
      <c r="AO135" s="19"/>
      <c r="AY135" s="145"/>
      <c r="AZ135" s="16"/>
      <c r="BC135" s="16"/>
      <c r="BD135" s="20"/>
      <c r="BE135" s="17"/>
      <c r="BF135" s="20"/>
      <c r="BG135" s="146"/>
      <c r="BH135" s="146"/>
      <c r="BI135" s="146"/>
      <c r="BJ135" s="20"/>
      <c r="BK135" s="20"/>
      <c r="BL135" s="154"/>
      <c r="BP135" s="20"/>
      <c r="BQ135" s="154"/>
      <c r="BR135" s="18"/>
      <c r="BS135" s="16"/>
      <c r="BT135" s="18"/>
      <c r="BU135" s="18"/>
      <c r="BV135" s="18"/>
      <c r="BW135" s="20"/>
      <c r="BX135" s="154"/>
      <c r="BY135" s="18"/>
      <c r="BZ135" s="146"/>
      <c r="CA135" s="18"/>
      <c r="CB135" s="18"/>
      <c r="CC135" s="20"/>
      <c r="CD135" s="154"/>
    </row>
    <row r="136" spans="35:82">
      <c r="AI136" s="19"/>
      <c r="AO136" s="19"/>
      <c r="AY136" s="145"/>
      <c r="AZ136" s="16"/>
      <c r="BC136" s="16"/>
      <c r="BD136" s="20"/>
      <c r="BE136" s="17"/>
      <c r="BF136" s="20"/>
      <c r="BG136" s="146"/>
      <c r="BH136" s="146"/>
      <c r="BI136" s="146"/>
      <c r="BJ136" s="20"/>
      <c r="BK136" s="20"/>
      <c r="BL136" s="154"/>
      <c r="BP136" s="20"/>
      <c r="BQ136" s="154"/>
      <c r="BR136" s="18"/>
      <c r="BS136" s="16"/>
      <c r="BT136" s="18"/>
      <c r="BU136" s="18"/>
      <c r="BV136" s="18"/>
      <c r="BW136" s="20"/>
      <c r="BX136" s="154"/>
      <c r="BY136" s="18"/>
      <c r="BZ136" s="146"/>
      <c r="CA136" s="18"/>
      <c r="CB136" s="18"/>
      <c r="CC136" s="20"/>
      <c r="CD136" s="154"/>
    </row>
    <row r="137" spans="35:82">
      <c r="AI137" s="19"/>
      <c r="AO137" s="19"/>
      <c r="AY137" s="145"/>
      <c r="AZ137" s="16"/>
      <c r="BC137" s="16"/>
      <c r="BD137" s="20"/>
      <c r="BE137" s="17"/>
      <c r="BF137" s="20"/>
      <c r="BG137" s="146"/>
      <c r="BH137" s="146"/>
      <c r="BI137" s="146"/>
      <c r="BJ137" s="20"/>
      <c r="BK137" s="20"/>
      <c r="BL137" s="154"/>
      <c r="BP137" s="20"/>
      <c r="BQ137" s="154"/>
      <c r="BR137" s="18"/>
      <c r="BS137" s="16"/>
      <c r="BT137" s="18"/>
      <c r="BU137" s="18"/>
      <c r="BV137" s="18"/>
      <c r="BW137" s="20"/>
      <c r="BX137" s="154"/>
      <c r="BY137" s="18"/>
      <c r="BZ137" s="146"/>
      <c r="CA137" s="18"/>
      <c r="CB137" s="18"/>
      <c r="CC137" s="20"/>
      <c r="CD137" s="154"/>
    </row>
    <row r="138" spans="35:82">
      <c r="AI138" s="19"/>
      <c r="AO138" s="19"/>
      <c r="AY138" s="145"/>
      <c r="AZ138" s="16"/>
      <c r="BC138" s="16"/>
      <c r="BD138" s="20"/>
      <c r="BE138" s="17"/>
      <c r="BF138" s="20"/>
      <c r="BG138" s="146"/>
      <c r="BH138" s="146"/>
      <c r="BI138" s="146"/>
      <c r="BJ138" s="20"/>
      <c r="BK138" s="20"/>
      <c r="BL138" s="154"/>
      <c r="BP138" s="20"/>
      <c r="BQ138" s="154"/>
      <c r="BR138" s="18"/>
      <c r="BS138" s="16"/>
      <c r="BT138" s="18"/>
      <c r="BU138" s="18"/>
      <c r="BV138" s="18"/>
      <c r="BW138" s="20"/>
      <c r="BX138" s="154"/>
      <c r="BY138" s="18"/>
      <c r="BZ138" s="146"/>
      <c r="CA138" s="18"/>
      <c r="CB138" s="18"/>
      <c r="CC138" s="20"/>
      <c r="CD138" s="154"/>
    </row>
    <row r="139" spans="35:82">
      <c r="AI139" s="19"/>
      <c r="AO139" s="19"/>
      <c r="AY139" s="145"/>
      <c r="AZ139" s="16"/>
      <c r="BC139" s="16"/>
      <c r="BD139" s="20"/>
      <c r="BE139" s="17"/>
      <c r="BF139" s="20"/>
      <c r="BG139" s="146"/>
      <c r="BH139" s="146"/>
      <c r="BI139" s="146"/>
      <c r="BJ139" s="20"/>
      <c r="BK139" s="20"/>
      <c r="BL139" s="154"/>
      <c r="BP139" s="20"/>
      <c r="BQ139" s="154"/>
      <c r="BR139" s="18"/>
      <c r="BS139" s="16"/>
      <c r="BT139" s="18"/>
      <c r="BU139" s="18"/>
      <c r="BV139" s="18"/>
      <c r="BW139" s="20"/>
      <c r="BX139" s="154"/>
      <c r="BY139" s="18"/>
      <c r="BZ139" s="146"/>
      <c r="CA139" s="18"/>
      <c r="CB139" s="18"/>
      <c r="CC139" s="20"/>
      <c r="CD139" s="154"/>
    </row>
    <row r="140" spans="35:82">
      <c r="AI140" s="19"/>
      <c r="AO140" s="19"/>
      <c r="AY140" s="145"/>
      <c r="AZ140" s="16"/>
      <c r="BC140" s="16"/>
      <c r="BD140" s="20"/>
      <c r="BE140" s="17"/>
      <c r="BF140" s="20"/>
      <c r="BG140" s="146"/>
      <c r="BH140" s="146"/>
      <c r="BI140" s="146"/>
      <c r="BJ140" s="20"/>
      <c r="BK140" s="20"/>
      <c r="BL140" s="154"/>
      <c r="BP140" s="20"/>
      <c r="BQ140" s="154"/>
      <c r="BR140" s="18"/>
      <c r="BS140" s="16"/>
      <c r="BT140" s="18"/>
      <c r="BU140" s="18"/>
      <c r="BV140" s="18"/>
      <c r="BW140" s="20"/>
      <c r="BX140" s="154"/>
      <c r="BY140" s="18"/>
      <c r="BZ140" s="146"/>
      <c r="CA140" s="18"/>
      <c r="CB140" s="18"/>
      <c r="CC140" s="20"/>
      <c r="CD140" s="154"/>
    </row>
    <row r="141" spans="35:82">
      <c r="AI141" s="19"/>
      <c r="AO141" s="19"/>
      <c r="AY141" s="145"/>
      <c r="AZ141" s="16"/>
      <c r="BC141" s="16"/>
      <c r="BD141" s="20"/>
      <c r="BE141" s="17"/>
      <c r="BF141" s="20"/>
      <c r="BG141" s="146"/>
      <c r="BH141" s="146"/>
      <c r="BI141" s="146"/>
      <c r="BJ141" s="20"/>
      <c r="BK141" s="20"/>
      <c r="BL141" s="154"/>
      <c r="BP141" s="20"/>
      <c r="BQ141" s="154"/>
      <c r="BR141" s="18"/>
      <c r="BS141" s="16"/>
      <c r="BT141" s="18"/>
      <c r="BU141" s="18"/>
      <c r="BV141" s="18"/>
      <c r="BW141" s="20"/>
      <c r="BX141" s="154"/>
      <c r="BY141" s="18"/>
      <c r="BZ141" s="146"/>
      <c r="CA141" s="18"/>
      <c r="CB141" s="18"/>
      <c r="CC141" s="20"/>
      <c r="CD141" s="154"/>
    </row>
    <row r="142" spans="35:82">
      <c r="AI142" s="19"/>
      <c r="AO142" s="19"/>
      <c r="AY142" s="145"/>
      <c r="AZ142" s="16"/>
      <c r="BC142" s="16"/>
      <c r="BD142" s="20"/>
      <c r="BE142" s="17"/>
      <c r="BF142" s="20"/>
      <c r="BG142" s="146"/>
      <c r="BH142" s="146"/>
      <c r="BI142" s="146"/>
      <c r="BJ142" s="20"/>
      <c r="BK142" s="20"/>
      <c r="BL142" s="154"/>
      <c r="BP142" s="20"/>
      <c r="BQ142" s="154"/>
      <c r="BR142" s="18"/>
      <c r="BS142" s="16"/>
      <c r="BT142" s="18"/>
      <c r="BU142" s="18"/>
      <c r="BV142" s="18"/>
      <c r="BW142" s="20"/>
      <c r="BX142" s="154"/>
      <c r="BY142" s="18"/>
      <c r="BZ142" s="146"/>
      <c r="CA142" s="18"/>
      <c r="CB142" s="18"/>
      <c r="CC142" s="20"/>
      <c r="CD142" s="154"/>
    </row>
    <row r="143" spans="35:82">
      <c r="AI143" s="19"/>
      <c r="AO143" s="19"/>
      <c r="AY143" s="145"/>
      <c r="AZ143" s="16"/>
      <c r="BC143" s="16"/>
      <c r="BD143" s="20"/>
      <c r="BE143" s="17"/>
      <c r="BF143" s="20"/>
      <c r="BG143" s="146"/>
      <c r="BH143" s="146"/>
      <c r="BI143" s="146"/>
      <c r="BJ143" s="20"/>
      <c r="BK143" s="20"/>
      <c r="BL143" s="154"/>
      <c r="BP143" s="20"/>
      <c r="BQ143" s="154"/>
      <c r="BR143" s="18"/>
      <c r="BS143" s="16"/>
      <c r="BT143" s="18"/>
      <c r="BU143" s="18"/>
      <c r="BV143" s="18"/>
      <c r="BW143" s="20"/>
      <c r="BX143" s="154"/>
      <c r="BY143" s="18"/>
      <c r="BZ143" s="146"/>
      <c r="CA143" s="18"/>
      <c r="CB143" s="18"/>
      <c r="CC143" s="20"/>
      <c r="CD143" s="154"/>
    </row>
    <row r="144" spans="35:82">
      <c r="AI144" s="19"/>
      <c r="AO144" s="19"/>
      <c r="AY144" s="145"/>
      <c r="AZ144" s="16"/>
      <c r="BC144" s="16"/>
      <c r="BD144" s="20"/>
      <c r="BE144" s="17"/>
      <c r="BF144" s="20"/>
      <c r="BG144" s="146"/>
      <c r="BH144" s="146"/>
      <c r="BI144" s="146"/>
      <c r="BJ144" s="20"/>
      <c r="BK144" s="20"/>
      <c r="BL144" s="154"/>
      <c r="BP144" s="20"/>
      <c r="BQ144" s="154"/>
      <c r="BR144" s="18"/>
      <c r="BS144" s="16"/>
      <c r="BT144" s="18"/>
      <c r="BU144" s="18"/>
      <c r="BV144" s="18"/>
      <c r="BW144" s="20"/>
      <c r="BX144" s="154"/>
      <c r="BY144" s="18"/>
      <c r="BZ144" s="146"/>
      <c r="CA144" s="18"/>
      <c r="CB144" s="18"/>
      <c r="CC144" s="20"/>
      <c r="CD144" s="154"/>
    </row>
    <row r="145" spans="35:82">
      <c r="AI145" s="19"/>
      <c r="AO145" s="19"/>
      <c r="AY145" s="145"/>
      <c r="AZ145" s="16"/>
      <c r="BC145" s="16"/>
      <c r="BD145" s="20"/>
      <c r="BE145" s="17"/>
      <c r="BF145" s="20"/>
      <c r="BG145" s="146"/>
      <c r="BH145" s="146"/>
      <c r="BI145" s="146"/>
      <c r="BJ145" s="20"/>
      <c r="BK145" s="20"/>
      <c r="BL145" s="154"/>
      <c r="BP145" s="20"/>
      <c r="BQ145" s="154"/>
      <c r="BR145" s="18"/>
      <c r="BS145" s="16"/>
      <c r="BT145" s="18"/>
      <c r="BU145" s="18"/>
      <c r="BV145" s="18"/>
      <c r="BW145" s="20"/>
      <c r="BX145" s="154"/>
      <c r="BY145" s="18"/>
      <c r="BZ145" s="146"/>
      <c r="CA145" s="18"/>
      <c r="CB145" s="18"/>
      <c r="CC145" s="20"/>
      <c r="CD145" s="154"/>
    </row>
    <row r="146" spans="35:82">
      <c r="AI146" s="19"/>
      <c r="AO146" s="19"/>
      <c r="AY146" s="145"/>
      <c r="AZ146" s="16"/>
      <c r="BC146" s="16"/>
      <c r="BD146" s="20"/>
      <c r="BE146" s="17"/>
      <c r="BF146" s="20"/>
      <c r="BG146" s="146"/>
      <c r="BH146" s="146"/>
      <c r="BI146" s="146"/>
      <c r="BJ146" s="20"/>
      <c r="BK146" s="20"/>
      <c r="BL146" s="154"/>
      <c r="BP146" s="20"/>
      <c r="BQ146" s="154"/>
      <c r="BR146" s="18"/>
      <c r="BS146" s="16"/>
      <c r="BT146" s="18"/>
      <c r="BU146" s="18"/>
      <c r="BV146" s="18"/>
      <c r="BW146" s="20"/>
      <c r="BX146" s="154"/>
      <c r="BY146" s="18"/>
      <c r="BZ146" s="146"/>
      <c r="CA146" s="18"/>
      <c r="CB146" s="18"/>
      <c r="CC146" s="20"/>
      <c r="CD146" s="154"/>
    </row>
    <row r="147" spans="35:82">
      <c r="AI147" s="19"/>
      <c r="AO147" s="19"/>
      <c r="AY147" s="145"/>
      <c r="AZ147" s="16"/>
      <c r="BC147" s="16"/>
      <c r="BD147" s="20"/>
      <c r="BE147" s="17"/>
      <c r="BF147" s="20"/>
      <c r="BG147" s="146"/>
      <c r="BH147" s="146"/>
      <c r="BI147" s="146"/>
      <c r="BJ147" s="20"/>
      <c r="BK147" s="20"/>
      <c r="BL147" s="154"/>
      <c r="BP147" s="20"/>
      <c r="BQ147" s="154"/>
      <c r="BR147" s="18"/>
      <c r="BS147" s="16"/>
      <c r="BT147" s="18"/>
      <c r="BU147" s="18"/>
      <c r="BV147" s="18"/>
      <c r="BW147" s="20"/>
      <c r="BX147" s="154"/>
      <c r="BY147" s="18"/>
      <c r="BZ147" s="146"/>
      <c r="CA147" s="18"/>
      <c r="CB147" s="18"/>
      <c r="CC147" s="20"/>
      <c r="CD147" s="154"/>
    </row>
    <row r="148" spans="35:82">
      <c r="AI148" s="19"/>
      <c r="AO148" s="19"/>
      <c r="AY148" s="145"/>
      <c r="AZ148" s="16"/>
      <c r="BC148" s="16"/>
      <c r="BD148" s="20"/>
      <c r="BE148" s="17"/>
      <c r="BF148" s="20"/>
      <c r="BG148" s="146"/>
      <c r="BH148" s="146"/>
      <c r="BI148" s="146"/>
      <c r="BJ148" s="20"/>
      <c r="BK148" s="20"/>
      <c r="BL148" s="154"/>
      <c r="BP148" s="20"/>
      <c r="BQ148" s="154"/>
      <c r="BR148" s="18"/>
      <c r="BS148" s="16"/>
      <c r="BT148" s="18"/>
      <c r="BU148" s="18"/>
      <c r="BV148" s="18"/>
      <c r="BW148" s="20"/>
      <c r="BX148" s="154"/>
      <c r="BY148" s="18"/>
      <c r="BZ148" s="146"/>
      <c r="CA148" s="18"/>
      <c r="CB148" s="18"/>
      <c r="CC148" s="20"/>
      <c r="CD148" s="154"/>
    </row>
    <row r="149" spans="35:82">
      <c r="AI149" s="19"/>
      <c r="AO149" s="19"/>
      <c r="AY149" s="145"/>
      <c r="AZ149" s="16"/>
      <c r="BC149" s="16"/>
      <c r="BD149" s="20"/>
      <c r="BE149" s="17"/>
      <c r="BF149" s="20"/>
      <c r="BG149" s="146"/>
      <c r="BH149" s="146"/>
      <c r="BI149" s="146"/>
      <c r="BJ149" s="20"/>
      <c r="BK149" s="20"/>
      <c r="BL149" s="154"/>
      <c r="BP149" s="20"/>
      <c r="BQ149" s="154"/>
      <c r="BR149" s="18"/>
      <c r="BS149" s="16"/>
      <c r="BT149" s="18"/>
      <c r="BU149" s="18"/>
      <c r="BV149" s="18"/>
      <c r="BW149" s="20"/>
      <c r="BX149" s="154"/>
      <c r="BY149" s="18"/>
      <c r="BZ149" s="146"/>
      <c r="CA149" s="18"/>
      <c r="CB149" s="18"/>
      <c r="CC149" s="20"/>
      <c r="CD149" s="154"/>
    </row>
    <row r="150" spans="35:82">
      <c r="AI150" s="19"/>
      <c r="AO150" s="19"/>
      <c r="AY150" s="145"/>
      <c r="AZ150" s="16"/>
      <c r="BC150" s="16"/>
      <c r="BD150" s="20"/>
      <c r="BE150" s="17"/>
      <c r="BF150" s="20"/>
      <c r="BG150" s="146"/>
      <c r="BH150" s="146"/>
      <c r="BI150" s="146"/>
      <c r="BJ150" s="20"/>
      <c r="BK150" s="20"/>
      <c r="BL150" s="154"/>
      <c r="BP150" s="20"/>
      <c r="BQ150" s="154"/>
      <c r="BR150" s="18"/>
      <c r="BS150" s="16"/>
      <c r="BT150" s="18"/>
      <c r="BU150" s="18"/>
      <c r="BV150" s="18"/>
      <c r="BW150" s="20"/>
      <c r="BX150" s="154"/>
      <c r="BY150" s="18"/>
      <c r="BZ150" s="146"/>
      <c r="CA150" s="18"/>
      <c r="CB150" s="18"/>
      <c r="CC150" s="20"/>
      <c r="CD150" s="154"/>
    </row>
    <row r="151" spans="35:82">
      <c r="AI151" s="19"/>
      <c r="AO151" s="19"/>
      <c r="AY151" s="145"/>
      <c r="AZ151" s="16"/>
      <c r="BC151" s="16"/>
      <c r="BD151" s="20"/>
      <c r="BE151" s="17"/>
      <c r="BF151" s="20"/>
      <c r="BG151" s="146"/>
      <c r="BH151" s="146"/>
      <c r="BI151" s="146"/>
      <c r="BJ151" s="20"/>
      <c r="BK151" s="20"/>
      <c r="BL151" s="154"/>
      <c r="BP151" s="20"/>
      <c r="BQ151" s="154"/>
      <c r="BR151" s="18"/>
      <c r="BS151" s="16"/>
      <c r="BT151" s="18"/>
      <c r="BU151" s="18"/>
      <c r="BV151" s="18"/>
      <c r="BW151" s="20"/>
      <c r="BX151" s="154"/>
      <c r="BY151" s="18"/>
      <c r="BZ151" s="146"/>
      <c r="CA151" s="18"/>
      <c r="CB151" s="18"/>
      <c r="CC151" s="20"/>
      <c r="CD151" s="154"/>
    </row>
    <row r="152" spans="35:82">
      <c r="AI152" s="19"/>
      <c r="AO152" s="19"/>
      <c r="AY152" s="145"/>
      <c r="AZ152" s="16"/>
      <c r="BC152" s="16"/>
      <c r="BD152" s="20"/>
      <c r="BE152" s="17"/>
      <c r="BF152" s="20"/>
      <c r="BG152" s="146"/>
      <c r="BH152" s="146"/>
      <c r="BI152" s="146"/>
      <c r="BJ152" s="20"/>
      <c r="BK152" s="20"/>
      <c r="BL152" s="154"/>
      <c r="BP152" s="20"/>
      <c r="BQ152" s="154"/>
      <c r="BR152" s="18"/>
      <c r="BS152" s="16"/>
      <c r="BT152" s="18"/>
      <c r="BU152" s="18"/>
      <c r="BV152" s="18"/>
      <c r="BW152" s="20"/>
      <c r="BX152" s="154"/>
      <c r="BY152" s="18"/>
      <c r="BZ152" s="146"/>
      <c r="CA152" s="18"/>
      <c r="CB152" s="18"/>
      <c r="CC152" s="20"/>
      <c r="CD152" s="154"/>
    </row>
    <row r="153" spans="35:82">
      <c r="AI153" s="19"/>
      <c r="AO153" s="19"/>
      <c r="AY153" s="145"/>
      <c r="AZ153" s="16"/>
      <c r="BC153" s="16"/>
      <c r="BD153" s="20"/>
      <c r="BE153" s="17"/>
      <c r="BF153" s="20"/>
      <c r="BG153" s="146"/>
      <c r="BH153" s="146"/>
      <c r="BI153" s="146"/>
      <c r="BJ153" s="20"/>
      <c r="BK153" s="20"/>
      <c r="BL153" s="154"/>
      <c r="BP153" s="20"/>
      <c r="BQ153" s="154"/>
      <c r="BR153" s="18"/>
      <c r="BS153" s="16"/>
      <c r="BT153" s="18"/>
      <c r="BU153" s="18"/>
      <c r="BV153" s="18"/>
      <c r="BW153" s="20"/>
      <c r="BX153" s="154"/>
      <c r="BY153" s="18"/>
      <c r="BZ153" s="146"/>
      <c r="CA153" s="18"/>
      <c r="CB153" s="18"/>
      <c r="CC153" s="20"/>
      <c r="CD153" s="154"/>
    </row>
    <row r="154" spans="35:82">
      <c r="AI154" s="19"/>
      <c r="AO154" s="19"/>
      <c r="AY154" s="145"/>
      <c r="AZ154" s="16"/>
      <c r="BC154" s="16"/>
      <c r="BD154" s="20"/>
      <c r="BE154" s="17"/>
      <c r="BF154" s="20"/>
      <c r="BG154" s="146"/>
      <c r="BH154" s="146"/>
      <c r="BI154" s="146"/>
      <c r="BJ154" s="20"/>
      <c r="BK154" s="20"/>
      <c r="BL154" s="154"/>
      <c r="BP154" s="20"/>
      <c r="BQ154" s="154"/>
      <c r="BR154" s="18"/>
      <c r="BS154" s="16"/>
      <c r="BT154" s="18"/>
      <c r="BU154" s="18"/>
      <c r="BV154" s="18"/>
      <c r="BW154" s="20"/>
      <c r="BX154" s="154"/>
      <c r="BY154" s="18"/>
      <c r="BZ154" s="146"/>
      <c r="CA154" s="18"/>
      <c r="CB154" s="18"/>
      <c r="CC154" s="20"/>
      <c r="CD154" s="154"/>
    </row>
    <row r="155" spans="35:82">
      <c r="AI155" s="19"/>
      <c r="AO155" s="19"/>
      <c r="AY155" s="145"/>
      <c r="AZ155" s="16"/>
      <c r="BC155" s="16"/>
      <c r="BD155" s="20"/>
      <c r="BE155" s="17"/>
      <c r="BF155" s="20"/>
      <c r="BG155" s="146"/>
      <c r="BH155" s="146"/>
      <c r="BI155" s="146"/>
      <c r="BJ155" s="20"/>
      <c r="BK155" s="20"/>
      <c r="BL155" s="154"/>
      <c r="BP155" s="20"/>
      <c r="BQ155" s="154"/>
      <c r="BR155" s="18"/>
      <c r="BS155" s="16"/>
      <c r="BT155" s="18"/>
      <c r="BU155" s="18"/>
      <c r="BV155" s="18"/>
      <c r="BW155" s="20"/>
      <c r="BX155" s="154"/>
      <c r="BY155" s="18"/>
      <c r="BZ155" s="146"/>
      <c r="CA155" s="18"/>
      <c r="CB155" s="18"/>
      <c r="CC155" s="20"/>
      <c r="CD155" s="154"/>
    </row>
    <row r="156" spans="35:82">
      <c r="AI156" s="19"/>
      <c r="AO156" s="19"/>
      <c r="AY156" s="145"/>
      <c r="AZ156" s="16"/>
      <c r="BC156" s="16"/>
      <c r="BD156" s="20"/>
      <c r="BE156" s="17"/>
      <c r="BF156" s="20"/>
      <c r="BG156" s="146"/>
      <c r="BH156" s="146"/>
      <c r="BI156" s="146"/>
      <c r="BJ156" s="20"/>
      <c r="BK156" s="20"/>
      <c r="BL156" s="154"/>
      <c r="BP156" s="20"/>
      <c r="BQ156" s="154"/>
      <c r="BR156" s="18"/>
      <c r="BS156" s="16"/>
      <c r="BT156" s="18"/>
      <c r="BU156" s="18"/>
      <c r="BV156" s="18"/>
      <c r="BW156" s="20"/>
      <c r="BX156" s="154"/>
      <c r="BY156" s="18"/>
      <c r="BZ156" s="146"/>
      <c r="CA156" s="18"/>
      <c r="CB156" s="18"/>
      <c r="CC156" s="20"/>
      <c r="CD156" s="154"/>
    </row>
    <row r="157" spans="35:82">
      <c r="AI157" s="19"/>
      <c r="AO157" s="19"/>
      <c r="AY157" s="145"/>
      <c r="AZ157" s="16"/>
      <c r="BC157" s="16"/>
      <c r="BD157" s="20"/>
      <c r="BE157" s="17"/>
      <c r="BF157" s="20"/>
      <c r="BG157" s="146"/>
      <c r="BH157" s="146"/>
      <c r="BI157" s="146"/>
      <c r="BJ157" s="20"/>
      <c r="BK157" s="20"/>
      <c r="BL157" s="154"/>
      <c r="BP157" s="20"/>
      <c r="BQ157" s="154"/>
      <c r="BR157" s="18"/>
      <c r="BS157" s="16"/>
      <c r="BT157" s="18"/>
      <c r="BU157" s="18"/>
      <c r="BV157" s="18"/>
      <c r="BW157" s="20"/>
      <c r="BX157" s="154"/>
      <c r="BY157" s="18"/>
      <c r="BZ157" s="146"/>
      <c r="CA157" s="18"/>
      <c r="CB157" s="18"/>
      <c r="CC157" s="20"/>
      <c r="CD157" s="154"/>
    </row>
    <row r="158" spans="35:82">
      <c r="AI158" s="19"/>
      <c r="AO158" s="19"/>
      <c r="AY158" s="145"/>
      <c r="AZ158" s="16"/>
      <c r="BC158" s="16"/>
      <c r="BD158" s="20"/>
      <c r="BE158" s="17"/>
      <c r="BF158" s="20"/>
      <c r="BG158" s="146"/>
      <c r="BH158" s="146"/>
      <c r="BI158" s="146"/>
      <c r="BJ158" s="20"/>
      <c r="BK158" s="20"/>
      <c r="BL158" s="154"/>
      <c r="BP158" s="20"/>
      <c r="BQ158" s="154"/>
      <c r="BR158" s="18"/>
      <c r="BS158" s="16"/>
      <c r="BT158" s="18"/>
      <c r="BU158" s="18"/>
      <c r="BV158" s="18"/>
      <c r="BW158" s="20"/>
      <c r="BX158" s="154"/>
      <c r="BY158" s="18"/>
      <c r="BZ158" s="146"/>
      <c r="CA158" s="18"/>
      <c r="CB158" s="18"/>
      <c r="CC158" s="20"/>
      <c r="CD158" s="154"/>
    </row>
    <row r="159" spans="35:82">
      <c r="AI159" s="19"/>
      <c r="AO159" s="19"/>
      <c r="AY159" s="145"/>
      <c r="AZ159" s="16"/>
      <c r="BC159" s="16"/>
      <c r="BD159" s="20"/>
      <c r="BE159" s="17"/>
      <c r="BF159" s="20"/>
      <c r="BG159" s="146"/>
      <c r="BH159" s="146"/>
      <c r="BI159" s="146"/>
      <c r="BJ159" s="20"/>
      <c r="BK159" s="20"/>
      <c r="BL159" s="154"/>
      <c r="BP159" s="20"/>
      <c r="BQ159" s="154"/>
      <c r="BR159" s="18"/>
      <c r="BS159" s="16"/>
      <c r="BT159" s="18"/>
      <c r="BU159" s="18"/>
      <c r="BV159" s="18"/>
      <c r="BW159" s="20"/>
      <c r="BX159" s="154"/>
      <c r="BY159" s="18"/>
      <c r="BZ159" s="146"/>
      <c r="CA159" s="18"/>
      <c r="CB159" s="18"/>
      <c r="CC159" s="20"/>
      <c r="CD159" s="154"/>
    </row>
    <row r="160" spans="35:82">
      <c r="AI160" s="19"/>
      <c r="AO160" s="19"/>
      <c r="AY160" s="145"/>
      <c r="AZ160" s="16"/>
      <c r="BC160" s="16"/>
      <c r="BD160" s="20"/>
      <c r="BE160" s="17"/>
      <c r="BF160" s="20"/>
      <c r="BG160" s="146"/>
      <c r="BH160" s="146"/>
      <c r="BI160" s="146"/>
      <c r="BJ160" s="20"/>
      <c r="BK160" s="20"/>
      <c r="BL160" s="154"/>
      <c r="BP160" s="20"/>
      <c r="BQ160" s="154"/>
      <c r="BR160" s="18"/>
      <c r="BS160" s="16"/>
      <c r="BT160" s="18"/>
      <c r="BU160" s="18"/>
      <c r="BV160" s="18"/>
      <c r="BW160" s="20"/>
      <c r="BX160" s="154"/>
      <c r="BY160" s="18"/>
      <c r="BZ160" s="146"/>
      <c r="CA160" s="18"/>
      <c r="CB160" s="18"/>
      <c r="CC160" s="20"/>
      <c r="CD160" s="154"/>
    </row>
    <row r="161" spans="35:82">
      <c r="AI161" s="19"/>
      <c r="AO161" s="19"/>
      <c r="AY161" s="145"/>
      <c r="AZ161" s="16"/>
      <c r="BC161" s="16"/>
      <c r="BD161" s="20"/>
      <c r="BE161" s="17"/>
      <c r="BF161" s="20"/>
      <c r="BG161" s="146"/>
      <c r="BH161" s="146"/>
      <c r="BI161" s="146"/>
      <c r="BJ161" s="20"/>
      <c r="BK161" s="20"/>
      <c r="BL161" s="154"/>
      <c r="BP161" s="20"/>
      <c r="BQ161" s="154"/>
      <c r="BR161" s="18"/>
      <c r="BS161" s="16"/>
      <c r="BT161" s="18"/>
      <c r="BU161" s="18"/>
      <c r="BV161" s="18"/>
      <c r="BW161" s="20"/>
      <c r="BX161" s="154"/>
      <c r="BY161" s="18"/>
      <c r="BZ161" s="146"/>
      <c r="CA161" s="18"/>
      <c r="CB161" s="18"/>
      <c r="CC161" s="20"/>
      <c r="CD161" s="154"/>
    </row>
    <row r="162" spans="35:82">
      <c r="AI162" s="19"/>
      <c r="AO162" s="19"/>
      <c r="AY162" s="145"/>
      <c r="AZ162" s="16"/>
      <c r="BC162" s="16"/>
      <c r="BD162" s="20"/>
      <c r="BE162" s="17"/>
      <c r="BF162" s="20"/>
      <c r="BG162" s="146"/>
      <c r="BH162" s="146"/>
      <c r="BI162" s="146"/>
      <c r="BJ162" s="20"/>
      <c r="BK162" s="20"/>
      <c r="BL162" s="154"/>
      <c r="BP162" s="20"/>
      <c r="BQ162" s="154"/>
      <c r="BR162" s="18"/>
      <c r="BS162" s="16"/>
      <c r="BT162" s="18"/>
      <c r="BU162" s="18"/>
      <c r="BV162" s="18"/>
      <c r="BW162" s="20"/>
      <c r="BX162" s="154"/>
      <c r="BY162" s="18"/>
      <c r="BZ162" s="146"/>
      <c r="CA162" s="18"/>
      <c r="CB162" s="18"/>
      <c r="CC162" s="20"/>
      <c r="CD162" s="154"/>
    </row>
    <row r="163" spans="35:82">
      <c r="AI163" s="19"/>
      <c r="AO163" s="19"/>
      <c r="AY163" s="145"/>
      <c r="AZ163" s="16"/>
      <c r="BC163" s="16"/>
      <c r="BD163" s="20"/>
      <c r="BE163" s="17"/>
      <c r="BF163" s="20"/>
      <c r="BG163" s="146"/>
      <c r="BH163" s="146"/>
      <c r="BI163" s="146"/>
      <c r="BJ163" s="20"/>
      <c r="BK163" s="20"/>
      <c r="BL163" s="154"/>
      <c r="BP163" s="20"/>
      <c r="BQ163" s="154"/>
      <c r="BR163" s="18"/>
      <c r="BS163" s="16"/>
      <c r="BT163" s="18"/>
      <c r="BU163" s="18"/>
      <c r="BV163" s="18"/>
      <c r="BW163" s="20"/>
      <c r="BX163" s="154"/>
      <c r="BY163" s="18"/>
      <c r="BZ163" s="146"/>
      <c r="CA163" s="18"/>
      <c r="CB163" s="18"/>
      <c r="CC163" s="20"/>
      <c r="CD163" s="154"/>
    </row>
    <row r="164" spans="35:82">
      <c r="AI164" s="19"/>
      <c r="AO164" s="19"/>
      <c r="AY164" s="145"/>
      <c r="AZ164" s="16"/>
      <c r="BC164" s="16"/>
      <c r="BD164" s="20"/>
      <c r="BE164" s="17"/>
      <c r="BF164" s="20"/>
      <c r="BG164" s="146"/>
      <c r="BH164" s="146"/>
      <c r="BI164" s="146"/>
      <c r="BJ164" s="20"/>
      <c r="BK164" s="20"/>
      <c r="BL164" s="154"/>
      <c r="BP164" s="20"/>
      <c r="BQ164" s="154"/>
      <c r="BR164" s="18"/>
      <c r="BS164" s="16"/>
      <c r="BT164" s="18"/>
      <c r="BU164" s="18"/>
      <c r="BV164" s="18"/>
      <c r="BW164" s="20"/>
      <c r="BX164" s="154"/>
      <c r="BY164" s="18"/>
      <c r="BZ164" s="146"/>
      <c r="CA164" s="18"/>
      <c r="CB164" s="18"/>
      <c r="CC164" s="20"/>
      <c r="CD164" s="154"/>
    </row>
    <row r="165" spans="35:82">
      <c r="AI165" s="19"/>
      <c r="AO165" s="19"/>
      <c r="AY165" s="145"/>
      <c r="AZ165" s="16"/>
      <c r="BC165" s="16"/>
      <c r="BD165" s="20"/>
      <c r="BE165" s="17"/>
      <c r="BF165" s="20"/>
      <c r="BG165" s="146"/>
      <c r="BH165" s="146"/>
      <c r="BI165" s="146"/>
      <c r="BJ165" s="20"/>
      <c r="BK165" s="20"/>
      <c r="BL165" s="154"/>
      <c r="BP165" s="20"/>
      <c r="BQ165" s="154"/>
      <c r="BR165" s="18"/>
      <c r="BS165" s="16"/>
      <c r="BT165" s="18"/>
      <c r="BU165" s="18"/>
      <c r="BV165" s="18"/>
      <c r="BW165" s="20"/>
      <c r="BX165" s="154"/>
      <c r="BY165" s="18"/>
      <c r="BZ165" s="146"/>
      <c r="CA165" s="18"/>
      <c r="CB165" s="18"/>
      <c r="CC165" s="20"/>
      <c r="CD165" s="154"/>
    </row>
    <row r="166" spans="35:82">
      <c r="AI166" s="19"/>
      <c r="AO166" s="19"/>
      <c r="AY166" s="145"/>
      <c r="AZ166" s="16"/>
      <c r="BC166" s="16"/>
      <c r="BD166" s="20"/>
      <c r="BE166" s="17"/>
      <c r="BF166" s="20"/>
      <c r="BG166" s="146"/>
      <c r="BH166" s="146"/>
      <c r="BI166" s="146"/>
      <c r="BJ166" s="20"/>
      <c r="BK166" s="20"/>
      <c r="BL166" s="154"/>
      <c r="BP166" s="20"/>
      <c r="BQ166" s="154"/>
      <c r="BR166" s="18"/>
      <c r="BS166" s="16"/>
      <c r="BT166" s="18"/>
      <c r="BU166" s="18"/>
      <c r="BV166" s="18"/>
      <c r="BW166" s="20"/>
      <c r="BX166" s="154"/>
      <c r="BY166" s="18"/>
      <c r="BZ166" s="146"/>
      <c r="CA166" s="18"/>
      <c r="CB166" s="18"/>
      <c r="CC166" s="20"/>
      <c r="CD166" s="154"/>
    </row>
    <row r="167" spans="35:82">
      <c r="AI167" s="19"/>
      <c r="AO167" s="19"/>
      <c r="AY167" s="145"/>
      <c r="AZ167" s="16"/>
      <c r="BC167" s="16"/>
      <c r="BD167" s="20"/>
      <c r="BE167" s="17"/>
      <c r="BF167" s="20"/>
      <c r="BG167" s="146"/>
      <c r="BH167" s="146"/>
      <c r="BI167" s="146"/>
      <c r="BJ167" s="20"/>
      <c r="BK167" s="20"/>
      <c r="BL167" s="154"/>
      <c r="BP167" s="20"/>
      <c r="BQ167" s="154"/>
      <c r="BR167" s="18"/>
      <c r="BS167" s="16"/>
      <c r="BT167" s="18"/>
      <c r="BU167" s="18"/>
      <c r="BV167" s="18"/>
      <c r="BW167" s="20"/>
      <c r="BX167" s="154"/>
      <c r="BY167" s="18"/>
      <c r="BZ167" s="146"/>
      <c r="CA167" s="18"/>
      <c r="CB167" s="18"/>
      <c r="CC167" s="20"/>
      <c r="CD167" s="154"/>
    </row>
    <row r="168" spans="35:82">
      <c r="AI168" s="19"/>
      <c r="AO168" s="19"/>
      <c r="AY168" s="145"/>
      <c r="AZ168" s="16"/>
      <c r="BC168" s="16"/>
      <c r="BD168" s="20"/>
      <c r="BE168" s="17"/>
      <c r="BF168" s="20"/>
      <c r="BG168" s="146"/>
      <c r="BH168" s="146"/>
      <c r="BI168" s="146"/>
      <c r="BJ168" s="20"/>
      <c r="BK168" s="20"/>
      <c r="BL168" s="154"/>
      <c r="BP168" s="20"/>
      <c r="BQ168" s="154"/>
      <c r="BR168" s="18"/>
      <c r="BS168" s="16"/>
      <c r="BT168" s="18"/>
      <c r="BU168" s="18"/>
      <c r="BV168" s="18"/>
      <c r="BW168" s="20"/>
      <c r="BX168" s="154"/>
      <c r="BY168" s="18"/>
      <c r="BZ168" s="146"/>
      <c r="CA168" s="18"/>
      <c r="CB168" s="18"/>
      <c r="CC168" s="20"/>
      <c r="CD168" s="154"/>
    </row>
    <row r="169" spans="35:82">
      <c r="AI169" s="19"/>
      <c r="AO169" s="19"/>
      <c r="AY169" s="145"/>
      <c r="AZ169" s="16"/>
      <c r="BC169" s="16"/>
      <c r="BD169" s="20"/>
      <c r="BE169" s="17"/>
      <c r="BF169" s="20"/>
      <c r="BG169" s="146"/>
      <c r="BH169" s="146"/>
      <c r="BI169" s="146"/>
      <c r="BJ169" s="20"/>
      <c r="BK169" s="20"/>
      <c r="BL169" s="154"/>
      <c r="BP169" s="20"/>
      <c r="BQ169" s="154"/>
      <c r="BR169" s="18"/>
      <c r="BS169" s="16"/>
      <c r="BT169" s="18"/>
      <c r="BU169" s="18"/>
      <c r="BV169" s="18"/>
      <c r="BW169" s="20"/>
      <c r="BX169" s="154"/>
      <c r="BY169" s="18"/>
      <c r="BZ169" s="146"/>
      <c r="CA169" s="18"/>
      <c r="CB169" s="18"/>
      <c r="CC169" s="20"/>
      <c r="CD169" s="154"/>
    </row>
    <row r="170" spans="35:82">
      <c r="AI170" s="19"/>
      <c r="AO170" s="19"/>
      <c r="AY170" s="145"/>
      <c r="AZ170" s="16"/>
      <c r="BC170" s="16"/>
      <c r="BD170" s="20"/>
      <c r="BE170" s="17"/>
      <c r="BF170" s="20"/>
      <c r="BG170" s="146"/>
      <c r="BH170" s="146"/>
      <c r="BI170" s="146"/>
      <c r="BJ170" s="20"/>
      <c r="BK170" s="20"/>
      <c r="BL170" s="154"/>
      <c r="BP170" s="20"/>
      <c r="BQ170" s="154"/>
      <c r="BR170" s="18"/>
      <c r="BS170" s="16"/>
      <c r="BT170" s="18"/>
      <c r="BU170" s="18"/>
      <c r="BV170" s="18"/>
      <c r="BW170" s="20"/>
      <c r="BX170" s="154"/>
      <c r="BY170" s="18"/>
      <c r="BZ170" s="146"/>
      <c r="CA170" s="18"/>
      <c r="CB170" s="18"/>
      <c r="CC170" s="20"/>
      <c r="CD170" s="154"/>
    </row>
    <row r="171" spans="35:82">
      <c r="AI171" s="19"/>
      <c r="AO171" s="19"/>
      <c r="AY171" s="145"/>
      <c r="AZ171" s="16"/>
      <c r="BC171" s="16"/>
      <c r="BD171" s="20"/>
      <c r="BE171" s="17"/>
      <c r="BF171" s="20"/>
      <c r="BG171" s="146"/>
      <c r="BH171" s="146"/>
      <c r="BI171" s="146"/>
      <c r="BJ171" s="20"/>
      <c r="BK171" s="20"/>
      <c r="BL171" s="154"/>
      <c r="BP171" s="20"/>
      <c r="BQ171" s="154"/>
      <c r="BR171" s="18"/>
      <c r="BS171" s="16"/>
      <c r="BT171" s="18"/>
      <c r="BU171" s="18"/>
      <c r="BV171" s="18"/>
      <c r="BW171" s="20"/>
      <c r="BX171" s="154"/>
      <c r="BY171" s="18"/>
      <c r="BZ171" s="146"/>
      <c r="CA171" s="18"/>
      <c r="CB171" s="18"/>
      <c r="CC171" s="20"/>
      <c r="CD171" s="154"/>
    </row>
    <row r="172" spans="35:82">
      <c r="AI172" s="19"/>
      <c r="AO172" s="19"/>
      <c r="AY172" s="145"/>
      <c r="AZ172" s="16"/>
      <c r="BC172" s="16"/>
      <c r="BD172" s="20"/>
      <c r="BE172" s="17"/>
      <c r="BF172" s="20"/>
      <c r="BG172" s="146"/>
      <c r="BH172" s="146"/>
      <c r="BI172" s="146"/>
      <c r="BJ172" s="20"/>
      <c r="BK172" s="20"/>
      <c r="BL172" s="154"/>
      <c r="BP172" s="20"/>
      <c r="BQ172" s="154"/>
      <c r="BR172" s="18"/>
      <c r="BS172" s="16"/>
      <c r="BT172" s="18"/>
      <c r="BU172" s="18"/>
      <c r="BV172" s="18"/>
      <c r="BW172" s="20"/>
      <c r="BX172" s="154"/>
      <c r="BY172" s="18"/>
      <c r="BZ172" s="146"/>
      <c r="CA172" s="18"/>
      <c r="CB172" s="18"/>
      <c r="CC172" s="20"/>
      <c r="CD172" s="154"/>
    </row>
    <row r="173" spans="35:82">
      <c r="AI173" s="19"/>
      <c r="AO173" s="19"/>
      <c r="AY173" s="145"/>
      <c r="AZ173" s="16"/>
      <c r="BC173" s="16"/>
      <c r="BD173" s="20"/>
      <c r="BE173" s="17"/>
      <c r="BF173" s="20"/>
      <c r="BG173" s="146"/>
      <c r="BH173" s="146"/>
      <c r="BI173" s="146"/>
      <c r="BJ173" s="20"/>
      <c r="BK173" s="20"/>
      <c r="BL173" s="154"/>
      <c r="BP173" s="20"/>
      <c r="BQ173" s="154"/>
      <c r="BR173" s="18"/>
      <c r="BS173" s="16"/>
      <c r="BT173" s="18"/>
      <c r="BU173" s="18"/>
      <c r="BV173" s="18"/>
      <c r="BW173" s="20"/>
      <c r="BX173" s="154"/>
      <c r="BY173" s="18"/>
      <c r="BZ173" s="146"/>
      <c r="CA173" s="18"/>
      <c r="CB173" s="18"/>
      <c r="CC173" s="20"/>
      <c r="CD173" s="154"/>
    </row>
    <row r="174" spans="35:82">
      <c r="AI174" s="19"/>
      <c r="AO174" s="19"/>
      <c r="AY174" s="145"/>
      <c r="AZ174" s="16"/>
      <c r="BC174" s="16"/>
      <c r="BD174" s="20"/>
      <c r="BE174" s="17"/>
      <c r="BF174" s="20"/>
      <c r="BG174" s="146"/>
      <c r="BH174" s="146"/>
      <c r="BI174" s="146"/>
      <c r="BJ174" s="20"/>
      <c r="BK174" s="20"/>
      <c r="BL174" s="154"/>
      <c r="BP174" s="20"/>
      <c r="BQ174" s="154"/>
      <c r="BR174" s="18"/>
      <c r="BS174" s="16"/>
      <c r="BT174" s="18"/>
      <c r="BU174" s="18"/>
      <c r="BV174" s="18"/>
      <c r="BW174" s="20"/>
      <c r="BX174" s="154"/>
      <c r="BY174" s="18"/>
      <c r="BZ174" s="146"/>
      <c r="CA174" s="18"/>
      <c r="CB174" s="18"/>
      <c r="CC174" s="20"/>
      <c r="CD174" s="154"/>
    </row>
    <row r="175" spans="35:82">
      <c r="AI175" s="19"/>
      <c r="AO175" s="19"/>
      <c r="AY175" s="145"/>
      <c r="AZ175" s="16"/>
      <c r="BC175" s="16"/>
      <c r="BD175" s="20"/>
      <c r="BE175" s="17"/>
      <c r="BF175" s="20"/>
      <c r="BG175" s="146"/>
      <c r="BH175" s="146"/>
      <c r="BI175" s="146"/>
      <c r="BJ175" s="20"/>
      <c r="BK175" s="20"/>
      <c r="BL175" s="154"/>
      <c r="BP175" s="20"/>
      <c r="BQ175" s="154"/>
      <c r="BR175" s="18"/>
      <c r="BS175" s="16"/>
      <c r="BT175" s="18"/>
      <c r="BU175" s="18"/>
      <c r="BV175" s="18"/>
      <c r="BW175" s="20"/>
      <c r="BX175" s="154"/>
      <c r="BY175" s="18"/>
      <c r="BZ175" s="146"/>
      <c r="CA175" s="18"/>
      <c r="CB175" s="18"/>
      <c r="CC175" s="20"/>
      <c r="CD175" s="154"/>
    </row>
    <row r="176" spans="35:82">
      <c r="AI176" s="19"/>
      <c r="AO176" s="19"/>
      <c r="AY176" s="145"/>
      <c r="AZ176" s="16"/>
      <c r="BC176" s="16"/>
      <c r="BD176" s="20"/>
      <c r="BE176" s="17"/>
      <c r="BF176" s="20"/>
      <c r="BG176" s="146"/>
      <c r="BH176" s="146"/>
      <c r="BI176" s="146"/>
      <c r="BJ176" s="20"/>
      <c r="BK176" s="20"/>
      <c r="BL176" s="154"/>
      <c r="BP176" s="20"/>
      <c r="BQ176" s="154"/>
      <c r="BR176" s="18"/>
      <c r="BS176" s="16"/>
      <c r="BT176" s="18"/>
      <c r="BU176" s="18"/>
      <c r="BV176" s="18"/>
      <c r="BW176" s="20"/>
      <c r="BX176" s="154"/>
      <c r="BY176" s="18"/>
      <c r="BZ176" s="146"/>
      <c r="CA176" s="18"/>
      <c r="CB176" s="18"/>
      <c r="CC176" s="20"/>
      <c r="CD176" s="154"/>
    </row>
    <row r="177" spans="35:82">
      <c r="AI177" s="19"/>
      <c r="AO177" s="19"/>
      <c r="AY177" s="145"/>
      <c r="AZ177" s="16"/>
      <c r="BC177" s="16"/>
      <c r="BD177" s="20"/>
      <c r="BE177" s="17"/>
      <c r="BF177" s="20"/>
      <c r="BG177" s="146"/>
      <c r="BH177" s="146"/>
      <c r="BI177" s="146"/>
      <c r="BJ177" s="20"/>
      <c r="BK177" s="20"/>
      <c r="BL177" s="154"/>
      <c r="BP177" s="20"/>
      <c r="BQ177" s="154"/>
      <c r="BR177" s="18"/>
      <c r="BS177" s="16"/>
      <c r="BT177" s="18"/>
      <c r="BU177" s="18"/>
      <c r="BV177" s="18"/>
      <c r="BW177" s="20"/>
      <c r="BX177" s="154"/>
      <c r="BY177" s="18"/>
      <c r="BZ177" s="146"/>
      <c r="CA177" s="18"/>
      <c r="CB177" s="18"/>
      <c r="CC177" s="20"/>
      <c r="CD177" s="154"/>
    </row>
    <row r="178" spans="35:82">
      <c r="AI178" s="19"/>
      <c r="AO178" s="19"/>
      <c r="AY178" s="145"/>
      <c r="AZ178" s="16"/>
      <c r="BC178" s="16"/>
      <c r="BD178" s="20"/>
      <c r="BE178" s="17"/>
      <c r="BF178" s="20"/>
      <c r="BG178" s="146"/>
      <c r="BH178" s="146"/>
      <c r="BI178" s="146"/>
      <c r="BJ178" s="20"/>
      <c r="BK178" s="20"/>
      <c r="BL178" s="154"/>
      <c r="BP178" s="20"/>
      <c r="BQ178" s="154"/>
      <c r="BR178" s="18"/>
      <c r="BS178" s="16"/>
      <c r="BT178" s="18"/>
      <c r="BU178" s="18"/>
      <c r="BV178" s="18"/>
      <c r="BW178" s="20"/>
      <c r="BX178" s="154"/>
      <c r="BY178" s="18"/>
      <c r="BZ178" s="146"/>
      <c r="CA178" s="18"/>
      <c r="CB178" s="18"/>
      <c r="CC178" s="20"/>
      <c r="CD178" s="154"/>
    </row>
    <row r="179" spans="35:82">
      <c r="AI179" s="19"/>
      <c r="AO179" s="19"/>
      <c r="AY179" s="145"/>
      <c r="AZ179" s="16"/>
      <c r="BC179" s="16"/>
      <c r="BD179" s="20"/>
      <c r="BE179" s="17"/>
      <c r="BF179" s="20"/>
      <c r="BG179" s="146"/>
      <c r="BH179" s="146"/>
      <c r="BI179" s="146"/>
      <c r="BJ179" s="20"/>
      <c r="BK179" s="20"/>
      <c r="BL179" s="154"/>
      <c r="BP179" s="20"/>
      <c r="BQ179" s="154"/>
      <c r="BR179" s="18"/>
      <c r="BS179" s="16"/>
      <c r="BT179" s="18"/>
      <c r="BU179" s="18"/>
      <c r="BV179" s="18"/>
      <c r="BW179" s="20"/>
      <c r="BX179" s="154"/>
      <c r="BY179" s="18"/>
      <c r="BZ179" s="146"/>
      <c r="CA179" s="18"/>
      <c r="CB179" s="18"/>
      <c r="CC179" s="20"/>
      <c r="CD179" s="154"/>
    </row>
    <row r="180" spans="35:82">
      <c r="AI180" s="19"/>
      <c r="AO180" s="19"/>
      <c r="AY180" s="145"/>
      <c r="AZ180" s="16"/>
      <c r="BC180" s="16"/>
      <c r="BD180" s="20"/>
      <c r="BE180" s="17"/>
      <c r="BF180" s="20"/>
      <c r="BG180" s="146"/>
      <c r="BH180" s="146"/>
      <c r="BI180" s="146"/>
      <c r="BJ180" s="20"/>
      <c r="BK180" s="20"/>
      <c r="BL180" s="154"/>
      <c r="BP180" s="20"/>
      <c r="BQ180" s="154"/>
      <c r="BR180" s="18"/>
      <c r="BS180" s="16"/>
      <c r="BT180" s="18"/>
      <c r="BU180" s="18"/>
      <c r="BV180" s="18"/>
      <c r="BW180" s="20"/>
      <c r="BX180" s="154"/>
      <c r="BY180" s="18"/>
      <c r="BZ180" s="146"/>
      <c r="CA180" s="18"/>
      <c r="CB180" s="18"/>
      <c r="CC180" s="20"/>
      <c r="CD180" s="154"/>
    </row>
    <row r="181" spans="35:82">
      <c r="AI181" s="19"/>
      <c r="AO181" s="19"/>
      <c r="AY181" s="145"/>
      <c r="AZ181" s="16"/>
      <c r="BC181" s="16"/>
      <c r="BD181" s="20"/>
      <c r="BE181" s="17"/>
      <c r="BF181" s="20"/>
      <c r="BG181" s="146"/>
      <c r="BH181" s="146"/>
      <c r="BI181" s="146"/>
      <c r="BJ181" s="20"/>
      <c r="BK181" s="20"/>
      <c r="BL181" s="154"/>
      <c r="BP181" s="20"/>
      <c r="BQ181" s="154"/>
      <c r="BR181" s="18"/>
      <c r="BS181" s="16"/>
      <c r="BT181" s="18"/>
      <c r="BU181" s="18"/>
      <c r="BV181" s="18"/>
      <c r="BW181" s="20"/>
      <c r="BX181" s="154"/>
      <c r="BY181" s="18"/>
      <c r="BZ181" s="146"/>
      <c r="CA181" s="18"/>
      <c r="CB181" s="18"/>
      <c r="CC181" s="20"/>
      <c r="CD181" s="154"/>
    </row>
    <row r="182" spans="35:82">
      <c r="AI182" s="19"/>
      <c r="AO182" s="19"/>
      <c r="AY182" s="145"/>
      <c r="AZ182" s="16"/>
      <c r="BC182" s="16"/>
      <c r="BD182" s="20"/>
      <c r="BE182" s="17"/>
      <c r="BF182" s="20"/>
      <c r="BG182" s="146"/>
      <c r="BH182" s="146"/>
      <c r="BI182" s="146"/>
      <c r="BJ182" s="20"/>
      <c r="BK182" s="20"/>
      <c r="BL182" s="154"/>
      <c r="BP182" s="20"/>
      <c r="BQ182" s="154"/>
      <c r="BR182" s="18"/>
      <c r="BS182" s="16"/>
      <c r="BT182" s="18"/>
      <c r="BU182" s="18"/>
      <c r="BV182" s="18"/>
      <c r="BW182" s="20"/>
      <c r="BX182" s="154"/>
      <c r="BY182" s="18"/>
      <c r="BZ182" s="146"/>
      <c r="CA182" s="18"/>
      <c r="CB182" s="18"/>
      <c r="CC182" s="20"/>
      <c r="CD182" s="154"/>
    </row>
    <row r="183" spans="35:82">
      <c r="AI183" s="19"/>
      <c r="AO183" s="19"/>
      <c r="AY183" s="145"/>
      <c r="AZ183" s="16"/>
      <c r="BC183" s="16"/>
      <c r="BD183" s="20"/>
      <c r="BE183" s="17"/>
      <c r="BF183" s="20"/>
      <c r="BG183" s="146"/>
      <c r="BH183" s="146"/>
      <c r="BI183" s="146"/>
      <c r="BJ183" s="20"/>
      <c r="BK183" s="20"/>
      <c r="BL183" s="154"/>
      <c r="BP183" s="20"/>
      <c r="BQ183" s="154"/>
      <c r="BR183" s="18"/>
      <c r="BS183" s="16"/>
      <c r="BT183" s="18"/>
      <c r="BU183" s="18"/>
      <c r="BV183" s="18"/>
      <c r="BW183" s="20"/>
      <c r="BX183" s="154"/>
      <c r="BY183" s="18"/>
      <c r="BZ183" s="146"/>
      <c r="CA183" s="18"/>
      <c r="CB183" s="18"/>
      <c r="CC183" s="20"/>
      <c r="CD183" s="154"/>
    </row>
    <row r="184" spans="35:82">
      <c r="AI184" s="19"/>
      <c r="AO184" s="19"/>
      <c r="AY184" s="145"/>
      <c r="AZ184" s="16"/>
      <c r="BC184" s="16"/>
      <c r="BD184" s="20"/>
      <c r="BE184" s="17"/>
      <c r="BF184" s="20"/>
      <c r="BG184" s="146"/>
      <c r="BH184" s="146"/>
      <c r="BI184" s="146"/>
      <c r="BJ184" s="20"/>
      <c r="BK184" s="20"/>
      <c r="BL184" s="154"/>
      <c r="BP184" s="20"/>
      <c r="BQ184" s="154"/>
      <c r="BR184" s="18"/>
      <c r="BS184" s="16"/>
      <c r="BT184" s="18"/>
      <c r="BU184" s="18"/>
      <c r="BV184" s="18"/>
      <c r="BW184" s="20"/>
      <c r="BX184" s="154"/>
      <c r="BY184" s="18"/>
      <c r="BZ184" s="146"/>
      <c r="CA184" s="18"/>
      <c r="CB184" s="18"/>
      <c r="CC184" s="20"/>
      <c r="CD184" s="154"/>
    </row>
    <row r="185" spans="35:82">
      <c r="AI185" s="19"/>
      <c r="AO185" s="19"/>
      <c r="AY185" s="145"/>
      <c r="AZ185" s="16"/>
      <c r="BC185" s="16"/>
      <c r="BD185" s="20"/>
      <c r="BE185" s="17"/>
      <c r="BF185" s="20"/>
      <c r="BG185" s="146"/>
      <c r="BH185" s="146"/>
      <c r="BI185" s="146"/>
      <c r="BJ185" s="20"/>
      <c r="BK185" s="20"/>
      <c r="BL185" s="154"/>
      <c r="BP185" s="20"/>
      <c r="BQ185" s="154"/>
      <c r="BR185" s="18"/>
      <c r="BS185" s="16"/>
      <c r="BT185" s="18"/>
      <c r="BU185" s="18"/>
      <c r="BV185" s="18"/>
      <c r="BW185" s="20"/>
      <c r="BX185" s="154"/>
      <c r="BY185" s="18"/>
      <c r="BZ185" s="146"/>
      <c r="CA185" s="18"/>
      <c r="CB185" s="18"/>
      <c r="CC185" s="20"/>
      <c r="CD185" s="154"/>
    </row>
    <row r="186" spans="35:82">
      <c r="AI186" s="19"/>
      <c r="AO186" s="19"/>
      <c r="AY186" s="145"/>
      <c r="AZ186" s="16"/>
      <c r="BC186" s="16"/>
      <c r="BD186" s="20"/>
      <c r="BE186" s="17"/>
      <c r="BF186" s="20"/>
      <c r="BG186" s="146"/>
      <c r="BH186" s="146"/>
      <c r="BI186" s="146"/>
      <c r="BJ186" s="20"/>
      <c r="BK186" s="20"/>
      <c r="BL186" s="154"/>
      <c r="BP186" s="20"/>
      <c r="BQ186" s="154"/>
      <c r="BR186" s="18"/>
      <c r="BS186" s="16"/>
      <c r="BT186" s="18"/>
      <c r="BU186" s="18"/>
      <c r="BV186" s="18"/>
      <c r="BW186" s="20"/>
      <c r="BX186" s="154"/>
      <c r="BY186" s="18"/>
      <c r="BZ186" s="146"/>
      <c r="CA186" s="18"/>
      <c r="CB186" s="18"/>
      <c r="CC186" s="20"/>
      <c r="CD186" s="154"/>
    </row>
    <row r="187" spans="35:82">
      <c r="AI187" s="19"/>
      <c r="AO187" s="19"/>
      <c r="AY187" s="145"/>
      <c r="AZ187" s="16"/>
      <c r="BC187" s="16"/>
      <c r="BD187" s="20"/>
      <c r="BE187" s="17"/>
      <c r="BF187" s="20"/>
      <c r="BG187" s="146"/>
      <c r="BH187" s="146"/>
      <c r="BI187" s="146"/>
      <c r="BJ187" s="20"/>
      <c r="BK187" s="20"/>
      <c r="BL187" s="154"/>
      <c r="BP187" s="20"/>
      <c r="BQ187" s="154"/>
      <c r="BR187" s="18"/>
      <c r="BS187" s="16"/>
      <c r="BT187" s="18"/>
      <c r="BU187" s="18"/>
      <c r="BV187" s="18"/>
      <c r="BW187" s="20"/>
      <c r="BX187" s="154"/>
      <c r="BY187" s="18"/>
      <c r="BZ187" s="146"/>
      <c r="CA187" s="18"/>
      <c r="CB187" s="18"/>
      <c r="CC187" s="20"/>
      <c r="CD187" s="154"/>
    </row>
    <row r="188" spans="35:82">
      <c r="AI188" s="19"/>
      <c r="AO188" s="19"/>
      <c r="AY188" s="145"/>
      <c r="AZ188" s="16"/>
      <c r="BC188" s="16"/>
      <c r="BD188" s="20"/>
      <c r="BE188" s="17"/>
      <c r="BF188" s="20"/>
      <c r="BG188" s="146"/>
      <c r="BH188" s="146"/>
      <c r="BI188" s="146"/>
      <c r="BJ188" s="20"/>
      <c r="BK188" s="20"/>
      <c r="BL188" s="154"/>
      <c r="BP188" s="20"/>
      <c r="BQ188" s="154"/>
      <c r="BR188" s="18"/>
      <c r="BS188" s="16"/>
      <c r="BT188" s="18"/>
      <c r="BU188" s="18"/>
      <c r="BV188" s="18"/>
      <c r="BW188" s="20"/>
      <c r="BX188" s="154"/>
      <c r="BY188" s="18"/>
      <c r="BZ188" s="146"/>
      <c r="CA188" s="18"/>
      <c r="CB188" s="18"/>
      <c r="CC188" s="20"/>
      <c r="CD188" s="154"/>
    </row>
    <row r="189" spans="35:82">
      <c r="AI189" s="19"/>
      <c r="AO189" s="19"/>
      <c r="AY189" s="145"/>
      <c r="AZ189" s="16"/>
      <c r="BC189" s="16"/>
      <c r="BD189" s="20"/>
      <c r="BE189" s="17"/>
      <c r="BF189" s="20"/>
      <c r="BG189" s="146"/>
      <c r="BH189" s="146"/>
      <c r="BI189" s="146"/>
      <c r="BJ189" s="20"/>
      <c r="BK189" s="20"/>
      <c r="BL189" s="154"/>
      <c r="BP189" s="20"/>
      <c r="BQ189" s="154"/>
      <c r="BR189" s="18"/>
      <c r="BS189" s="16"/>
      <c r="BT189" s="18"/>
      <c r="BU189" s="18"/>
      <c r="BV189" s="18"/>
      <c r="BW189" s="20"/>
      <c r="BX189" s="154"/>
      <c r="BY189" s="18"/>
      <c r="BZ189" s="146"/>
      <c r="CA189" s="18"/>
      <c r="CB189" s="18"/>
      <c r="CC189" s="20"/>
      <c r="CD189" s="154"/>
    </row>
    <row r="190" spans="35:82">
      <c r="AI190" s="19"/>
      <c r="AO190" s="19"/>
      <c r="AY190" s="145"/>
      <c r="AZ190" s="16"/>
      <c r="BC190" s="16"/>
      <c r="BD190" s="20"/>
      <c r="BE190" s="17"/>
      <c r="BF190" s="20"/>
      <c r="BG190" s="146"/>
      <c r="BH190" s="146"/>
      <c r="BI190" s="146"/>
      <c r="BJ190" s="20"/>
      <c r="BK190" s="20"/>
      <c r="BL190" s="154"/>
      <c r="BP190" s="20"/>
      <c r="BQ190" s="154"/>
      <c r="BR190" s="18"/>
      <c r="BS190" s="16"/>
      <c r="BT190" s="18"/>
      <c r="BU190" s="18"/>
      <c r="BV190" s="18"/>
      <c r="BW190" s="20"/>
      <c r="BX190" s="154"/>
      <c r="BY190" s="18"/>
      <c r="BZ190" s="146"/>
      <c r="CA190" s="18"/>
      <c r="CB190" s="18"/>
      <c r="CC190" s="20"/>
      <c r="CD190" s="154"/>
    </row>
    <row r="191" spans="35:82">
      <c r="AI191" s="19"/>
      <c r="AO191" s="19"/>
      <c r="AY191" s="145"/>
      <c r="AZ191" s="16"/>
      <c r="BC191" s="16"/>
      <c r="BD191" s="20"/>
      <c r="BE191" s="17"/>
      <c r="BF191" s="20"/>
      <c r="BG191" s="146"/>
      <c r="BH191" s="146"/>
      <c r="BI191" s="146"/>
      <c r="BJ191" s="20"/>
      <c r="BK191" s="20"/>
      <c r="BL191" s="154"/>
      <c r="BP191" s="20"/>
      <c r="BQ191" s="154"/>
      <c r="BR191" s="18"/>
      <c r="BS191" s="16"/>
      <c r="BT191" s="18"/>
      <c r="BU191" s="18"/>
      <c r="BV191" s="18"/>
      <c r="BW191" s="20"/>
      <c r="BX191" s="154"/>
      <c r="BY191" s="18"/>
      <c r="BZ191" s="146"/>
      <c r="CA191" s="18"/>
      <c r="CB191" s="18"/>
      <c r="CC191" s="20"/>
      <c r="CD191" s="154"/>
    </row>
    <row r="192" spans="35:82">
      <c r="AI192" s="19"/>
      <c r="AO192" s="19"/>
      <c r="AY192" s="145"/>
      <c r="AZ192" s="16"/>
      <c r="BC192" s="16"/>
      <c r="BD192" s="20"/>
      <c r="BE192" s="17"/>
      <c r="BF192" s="20"/>
      <c r="BG192" s="146"/>
      <c r="BH192" s="146"/>
      <c r="BI192" s="146"/>
      <c r="BJ192" s="20"/>
      <c r="BK192" s="20"/>
      <c r="BL192" s="154"/>
      <c r="BP192" s="20"/>
      <c r="BQ192" s="154"/>
      <c r="BR192" s="18"/>
      <c r="BS192" s="16"/>
      <c r="BT192" s="18"/>
      <c r="BU192" s="18"/>
      <c r="BV192" s="18"/>
      <c r="BW192" s="20"/>
      <c r="BX192" s="154"/>
      <c r="BY192" s="18"/>
      <c r="BZ192" s="146"/>
      <c r="CA192" s="18"/>
      <c r="CB192" s="18"/>
      <c r="CC192" s="20"/>
      <c r="CD192" s="154"/>
    </row>
    <row r="193" spans="35:82">
      <c r="AI193" s="19"/>
      <c r="AO193" s="19"/>
      <c r="AY193" s="145"/>
      <c r="AZ193" s="16"/>
      <c r="BC193" s="16"/>
      <c r="BD193" s="20"/>
      <c r="BE193" s="17"/>
      <c r="BF193" s="20"/>
      <c r="BG193" s="146"/>
      <c r="BH193" s="146"/>
      <c r="BI193" s="146"/>
      <c r="BJ193" s="20"/>
      <c r="BK193" s="20"/>
      <c r="BL193" s="154"/>
      <c r="BP193" s="20"/>
      <c r="BQ193" s="154"/>
      <c r="BR193" s="18"/>
      <c r="BS193" s="16"/>
      <c r="BT193" s="18"/>
      <c r="BU193" s="18"/>
      <c r="BV193" s="18"/>
      <c r="BW193" s="20"/>
      <c r="BX193" s="154"/>
      <c r="BY193" s="18"/>
      <c r="BZ193" s="146"/>
      <c r="CA193" s="18"/>
      <c r="CB193" s="18"/>
      <c r="CC193" s="20"/>
      <c r="CD193" s="154"/>
    </row>
    <row r="194" spans="35:82">
      <c r="AI194" s="19"/>
      <c r="AO194" s="19"/>
      <c r="AY194" s="145"/>
      <c r="AZ194" s="16"/>
      <c r="BC194" s="16"/>
      <c r="BD194" s="20"/>
      <c r="BE194" s="17"/>
      <c r="BF194" s="20"/>
      <c r="BG194" s="146"/>
      <c r="BH194" s="146"/>
      <c r="BI194" s="146"/>
      <c r="BJ194" s="20"/>
      <c r="BK194" s="20"/>
      <c r="BL194" s="154"/>
      <c r="BP194" s="20"/>
      <c r="BQ194" s="154"/>
      <c r="BR194" s="18"/>
      <c r="BS194" s="16"/>
      <c r="BT194" s="18"/>
      <c r="BU194" s="18"/>
      <c r="BV194" s="18"/>
      <c r="BW194" s="20"/>
      <c r="BX194" s="154"/>
      <c r="BY194" s="18"/>
      <c r="BZ194" s="146"/>
      <c r="CA194" s="18"/>
      <c r="CB194" s="18"/>
      <c r="CC194" s="20"/>
      <c r="CD194" s="154"/>
    </row>
    <row r="195" spans="35:82">
      <c r="AI195" s="19"/>
      <c r="AO195" s="19"/>
      <c r="AY195" s="145"/>
      <c r="AZ195" s="16"/>
      <c r="BC195" s="16"/>
      <c r="BD195" s="20"/>
      <c r="BE195" s="17"/>
      <c r="BF195" s="20"/>
      <c r="BG195" s="146"/>
      <c r="BH195" s="146"/>
      <c r="BI195" s="146"/>
      <c r="BJ195" s="20"/>
      <c r="BK195" s="20"/>
      <c r="BL195" s="154"/>
      <c r="BP195" s="20"/>
      <c r="BQ195" s="154"/>
      <c r="BR195" s="18"/>
      <c r="BS195" s="16"/>
      <c r="BT195" s="18"/>
      <c r="BU195" s="18"/>
      <c r="BV195" s="18"/>
      <c r="BW195" s="20"/>
      <c r="BX195" s="154"/>
      <c r="BY195" s="18"/>
      <c r="BZ195" s="146"/>
      <c r="CA195" s="18"/>
      <c r="CB195" s="18"/>
      <c r="CC195" s="20"/>
      <c r="CD195" s="154"/>
    </row>
    <row r="196" spans="35:82">
      <c r="AI196" s="19"/>
      <c r="AO196" s="19"/>
      <c r="AY196" s="145"/>
      <c r="AZ196" s="16"/>
      <c r="BC196" s="16"/>
      <c r="BD196" s="20"/>
      <c r="BE196" s="17"/>
      <c r="BF196" s="20"/>
      <c r="BG196" s="146"/>
      <c r="BH196" s="146"/>
      <c r="BI196" s="146"/>
      <c r="BJ196" s="20"/>
      <c r="BK196" s="20"/>
      <c r="BL196" s="154"/>
      <c r="BP196" s="20"/>
      <c r="BQ196" s="154"/>
      <c r="BR196" s="18"/>
      <c r="BS196" s="16"/>
      <c r="BT196" s="18"/>
      <c r="BU196" s="18"/>
      <c r="BV196" s="18"/>
      <c r="BW196" s="20"/>
      <c r="BX196" s="154"/>
      <c r="BY196" s="18"/>
      <c r="BZ196" s="146"/>
      <c r="CA196" s="18"/>
      <c r="CB196" s="18"/>
      <c r="CC196" s="20"/>
      <c r="CD196" s="154"/>
    </row>
    <row r="197" spans="35:82">
      <c r="AI197" s="19"/>
      <c r="AO197" s="19"/>
      <c r="AY197" s="145"/>
      <c r="AZ197" s="16"/>
      <c r="BC197" s="16"/>
      <c r="BD197" s="20"/>
      <c r="BE197" s="17"/>
      <c r="BF197" s="20"/>
      <c r="BG197" s="146"/>
      <c r="BH197" s="146"/>
      <c r="BI197" s="146"/>
      <c r="BJ197" s="20"/>
      <c r="BK197" s="20"/>
      <c r="BL197" s="154"/>
      <c r="BP197" s="20"/>
      <c r="BQ197" s="154"/>
      <c r="BR197" s="18"/>
      <c r="BS197" s="16"/>
      <c r="BT197" s="18"/>
      <c r="BU197" s="18"/>
      <c r="BV197" s="18"/>
      <c r="BW197" s="20"/>
      <c r="BX197" s="154"/>
      <c r="BY197" s="18"/>
      <c r="BZ197" s="146"/>
      <c r="CA197" s="18"/>
      <c r="CB197" s="18"/>
      <c r="CC197" s="20"/>
      <c r="CD197" s="154"/>
    </row>
    <row r="198" spans="35:82">
      <c r="AI198" s="19"/>
      <c r="AO198" s="19"/>
      <c r="AY198" s="145"/>
      <c r="AZ198" s="16"/>
      <c r="BC198" s="16"/>
      <c r="BD198" s="20"/>
      <c r="BE198" s="17"/>
      <c r="BF198" s="20"/>
      <c r="BG198" s="146"/>
      <c r="BH198" s="146"/>
      <c r="BI198" s="146"/>
      <c r="BJ198" s="20"/>
      <c r="BK198" s="20"/>
      <c r="BL198" s="154"/>
      <c r="BP198" s="20"/>
      <c r="BQ198" s="154"/>
      <c r="BR198" s="18"/>
      <c r="BS198" s="16"/>
      <c r="BT198" s="18"/>
      <c r="BU198" s="18"/>
      <c r="BV198" s="18"/>
      <c r="BW198" s="20"/>
      <c r="BX198" s="154"/>
      <c r="BY198" s="18"/>
      <c r="BZ198" s="146"/>
      <c r="CA198" s="18"/>
      <c r="CB198" s="18"/>
      <c r="CC198" s="20"/>
      <c r="CD198" s="154"/>
    </row>
    <row r="199" spans="35:82">
      <c r="AI199" s="19"/>
      <c r="AO199" s="19"/>
      <c r="AY199" s="145"/>
      <c r="AZ199" s="16"/>
      <c r="BC199" s="16"/>
      <c r="BD199" s="20"/>
      <c r="BE199" s="17"/>
      <c r="BF199" s="20"/>
      <c r="BG199" s="146"/>
      <c r="BH199" s="146"/>
      <c r="BI199" s="146"/>
      <c r="BJ199" s="20"/>
      <c r="BK199" s="20"/>
      <c r="BL199" s="154"/>
      <c r="BP199" s="20"/>
      <c r="BQ199" s="154"/>
      <c r="BR199" s="18"/>
      <c r="BS199" s="16"/>
      <c r="BT199" s="18"/>
      <c r="BU199" s="18"/>
      <c r="BV199" s="18"/>
      <c r="BW199" s="20"/>
      <c r="BX199" s="154"/>
      <c r="BY199" s="18"/>
      <c r="BZ199" s="146"/>
      <c r="CA199" s="18"/>
      <c r="CB199" s="18"/>
      <c r="CC199" s="20"/>
      <c r="CD199" s="154"/>
    </row>
    <row r="200" spans="35:82">
      <c r="AI200" s="19"/>
      <c r="AO200" s="19"/>
      <c r="AY200" s="145"/>
      <c r="AZ200" s="16"/>
      <c r="BC200" s="16"/>
      <c r="BD200" s="20"/>
      <c r="BE200" s="17"/>
      <c r="BF200" s="20"/>
      <c r="BG200" s="146"/>
      <c r="BH200" s="146"/>
      <c r="BI200" s="146"/>
      <c r="BJ200" s="20"/>
      <c r="BK200" s="20"/>
      <c r="BL200" s="154"/>
      <c r="BP200" s="20"/>
      <c r="BQ200" s="154"/>
      <c r="BR200" s="18"/>
      <c r="BS200" s="16"/>
      <c r="BT200" s="18"/>
      <c r="BU200" s="18"/>
      <c r="BV200" s="18"/>
      <c r="BW200" s="20"/>
      <c r="BX200" s="154"/>
      <c r="BY200" s="18"/>
      <c r="BZ200" s="146"/>
      <c r="CA200" s="18"/>
      <c r="CB200" s="18"/>
      <c r="CC200" s="20"/>
      <c r="CD200" s="154"/>
    </row>
    <row r="201" spans="35:82">
      <c r="AI201" s="19"/>
      <c r="AO201" s="19"/>
      <c r="AY201" s="145"/>
      <c r="AZ201" s="16"/>
      <c r="BC201" s="16"/>
      <c r="BD201" s="20"/>
      <c r="BE201" s="17"/>
      <c r="BF201" s="20"/>
      <c r="BG201" s="146"/>
      <c r="BH201" s="146"/>
      <c r="BI201" s="146"/>
      <c r="BJ201" s="20"/>
      <c r="BK201" s="20"/>
      <c r="BL201" s="154"/>
      <c r="BP201" s="20"/>
      <c r="BQ201" s="154"/>
      <c r="BR201" s="18"/>
      <c r="BS201" s="16"/>
      <c r="BT201" s="18"/>
      <c r="BU201" s="18"/>
      <c r="BV201" s="18"/>
      <c r="BW201" s="20"/>
      <c r="BX201" s="154"/>
      <c r="BY201" s="18"/>
      <c r="BZ201" s="146"/>
      <c r="CA201" s="18"/>
      <c r="CB201" s="18"/>
      <c r="CC201" s="20"/>
      <c r="CD201" s="154"/>
    </row>
    <row r="202" spans="35:82">
      <c r="AI202" s="19"/>
      <c r="AO202" s="19"/>
      <c r="AY202" s="145"/>
      <c r="AZ202" s="16"/>
      <c r="BC202" s="16"/>
      <c r="BD202" s="20"/>
      <c r="BE202" s="17"/>
      <c r="BF202" s="20"/>
      <c r="BG202" s="146"/>
      <c r="BH202" s="146"/>
      <c r="BI202" s="146"/>
      <c r="BJ202" s="20"/>
      <c r="BK202" s="20"/>
      <c r="BL202" s="154"/>
      <c r="BP202" s="20"/>
      <c r="BQ202" s="154"/>
      <c r="BR202" s="18"/>
      <c r="BS202" s="16"/>
      <c r="BT202" s="18"/>
      <c r="BU202" s="18"/>
      <c r="BV202" s="18"/>
      <c r="BW202" s="20"/>
      <c r="BX202" s="154"/>
      <c r="BY202" s="18"/>
      <c r="BZ202" s="146"/>
      <c r="CA202" s="18"/>
      <c r="CB202" s="18"/>
      <c r="CC202" s="20"/>
      <c r="CD202" s="154"/>
    </row>
    <row r="203" spans="35:82">
      <c r="AI203" s="19"/>
      <c r="AO203" s="19"/>
      <c r="AY203" s="145"/>
      <c r="AZ203" s="16"/>
      <c r="BC203" s="16"/>
      <c r="BD203" s="20"/>
      <c r="BE203" s="17"/>
      <c r="BF203" s="20"/>
      <c r="BG203" s="146"/>
      <c r="BH203" s="146"/>
      <c r="BI203" s="146"/>
      <c r="BJ203" s="20"/>
      <c r="BK203" s="20"/>
      <c r="BL203" s="154"/>
      <c r="BP203" s="20"/>
      <c r="BQ203" s="154"/>
      <c r="BR203" s="18"/>
      <c r="BS203" s="16"/>
      <c r="BT203" s="18"/>
      <c r="BU203" s="18"/>
      <c r="BV203" s="18"/>
      <c r="BW203" s="20"/>
      <c r="BX203" s="154"/>
      <c r="BY203" s="18"/>
      <c r="BZ203" s="146"/>
      <c r="CA203" s="18"/>
      <c r="CB203" s="18"/>
      <c r="CC203" s="20"/>
      <c r="CD203" s="154"/>
    </row>
    <row r="204" spans="35:82">
      <c r="AI204" s="19"/>
      <c r="AO204" s="19"/>
      <c r="AY204" s="145"/>
      <c r="AZ204" s="16"/>
      <c r="BC204" s="16"/>
      <c r="BD204" s="20"/>
      <c r="BE204" s="17"/>
      <c r="BF204" s="20"/>
      <c r="BG204" s="146"/>
      <c r="BH204" s="146"/>
      <c r="BI204" s="146"/>
      <c r="BJ204" s="20"/>
      <c r="BK204" s="20"/>
      <c r="BL204" s="154"/>
      <c r="BP204" s="20"/>
      <c r="BQ204" s="154"/>
      <c r="BR204" s="18"/>
      <c r="BS204" s="16"/>
      <c r="BT204" s="18"/>
      <c r="BU204" s="18"/>
      <c r="BV204" s="18"/>
      <c r="BW204" s="20"/>
      <c r="BX204" s="154"/>
      <c r="BY204" s="18"/>
      <c r="BZ204" s="146"/>
      <c r="CA204" s="18"/>
      <c r="CB204" s="18"/>
      <c r="CC204" s="20"/>
      <c r="CD204" s="154"/>
    </row>
    <row r="205" spans="35:82">
      <c r="AI205" s="19"/>
      <c r="AO205" s="19"/>
      <c r="AY205" s="145"/>
      <c r="AZ205" s="16"/>
      <c r="BC205" s="16"/>
      <c r="BD205" s="20"/>
      <c r="BE205" s="17"/>
      <c r="BF205" s="20"/>
      <c r="BG205" s="146"/>
      <c r="BH205" s="146"/>
      <c r="BI205" s="146"/>
      <c r="BJ205" s="20"/>
      <c r="BK205" s="20"/>
      <c r="BL205" s="154"/>
      <c r="BP205" s="20"/>
      <c r="BQ205" s="154"/>
      <c r="BR205" s="18"/>
      <c r="BS205" s="16"/>
      <c r="BT205" s="18"/>
      <c r="BU205" s="18"/>
      <c r="BV205" s="18"/>
      <c r="BW205" s="20"/>
      <c r="BX205" s="154"/>
      <c r="BY205" s="18"/>
      <c r="BZ205" s="146"/>
      <c r="CA205" s="18"/>
      <c r="CB205" s="18"/>
      <c r="CC205" s="20"/>
      <c r="CD205" s="154"/>
    </row>
    <row r="206" spans="35:82">
      <c r="AI206" s="19"/>
      <c r="AO206" s="19"/>
      <c r="AY206" s="145"/>
      <c r="AZ206" s="16"/>
      <c r="BC206" s="16"/>
      <c r="BD206" s="20"/>
      <c r="BE206" s="17"/>
      <c r="BF206" s="20"/>
      <c r="BG206" s="146"/>
      <c r="BH206" s="146"/>
      <c r="BI206" s="146"/>
      <c r="BJ206" s="20"/>
      <c r="BK206" s="20"/>
      <c r="BL206" s="154"/>
      <c r="BP206" s="20"/>
      <c r="BQ206" s="154"/>
      <c r="BR206" s="18"/>
      <c r="BS206" s="16"/>
      <c r="BT206" s="18"/>
      <c r="BU206" s="18"/>
      <c r="BV206" s="18"/>
      <c r="BW206" s="20"/>
      <c r="BX206" s="154"/>
      <c r="BY206" s="18"/>
      <c r="BZ206" s="146"/>
      <c r="CA206" s="18"/>
      <c r="CB206" s="18"/>
      <c r="CC206" s="20"/>
      <c r="CD206" s="154"/>
    </row>
    <row r="207" spans="35:82">
      <c r="AI207" s="19"/>
      <c r="AO207" s="19"/>
      <c r="AY207" s="145"/>
      <c r="AZ207" s="16"/>
      <c r="BC207" s="16"/>
      <c r="BD207" s="20"/>
      <c r="BE207" s="17"/>
      <c r="BF207" s="20"/>
      <c r="BG207" s="146"/>
      <c r="BH207" s="146"/>
      <c r="BI207" s="146"/>
      <c r="BJ207" s="20"/>
      <c r="BK207" s="20"/>
      <c r="BL207" s="154"/>
      <c r="BP207" s="20"/>
      <c r="BQ207" s="154"/>
      <c r="BR207" s="18"/>
      <c r="BS207" s="16"/>
      <c r="BT207" s="18"/>
      <c r="BU207" s="18"/>
      <c r="BV207" s="18"/>
      <c r="BW207" s="20"/>
      <c r="BX207" s="154"/>
      <c r="BY207" s="18"/>
      <c r="BZ207" s="146"/>
      <c r="CA207" s="18"/>
      <c r="CB207" s="18"/>
      <c r="CC207" s="20"/>
      <c r="CD207" s="154"/>
    </row>
    <row r="208" spans="35:82">
      <c r="AI208" s="19"/>
      <c r="AO208" s="19"/>
      <c r="AY208" s="145"/>
      <c r="AZ208" s="16"/>
      <c r="BC208" s="16"/>
      <c r="BD208" s="20"/>
      <c r="BE208" s="17"/>
      <c r="BF208" s="20"/>
      <c r="BG208" s="146"/>
      <c r="BH208" s="146"/>
      <c r="BI208" s="146"/>
      <c r="BJ208" s="20"/>
      <c r="BK208" s="20"/>
      <c r="BL208" s="154"/>
      <c r="BP208" s="20"/>
      <c r="BQ208" s="154"/>
      <c r="BR208" s="18"/>
      <c r="BS208" s="16"/>
      <c r="BT208" s="18"/>
      <c r="BU208" s="18"/>
      <c r="BV208" s="18"/>
      <c r="BW208" s="20"/>
      <c r="BX208" s="154"/>
      <c r="BY208" s="18"/>
      <c r="BZ208" s="146"/>
      <c r="CA208" s="18"/>
      <c r="CB208" s="18"/>
      <c r="CC208" s="20"/>
      <c r="CD208" s="154"/>
    </row>
    <row r="209" spans="35:82">
      <c r="AI209" s="19"/>
      <c r="AO209" s="19"/>
      <c r="AY209" s="145"/>
      <c r="AZ209" s="16"/>
      <c r="BC209" s="16"/>
      <c r="BD209" s="20"/>
      <c r="BE209" s="17"/>
      <c r="BF209" s="20"/>
      <c r="BG209" s="146"/>
      <c r="BH209" s="146"/>
      <c r="BI209" s="146"/>
      <c r="BJ209" s="20"/>
      <c r="BK209" s="20"/>
      <c r="BL209" s="154"/>
      <c r="BP209" s="20"/>
      <c r="BQ209" s="154"/>
      <c r="BR209" s="18"/>
      <c r="BS209" s="16"/>
      <c r="BT209" s="18"/>
      <c r="BU209" s="18"/>
      <c r="BV209" s="18"/>
      <c r="BW209" s="20"/>
      <c r="BX209" s="154"/>
      <c r="BY209" s="18"/>
      <c r="BZ209" s="146"/>
      <c r="CA209" s="18"/>
      <c r="CB209" s="18"/>
      <c r="CC209" s="20"/>
      <c r="CD209" s="154"/>
    </row>
    <row r="210" spans="35:82">
      <c r="AI210" s="19"/>
      <c r="AO210" s="19"/>
      <c r="AY210" s="145"/>
      <c r="AZ210" s="16"/>
      <c r="BC210" s="16"/>
      <c r="BD210" s="20"/>
      <c r="BE210" s="17"/>
      <c r="BF210" s="20"/>
      <c r="BG210" s="146"/>
      <c r="BH210" s="146"/>
      <c r="BI210" s="146"/>
      <c r="BJ210" s="20"/>
      <c r="BK210" s="20"/>
      <c r="BL210" s="154"/>
      <c r="BP210" s="20"/>
      <c r="BQ210" s="154"/>
      <c r="BR210" s="18"/>
      <c r="BS210" s="16"/>
      <c r="BT210" s="18"/>
      <c r="BU210" s="18"/>
      <c r="BV210" s="18"/>
      <c r="BW210" s="20"/>
      <c r="BX210" s="154"/>
      <c r="BY210" s="18"/>
      <c r="BZ210" s="146"/>
      <c r="CA210" s="18"/>
      <c r="CB210" s="18"/>
      <c r="CC210" s="20"/>
      <c r="CD210" s="154"/>
    </row>
    <row r="211" spans="35:82">
      <c r="AI211" s="19"/>
      <c r="AO211" s="19"/>
      <c r="AY211" s="145"/>
      <c r="AZ211" s="16"/>
      <c r="BC211" s="16"/>
      <c r="BD211" s="20"/>
      <c r="BE211" s="17"/>
      <c r="BF211" s="20"/>
      <c r="BG211" s="146"/>
      <c r="BH211" s="146"/>
      <c r="BI211" s="146"/>
      <c r="BJ211" s="20"/>
      <c r="BK211" s="20"/>
      <c r="BL211" s="154"/>
      <c r="BP211" s="20"/>
      <c r="BQ211" s="154"/>
      <c r="BR211" s="18"/>
      <c r="BS211" s="16"/>
      <c r="BT211" s="18"/>
      <c r="BU211" s="18"/>
      <c r="BV211" s="18"/>
      <c r="BW211" s="20"/>
      <c r="BX211" s="154"/>
      <c r="BY211" s="18"/>
      <c r="BZ211" s="146"/>
      <c r="CA211" s="18"/>
      <c r="CB211" s="18"/>
      <c r="CC211" s="20"/>
      <c r="CD211" s="154"/>
    </row>
    <row r="212" spans="35:82">
      <c r="AI212" s="19"/>
      <c r="AO212" s="19"/>
      <c r="AY212" s="145"/>
      <c r="AZ212" s="16"/>
      <c r="BC212" s="16"/>
      <c r="BD212" s="20"/>
      <c r="BE212" s="17"/>
      <c r="BF212" s="20"/>
      <c r="BG212" s="146"/>
      <c r="BH212" s="146"/>
      <c r="BI212" s="146"/>
      <c r="BJ212" s="20"/>
      <c r="BK212" s="20"/>
      <c r="BL212" s="154"/>
      <c r="BP212" s="20"/>
      <c r="BQ212" s="154"/>
      <c r="BR212" s="18"/>
      <c r="BS212" s="16"/>
      <c r="BT212" s="18"/>
      <c r="BU212" s="18"/>
      <c r="BV212" s="18"/>
      <c r="BW212" s="20"/>
      <c r="BX212" s="154"/>
      <c r="BY212" s="18"/>
      <c r="BZ212" s="146"/>
      <c r="CA212" s="18"/>
      <c r="CB212" s="18"/>
      <c r="CC212" s="20"/>
      <c r="CD212" s="154"/>
    </row>
    <row r="213" spans="35:82">
      <c r="AI213" s="19"/>
      <c r="AO213" s="19"/>
      <c r="AY213" s="145"/>
      <c r="AZ213" s="16"/>
      <c r="BC213" s="16"/>
      <c r="BD213" s="20"/>
      <c r="BE213" s="17"/>
      <c r="BF213" s="20"/>
      <c r="BG213" s="146"/>
      <c r="BH213" s="146"/>
      <c r="BI213" s="146"/>
      <c r="BJ213" s="20"/>
      <c r="BK213" s="20"/>
      <c r="BL213" s="154"/>
      <c r="BP213" s="20"/>
      <c r="BQ213" s="154"/>
      <c r="BR213" s="18"/>
      <c r="BS213" s="16"/>
      <c r="BT213" s="18"/>
      <c r="BU213" s="18"/>
      <c r="BV213" s="18"/>
      <c r="BW213" s="20"/>
      <c r="BX213" s="154"/>
      <c r="BY213" s="18"/>
      <c r="BZ213" s="146"/>
      <c r="CA213" s="18"/>
      <c r="CB213" s="18"/>
      <c r="CC213" s="20"/>
      <c r="CD213" s="154"/>
    </row>
    <row r="214" spans="35:82">
      <c r="AI214" s="19"/>
      <c r="AO214" s="19"/>
      <c r="AY214" s="145"/>
      <c r="AZ214" s="16"/>
      <c r="BC214" s="16"/>
      <c r="BD214" s="20"/>
      <c r="BE214" s="17"/>
      <c r="BF214" s="20"/>
      <c r="BG214" s="146"/>
      <c r="BH214" s="146"/>
      <c r="BI214" s="146"/>
      <c r="BJ214" s="20"/>
      <c r="BK214" s="20"/>
      <c r="BL214" s="154"/>
      <c r="BP214" s="20"/>
      <c r="BQ214" s="154"/>
      <c r="BR214" s="18"/>
      <c r="BS214" s="16"/>
      <c r="BT214" s="18"/>
      <c r="BU214" s="18"/>
      <c r="BV214" s="18"/>
      <c r="BW214" s="20"/>
      <c r="BX214" s="154"/>
      <c r="BY214" s="18"/>
      <c r="BZ214" s="146"/>
      <c r="CA214" s="18"/>
      <c r="CB214" s="18"/>
      <c r="CC214" s="20"/>
      <c r="CD214" s="154"/>
    </row>
    <row r="215" spans="35:82">
      <c r="AI215" s="19"/>
      <c r="AO215" s="19"/>
      <c r="AY215" s="145"/>
      <c r="AZ215" s="16"/>
      <c r="BC215" s="16"/>
      <c r="BD215" s="20"/>
      <c r="BE215" s="17"/>
      <c r="BF215" s="20"/>
      <c r="BG215" s="146"/>
      <c r="BH215" s="146"/>
      <c r="BI215" s="146"/>
      <c r="BJ215" s="20"/>
      <c r="BK215" s="20"/>
      <c r="BL215" s="154"/>
      <c r="BP215" s="20"/>
      <c r="BQ215" s="154"/>
      <c r="BR215" s="18"/>
      <c r="BS215" s="16"/>
      <c r="BT215" s="18"/>
      <c r="BU215" s="18"/>
      <c r="BV215" s="18"/>
      <c r="BW215" s="20"/>
      <c r="BX215" s="154"/>
      <c r="BY215" s="18"/>
      <c r="BZ215" s="146"/>
      <c r="CA215" s="18"/>
      <c r="CB215" s="18"/>
      <c r="CC215" s="20"/>
      <c r="CD215" s="154"/>
    </row>
    <row r="216" spans="35:82">
      <c r="AI216" s="19"/>
      <c r="AO216" s="19"/>
      <c r="AY216" s="145"/>
      <c r="AZ216" s="16"/>
      <c r="BC216" s="16"/>
      <c r="BD216" s="20"/>
      <c r="BE216" s="17"/>
      <c r="BF216" s="20"/>
      <c r="BG216" s="146"/>
      <c r="BH216" s="146"/>
      <c r="BI216" s="146"/>
      <c r="BJ216" s="20"/>
      <c r="BK216" s="20"/>
      <c r="BL216" s="154"/>
      <c r="BP216" s="20"/>
      <c r="BQ216" s="154"/>
      <c r="BR216" s="18"/>
      <c r="BS216" s="16"/>
      <c r="BT216" s="18"/>
      <c r="BU216" s="18"/>
      <c r="BV216" s="18"/>
      <c r="BW216" s="20"/>
      <c r="BX216" s="154"/>
      <c r="BY216" s="18"/>
      <c r="BZ216" s="146"/>
      <c r="CA216" s="18"/>
      <c r="CB216" s="18"/>
      <c r="CC216" s="20"/>
      <c r="CD216" s="154"/>
    </row>
    <row r="217" spans="35:82">
      <c r="AI217" s="19"/>
      <c r="AO217" s="19"/>
      <c r="AY217" s="145"/>
      <c r="AZ217" s="16"/>
      <c r="BC217" s="16"/>
      <c r="BD217" s="20"/>
      <c r="BE217" s="17"/>
      <c r="BF217" s="20"/>
      <c r="BG217" s="146"/>
      <c r="BH217" s="146"/>
      <c r="BI217" s="146"/>
      <c r="BJ217" s="20"/>
      <c r="BK217" s="20"/>
      <c r="BL217" s="154"/>
      <c r="BP217" s="20"/>
      <c r="BQ217" s="154"/>
      <c r="BR217" s="18"/>
      <c r="BS217" s="16"/>
      <c r="BT217" s="18"/>
      <c r="BU217" s="18"/>
      <c r="BV217" s="18"/>
      <c r="BW217" s="20"/>
      <c r="BX217" s="154"/>
      <c r="BY217" s="18"/>
      <c r="BZ217" s="146"/>
      <c r="CA217" s="18"/>
      <c r="CB217" s="18"/>
      <c r="CC217" s="20"/>
      <c r="CD217" s="154"/>
    </row>
    <row r="218" spans="35:82">
      <c r="AI218" s="19"/>
      <c r="AO218" s="19"/>
      <c r="AY218" s="145"/>
      <c r="AZ218" s="16"/>
      <c r="BC218" s="16"/>
      <c r="BD218" s="20"/>
      <c r="BE218" s="17"/>
      <c r="BF218" s="20"/>
      <c r="BG218" s="146"/>
      <c r="BH218" s="146"/>
      <c r="BI218" s="146"/>
      <c r="BJ218" s="20"/>
      <c r="BK218" s="20"/>
      <c r="BL218" s="154"/>
      <c r="BP218" s="20"/>
      <c r="BQ218" s="154"/>
      <c r="BR218" s="18"/>
      <c r="BS218" s="16"/>
      <c r="BT218" s="18"/>
      <c r="BU218" s="18"/>
      <c r="BV218" s="18"/>
      <c r="BW218" s="20"/>
      <c r="BX218" s="154"/>
      <c r="BY218" s="18"/>
      <c r="BZ218" s="146"/>
      <c r="CA218" s="18"/>
      <c r="CB218" s="18"/>
      <c r="CC218" s="20"/>
      <c r="CD218" s="154"/>
    </row>
    <row r="219" spans="35:82">
      <c r="AI219" s="19"/>
      <c r="AO219" s="19"/>
      <c r="AY219" s="145"/>
      <c r="AZ219" s="16"/>
      <c r="BC219" s="16"/>
      <c r="BD219" s="20"/>
      <c r="BE219" s="17"/>
      <c r="BF219" s="20"/>
      <c r="BG219" s="146"/>
      <c r="BH219" s="146"/>
      <c r="BI219" s="146"/>
      <c r="BJ219" s="20"/>
      <c r="BK219" s="20"/>
      <c r="BL219" s="154"/>
      <c r="BP219" s="20"/>
      <c r="BQ219" s="154"/>
      <c r="BR219" s="18"/>
      <c r="BS219" s="16"/>
      <c r="BT219" s="18"/>
      <c r="BU219" s="18"/>
      <c r="BV219" s="18"/>
      <c r="BW219" s="20"/>
      <c r="BX219" s="154"/>
      <c r="BY219" s="18"/>
      <c r="BZ219" s="146"/>
      <c r="CA219" s="18"/>
      <c r="CB219" s="18"/>
      <c r="CC219" s="20"/>
      <c r="CD219" s="154"/>
    </row>
    <row r="220" spans="35:82">
      <c r="AI220" s="19"/>
      <c r="AO220" s="19"/>
      <c r="AY220" s="145"/>
      <c r="AZ220" s="16"/>
      <c r="BC220" s="16"/>
      <c r="BD220" s="20"/>
      <c r="BE220" s="17"/>
      <c r="BF220" s="20"/>
      <c r="BG220" s="146"/>
      <c r="BH220" s="146"/>
      <c r="BI220" s="146"/>
      <c r="BJ220" s="20"/>
      <c r="BK220" s="20"/>
      <c r="BL220" s="154"/>
      <c r="BP220" s="20"/>
      <c r="BQ220" s="154"/>
      <c r="BR220" s="18"/>
      <c r="BS220" s="16"/>
      <c r="BT220" s="18"/>
      <c r="BU220" s="18"/>
      <c r="BV220" s="18"/>
      <c r="BW220" s="20"/>
      <c r="BX220" s="154"/>
      <c r="BY220" s="18"/>
      <c r="BZ220" s="146"/>
      <c r="CA220" s="18"/>
      <c r="CB220" s="18"/>
      <c r="CC220" s="20"/>
      <c r="CD220" s="154"/>
    </row>
    <row r="221" spans="35:82">
      <c r="AI221" s="19"/>
      <c r="AO221" s="19"/>
      <c r="AY221" s="145"/>
      <c r="AZ221" s="16"/>
      <c r="BC221" s="16"/>
      <c r="BD221" s="20"/>
      <c r="BE221" s="17"/>
      <c r="BF221" s="20"/>
      <c r="BG221" s="146"/>
      <c r="BH221" s="146"/>
      <c r="BI221" s="146"/>
      <c r="BJ221" s="20"/>
      <c r="BK221" s="20"/>
      <c r="BL221" s="154"/>
      <c r="BP221" s="20"/>
      <c r="BQ221" s="154"/>
      <c r="BR221" s="18"/>
      <c r="BS221" s="16"/>
      <c r="BT221" s="18"/>
      <c r="BU221" s="18"/>
      <c r="BV221" s="18"/>
      <c r="BW221" s="20"/>
      <c r="BX221" s="154"/>
      <c r="BY221" s="18"/>
      <c r="BZ221" s="146"/>
      <c r="CA221" s="18"/>
      <c r="CB221" s="18"/>
      <c r="CC221" s="20"/>
      <c r="CD221" s="154"/>
    </row>
    <row r="222" spans="35:82">
      <c r="AI222" s="19"/>
      <c r="AO222" s="19"/>
      <c r="AY222" s="145"/>
      <c r="AZ222" s="16"/>
      <c r="BC222" s="16"/>
      <c r="BD222" s="20"/>
      <c r="BE222" s="17"/>
      <c r="BF222" s="20"/>
      <c r="BG222" s="146"/>
      <c r="BH222" s="146"/>
      <c r="BI222" s="146"/>
      <c r="BJ222" s="20"/>
      <c r="BK222" s="20"/>
      <c r="BL222" s="154"/>
      <c r="BP222" s="20"/>
      <c r="BQ222" s="154"/>
      <c r="BR222" s="18"/>
      <c r="BS222" s="16"/>
      <c r="BT222" s="18"/>
      <c r="BU222" s="18"/>
      <c r="BV222" s="18"/>
      <c r="BW222" s="20"/>
      <c r="BX222" s="154"/>
      <c r="BY222" s="18"/>
      <c r="BZ222" s="146"/>
      <c r="CA222" s="18"/>
      <c r="CB222" s="18"/>
      <c r="CC222" s="20"/>
      <c r="CD222" s="154"/>
    </row>
    <row r="223" spans="35:82">
      <c r="AI223" s="19"/>
      <c r="AO223" s="19"/>
      <c r="AY223" s="145"/>
      <c r="AZ223" s="16"/>
      <c r="BC223" s="16"/>
      <c r="BD223" s="20"/>
      <c r="BE223" s="17"/>
      <c r="BF223" s="20"/>
      <c r="BG223" s="146"/>
      <c r="BH223" s="146"/>
      <c r="BI223" s="146"/>
      <c r="BJ223" s="20"/>
      <c r="BK223" s="20"/>
      <c r="BL223" s="154"/>
      <c r="BP223" s="20"/>
      <c r="BQ223" s="154"/>
      <c r="BR223" s="18"/>
      <c r="BS223" s="16"/>
      <c r="BT223" s="18"/>
      <c r="BU223" s="18"/>
      <c r="BV223" s="18"/>
      <c r="BW223" s="20"/>
      <c r="BX223" s="154"/>
      <c r="BY223" s="18"/>
      <c r="BZ223" s="146"/>
      <c r="CA223" s="18"/>
      <c r="CB223" s="18"/>
      <c r="CC223" s="20"/>
      <c r="CD223" s="154"/>
    </row>
    <row r="224" spans="35:82">
      <c r="AI224" s="19"/>
      <c r="AO224" s="19"/>
      <c r="AY224" s="145"/>
      <c r="AZ224" s="16"/>
      <c r="BC224" s="16"/>
      <c r="BD224" s="20"/>
      <c r="BE224" s="17"/>
      <c r="BF224" s="20"/>
      <c r="BG224" s="146"/>
      <c r="BH224" s="146"/>
      <c r="BI224" s="146"/>
      <c r="BJ224" s="20"/>
      <c r="BK224" s="20"/>
      <c r="BL224" s="154"/>
      <c r="BP224" s="20"/>
      <c r="BQ224" s="154"/>
      <c r="BR224" s="18"/>
      <c r="BS224" s="16"/>
      <c r="BT224" s="18"/>
      <c r="BU224" s="18"/>
      <c r="BV224" s="18"/>
      <c r="BW224" s="20"/>
      <c r="BX224" s="154"/>
      <c r="BY224" s="18"/>
      <c r="BZ224" s="146"/>
      <c r="CA224" s="18"/>
      <c r="CB224" s="18"/>
      <c r="CC224" s="20"/>
      <c r="CD224" s="154"/>
    </row>
    <row r="225" spans="35:82">
      <c r="AI225" s="19"/>
      <c r="AO225" s="19"/>
      <c r="AY225" s="145"/>
      <c r="AZ225" s="16"/>
      <c r="BC225" s="16"/>
      <c r="BD225" s="20"/>
      <c r="BE225" s="17"/>
      <c r="BF225" s="20"/>
      <c r="BG225" s="146"/>
      <c r="BH225" s="146"/>
      <c r="BI225" s="146"/>
      <c r="BJ225" s="20"/>
      <c r="BK225" s="20"/>
      <c r="BL225" s="154"/>
      <c r="BP225" s="20"/>
      <c r="BQ225" s="154"/>
      <c r="BR225" s="18"/>
      <c r="BS225" s="16"/>
      <c r="BT225" s="18"/>
      <c r="BU225" s="18"/>
      <c r="BV225" s="18"/>
      <c r="BW225" s="20"/>
      <c r="BX225" s="154"/>
      <c r="BY225" s="18"/>
      <c r="BZ225" s="146"/>
      <c r="CA225" s="18"/>
      <c r="CB225" s="18"/>
      <c r="CC225" s="20"/>
      <c r="CD225" s="154"/>
    </row>
    <row r="226" spans="35:82">
      <c r="AI226" s="19"/>
      <c r="AO226" s="19"/>
      <c r="AY226" s="145"/>
      <c r="AZ226" s="16"/>
      <c r="BC226" s="16"/>
      <c r="BD226" s="20"/>
      <c r="BE226" s="17"/>
      <c r="BF226" s="20"/>
      <c r="BG226" s="146"/>
      <c r="BH226" s="146"/>
      <c r="BI226" s="146"/>
      <c r="BJ226" s="20"/>
      <c r="BK226" s="20"/>
      <c r="BL226" s="154"/>
      <c r="BP226" s="20"/>
      <c r="BQ226" s="154"/>
      <c r="BR226" s="18"/>
      <c r="BS226" s="16"/>
      <c r="BT226" s="18"/>
      <c r="BU226" s="18"/>
      <c r="BV226" s="18"/>
      <c r="BW226" s="20"/>
      <c r="BX226" s="154"/>
      <c r="BY226" s="18"/>
      <c r="BZ226" s="146"/>
      <c r="CA226" s="18"/>
      <c r="CB226" s="18"/>
      <c r="CC226" s="20"/>
      <c r="CD226" s="154"/>
    </row>
    <row r="227" spans="35:82">
      <c r="AI227" s="19"/>
      <c r="AO227" s="19"/>
      <c r="AY227" s="145"/>
      <c r="AZ227" s="16"/>
      <c r="BC227" s="16"/>
      <c r="BD227" s="20"/>
      <c r="BE227" s="17"/>
      <c r="BF227" s="20"/>
      <c r="BG227" s="146"/>
      <c r="BH227" s="146"/>
      <c r="BI227" s="146"/>
      <c r="BJ227" s="20"/>
      <c r="BK227" s="20"/>
      <c r="BL227" s="154"/>
      <c r="BP227" s="20"/>
      <c r="BQ227" s="154"/>
      <c r="BR227" s="18"/>
      <c r="BS227" s="16"/>
      <c r="BT227" s="18"/>
      <c r="BU227" s="18"/>
      <c r="BV227" s="18"/>
      <c r="BW227" s="20"/>
      <c r="BX227" s="154"/>
      <c r="BY227" s="18"/>
      <c r="BZ227" s="146"/>
      <c r="CA227" s="18"/>
      <c r="CB227" s="18"/>
      <c r="CC227" s="20"/>
      <c r="CD227" s="154"/>
    </row>
    <row r="228" spans="35:82">
      <c r="AI228" s="19"/>
      <c r="AO228" s="19"/>
      <c r="AY228" s="145"/>
      <c r="AZ228" s="16"/>
      <c r="BC228" s="16"/>
      <c r="BD228" s="20"/>
      <c r="BE228" s="17"/>
      <c r="BF228" s="20"/>
      <c r="BG228" s="146"/>
      <c r="BH228" s="146"/>
      <c r="BI228" s="146"/>
      <c r="BJ228" s="20"/>
      <c r="BK228" s="20"/>
      <c r="BL228" s="154"/>
      <c r="BP228" s="20"/>
      <c r="BQ228" s="154"/>
      <c r="BR228" s="18"/>
      <c r="BS228" s="16"/>
      <c r="BT228" s="18"/>
      <c r="BU228" s="18"/>
      <c r="BV228" s="18"/>
      <c r="BW228" s="20"/>
      <c r="BX228" s="154"/>
      <c r="BY228" s="18"/>
      <c r="BZ228" s="146"/>
      <c r="CA228" s="18"/>
      <c r="CB228" s="18"/>
      <c r="CC228" s="20"/>
      <c r="CD228" s="154"/>
    </row>
    <row r="229" spans="35:82">
      <c r="AI229" s="19"/>
      <c r="AO229" s="19"/>
      <c r="AY229" s="145"/>
      <c r="AZ229" s="16"/>
      <c r="BC229" s="16"/>
      <c r="BD229" s="20"/>
      <c r="BE229" s="17"/>
      <c r="BF229" s="20"/>
      <c r="BG229" s="146"/>
      <c r="BH229" s="146"/>
      <c r="BI229" s="146"/>
      <c r="BJ229" s="20"/>
      <c r="BK229" s="20"/>
      <c r="BL229" s="154"/>
      <c r="BP229" s="20"/>
      <c r="BQ229" s="154"/>
      <c r="BR229" s="18"/>
      <c r="BS229" s="16"/>
      <c r="BT229" s="18"/>
      <c r="BU229" s="18"/>
      <c r="BV229" s="18"/>
      <c r="BW229" s="20"/>
      <c r="BX229" s="154"/>
      <c r="BY229" s="18"/>
      <c r="BZ229" s="146"/>
      <c r="CA229" s="18"/>
      <c r="CB229" s="18"/>
      <c r="CC229" s="20"/>
      <c r="CD229" s="154"/>
    </row>
    <row r="230" spans="35:82">
      <c r="AI230" s="19"/>
      <c r="AO230" s="19"/>
      <c r="AY230" s="145"/>
      <c r="AZ230" s="16"/>
      <c r="BC230" s="16"/>
      <c r="BD230" s="20"/>
      <c r="BE230" s="17"/>
      <c r="BF230" s="20"/>
      <c r="BG230" s="146"/>
      <c r="BH230" s="146"/>
      <c r="BI230" s="146"/>
      <c r="BJ230" s="20"/>
      <c r="BK230" s="20"/>
      <c r="BL230" s="154"/>
      <c r="BP230" s="20"/>
      <c r="BQ230" s="154"/>
      <c r="BR230" s="18"/>
      <c r="BS230" s="16"/>
      <c r="BT230" s="18"/>
      <c r="BU230" s="18"/>
      <c r="BV230" s="18"/>
      <c r="BW230" s="20"/>
      <c r="BX230" s="154"/>
      <c r="BY230" s="18"/>
      <c r="BZ230" s="146"/>
      <c r="CA230" s="18"/>
      <c r="CB230" s="18"/>
      <c r="CC230" s="20"/>
      <c r="CD230" s="154"/>
    </row>
    <row r="231" spans="35:82">
      <c r="AI231" s="19"/>
      <c r="AO231" s="19"/>
      <c r="AY231" s="145"/>
      <c r="AZ231" s="16"/>
      <c r="BC231" s="16"/>
      <c r="BD231" s="20"/>
      <c r="BE231" s="17"/>
      <c r="BF231" s="20"/>
      <c r="BG231" s="146"/>
      <c r="BH231" s="146"/>
      <c r="BI231" s="146"/>
      <c r="BJ231" s="20"/>
      <c r="BK231" s="20"/>
      <c r="BL231" s="154"/>
      <c r="BP231" s="20"/>
      <c r="BQ231" s="154"/>
      <c r="BR231" s="18"/>
      <c r="BS231" s="16"/>
      <c r="BT231" s="18"/>
      <c r="BU231" s="18"/>
      <c r="BV231" s="18"/>
      <c r="BW231" s="20"/>
      <c r="BX231" s="154"/>
      <c r="BY231" s="18"/>
      <c r="BZ231" s="146"/>
      <c r="CA231" s="18"/>
      <c r="CB231" s="18"/>
      <c r="CC231" s="20"/>
      <c r="CD231" s="154"/>
    </row>
    <row r="232" spans="35:82">
      <c r="AI232" s="19"/>
      <c r="AO232" s="19"/>
      <c r="AY232" s="145"/>
      <c r="AZ232" s="16"/>
      <c r="BC232" s="16"/>
      <c r="BD232" s="20"/>
      <c r="BE232" s="17"/>
      <c r="BF232" s="20"/>
      <c r="BG232" s="146"/>
      <c r="BH232" s="146"/>
      <c r="BI232" s="146"/>
      <c r="BJ232" s="20"/>
      <c r="BK232" s="20"/>
      <c r="BL232" s="154"/>
      <c r="BP232" s="20"/>
      <c r="BQ232" s="154"/>
      <c r="BR232" s="18"/>
      <c r="BS232" s="16"/>
      <c r="BT232" s="18"/>
      <c r="BU232" s="18"/>
      <c r="BV232" s="18"/>
      <c r="BW232" s="20"/>
      <c r="BX232" s="154"/>
      <c r="BY232" s="18"/>
      <c r="BZ232" s="146"/>
      <c r="CA232" s="18"/>
      <c r="CB232" s="18"/>
      <c r="CC232" s="20"/>
      <c r="CD232" s="154"/>
    </row>
    <row r="233" spans="35:82">
      <c r="AI233" s="19"/>
      <c r="AO233" s="19"/>
      <c r="AY233" s="145"/>
      <c r="AZ233" s="16"/>
      <c r="BC233" s="16"/>
      <c r="BD233" s="20"/>
      <c r="BE233" s="17"/>
      <c r="BF233" s="20"/>
      <c r="BG233" s="146"/>
      <c r="BH233" s="146"/>
      <c r="BI233" s="146"/>
      <c r="BJ233" s="20"/>
      <c r="BK233" s="20"/>
      <c r="BL233" s="154"/>
      <c r="BP233" s="20"/>
      <c r="BQ233" s="154"/>
      <c r="BR233" s="18"/>
      <c r="BS233" s="16"/>
      <c r="BT233" s="18"/>
      <c r="BU233" s="18"/>
      <c r="BV233" s="18"/>
      <c r="BW233" s="20"/>
      <c r="BX233" s="154"/>
      <c r="BY233" s="18"/>
      <c r="BZ233" s="146"/>
      <c r="CA233" s="18"/>
      <c r="CB233" s="18"/>
      <c r="CC233" s="20"/>
      <c r="CD233" s="154"/>
    </row>
    <row r="234" spans="35:82">
      <c r="AI234" s="19"/>
      <c r="AO234" s="19"/>
      <c r="AY234" s="145"/>
      <c r="AZ234" s="16"/>
      <c r="BC234" s="16"/>
      <c r="BD234" s="20"/>
      <c r="BE234" s="17"/>
      <c r="BF234" s="20"/>
      <c r="BG234" s="146"/>
      <c r="BH234" s="146"/>
      <c r="BI234" s="146"/>
      <c r="BJ234" s="20"/>
      <c r="BK234" s="20"/>
      <c r="BL234" s="154"/>
      <c r="BP234" s="20"/>
      <c r="BQ234" s="154"/>
      <c r="BR234" s="18"/>
      <c r="BS234" s="16"/>
      <c r="BT234" s="18"/>
      <c r="BU234" s="18"/>
      <c r="BV234" s="18"/>
      <c r="BW234" s="20"/>
      <c r="BX234" s="154"/>
      <c r="BY234" s="18"/>
      <c r="BZ234" s="146"/>
      <c r="CA234" s="18"/>
      <c r="CB234" s="18"/>
      <c r="CC234" s="20"/>
      <c r="CD234" s="154"/>
    </row>
    <row r="235" spans="35:82">
      <c r="AI235" s="19"/>
      <c r="AO235" s="19"/>
      <c r="AY235" s="145"/>
      <c r="AZ235" s="16"/>
      <c r="BC235" s="16"/>
      <c r="BD235" s="20"/>
      <c r="BE235" s="17"/>
      <c r="BF235" s="20"/>
      <c r="BG235" s="146"/>
      <c r="BH235" s="146"/>
      <c r="BI235" s="146"/>
      <c r="BJ235" s="20"/>
      <c r="BK235" s="20"/>
      <c r="BL235" s="154"/>
      <c r="BP235" s="20"/>
      <c r="BQ235" s="154"/>
      <c r="BR235" s="18"/>
      <c r="BS235" s="16"/>
      <c r="BT235" s="18"/>
      <c r="BU235" s="18"/>
      <c r="BV235" s="18"/>
      <c r="BW235" s="20"/>
      <c r="BX235" s="154"/>
      <c r="BY235" s="18"/>
      <c r="BZ235" s="146"/>
      <c r="CA235" s="18"/>
      <c r="CB235" s="18"/>
      <c r="CC235" s="20"/>
      <c r="CD235" s="154"/>
    </row>
    <row r="236" spans="35:82">
      <c r="AI236" s="19"/>
      <c r="AO236" s="19"/>
      <c r="AY236" s="145"/>
      <c r="AZ236" s="16"/>
      <c r="BC236" s="16"/>
      <c r="BD236" s="20"/>
      <c r="BE236" s="17"/>
      <c r="BF236" s="20"/>
      <c r="BG236" s="146"/>
      <c r="BH236" s="146"/>
      <c r="BI236" s="146"/>
      <c r="BJ236" s="20"/>
      <c r="BK236" s="20"/>
      <c r="BL236" s="154"/>
      <c r="BP236" s="20"/>
      <c r="BQ236" s="154"/>
      <c r="BR236" s="18"/>
      <c r="BS236" s="16"/>
      <c r="BT236" s="18"/>
      <c r="BU236" s="18"/>
      <c r="BV236" s="18"/>
      <c r="BW236" s="20"/>
      <c r="BX236" s="154"/>
      <c r="BY236" s="18"/>
      <c r="BZ236" s="146"/>
      <c r="CA236" s="18"/>
      <c r="CB236" s="18"/>
      <c r="CC236" s="20"/>
      <c r="CD236" s="154"/>
    </row>
    <row r="237" spans="35:82">
      <c r="AI237" s="19"/>
      <c r="AO237" s="19"/>
      <c r="AY237" s="145"/>
      <c r="AZ237" s="16"/>
      <c r="BC237" s="16"/>
      <c r="BD237" s="20"/>
      <c r="BE237" s="17"/>
      <c r="BF237" s="20"/>
      <c r="BG237" s="146"/>
      <c r="BH237" s="146"/>
      <c r="BI237" s="146"/>
      <c r="BJ237" s="20"/>
      <c r="BK237" s="20"/>
      <c r="BL237" s="154"/>
      <c r="BP237" s="20"/>
      <c r="BQ237" s="154"/>
      <c r="BR237" s="18"/>
      <c r="BS237" s="16"/>
      <c r="BT237" s="18"/>
      <c r="BU237" s="18"/>
      <c r="BV237" s="18"/>
      <c r="BW237" s="20"/>
      <c r="BX237" s="154"/>
      <c r="BY237" s="18"/>
      <c r="BZ237" s="146"/>
      <c r="CA237" s="18"/>
      <c r="CB237" s="18"/>
      <c r="CC237" s="20"/>
      <c r="CD237" s="154"/>
    </row>
    <row r="238" spans="35:82">
      <c r="AI238" s="19"/>
      <c r="AO238" s="19"/>
      <c r="AY238" s="145"/>
      <c r="AZ238" s="16"/>
      <c r="BC238" s="16"/>
      <c r="BD238" s="20"/>
      <c r="BE238" s="17"/>
      <c r="BF238" s="20"/>
      <c r="BG238" s="146"/>
      <c r="BH238" s="146"/>
      <c r="BI238" s="146"/>
      <c r="BJ238" s="20"/>
      <c r="BK238" s="20"/>
      <c r="BL238" s="154"/>
      <c r="BP238" s="20"/>
      <c r="BQ238" s="154"/>
      <c r="BR238" s="18"/>
      <c r="BS238" s="16"/>
      <c r="BT238" s="18"/>
      <c r="BU238" s="18"/>
      <c r="BV238" s="18"/>
      <c r="BW238" s="20"/>
      <c r="BX238" s="154"/>
      <c r="BY238" s="18"/>
      <c r="BZ238" s="146"/>
      <c r="CA238" s="18"/>
      <c r="CB238" s="18"/>
      <c r="CC238" s="20"/>
      <c r="CD238" s="154"/>
    </row>
    <row r="239" spans="35:82">
      <c r="AI239" s="19"/>
      <c r="AO239" s="19"/>
      <c r="AY239" s="145"/>
      <c r="AZ239" s="16"/>
      <c r="BC239" s="16"/>
      <c r="BD239" s="20"/>
      <c r="BE239" s="17"/>
      <c r="BF239" s="20"/>
      <c r="BG239" s="146"/>
      <c r="BH239" s="146"/>
      <c r="BI239" s="146"/>
      <c r="BJ239" s="20"/>
      <c r="BK239" s="20"/>
      <c r="BL239" s="154"/>
      <c r="BP239" s="20"/>
      <c r="BQ239" s="154"/>
      <c r="BR239" s="18"/>
      <c r="BS239" s="16"/>
      <c r="BT239" s="18"/>
      <c r="BU239" s="18"/>
      <c r="BV239" s="18"/>
      <c r="BW239" s="20"/>
      <c r="BX239" s="154"/>
      <c r="BY239" s="18"/>
      <c r="BZ239" s="146"/>
      <c r="CA239" s="18"/>
      <c r="CB239" s="18"/>
      <c r="CC239" s="20"/>
      <c r="CD239" s="154"/>
    </row>
    <row r="240" spans="35:82">
      <c r="AI240" s="19"/>
      <c r="AO240" s="19"/>
      <c r="AY240" s="145"/>
      <c r="AZ240" s="16"/>
      <c r="BC240" s="16"/>
      <c r="BD240" s="20"/>
      <c r="BE240" s="17"/>
      <c r="BF240" s="20"/>
      <c r="BG240" s="146"/>
      <c r="BH240" s="146"/>
      <c r="BI240" s="146"/>
      <c r="BJ240" s="20"/>
      <c r="BK240" s="20"/>
      <c r="BL240" s="154"/>
      <c r="BP240" s="20"/>
      <c r="BQ240" s="154"/>
      <c r="BR240" s="18"/>
      <c r="BS240" s="16"/>
      <c r="BT240" s="18"/>
      <c r="BU240" s="18"/>
      <c r="BV240" s="18"/>
      <c r="BW240" s="20"/>
      <c r="BX240" s="154"/>
      <c r="BY240" s="18"/>
      <c r="BZ240" s="146"/>
      <c r="CA240" s="18"/>
      <c r="CB240" s="18"/>
      <c r="CC240" s="20"/>
      <c r="CD240" s="154"/>
    </row>
    <row r="241" spans="35:82">
      <c r="AI241" s="19"/>
      <c r="AO241" s="19"/>
      <c r="AY241" s="145"/>
      <c r="AZ241" s="16"/>
      <c r="BC241" s="16"/>
      <c r="BD241" s="20"/>
      <c r="BE241" s="17"/>
      <c r="BF241" s="20"/>
      <c r="BG241" s="146"/>
      <c r="BH241" s="146"/>
      <c r="BI241" s="146"/>
      <c r="BJ241" s="20"/>
      <c r="BK241" s="20"/>
      <c r="BL241" s="154"/>
      <c r="BP241" s="20"/>
      <c r="BQ241" s="154"/>
      <c r="BR241" s="18"/>
      <c r="BS241" s="16"/>
      <c r="BT241" s="18"/>
      <c r="BU241" s="18"/>
      <c r="BV241" s="18"/>
      <c r="BW241" s="20"/>
      <c r="BX241" s="154"/>
      <c r="BY241" s="18"/>
      <c r="BZ241" s="146"/>
      <c r="CA241" s="18"/>
      <c r="CB241" s="18"/>
      <c r="CC241" s="20"/>
      <c r="CD241" s="154"/>
    </row>
    <row r="242" spans="35:82">
      <c r="AI242" s="19"/>
      <c r="AO242" s="19"/>
      <c r="AY242" s="145"/>
      <c r="AZ242" s="16"/>
      <c r="BC242" s="16"/>
      <c r="BD242" s="20"/>
      <c r="BE242" s="17"/>
      <c r="BF242" s="20"/>
      <c r="BG242" s="146"/>
      <c r="BH242" s="146"/>
      <c r="BI242" s="146"/>
      <c r="BJ242" s="20"/>
      <c r="BK242" s="20"/>
      <c r="BL242" s="154"/>
      <c r="BP242" s="20"/>
      <c r="BQ242" s="154"/>
      <c r="BR242" s="18"/>
      <c r="BS242" s="16"/>
      <c r="BT242" s="18"/>
      <c r="BU242" s="18"/>
      <c r="BV242" s="18"/>
      <c r="BW242" s="20"/>
      <c r="BX242" s="154"/>
      <c r="BY242" s="18"/>
      <c r="BZ242" s="146"/>
      <c r="CA242" s="18"/>
      <c r="CB242" s="18"/>
      <c r="CC242" s="20"/>
      <c r="CD242" s="154"/>
    </row>
    <row r="243" spans="35:82">
      <c r="AI243" s="19"/>
      <c r="AO243" s="19"/>
      <c r="AY243" s="145"/>
      <c r="AZ243" s="16"/>
      <c r="BC243" s="16"/>
      <c r="BD243" s="20"/>
      <c r="BE243" s="17"/>
      <c r="BF243" s="20"/>
      <c r="BG243" s="146"/>
      <c r="BH243" s="146"/>
      <c r="BI243" s="146"/>
      <c r="BJ243" s="20"/>
      <c r="BK243" s="20"/>
      <c r="BL243" s="154"/>
      <c r="BP243" s="20"/>
      <c r="BQ243" s="154"/>
      <c r="BR243" s="18"/>
      <c r="BS243" s="16"/>
      <c r="BT243" s="18"/>
      <c r="BU243" s="18"/>
      <c r="BV243" s="18"/>
      <c r="BW243" s="20"/>
      <c r="BX243" s="154"/>
      <c r="BY243" s="18"/>
      <c r="BZ243" s="146"/>
      <c r="CA243" s="18"/>
      <c r="CB243" s="18"/>
      <c r="CC243" s="20"/>
      <c r="CD243" s="154"/>
    </row>
    <row r="244" spans="35:82">
      <c r="AI244" s="19"/>
      <c r="AO244" s="19"/>
      <c r="AY244" s="145"/>
      <c r="AZ244" s="16"/>
      <c r="BC244" s="16"/>
      <c r="BD244" s="20"/>
      <c r="BE244" s="17"/>
      <c r="BF244" s="20"/>
      <c r="BG244" s="146"/>
      <c r="BH244" s="146"/>
      <c r="BI244" s="146"/>
      <c r="BJ244" s="20"/>
      <c r="BK244" s="20"/>
      <c r="BL244" s="154"/>
      <c r="BP244" s="20"/>
      <c r="BQ244" s="154"/>
      <c r="BR244" s="18"/>
      <c r="BS244" s="16"/>
      <c r="BT244" s="18"/>
      <c r="BU244" s="18"/>
      <c r="BV244" s="18"/>
      <c r="BW244" s="20"/>
      <c r="BX244" s="154"/>
      <c r="BY244" s="18"/>
      <c r="BZ244" s="146"/>
      <c r="CA244" s="18"/>
      <c r="CB244" s="18"/>
      <c r="CC244" s="20"/>
      <c r="CD244" s="154"/>
    </row>
    <row r="245" spans="35:82">
      <c r="AI245" s="19"/>
      <c r="AO245" s="19"/>
      <c r="AY245" s="145"/>
      <c r="AZ245" s="16"/>
      <c r="BC245" s="16"/>
      <c r="BD245" s="20"/>
      <c r="BE245" s="17"/>
      <c r="BF245" s="20"/>
      <c r="BG245" s="146"/>
      <c r="BH245" s="146"/>
      <c r="BI245" s="146"/>
      <c r="BJ245" s="20"/>
      <c r="BK245" s="20"/>
      <c r="BL245" s="154"/>
      <c r="BP245" s="20"/>
      <c r="BQ245" s="154"/>
      <c r="BR245" s="18"/>
      <c r="BS245" s="16"/>
      <c r="BT245" s="18"/>
      <c r="BU245" s="18"/>
      <c r="BV245" s="18"/>
      <c r="BW245" s="20"/>
      <c r="BX245" s="154"/>
      <c r="BY245" s="18"/>
      <c r="BZ245" s="146"/>
      <c r="CA245" s="18"/>
      <c r="CB245" s="18"/>
      <c r="CC245" s="20"/>
      <c r="CD245" s="154"/>
    </row>
    <row r="246" spans="35:82">
      <c r="AI246" s="19"/>
      <c r="AO246" s="19"/>
      <c r="AY246" s="145"/>
      <c r="AZ246" s="16"/>
      <c r="BC246" s="16"/>
      <c r="BD246" s="20"/>
      <c r="BE246" s="17"/>
      <c r="BF246" s="20"/>
      <c r="BG246" s="146"/>
      <c r="BH246" s="146"/>
      <c r="BI246" s="146"/>
      <c r="BJ246" s="20"/>
      <c r="BK246" s="20"/>
      <c r="BL246" s="154"/>
      <c r="BP246" s="20"/>
      <c r="BQ246" s="154"/>
      <c r="BR246" s="18"/>
      <c r="BS246" s="16"/>
      <c r="BT246" s="18"/>
      <c r="BU246" s="18"/>
      <c r="BV246" s="18"/>
      <c r="BW246" s="20"/>
      <c r="BX246" s="154"/>
      <c r="BY246" s="18"/>
      <c r="BZ246" s="146"/>
      <c r="CA246" s="18"/>
      <c r="CB246" s="18"/>
      <c r="CC246" s="20"/>
      <c r="CD246" s="154"/>
    </row>
    <row r="247" spans="35:82">
      <c r="AI247" s="19"/>
      <c r="AO247" s="19"/>
      <c r="AY247" s="145"/>
      <c r="AZ247" s="16"/>
      <c r="BC247" s="16"/>
      <c r="BD247" s="20"/>
      <c r="BE247" s="17"/>
      <c r="BF247" s="20"/>
      <c r="BG247" s="146"/>
      <c r="BH247" s="146"/>
      <c r="BI247" s="146"/>
      <c r="BJ247" s="20"/>
      <c r="BK247" s="20"/>
      <c r="BL247" s="154"/>
      <c r="BP247" s="20"/>
      <c r="BQ247" s="154"/>
      <c r="BR247" s="18"/>
      <c r="BS247" s="16"/>
      <c r="BT247" s="18"/>
      <c r="BU247" s="18"/>
      <c r="BV247" s="18"/>
      <c r="BW247" s="20"/>
      <c r="BX247" s="154"/>
      <c r="BY247" s="18"/>
      <c r="BZ247" s="146"/>
      <c r="CA247" s="18"/>
      <c r="CB247" s="18"/>
      <c r="CC247" s="20"/>
      <c r="CD247" s="154"/>
    </row>
    <row r="248" spans="35:82">
      <c r="AI248" s="19"/>
      <c r="AO248" s="19"/>
      <c r="AY248" s="145"/>
      <c r="AZ248" s="16"/>
      <c r="BC248" s="16"/>
      <c r="BD248" s="20"/>
      <c r="BE248" s="17"/>
      <c r="BF248" s="20"/>
      <c r="BG248" s="146"/>
      <c r="BH248" s="146"/>
      <c r="BI248" s="146"/>
      <c r="BJ248" s="20"/>
      <c r="BK248" s="20"/>
      <c r="BL248" s="154"/>
      <c r="BP248" s="20"/>
      <c r="BQ248" s="154"/>
      <c r="BR248" s="18"/>
      <c r="BS248" s="16"/>
      <c r="BT248" s="18"/>
      <c r="BU248" s="18"/>
      <c r="BV248" s="18"/>
      <c r="BW248" s="20"/>
      <c r="BX248" s="154"/>
      <c r="BY248" s="18"/>
      <c r="BZ248" s="146"/>
      <c r="CA248" s="18"/>
      <c r="CB248" s="18"/>
      <c r="CC248" s="20"/>
      <c r="CD248" s="154"/>
    </row>
    <row r="249" spans="35:82">
      <c r="AI249" s="19"/>
      <c r="AO249" s="19"/>
      <c r="AY249" s="145"/>
      <c r="AZ249" s="16"/>
      <c r="BC249" s="16"/>
      <c r="BD249" s="20"/>
      <c r="BE249" s="17"/>
      <c r="BF249" s="20"/>
      <c r="BG249" s="146"/>
      <c r="BH249" s="146"/>
      <c r="BI249" s="146"/>
      <c r="BJ249" s="20"/>
      <c r="BK249" s="20"/>
      <c r="BL249" s="154"/>
      <c r="BP249" s="20"/>
      <c r="BQ249" s="154"/>
      <c r="BR249" s="18"/>
      <c r="BS249" s="16"/>
      <c r="BT249" s="18"/>
      <c r="BU249" s="18"/>
      <c r="BV249" s="18"/>
      <c r="BW249" s="20"/>
      <c r="BX249" s="154"/>
      <c r="BY249" s="18"/>
      <c r="BZ249" s="146"/>
      <c r="CA249" s="18"/>
      <c r="CB249" s="18"/>
      <c r="CC249" s="20"/>
      <c r="CD249" s="154"/>
    </row>
    <row r="250" spans="35:82">
      <c r="AI250" s="19"/>
      <c r="AO250" s="19"/>
      <c r="AY250" s="145"/>
      <c r="AZ250" s="16"/>
      <c r="BC250" s="16"/>
      <c r="BD250" s="20"/>
      <c r="BE250" s="17"/>
      <c r="BF250" s="20"/>
      <c r="BG250" s="146"/>
      <c r="BH250" s="146"/>
      <c r="BI250" s="146"/>
      <c r="BJ250" s="20"/>
      <c r="BK250" s="20"/>
      <c r="BL250" s="154"/>
      <c r="BP250" s="20"/>
      <c r="BQ250" s="154"/>
      <c r="BR250" s="18"/>
      <c r="BS250" s="16"/>
      <c r="BT250" s="18"/>
      <c r="BU250" s="18"/>
      <c r="BV250" s="18"/>
      <c r="BW250" s="20"/>
      <c r="BX250" s="154"/>
      <c r="BY250" s="18"/>
      <c r="BZ250" s="146"/>
      <c r="CA250" s="18"/>
      <c r="CB250" s="18"/>
      <c r="CC250" s="20"/>
      <c r="CD250" s="154"/>
    </row>
    <row r="251" spans="35:82">
      <c r="AI251" s="19"/>
      <c r="AO251" s="19"/>
      <c r="AY251" s="145"/>
      <c r="AZ251" s="16"/>
      <c r="BC251" s="16"/>
      <c r="BD251" s="20"/>
      <c r="BE251" s="17"/>
      <c r="BF251" s="20"/>
      <c r="BG251" s="146"/>
      <c r="BH251" s="146"/>
      <c r="BI251" s="146"/>
      <c r="BJ251" s="20"/>
      <c r="BK251" s="20"/>
      <c r="BL251" s="154"/>
      <c r="BP251" s="20"/>
      <c r="BQ251" s="154"/>
      <c r="BR251" s="18"/>
      <c r="BS251" s="16"/>
      <c r="BT251" s="18"/>
      <c r="BU251" s="18"/>
      <c r="BV251" s="18"/>
      <c r="BW251" s="20"/>
      <c r="BX251" s="154"/>
      <c r="BY251" s="18"/>
      <c r="BZ251" s="146"/>
      <c r="CA251" s="18"/>
      <c r="CB251" s="18"/>
      <c r="CC251" s="20"/>
      <c r="CD251" s="154"/>
    </row>
    <row r="252" spans="35:82">
      <c r="AI252" s="19"/>
      <c r="AO252" s="19"/>
      <c r="AY252" s="145"/>
      <c r="AZ252" s="16"/>
      <c r="BC252" s="16"/>
      <c r="BD252" s="20"/>
      <c r="BE252" s="17"/>
      <c r="BF252" s="20"/>
      <c r="BG252" s="146"/>
      <c r="BH252" s="146"/>
      <c r="BI252" s="146"/>
      <c r="BJ252" s="20"/>
      <c r="BK252" s="20"/>
      <c r="BL252" s="154"/>
      <c r="BP252" s="20"/>
      <c r="BQ252" s="154"/>
      <c r="BR252" s="18"/>
      <c r="BS252" s="16"/>
      <c r="BT252" s="18"/>
      <c r="BU252" s="18"/>
      <c r="BV252" s="18"/>
      <c r="BW252" s="20"/>
      <c r="BX252" s="154"/>
      <c r="BY252" s="18"/>
      <c r="BZ252" s="146"/>
      <c r="CA252" s="18"/>
      <c r="CB252" s="18"/>
      <c r="CC252" s="20"/>
      <c r="CD252" s="154"/>
    </row>
    <row r="253" spans="35:82">
      <c r="AI253" s="19"/>
      <c r="AO253" s="19"/>
      <c r="AY253" s="145"/>
      <c r="AZ253" s="16"/>
      <c r="BC253" s="16"/>
      <c r="BD253" s="20"/>
      <c r="BE253" s="17"/>
      <c r="BF253" s="20"/>
      <c r="BG253" s="146"/>
      <c r="BH253" s="146"/>
      <c r="BI253" s="146"/>
      <c r="BJ253" s="20"/>
      <c r="BK253" s="20"/>
      <c r="BL253" s="154"/>
      <c r="BP253" s="20"/>
      <c r="BQ253" s="154"/>
      <c r="BR253" s="18"/>
      <c r="BS253" s="16"/>
      <c r="BT253" s="18"/>
      <c r="BU253" s="18"/>
      <c r="BV253" s="18"/>
      <c r="BW253" s="20"/>
      <c r="BX253" s="154"/>
      <c r="BY253" s="18"/>
      <c r="BZ253" s="146"/>
      <c r="CA253" s="18"/>
      <c r="CB253" s="18"/>
      <c r="CC253" s="20"/>
      <c r="CD253" s="154"/>
    </row>
    <row r="254" spans="35:82">
      <c r="AI254" s="19"/>
      <c r="AO254" s="19"/>
      <c r="AY254" s="145"/>
      <c r="AZ254" s="16"/>
      <c r="BC254" s="16"/>
      <c r="BD254" s="20"/>
      <c r="BE254" s="17"/>
      <c r="BF254" s="20"/>
      <c r="BG254" s="146"/>
      <c r="BH254" s="146"/>
      <c r="BI254" s="146"/>
      <c r="BJ254" s="20"/>
      <c r="BK254" s="20"/>
      <c r="BL254" s="154"/>
      <c r="BP254" s="20"/>
      <c r="BQ254" s="154"/>
      <c r="BR254" s="18"/>
      <c r="BS254" s="16"/>
      <c r="BT254" s="18"/>
      <c r="BU254" s="18"/>
      <c r="BV254" s="18"/>
      <c r="BW254" s="20"/>
      <c r="BX254" s="154"/>
      <c r="BY254" s="18"/>
      <c r="BZ254" s="146"/>
      <c r="CA254" s="18"/>
      <c r="CB254" s="18"/>
      <c r="CC254" s="20"/>
      <c r="CD254" s="154"/>
    </row>
    <row r="255" spans="35:82">
      <c r="AI255" s="19"/>
      <c r="AO255" s="19"/>
      <c r="AY255" s="145"/>
      <c r="AZ255" s="16"/>
      <c r="BC255" s="16"/>
      <c r="BD255" s="20"/>
      <c r="BE255" s="17"/>
      <c r="BF255" s="20"/>
      <c r="BG255" s="146"/>
      <c r="BH255" s="146"/>
      <c r="BI255" s="146"/>
      <c r="BJ255" s="20"/>
      <c r="BK255" s="20"/>
      <c r="BL255" s="154"/>
      <c r="BP255" s="20"/>
      <c r="BQ255" s="154"/>
      <c r="BR255" s="18"/>
      <c r="BS255" s="16"/>
      <c r="BT255" s="18"/>
      <c r="BU255" s="18"/>
      <c r="BV255" s="18"/>
      <c r="BW255" s="20"/>
      <c r="BX255" s="154"/>
      <c r="BY255" s="18"/>
      <c r="BZ255" s="146"/>
      <c r="CA255" s="18"/>
      <c r="CB255" s="18"/>
      <c r="CC255" s="20"/>
      <c r="CD255" s="154"/>
    </row>
    <row r="256" spans="35:82">
      <c r="AI256" s="19"/>
      <c r="AO256" s="19"/>
      <c r="AY256" s="145"/>
      <c r="AZ256" s="16"/>
      <c r="BC256" s="16"/>
      <c r="BD256" s="20"/>
      <c r="BE256" s="17"/>
      <c r="BF256" s="20"/>
      <c r="BG256" s="146"/>
      <c r="BH256" s="146"/>
      <c r="BI256" s="146"/>
      <c r="BJ256" s="20"/>
      <c r="BK256" s="20"/>
      <c r="BL256" s="154"/>
      <c r="BP256" s="20"/>
      <c r="BQ256" s="154"/>
      <c r="BR256" s="18"/>
      <c r="BS256" s="16"/>
      <c r="BT256" s="18"/>
      <c r="BU256" s="18"/>
      <c r="BV256" s="18"/>
      <c r="BW256" s="20"/>
      <c r="BX256" s="154"/>
      <c r="BY256" s="18"/>
      <c r="BZ256" s="146"/>
      <c r="CA256" s="18"/>
      <c r="CB256" s="18"/>
      <c r="CC256" s="20"/>
      <c r="CD256" s="154"/>
    </row>
    <row r="257" spans="35:82">
      <c r="AI257" s="19"/>
      <c r="AO257" s="19"/>
      <c r="AY257" s="145"/>
      <c r="AZ257" s="16"/>
      <c r="BC257" s="16"/>
      <c r="BD257" s="20"/>
      <c r="BE257" s="17"/>
      <c r="BF257" s="20"/>
      <c r="BG257" s="146"/>
      <c r="BH257" s="146"/>
      <c r="BI257" s="146"/>
      <c r="BJ257" s="20"/>
      <c r="BK257" s="20"/>
      <c r="BL257" s="154"/>
      <c r="BP257" s="20"/>
      <c r="BQ257" s="154"/>
      <c r="BR257" s="18"/>
      <c r="BS257" s="16"/>
      <c r="BT257" s="18"/>
      <c r="BU257" s="18"/>
      <c r="BV257" s="18"/>
      <c r="BW257" s="20"/>
      <c r="BX257" s="154"/>
      <c r="BY257" s="18"/>
      <c r="BZ257" s="146"/>
      <c r="CA257" s="18"/>
      <c r="CB257" s="18"/>
      <c r="CC257" s="20"/>
      <c r="CD257" s="154"/>
    </row>
    <row r="258" spans="35:82">
      <c r="AI258" s="19"/>
      <c r="AO258" s="19"/>
      <c r="AY258" s="145"/>
      <c r="AZ258" s="16"/>
      <c r="BC258" s="16"/>
      <c r="BD258" s="20"/>
      <c r="BE258" s="17"/>
      <c r="BF258" s="20"/>
      <c r="BG258" s="146"/>
      <c r="BH258" s="146"/>
      <c r="BI258" s="146"/>
      <c r="BJ258" s="20"/>
      <c r="BK258" s="20"/>
      <c r="BL258" s="154"/>
      <c r="BP258" s="20"/>
      <c r="BQ258" s="154"/>
      <c r="BR258" s="18"/>
      <c r="BS258" s="16"/>
      <c r="BT258" s="18"/>
      <c r="BU258" s="18"/>
      <c r="BV258" s="18"/>
      <c r="BW258" s="20"/>
      <c r="BX258" s="154"/>
      <c r="BY258" s="18"/>
      <c r="BZ258" s="146"/>
      <c r="CA258" s="18"/>
      <c r="CB258" s="18"/>
      <c r="CC258" s="20"/>
      <c r="CD258" s="154"/>
    </row>
    <row r="259" spans="35:82">
      <c r="AI259" s="19"/>
      <c r="AO259" s="19"/>
      <c r="AY259" s="145"/>
      <c r="AZ259" s="16"/>
      <c r="BC259" s="16"/>
      <c r="BD259" s="20"/>
      <c r="BE259" s="17"/>
      <c r="BF259" s="20"/>
      <c r="BG259" s="146"/>
      <c r="BH259" s="146"/>
      <c r="BI259" s="146"/>
      <c r="BJ259" s="20"/>
      <c r="BK259" s="20"/>
      <c r="BL259" s="154"/>
      <c r="BP259" s="20"/>
      <c r="BQ259" s="154"/>
      <c r="BR259" s="18"/>
      <c r="BS259" s="16"/>
      <c r="BT259" s="18"/>
      <c r="BU259" s="18"/>
      <c r="BV259" s="18"/>
      <c r="BW259" s="20"/>
      <c r="BX259" s="154"/>
      <c r="BY259" s="18"/>
      <c r="BZ259" s="146"/>
      <c r="CA259" s="18"/>
      <c r="CB259" s="18"/>
      <c r="CC259" s="20"/>
      <c r="CD259" s="154"/>
    </row>
    <row r="260" spans="35:82">
      <c r="AI260" s="19"/>
      <c r="AO260" s="19"/>
      <c r="AY260" s="145"/>
      <c r="AZ260" s="16"/>
      <c r="BC260" s="16"/>
      <c r="BD260" s="20"/>
      <c r="BE260" s="17"/>
      <c r="BF260" s="20"/>
      <c r="BG260" s="146"/>
      <c r="BH260" s="146"/>
      <c r="BI260" s="146"/>
      <c r="BJ260" s="20"/>
      <c r="BK260" s="20"/>
      <c r="BL260" s="154"/>
      <c r="BP260" s="20"/>
      <c r="BQ260" s="154"/>
      <c r="BR260" s="18"/>
      <c r="BS260" s="16"/>
      <c r="BT260" s="18"/>
      <c r="BU260" s="18"/>
      <c r="BV260" s="18"/>
      <c r="BW260" s="20"/>
      <c r="BX260" s="154"/>
      <c r="BY260" s="18"/>
      <c r="BZ260" s="146"/>
      <c r="CA260" s="18"/>
      <c r="CB260" s="18"/>
      <c r="CC260" s="20"/>
      <c r="CD260" s="154"/>
    </row>
    <row r="261" spans="35:82">
      <c r="AI261" s="19"/>
      <c r="AO261" s="19"/>
      <c r="AY261" s="145"/>
      <c r="AZ261" s="16"/>
      <c r="BC261" s="16"/>
      <c r="BD261" s="20"/>
      <c r="BE261" s="17"/>
      <c r="BF261" s="20"/>
      <c r="BG261" s="146"/>
      <c r="BH261" s="146"/>
      <c r="BI261" s="146"/>
      <c r="BJ261" s="20"/>
      <c r="BK261" s="20"/>
      <c r="BL261" s="154"/>
      <c r="BP261" s="20"/>
      <c r="BQ261" s="154"/>
      <c r="BR261" s="18"/>
      <c r="BS261" s="16"/>
      <c r="BT261" s="18"/>
      <c r="BU261" s="18"/>
      <c r="BV261" s="18"/>
      <c r="BW261" s="20"/>
      <c r="BX261" s="154"/>
      <c r="BY261" s="18"/>
      <c r="BZ261" s="146"/>
      <c r="CA261" s="18"/>
      <c r="CB261" s="18"/>
      <c r="CC261" s="20"/>
      <c r="CD261" s="154"/>
    </row>
    <row r="262" spans="35:82">
      <c r="AI262" s="19"/>
      <c r="AO262" s="19"/>
      <c r="AY262" s="145"/>
      <c r="AZ262" s="16"/>
      <c r="BC262" s="16"/>
      <c r="BD262" s="20"/>
      <c r="BE262" s="17"/>
      <c r="BF262" s="20"/>
      <c r="BG262" s="146"/>
      <c r="BH262" s="146"/>
      <c r="BI262" s="146"/>
      <c r="BJ262" s="20"/>
      <c r="BK262" s="20"/>
      <c r="BL262" s="154"/>
      <c r="BP262" s="20"/>
      <c r="BQ262" s="154"/>
      <c r="BR262" s="18"/>
      <c r="BS262" s="16"/>
      <c r="BT262" s="18"/>
      <c r="BU262" s="18"/>
      <c r="BV262" s="18"/>
      <c r="BW262" s="20"/>
      <c r="BX262" s="154"/>
      <c r="BY262" s="18"/>
      <c r="BZ262" s="146"/>
      <c r="CA262" s="18"/>
      <c r="CB262" s="18"/>
      <c r="CC262" s="20"/>
      <c r="CD262" s="154"/>
    </row>
    <row r="263" spans="35:82">
      <c r="AI263" s="19"/>
      <c r="AO263" s="19"/>
      <c r="AY263" s="145"/>
      <c r="AZ263" s="16"/>
      <c r="BC263" s="16"/>
      <c r="BD263" s="20"/>
      <c r="BE263" s="17"/>
      <c r="BF263" s="20"/>
      <c r="BG263" s="146"/>
      <c r="BH263" s="146"/>
      <c r="BI263" s="146"/>
      <c r="BJ263" s="20"/>
      <c r="BK263" s="20"/>
      <c r="BL263" s="154"/>
      <c r="BP263" s="20"/>
      <c r="BQ263" s="154"/>
      <c r="BR263" s="18"/>
      <c r="BS263" s="16"/>
      <c r="BT263" s="18"/>
      <c r="BU263" s="18"/>
      <c r="BV263" s="18"/>
      <c r="BW263" s="20"/>
      <c r="BX263" s="154"/>
      <c r="BY263" s="18"/>
      <c r="BZ263" s="146"/>
      <c r="CA263" s="18"/>
      <c r="CB263" s="18"/>
      <c r="CC263" s="20"/>
      <c r="CD263" s="154"/>
    </row>
    <row r="264" spans="35:82">
      <c r="AI264" s="19"/>
      <c r="AO264" s="19"/>
      <c r="AY264" s="145"/>
      <c r="AZ264" s="16"/>
      <c r="BC264" s="16"/>
      <c r="BD264" s="20"/>
      <c r="BE264" s="17"/>
      <c r="BF264" s="20"/>
      <c r="BG264" s="146"/>
      <c r="BH264" s="146"/>
      <c r="BI264" s="146"/>
      <c r="BJ264" s="20"/>
      <c r="BK264" s="20"/>
      <c r="BL264" s="154"/>
      <c r="BP264" s="20"/>
      <c r="BQ264" s="154"/>
      <c r="BR264" s="18"/>
      <c r="BS264" s="16"/>
      <c r="BT264" s="18"/>
      <c r="BU264" s="18"/>
      <c r="BV264" s="18"/>
      <c r="BW264" s="20"/>
      <c r="BX264" s="154"/>
      <c r="BY264" s="18"/>
      <c r="BZ264" s="146"/>
      <c r="CA264" s="18"/>
      <c r="CB264" s="18"/>
      <c r="CC264" s="20"/>
      <c r="CD264" s="154"/>
    </row>
    <row r="265" spans="35:82">
      <c r="AI265" s="19"/>
      <c r="AO265" s="19"/>
      <c r="AY265" s="145"/>
      <c r="AZ265" s="16"/>
      <c r="BC265" s="16"/>
      <c r="BD265" s="20"/>
      <c r="BE265" s="17"/>
      <c r="BF265" s="20"/>
      <c r="BG265" s="146"/>
      <c r="BH265" s="146"/>
      <c r="BI265" s="146"/>
      <c r="BJ265" s="20"/>
      <c r="BK265" s="20"/>
      <c r="BL265" s="154"/>
      <c r="BP265" s="20"/>
      <c r="BQ265" s="154"/>
      <c r="BR265" s="18"/>
      <c r="BS265" s="16"/>
      <c r="BT265" s="18"/>
      <c r="BU265" s="18"/>
      <c r="BV265" s="18"/>
      <c r="BW265" s="20"/>
      <c r="BX265" s="154"/>
      <c r="BY265" s="18"/>
      <c r="BZ265" s="146"/>
      <c r="CA265" s="18"/>
      <c r="CB265" s="18"/>
      <c r="CC265" s="20"/>
      <c r="CD265" s="154"/>
    </row>
    <row r="266" spans="35:82">
      <c r="AI266" s="19"/>
      <c r="AO266" s="19"/>
      <c r="AY266" s="145"/>
      <c r="AZ266" s="16"/>
      <c r="BC266" s="16"/>
      <c r="BD266" s="20"/>
      <c r="BE266" s="17"/>
      <c r="BF266" s="20"/>
      <c r="BG266" s="146"/>
      <c r="BH266" s="146"/>
      <c r="BI266" s="146"/>
      <c r="BJ266" s="20"/>
      <c r="BK266" s="20"/>
      <c r="BL266" s="154"/>
      <c r="BP266" s="20"/>
      <c r="BQ266" s="154"/>
      <c r="BR266" s="18"/>
      <c r="BS266" s="16"/>
      <c r="BT266" s="18"/>
      <c r="BU266" s="18"/>
      <c r="BV266" s="18"/>
      <c r="BW266" s="20"/>
      <c r="BX266" s="154"/>
      <c r="BY266" s="18"/>
      <c r="BZ266" s="146"/>
      <c r="CA266" s="18"/>
      <c r="CB266" s="18"/>
      <c r="CC266" s="20"/>
      <c r="CD266" s="154"/>
    </row>
    <row r="267" spans="35:82">
      <c r="AI267" s="19"/>
      <c r="AO267" s="19"/>
      <c r="AY267" s="145"/>
      <c r="AZ267" s="16"/>
      <c r="BC267" s="16"/>
      <c r="BD267" s="20"/>
      <c r="BE267" s="17"/>
      <c r="BF267" s="20"/>
      <c r="BG267" s="146"/>
      <c r="BH267" s="146"/>
      <c r="BI267" s="146"/>
      <c r="BJ267" s="20"/>
      <c r="BK267" s="20"/>
      <c r="BL267" s="154"/>
      <c r="BP267" s="20"/>
      <c r="BQ267" s="154"/>
      <c r="BR267" s="18"/>
      <c r="BS267" s="16"/>
      <c r="BT267" s="18"/>
      <c r="BU267" s="18"/>
      <c r="BV267" s="18"/>
      <c r="BW267" s="20"/>
      <c r="BX267" s="154"/>
      <c r="BY267" s="18"/>
      <c r="BZ267" s="146"/>
      <c r="CA267" s="18"/>
      <c r="CB267" s="18"/>
      <c r="CC267" s="20"/>
      <c r="CD267" s="154"/>
    </row>
    <row r="268" spans="35:82">
      <c r="AI268" s="19"/>
      <c r="AO268" s="19"/>
      <c r="AY268" s="145"/>
      <c r="AZ268" s="16"/>
      <c r="BC268" s="16"/>
      <c r="BD268" s="20"/>
      <c r="BE268" s="17"/>
      <c r="BF268" s="20"/>
      <c r="BG268" s="146"/>
      <c r="BH268" s="146"/>
      <c r="BI268" s="146"/>
      <c r="BJ268" s="20"/>
      <c r="BK268" s="20"/>
      <c r="BL268" s="154"/>
      <c r="BP268" s="20"/>
      <c r="BQ268" s="154"/>
      <c r="BR268" s="18"/>
      <c r="BS268" s="16"/>
      <c r="BT268" s="18"/>
      <c r="BU268" s="18"/>
      <c r="BV268" s="18"/>
      <c r="BW268" s="20"/>
      <c r="BX268" s="154"/>
      <c r="BY268" s="18"/>
      <c r="BZ268" s="146"/>
      <c r="CA268" s="18"/>
      <c r="CB268" s="18"/>
      <c r="CC268" s="20"/>
      <c r="CD268" s="154"/>
    </row>
    <row r="269" spans="35:82">
      <c r="AI269" s="19"/>
      <c r="AO269" s="19"/>
      <c r="AY269" s="145"/>
      <c r="AZ269" s="16"/>
      <c r="BC269" s="16"/>
      <c r="BD269" s="20"/>
      <c r="BE269" s="17"/>
      <c r="BF269" s="20"/>
      <c r="BG269" s="146"/>
      <c r="BH269" s="146"/>
      <c r="BI269" s="146"/>
      <c r="BJ269" s="20"/>
      <c r="BK269" s="20"/>
      <c r="BL269" s="154"/>
      <c r="BP269" s="20"/>
      <c r="BQ269" s="154"/>
      <c r="BR269" s="18"/>
      <c r="BS269" s="16"/>
      <c r="BT269" s="18"/>
      <c r="BU269" s="18"/>
      <c r="BV269" s="18"/>
      <c r="BW269" s="20"/>
      <c r="BX269" s="154"/>
      <c r="BY269" s="18"/>
      <c r="BZ269" s="146"/>
      <c r="CA269" s="18"/>
      <c r="CB269" s="18"/>
      <c r="CC269" s="20"/>
      <c r="CD269" s="154"/>
    </row>
    <row r="270" spans="35:82">
      <c r="AI270" s="19"/>
      <c r="AO270" s="19"/>
      <c r="AY270" s="145"/>
      <c r="AZ270" s="16"/>
      <c r="BC270" s="16"/>
      <c r="BD270" s="20"/>
      <c r="BE270" s="17"/>
      <c r="BF270" s="20"/>
      <c r="BG270" s="146"/>
      <c r="BH270" s="146"/>
      <c r="BI270" s="146"/>
      <c r="BJ270" s="20"/>
      <c r="BK270" s="20"/>
      <c r="BL270" s="154"/>
      <c r="BP270" s="20"/>
      <c r="BQ270" s="154"/>
      <c r="BR270" s="18"/>
      <c r="BS270" s="16"/>
      <c r="BT270" s="18"/>
      <c r="BU270" s="18"/>
      <c r="BV270" s="18"/>
      <c r="BW270" s="20"/>
      <c r="BX270" s="154"/>
      <c r="BY270" s="18"/>
      <c r="BZ270" s="146"/>
      <c r="CA270" s="18"/>
      <c r="CB270" s="18"/>
      <c r="CC270" s="20"/>
      <c r="CD270" s="154"/>
    </row>
    <row r="271" spans="35:82">
      <c r="AI271" s="19"/>
      <c r="AO271" s="19"/>
      <c r="AY271" s="145"/>
      <c r="AZ271" s="16"/>
      <c r="BC271" s="16"/>
      <c r="BD271" s="20"/>
      <c r="BE271" s="17"/>
      <c r="BF271" s="20"/>
      <c r="BG271" s="146"/>
      <c r="BH271" s="146"/>
      <c r="BI271" s="146"/>
      <c r="BJ271" s="20"/>
      <c r="BK271" s="20"/>
      <c r="BL271" s="154"/>
      <c r="BP271" s="20"/>
      <c r="BQ271" s="154"/>
      <c r="BR271" s="18"/>
      <c r="BS271" s="16"/>
      <c r="BT271" s="18"/>
      <c r="BU271" s="18"/>
      <c r="BV271" s="18"/>
      <c r="BW271" s="20"/>
      <c r="BX271" s="154"/>
      <c r="BY271" s="18"/>
      <c r="BZ271" s="146"/>
      <c r="CA271" s="18"/>
      <c r="CB271" s="18"/>
      <c r="CC271" s="20"/>
      <c r="CD271" s="154"/>
    </row>
    <row r="272" spans="35:82">
      <c r="AI272" s="19"/>
      <c r="AO272" s="19"/>
      <c r="AY272" s="145"/>
      <c r="AZ272" s="16"/>
      <c r="BC272" s="16"/>
      <c r="BD272" s="20"/>
      <c r="BE272" s="17"/>
      <c r="BF272" s="20"/>
      <c r="BG272" s="146"/>
      <c r="BH272" s="146"/>
      <c r="BI272" s="146"/>
      <c r="BJ272" s="20"/>
      <c r="BK272" s="20"/>
      <c r="BL272" s="154"/>
      <c r="BP272" s="20"/>
      <c r="BQ272" s="154"/>
      <c r="BR272" s="18"/>
      <c r="BS272" s="16"/>
      <c r="BT272" s="18"/>
      <c r="BU272" s="18"/>
      <c r="BV272" s="18"/>
      <c r="BW272" s="20"/>
      <c r="BX272" s="154"/>
      <c r="BY272" s="18"/>
      <c r="BZ272" s="146"/>
      <c r="CA272" s="18"/>
      <c r="CB272" s="18"/>
      <c r="CC272" s="20"/>
      <c r="CD272" s="154"/>
    </row>
    <row r="273" spans="35:82">
      <c r="AI273" s="19"/>
      <c r="AO273" s="19"/>
      <c r="AY273" s="145"/>
      <c r="AZ273" s="16"/>
      <c r="BC273" s="16"/>
      <c r="BD273" s="20"/>
      <c r="BE273" s="17"/>
      <c r="BF273" s="20"/>
      <c r="BG273" s="146"/>
      <c r="BH273" s="146"/>
      <c r="BI273" s="146"/>
      <c r="BJ273" s="20"/>
      <c r="BK273" s="20"/>
      <c r="BL273" s="154"/>
      <c r="BP273" s="20"/>
      <c r="BQ273" s="154"/>
      <c r="BR273" s="18"/>
      <c r="BS273" s="16"/>
      <c r="BT273" s="18"/>
      <c r="BU273" s="18"/>
      <c r="BV273" s="18"/>
      <c r="BW273" s="20"/>
      <c r="BX273" s="154"/>
      <c r="BY273" s="18"/>
      <c r="BZ273" s="146"/>
      <c r="CA273" s="18"/>
      <c r="CB273" s="18"/>
      <c r="CC273" s="20"/>
      <c r="CD273" s="154"/>
    </row>
    <row r="274" spans="35:82">
      <c r="AI274" s="19"/>
      <c r="AO274" s="19"/>
      <c r="AY274" s="145"/>
      <c r="AZ274" s="16"/>
      <c r="BC274" s="16"/>
      <c r="BD274" s="20"/>
      <c r="BE274" s="17"/>
      <c r="BF274" s="20"/>
      <c r="BG274" s="146"/>
      <c r="BH274" s="146"/>
      <c r="BI274" s="146"/>
      <c r="BJ274" s="20"/>
      <c r="BK274" s="20"/>
      <c r="BL274" s="154"/>
      <c r="BP274" s="20"/>
      <c r="BQ274" s="154"/>
      <c r="BR274" s="18"/>
      <c r="BS274" s="16"/>
      <c r="BT274" s="18"/>
      <c r="BU274" s="18"/>
      <c r="BV274" s="18"/>
      <c r="BW274" s="20"/>
      <c r="BX274" s="154"/>
      <c r="BY274" s="18"/>
      <c r="BZ274" s="146"/>
      <c r="CA274" s="18"/>
      <c r="CB274" s="18"/>
      <c r="CC274" s="20"/>
      <c r="CD274" s="154"/>
    </row>
    <row r="275" spans="35:82">
      <c r="AI275" s="19"/>
      <c r="AO275" s="19"/>
      <c r="AY275" s="145"/>
      <c r="AZ275" s="16"/>
      <c r="BC275" s="16"/>
      <c r="BD275" s="20"/>
      <c r="BE275" s="17"/>
      <c r="BF275" s="20"/>
      <c r="BG275" s="146"/>
      <c r="BH275" s="146"/>
      <c r="BI275" s="146"/>
      <c r="BJ275" s="20"/>
      <c r="BK275" s="20"/>
      <c r="BL275" s="154"/>
      <c r="BP275" s="20"/>
      <c r="BQ275" s="154"/>
      <c r="BR275" s="18"/>
      <c r="BS275" s="16"/>
      <c r="BT275" s="18"/>
      <c r="BU275" s="18"/>
      <c r="BV275" s="18"/>
      <c r="BW275" s="20"/>
      <c r="BX275" s="154"/>
      <c r="BY275" s="18"/>
      <c r="BZ275" s="146"/>
      <c r="CA275" s="18"/>
      <c r="CB275" s="18"/>
      <c r="CC275" s="20"/>
      <c r="CD275" s="154"/>
    </row>
    <row r="276" spans="35:82">
      <c r="AI276" s="19"/>
      <c r="AO276" s="19"/>
      <c r="AY276" s="145"/>
      <c r="AZ276" s="16"/>
      <c r="BC276" s="16"/>
      <c r="BD276" s="20"/>
      <c r="BE276" s="17"/>
      <c r="BF276" s="20"/>
      <c r="BG276" s="146"/>
      <c r="BH276" s="146"/>
      <c r="BI276" s="146"/>
      <c r="BJ276" s="20"/>
      <c r="BK276" s="20"/>
      <c r="BL276" s="154"/>
      <c r="BP276" s="20"/>
      <c r="BQ276" s="154"/>
      <c r="BR276" s="18"/>
      <c r="BS276" s="16"/>
      <c r="BT276" s="18"/>
      <c r="BU276" s="18"/>
      <c r="BV276" s="18"/>
      <c r="BW276" s="20"/>
      <c r="BX276" s="154"/>
      <c r="BY276" s="18"/>
      <c r="BZ276" s="146"/>
      <c r="CA276" s="18"/>
      <c r="CB276" s="18"/>
      <c r="CC276" s="20"/>
      <c r="CD276" s="154"/>
    </row>
    <row r="277" spans="35:82">
      <c r="AI277" s="19"/>
      <c r="AO277" s="19"/>
      <c r="AY277" s="145"/>
      <c r="AZ277" s="16"/>
      <c r="BC277" s="16"/>
      <c r="BD277" s="20"/>
      <c r="BE277" s="17"/>
      <c r="BF277" s="20"/>
      <c r="BG277" s="146"/>
      <c r="BH277" s="146"/>
      <c r="BI277" s="146"/>
      <c r="BJ277" s="20"/>
      <c r="BK277" s="20"/>
      <c r="BL277" s="154"/>
      <c r="BP277" s="20"/>
      <c r="BQ277" s="154"/>
      <c r="BR277" s="18"/>
      <c r="BS277" s="16"/>
      <c r="BT277" s="18"/>
      <c r="BU277" s="18"/>
      <c r="BV277" s="18"/>
      <c r="BW277" s="20"/>
      <c r="BX277" s="154"/>
      <c r="BY277" s="18"/>
      <c r="BZ277" s="146"/>
      <c r="CA277" s="18"/>
      <c r="CB277" s="18"/>
      <c r="CC277" s="20"/>
      <c r="CD277" s="154"/>
    </row>
    <row r="278" spans="35:82">
      <c r="AI278" s="19"/>
      <c r="AO278" s="19"/>
      <c r="AY278" s="145"/>
      <c r="AZ278" s="16"/>
      <c r="BC278" s="16"/>
      <c r="BD278" s="20"/>
      <c r="BE278" s="17"/>
      <c r="BF278" s="20"/>
      <c r="BG278" s="146"/>
      <c r="BH278" s="146"/>
      <c r="BI278" s="146"/>
      <c r="BJ278" s="20"/>
      <c r="BK278" s="20"/>
      <c r="BL278" s="154"/>
      <c r="BP278" s="20"/>
      <c r="BQ278" s="154"/>
      <c r="BR278" s="18"/>
      <c r="BS278" s="16"/>
      <c r="BT278" s="18"/>
      <c r="BU278" s="18"/>
      <c r="BV278" s="18"/>
      <c r="BW278" s="20"/>
      <c r="BX278" s="154"/>
      <c r="BY278" s="18"/>
      <c r="BZ278" s="146"/>
      <c r="CA278" s="18"/>
      <c r="CB278" s="18"/>
      <c r="CC278" s="20"/>
      <c r="CD278" s="154"/>
    </row>
    <row r="279" spans="35:82">
      <c r="AI279" s="19"/>
      <c r="AO279" s="19"/>
      <c r="AY279" s="145"/>
      <c r="AZ279" s="16"/>
      <c r="BC279" s="16"/>
      <c r="BD279" s="20"/>
      <c r="BE279" s="17"/>
      <c r="BF279" s="20"/>
      <c r="BG279" s="146"/>
      <c r="BH279" s="146"/>
      <c r="BI279" s="146"/>
      <c r="BJ279" s="20"/>
      <c r="BK279" s="20"/>
      <c r="BL279" s="154"/>
      <c r="BP279" s="20"/>
      <c r="BQ279" s="154"/>
      <c r="BR279" s="18"/>
      <c r="BS279" s="16"/>
      <c r="BT279" s="18"/>
      <c r="BU279" s="18"/>
      <c r="BV279" s="18"/>
      <c r="BW279" s="20"/>
      <c r="BX279" s="154"/>
      <c r="BY279" s="18"/>
      <c r="BZ279" s="146"/>
      <c r="CA279" s="18"/>
      <c r="CB279" s="18"/>
      <c r="CC279" s="20"/>
      <c r="CD279" s="154"/>
    </row>
    <row r="280" spans="35:82">
      <c r="AI280" s="19"/>
      <c r="AO280" s="19"/>
      <c r="AY280" s="145"/>
      <c r="AZ280" s="16"/>
      <c r="BC280" s="16"/>
      <c r="BD280" s="20"/>
      <c r="BE280" s="17"/>
      <c r="BF280" s="20"/>
      <c r="BG280" s="146"/>
      <c r="BH280" s="146"/>
      <c r="BI280" s="146"/>
      <c r="BJ280" s="20"/>
      <c r="BK280" s="20"/>
      <c r="BL280" s="154"/>
      <c r="BP280" s="20"/>
      <c r="BQ280" s="154"/>
      <c r="BR280" s="18"/>
      <c r="BS280" s="16"/>
      <c r="BT280" s="18"/>
      <c r="BU280" s="18"/>
      <c r="BV280" s="18"/>
      <c r="BW280" s="20"/>
      <c r="BX280" s="154"/>
      <c r="BY280" s="18"/>
      <c r="BZ280" s="146"/>
      <c r="CA280" s="18"/>
      <c r="CB280" s="18"/>
      <c r="CC280" s="20"/>
      <c r="CD280" s="154"/>
    </row>
    <row r="281" spans="35:82">
      <c r="AI281" s="19"/>
      <c r="AO281" s="19"/>
      <c r="AY281" s="145"/>
      <c r="AZ281" s="16"/>
      <c r="BC281" s="16"/>
      <c r="BD281" s="20"/>
      <c r="BE281" s="17"/>
      <c r="BF281" s="20"/>
      <c r="BG281" s="146"/>
      <c r="BH281" s="146"/>
      <c r="BI281" s="146"/>
      <c r="BJ281" s="20"/>
      <c r="BK281" s="20"/>
      <c r="BL281" s="154"/>
      <c r="BP281" s="20"/>
      <c r="BQ281" s="154"/>
      <c r="BR281" s="18"/>
      <c r="BS281" s="16"/>
      <c r="BT281" s="18"/>
      <c r="BU281" s="18"/>
      <c r="BV281" s="18"/>
      <c r="BW281" s="20"/>
      <c r="BX281" s="154"/>
      <c r="BY281" s="18"/>
      <c r="BZ281" s="146"/>
      <c r="CA281" s="18"/>
      <c r="CB281" s="18"/>
      <c r="CC281" s="20"/>
      <c r="CD281" s="154"/>
    </row>
    <row r="282" spans="35:82">
      <c r="AI282" s="19"/>
      <c r="AO282" s="19"/>
      <c r="AY282" s="145"/>
      <c r="AZ282" s="16"/>
      <c r="BC282" s="16"/>
      <c r="BD282" s="20"/>
      <c r="BE282" s="17"/>
      <c r="BF282" s="20"/>
      <c r="BG282" s="146"/>
      <c r="BH282" s="146"/>
      <c r="BI282" s="146"/>
      <c r="BJ282" s="20"/>
      <c r="BK282" s="20"/>
      <c r="BL282" s="154"/>
      <c r="BP282" s="20"/>
      <c r="BQ282" s="154"/>
      <c r="BR282" s="18"/>
      <c r="BS282" s="16"/>
      <c r="BT282" s="18"/>
      <c r="BU282" s="18"/>
      <c r="BV282" s="18"/>
      <c r="BW282" s="20"/>
      <c r="BX282" s="154"/>
      <c r="BY282" s="18"/>
      <c r="BZ282" s="146"/>
      <c r="CA282" s="18"/>
      <c r="CB282" s="18"/>
      <c r="CC282" s="20"/>
      <c r="CD282" s="154"/>
    </row>
    <row r="283" spans="35:82">
      <c r="AI283" s="19"/>
      <c r="AO283" s="19"/>
      <c r="AY283" s="145"/>
      <c r="AZ283" s="16"/>
      <c r="BC283" s="16"/>
      <c r="BD283" s="20"/>
      <c r="BE283" s="17"/>
      <c r="BF283" s="20"/>
      <c r="BG283" s="146"/>
      <c r="BH283" s="146"/>
      <c r="BI283" s="146"/>
      <c r="BJ283" s="20"/>
      <c r="BK283" s="20"/>
      <c r="BL283" s="154"/>
      <c r="BP283" s="20"/>
      <c r="BQ283" s="154"/>
      <c r="BR283" s="18"/>
      <c r="BS283" s="16"/>
      <c r="BT283" s="18"/>
      <c r="BU283" s="18"/>
      <c r="BV283" s="18"/>
      <c r="BW283" s="20"/>
      <c r="BX283" s="154"/>
      <c r="BY283" s="18"/>
      <c r="BZ283" s="146"/>
      <c r="CA283" s="18"/>
      <c r="CB283" s="18"/>
      <c r="CC283" s="20"/>
      <c r="CD283" s="154"/>
    </row>
    <row r="284" spans="35:82">
      <c r="AI284" s="19"/>
      <c r="AO284" s="19"/>
      <c r="AY284" s="145"/>
      <c r="AZ284" s="16"/>
      <c r="BC284" s="16"/>
      <c r="BD284" s="20"/>
      <c r="BE284" s="17"/>
      <c r="BF284" s="20"/>
      <c r="BG284" s="146"/>
      <c r="BH284" s="146"/>
      <c r="BI284" s="146"/>
      <c r="BJ284" s="20"/>
      <c r="BK284" s="20"/>
      <c r="BL284" s="154"/>
      <c r="BP284" s="20"/>
      <c r="BQ284" s="154"/>
      <c r="BR284" s="18"/>
      <c r="BS284" s="16"/>
      <c r="BT284" s="18"/>
      <c r="BU284" s="18"/>
      <c r="BV284" s="18"/>
      <c r="BW284" s="20"/>
      <c r="BX284" s="154"/>
      <c r="BY284" s="18"/>
      <c r="BZ284" s="146"/>
      <c r="CA284" s="18"/>
      <c r="CB284" s="18"/>
      <c r="CC284" s="20"/>
      <c r="CD284" s="154"/>
    </row>
    <row r="285" spans="35:82">
      <c r="AI285" s="19"/>
      <c r="AO285" s="19"/>
      <c r="AY285" s="145"/>
      <c r="AZ285" s="16"/>
      <c r="BC285" s="16"/>
      <c r="BD285" s="20"/>
      <c r="BE285" s="17"/>
      <c r="BF285" s="20"/>
      <c r="BG285" s="146"/>
      <c r="BH285" s="146"/>
      <c r="BI285" s="146"/>
      <c r="BJ285" s="20"/>
      <c r="BK285" s="20"/>
      <c r="BL285" s="154"/>
      <c r="BP285" s="20"/>
      <c r="BQ285" s="154"/>
      <c r="BR285" s="18"/>
      <c r="BS285" s="16"/>
      <c r="BT285" s="18"/>
      <c r="BU285" s="18"/>
      <c r="BV285" s="18"/>
      <c r="BW285" s="20"/>
      <c r="BX285" s="154"/>
      <c r="BY285" s="18"/>
      <c r="BZ285" s="146"/>
      <c r="CA285" s="18"/>
      <c r="CB285" s="18"/>
      <c r="CC285" s="20"/>
      <c r="CD285" s="154"/>
    </row>
    <row r="286" spans="35:82">
      <c r="AI286" s="19"/>
      <c r="AO286" s="19"/>
      <c r="AY286" s="145"/>
      <c r="AZ286" s="16"/>
      <c r="BC286" s="16"/>
      <c r="BD286" s="20"/>
      <c r="BE286" s="17"/>
      <c r="BF286" s="20"/>
      <c r="BG286" s="146"/>
      <c r="BH286" s="146"/>
      <c r="BI286" s="146"/>
      <c r="BJ286" s="20"/>
      <c r="BK286" s="20"/>
      <c r="BL286" s="154"/>
      <c r="BP286" s="20"/>
      <c r="BQ286" s="154"/>
      <c r="BR286" s="18"/>
      <c r="BS286" s="16"/>
      <c r="BT286" s="18"/>
      <c r="BU286" s="18"/>
      <c r="BV286" s="18"/>
      <c r="BW286" s="20"/>
      <c r="BX286" s="154"/>
      <c r="BY286" s="18"/>
      <c r="BZ286" s="146"/>
      <c r="CA286" s="18"/>
      <c r="CB286" s="18"/>
      <c r="CC286" s="20"/>
      <c r="CD286" s="154"/>
    </row>
    <row r="287" spans="35:82">
      <c r="AI287" s="19"/>
      <c r="AO287" s="19"/>
      <c r="AY287" s="145"/>
      <c r="AZ287" s="16"/>
      <c r="BC287" s="16"/>
      <c r="BD287" s="20"/>
      <c r="BE287" s="17"/>
      <c r="BF287" s="20"/>
      <c r="BG287" s="146"/>
      <c r="BH287" s="146"/>
      <c r="BI287" s="146"/>
      <c r="BJ287" s="20"/>
      <c r="BK287" s="20"/>
      <c r="BL287" s="154"/>
      <c r="BP287" s="20"/>
      <c r="BQ287" s="154"/>
      <c r="BR287" s="18"/>
      <c r="BS287" s="16"/>
      <c r="BT287" s="18"/>
      <c r="BU287" s="18"/>
      <c r="BV287" s="18"/>
      <c r="BW287" s="20"/>
      <c r="BX287" s="154"/>
      <c r="BY287" s="18"/>
      <c r="BZ287" s="146"/>
      <c r="CA287" s="18"/>
      <c r="CB287" s="18"/>
      <c r="CC287" s="20"/>
      <c r="CD287" s="154"/>
    </row>
    <row r="288" spans="35:82">
      <c r="AI288" s="19"/>
      <c r="AO288" s="19"/>
      <c r="AY288" s="145"/>
      <c r="AZ288" s="16"/>
      <c r="BC288" s="16"/>
      <c r="BD288" s="20"/>
      <c r="BE288" s="17"/>
      <c r="BF288" s="20"/>
      <c r="BG288" s="146"/>
      <c r="BH288" s="146"/>
      <c r="BI288" s="146"/>
      <c r="BJ288" s="20"/>
      <c r="BK288" s="20"/>
      <c r="BL288" s="154"/>
      <c r="BP288" s="20"/>
      <c r="BQ288" s="154"/>
      <c r="BR288" s="18"/>
      <c r="BS288" s="16"/>
      <c r="BT288" s="18"/>
      <c r="BU288" s="18"/>
      <c r="BV288" s="18"/>
      <c r="BW288" s="20"/>
      <c r="BX288" s="154"/>
      <c r="BY288" s="18"/>
      <c r="BZ288" s="146"/>
      <c r="CA288" s="18"/>
      <c r="CB288" s="18"/>
      <c r="CC288" s="20"/>
      <c r="CD288" s="154"/>
    </row>
    <row r="289" spans="35:82">
      <c r="AI289" s="19"/>
      <c r="AO289" s="19"/>
      <c r="AY289" s="145"/>
      <c r="AZ289" s="16"/>
      <c r="BC289" s="16"/>
      <c r="BD289" s="20"/>
      <c r="BE289" s="17"/>
      <c r="BF289" s="20"/>
      <c r="BG289" s="146"/>
      <c r="BH289" s="146"/>
      <c r="BI289" s="146"/>
      <c r="BJ289" s="20"/>
      <c r="BK289" s="20"/>
      <c r="BL289" s="154"/>
      <c r="BP289" s="20"/>
      <c r="BQ289" s="154"/>
      <c r="BR289" s="18"/>
      <c r="BS289" s="16"/>
      <c r="BT289" s="18"/>
      <c r="BU289" s="18"/>
      <c r="BV289" s="18"/>
      <c r="BW289" s="20"/>
      <c r="BX289" s="154"/>
      <c r="BY289" s="18"/>
      <c r="BZ289" s="146"/>
      <c r="CA289" s="18"/>
      <c r="CB289" s="18"/>
      <c r="CC289" s="20"/>
      <c r="CD289" s="154"/>
    </row>
    <row r="290" spans="35:82">
      <c r="AI290" s="19"/>
      <c r="AO290" s="19"/>
      <c r="AY290" s="145"/>
      <c r="AZ290" s="16"/>
      <c r="BC290" s="16"/>
      <c r="BD290" s="20"/>
      <c r="BE290" s="17"/>
      <c r="BF290" s="20"/>
      <c r="BG290" s="146"/>
      <c r="BH290" s="146"/>
      <c r="BI290" s="146"/>
      <c r="BJ290" s="20"/>
      <c r="BK290" s="20"/>
      <c r="BL290" s="154"/>
      <c r="BP290" s="20"/>
      <c r="BQ290" s="154"/>
      <c r="BR290" s="18"/>
      <c r="BS290" s="16"/>
      <c r="BT290" s="18"/>
      <c r="BU290" s="18"/>
      <c r="BV290" s="18"/>
      <c r="BW290" s="20"/>
      <c r="BX290" s="154"/>
      <c r="BY290" s="18"/>
      <c r="BZ290" s="146"/>
      <c r="CA290" s="18"/>
      <c r="CB290" s="18"/>
      <c r="CC290" s="20"/>
      <c r="CD290" s="154"/>
    </row>
    <row r="291" spans="35:82">
      <c r="AI291" s="19"/>
      <c r="AO291" s="19"/>
      <c r="AY291" s="145"/>
      <c r="AZ291" s="16"/>
      <c r="BC291" s="16"/>
      <c r="BD291" s="20"/>
      <c r="BE291" s="17"/>
      <c r="BF291" s="20"/>
      <c r="BG291" s="146"/>
      <c r="BH291" s="146"/>
      <c r="BI291" s="146"/>
      <c r="BJ291" s="20"/>
      <c r="BK291" s="20"/>
      <c r="BL291" s="154"/>
      <c r="BP291" s="20"/>
      <c r="BQ291" s="154"/>
      <c r="BR291" s="18"/>
      <c r="BS291" s="16"/>
      <c r="BT291" s="18"/>
      <c r="BU291" s="18"/>
      <c r="BV291" s="18"/>
      <c r="BW291" s="20"/>
      <c r="BX291" s="154"/>
      <c r="BY291" s="18"/>
      <c r="BZ291" s="146"/>
      <c r="CA291" s="18"/>
      <c r="CB291" s="18"/>
      <c r="CC291" s="20"/>
      <c r="CD291" s="154"/>
    </row>
    <row r="292" spans="35:82">
      <c r="AI292" s="19"/>
      <c r="AO292" s="19"/>
      <c r="AY292" s="145"/>
      <c r="AZ292" s="16"/>
      <c r="BC292" s="16"/>
      <c r="BD292" s="20"/>
      <c r="BE292" s="17"/>
      <c r="BF292" s="20"/>
      <c r="BG292" s="146"/>
      <c r="BH292" s="146"/>
      <c r="BI292" s="146"/>
      <c r="BJ292" s="20"/>
      <c r="BK292" s="20"/>
      <c r="BL292" s="154"/>
      <c r="BP292" s="20"/>
      <c r="BQ292" s="154"/>
      <c r="BR292" s="18"/>
      <c r="BS292" s="16"/>
      <c r="BT292" s="18"/>
      <c r="BU292" s="18"/>
      <c r="BV292" s="18"/>
      <c r="BW292" s="20"/>
      <c r="BX292" s="154"/>
      <c r="BY292" s="18"/>
      <c r="BZ292" s="146"/>
      <c r="CA292" s="18"/>
      <c r="CB292" s="18"/>
      <c r="CC292" s="20"/>
      <c r="CD292" s="154"/>
    </row>
    <row r="293" spans="35:82">
      <c r="AI293" s="19"/>
      <c r="AO293" s="19"/>
      <c r="AY293" s="145"/>
      <c r="AZ293" s="16"/>
      <c r="BC293" s="16"/>
      <c r="BD293" s="20"/>
      <c r="BE293" s="17"/>
      <c r="BF293" s="20"/>
      <c r="BG293" s="146"/>
      <c r="BH293" s="146"/>
      <c r="BI293" s="146"/>
      <c r="BJ293" s="20"/>
      <c r="BK293" s="20"/>
      <c r="BL293" s="154"/>
      <c r="BP293" s="20"/>
      <c r="BQ293" s="154"/>
      <c r="BR293" s="18"/>
      <c r="BS293" s="16"/>
      <c r="BT293" s="18"/>
      <c r="BU293" s="18"/>
      <c r="BV293" s="18"/>
      <c r="BW293" s="20"/>
      <c r="BX293" s="154"/>
      <c r="BY293" s="18"/>
      <c r="BZ293" s="146"/>
      <c r="CA293" s="18"/>
      <c r="CB293" s="18"/>
      <c r="CC293" s="20"/>
      <c r="CD293" s="154"/>
    </row>
    <row r="294" spans="35:82">
      <c r="AI294" s="19"/>
      <c r="AO294" s="19"/>
      <c r="AY294" s="145"/>
      <c r="AZ294" s="16"/>
      <c r="BC294" s="16"/>
      <c r="BD294" s="20"/>
      <c r="BE294" s="17"/>
      <c r="BF294" s="20"/>
      <c r="BG294" s="146"/>
      <c r="BH294" s="146"/>
      <c r="BI294" s="146"/>
      <c r="BJ294" s="20"/>
      <c r="BK294" s="20"/>
      <c r="BL294" s="154"/>
      <c r="BP294" s="20"/>
      <c r="BQ294" s="154"/>
      <c r="BR294" s="18"/>
      <c r="BS294" s="16"/>
      <c r="BT294" s="18"/>
      <c r="BU294" s="18"/>
      <c r="BV294" s="18"/>
      <c r="BW294" s="20"/>
      <c r="BX294" s="154"/>
      <c r="BY294" s="18"/>
      <c r="BZ294" s="146"/>
      <c r="CA294" s="18"/>
      <c r="CB294" s="18"/>
      <c r="CC294" s="20"/>
      <c r="CD294" s="154"/>
    </row>
    <row r="295" spans="35:82">
      <c r="AI295" s="19"/>
      <c r="AO295" s="19"/>
      <c r="AY295" s="145"/>
      <c r="AZ295" s="16"/>
      <c r="BC295" s="16"/>
      <c r="BD295" s="20"/>
      <c r="BE295" s="17"/>
      <c r="BF295" s="20"/>
      <c r="BG295" s="146"/>
      <c r="BH295" s="146"/>
      <c r="BI295" s="146"/>
      <c r="BJ295" s="20"/>
      <c r="BK295" s="20"/>
      <c r="BL295" s="154"/>
      <c r="BP295" s="20"/>
      <c r="BQ295" s="154"/>
      <c r="BR295" s="18"/>
      <c r="BS295" s="16"/>
      <c r="BT295" s="18"/>
      <c r="BU295" s="18"/>
      <c r="BV295" s="18"/>
      <c r="BW295" s="20"/>
      <c r="BX295" s="154"/>
      <c r="BY295" s="18"/>
      <c r="BZ295" s="146"/>
      <c r="CA295" s="18"/>
      <c r="CB295" s="18"/>
      <c r="CC295" s="20"/>
      <c r="CD295" s="154"/>
    </row>
    <row r="296" spans="35:82">
      <c r="AI296" s="19"/>
      <c r="AO296" s="19"/>
      <c r="AY296" s="145"/>
      <c r="AZ296" s="16"/>
      <c r="BC296" s="16"/>
      <c r="BD296" s="20"/>
      <c r="BE296" s="17"/>
      <c r="BF296" s="20"/>
      <c r="BG296" s="146"/>
      <c r="BH296" s="146"/>
      <c r="BI296" s="146"/>
      <c r="BJ296" s="20"/>
      <c r="BK296" s="20"/>
      <c r="BL296" s="154"/>
      <c r="BP296" s="20"/>
      <c r="BQ296" s="154"/>
      <c r="BR296" s="18"/>
      <c r="BS296" s="16"/>
      <c r="BT296" s="18"/>
      <c r="BU296" s="18"/>
      <c r="BV296" s="18"/>
      <c r="BW296" s="20"/>
      <c r="BX296" s="154"/>
      <c r="BY296" s="18"/>
      <c r="BZ296" s="146"/>
      <c r="CA296" s="18"/>
      <c r="CB296" s="18"/>
      <c r="CC296" s="20"/>
      <c r="CD296" s="154"/>
    </row>
    <row r="297" spans="35:82">
      <c r="AI297" s="19"/>
      <c r="AO297" s="19"/>
      <c r="AY297" s="145"/>
      <c r="AZ297" s="16"/>
      <c r="BC297" s="16"/>
      <c r="BD297" s="20"/>
      <c r="BE297" s="17"/>
      <c r="BF297" s="20"/>
      <c r="BG297" s="146"/>
      <c r="BH297" s="146"/>
      <c r="BI297" s="146"/>
      <c r="BJ297" s="20"/>
      <c r="BK297" s="20"/>
      <c r="BL297" s="154"/>
      <c r="BP297" s="20"/>
      <c r="BQ297" s="154"/>
      <c r="BR297" s="18"/>
      <c r="BS297" s="16"/>
      <c r="BT297" s="18"/>
      <c r="BU297" s="18"/>
      <c r="BV297" s="18"/>
      <c r="BW297" s="20"/>
      <c r="BX297" s="154"/>
      <c r="BY297" s="18"/>
      <c r="BZ297" s="146"/>
      <c r="CA297" s="18"/>
      <c r="CB297" s="18"/>
      <c r="CC297" s="20"/>
      <c r="CD297" s="154"/>
    </row>
    <row r="298" spans="35:82">
      <c r="AI298" s="19"/>
      <c r="AO298" s="19"/>
      <c r="AY298" s="145"/>
      <c r="AZ298" s="16"/>
      <c r="BC298" s="16"/>
      <c r="BD298" s="20"/>
      <c r="BE298" s="17"/>
      <c r="BF298" s="20"/>
      <c r="BG298" s="146"/>
      <c r="BH298" s="146"/>
      <c r="BI298" s="146"/>
      <c r="BJ298" s="20"/>
      <c r="BK298" s="20"/>
      <c r="BL298" s="154"/>
      <c r="BP298" s="20"/>
      <c r="BQ298" s="154"/>
      <c r="BR298" s="18"/>
      <c r="BS298" s="16"/>
      <c r="BT298" s="18"/>
      <c r="BU298" s="18"/>
      <c r="BV298" s="18"/>
      <c r="BW298" s="20"/>
      <c r="BX298" s="154"/>
      <c r="BY298" s="18"/>
      <c r="BZ298" s="146"/>
      <c r="CA298" s="18"/>
      <c r="CB298" s="18"/>
      <c r="CC298" s="20"/>
      <c r="CD298" s="154"/>
    </row>
    <row r="299" spans="35:82">
      <c r="AI299" s="19"/>
      <c r="AO299" s="19"/>
      <c r="AY299" s="145"/>
      <c r="AZ299" s="16"/>
      <c r="BC299" s="16"/>
      <c r="BD299" s="20"/>
      <c r="BE299" s="17"/>
      <c r="BF299" s="20"/>
      <c r="BG299" s="146"/>
      <c r="BH299" s="146"/>
      <c r="BI299" s="146"/>
      <c r="BJ299" s="20"/>
      <c r="BK299" s="20"/>
      <c r="BL299" s="154"/>
      <c r="BP299" s="20"/>
      <c r="BQ299" s="154"/>
      <c r="BR299" s="18"/>
      <c r="BS299" s="16"/>
      <c r="BT299" s="18"/>
      <c r="BU299" s="18"/>
      <c r="BV299" s="18"/>
      <c r="BW299" s="20"/>
      <c r="BX299" s="154"/>
      <c r="BY299" s="18"/>
      <c r="BZ299" s="146"/>
      <c r="CA299" s="18"/>
      <c r="CB299" s="18"/>
      <c r="CC299" s="20"/>
      <c r="CD299" s="154"/>
    </row>
    <row r="300" spans="35:82">
      <c r="AI300" s="19"/>
      <c r="AO300" s="19"/>
      <c r="AY300" s="145"/>
      <c r="AZ300" s="16"/>
      <c r="BC300" s="16"/>
      <c r="BD300" s="20"/>
      <c r="BE300" s="17"/>
      <c r="BF300" s="20"/>
      <c r="BG300" s="146"/>
      <c r="BH300" s="146"/>
      <c r="BI300" s="146"/>
      <c r="BJ300" s="20"/>
      <c r="BK300" s="20"/>
      <c r="BL300" s="154"/>
      <c r="BP300" s="20"/>
      <c r="BQ300" s="154"/>
      <c r="BR300" s="18"/>
      <c r="BS300" s="16"/>
      <c r="BT300" s="18"/>
      <c r="BU300" s="18"/>
      <c r="BV300" s="18"/>
      <c r="BW300" s="20"/>
      <c r="BX300" s="154"/>
      <c r="BY300" s="18"/>
      <c r="BZ300" s="146"/>
      <c r="CA300" s="18"/>
      <c r="CB300" s="18"/>
      <c r="CC300" s="20"/>
      <c r="CD300" s="154"/>
    </row>
    <row r="301" spans="35:82">
      <c r="AI301" s="19"/>
      <c r="AO301" s="19"/>
      <c r="AY301" s="145"/>
      <c r="AZ301" s="16"/>
      <c r="BC301" s="16"/>
      <c r="BD301" s="20"/>
      <c r="BE301" s="17"/>
      <c r="BF301" s="20"/>
      <c r="BG301" s="146"/>
      <c r="BH301" s="146"/>
      <c r="BI301" s="146"/>
      <c r="BJ301" s="20"/>
      <c r="BK301" s="20"/>
      <c r="BL301" s="154"/>
      <c r="BP301" s="20"/>
      <c r="BQ301" s="154"/>
      <c r="BR301" s="18"/>
      <c r="BS301" s="16"/>
      <c r="BT301" s="18"/>
      <c r="BU301" s="18"/>
      <c r="BV301" s="18"/>
      <c r="BW301" s="20"/>
      <c r="BX301" s="154"/>
      <c r="BY301" s="18"/>
      <c r="BZ301" s="146"/>
      <c r="CA301" s="18"/>
      <c r="CB301" s="18"/>
      <c r="CC301" s="20"/>
      <c r="CD301" s="154"/>
    </row>
    <row r="302" spans="35:82">
      <c r="AI302" s="19"/>
      <c r="AO302" s="19"/>
      <c r="AY302" s="145"/>
      <c r="AZ302" s="16"/>
      <c r="BC302" s="16"/>
      <c r="BD302" s="20"/>
      <c r="BE302" s="17"/>
      <c r="BF302" s="20"/>
      <c r="BG302" s="146"/>
      <c r="BH302" s="146"/>
      <c r="BI302" s="146"/>
      <c r="BJ302" s="20"/>
      <c r="BK302" s="20"/>
      <c r="BL302" s="154"/>
      <c r="BP302" s="20"/>
      <c r="BQ302" s="154"/>
      <c r="BR302" s="18"/>
      <c r="BS302" s="16"/>
      <c r="BT302" s="18"/>
      <c r="BU302" s="18"/>
      <c r="BV302" s="18"/>
      <c r="BW302" s="20"/>
      <c r="BX302" s="154"/>
      <c r="BY302" s="18"/>
      <c r="BZ302" s="146"/>
      <c r="CA302" s="18"/>
      <c r="CB302" s="18"/>
      <c r="CC302" s="20"/>
      <c r="CD302" s="154"/>
    </row>
    <row r="303" spans="35:82">
      <c r="AI303" s="19"/>
      <c r="AO303" s="19"/>
      <c r="AY303" s="145"/>
      <c r="AZ303" s="16"/>
      <c r="BC303" s="16"/>
      <c r="BD303" s="20"/>
      <c r="BE303" s="17"/>
      <c r="BF303" s="20"/>
      <c r="BG303" s="146"/>
      <c r="BH303" s="146"/>
      <c r="BI303" s="146"/>
      <c r="BJ303" s="20"/>
      <c r="BK303" s="20"/>
      <c r="BL303" s="154"/>
      <c r="BP303" s="20"/>
      <c r="BQ303" s="154"/>
      <c r="BR303" s="18"/>
      <c r="BS303" s="16"/>
      <c r="BT303" s="18"/>
      <c r="BU303" s="18"/>
      <c r="BV303" s="18"/>
      <c r="BW303" s="20"/>
      <c r="BX303" s="154"/>
      <c r="BY303" s="18"/>
      <c r="BZ303" s="146"/>
      <c r="CA303" s="18"/>
      <c r="CB303" s="18"/>
      <c r="CC303" s="20"/>
      <c r="CD303" s="154"/>
    </row>
    <row r="304" spans="35:82">
      <c r="AI304" s="19"/>
      <c r="AO304" s="19"/>
      <c r="AY304" s="145"/>
      <c r="AZ304" s="16"/>
      <c r="BC304" s="16"/>
      <c r="BD304" s="20"/>
      <c r="BE304" s="17"/>
      <c r="BF304" s="20"/>
      <c r="BG304" s="146"/>
      <c r="BH304" s="146"/>
      <c r="BI304" s="146"/>
      <c r="BJ304" s="20"/>
      <c r="BK304" s="20"/>
      <c r="BL304" s="154"/>
      <c r="BP304" s="20"/>
      <c r="BQ304" s="154"/>
      <c r="BR304" s="18"/>
      <c r="BS304" s="16"/>
      <c r="BT304" s="18"/>
      <c r="BU304" s="18"/>
      <c r="BV304" s="18"/>
      <c r="BW304" s="20"/>
      <c r="BX304" s="154"/>
      <c r="BY304" s="18"/>
      <c r="BZ304" s="146"/>
      <c r="CA304" s="18"/>
      <c r="CB304" s="18"/>
      <c r="CC304" s="20"/>
      <c r="CD304" s="154"/>
    </row>
    <row r="305" spans="35:82">
      <c r="AI305" s="19"/>
      <c r="AO305" s="19"/>
      <c r="AY305" s="145"/>
      <c r="AZ305" s="16"/>
      <c r="BC305" s="16"/>
      <c r="BD305" s="20"/>
      <c r="BE305" s="17"/>
      <c r="BF305" s="20"/>
      <c r="BG305" s="146"/>
      <c r="BH305" s="146"/>
      <c r="BI305" s="146"/>
      <c r="BJ305" s="20"/>
      <c r="BK305" s="20"/>
      <c r="BL305" s="154"/>
      <c r="BP305" s="20"/>
      <c r="BQ305" s="154"/>
      <c r="BR305" s="18"/>
      <c r="BS305" s="16"/>
      <c r="BT305" s="18"/>
      <c r="BU305" s="18"/>
      <c r="BV305" s="18"/>
      <c r="BW305" s="20"/>
      <c r="BX305" s="154"/>
      <c r="BY305" s="18"/>
      <c r="BZ305" s="146"/>
      <c r="CA305" s="18"/>
      <c r="CB305" s="18"/>
      <c r="CC305" s="20"/>
      <c r="CD305" s="154"/>
    </row>
    <row r="306" spans="35:82">
      <c r="AI306" s="19"/>
      <c r="AO306" s="19"/>
      <c r="AY306" s="145"/>
      <c r="AZ306" s="16"/>
      <c r="BC306" s="16"/>
      <c r="BD306" s="20"/>
      <c r="BE306" s="17"/>
      <c r="BF306" s="20"/>
      <c r="BG306" s="146"/>
      <c r="BH306" s="146"/>
      <c r="BI306" s="146"/>
      <c r="BJ306" s="20"/>
      <c r="BK306" s="20"/>
      <c r="BL306" s="154"/>
      <c r="BP306" s="20"/>
      <c r="BQ306" s="154"/>
      <c r="BR306" s="18"/>
      <c r="BS306" s="16"/>
      <c r="BT306" s="18"/>
      <c r="BU306" s="18"/>
      <c r="BV306" s="18"/>
      <c r="BW306" s="20"/>
      <c r="BX306" s="154"/>
      <c r="BY306" s="18"/>
      <c r="BZ306" s="146"/>
      <c r="CA306" s="18"/>
      <c r="CB306" s="18"/>
      <c r="CC306" s="20"/>
      <c r="CD306" s="154"/>
    </row>
    <row r="307" spans="35:82">
      <c r="AI307" s="19"/>
      <c r="AO307" s="19"/>
      <c r="AY307" s="145"/>
      <c r="AZ307" s="16"/>
      <c r="BC307" s="16"/>
      <c r="BD307" s="20"/>
      <c r="BE307" s="17"/>
      <c r="BF307" s="20"/>
      <c r="BG307" s="146"/>
      <c r="BH307" s="146"/>
      <c r="BI307" s="146"/>
      <c r="BJ307" s="20"/>
      <c r="BK307" s="20"/>
      <c r="BL307" s="154"/>
      <c r="BP307" s="20"/>
      <c r="BQ307" s="154"/>
      <c r="BR307" s="18"/>
      <c r="BS307" s="16"/>
      <c r="BT307" s="18"/>
      <c r="BU307" s="18"/>
      <c r="BV307" s="18"/>
      <c r="BW307" s="20"/>
      <c r="BX307" s="154"/>
      <c r="BY307" s="18"/>
      <c r="BZ307" s="146"/>
      <c r="CA307" s="18"/>
      <c r="CB307" s="18"/>
      <c r="CC307" s="20"/>
      <c r="CD307" s="154"/>
    </row>
    <row r="308" spans="35:82">
      <c r="AI308" s="19"/>
      <c r="AO308" s="19"/>
      <c r="AY308" s="145"/>
      <c r="AZ308" s="16"/>
      <c r="BC308" s="16"/>
      <c r="BD308" s="20"/>
      <c r="BE308" s="17"/>
      <c r="BF308" s="20"/>
      <c r="BG308" s="146"/>
      <c r="BH308" s="146"/>
      <c r="BI308" s="146"/>
      <c r="BJ308" s="20"/>
      <c r="BK308" s="20"/>
      <c r="BL308" s="154"/>
      <c r="BP308" s="20"/>
      <c r="BQ308" s="154"/>
      <c r="BR308" s="18"/>
      <c r="BS308" s="16"/>
      <c r="BT308" s="18"/>
      <c r="BU308" s="18"/>
      <c r="BV308" s="18"/>
      <c r="BW308" s="20"/>
      <c r="BX308" s="154"/>
      <c r="BY308" s="18"/>
      <c r="BZ308" s="146"/>
      <c r="CA308" s="18"/>
      <c r="CB308" s="18"/>
      <c r="CC308" s="20"/>
      <c r="CD308" s="154"/>
    </row>
    <row r="309" spans="35:82">
      <c r="AI309" s="19"/>
      <c r="AO309" s="19"/>
      <c r="AY309" s="145"/>
      <c r="AZ309" s="16"/>
      <c r="BC309" s="16"/>
      <c r="BD309" s="20"/>
      <c r="BE309" s="17"/>
      <c r="BF309" s="20"/>
      <c r="BG309" s="146"/>
      <c r="BH309" s="146"/>
      <c r="BI309" s="146"/>
      <c r="BJ309" s="20"/>
      <c r="BK309" s="20"/>
      <c r="BL309" s="154"/>
      <c r="BP309" s="20"/>
      <c r="BQ309" s="154"/>
      <c r="BR309" s="18"/>
      <c r="BS309" s="16"/>
      <c r="BT309" s="18"/>
      <c r="BU309" s="18"/>
      <c r="BV309" s="18"/>
      <c r="BW309" s="20"/>
      <c r="BX309" s="154"/>
      <c r="BY309" s="18"/>
      <c r="BZ309" s="146"/>
      <c r="CA309" s="18"/>
      <c r="CB309" s="18"/>
      <c r="CC309" s="20"/>
      <c r="CD309" s="154"/>
    </row>
    <row r="310" spans="35:82">
      <c r="AI310" s="19"/>
      <c r="AO310" s="19"/>
      <c r="AY310" s="145"/>
      <c r="AZ310" s="16"/>
      <c r="BC310" s="16"/>
      <c r="BD310" s="20"/>
      <c r="BE310" s="17"/>
      <c r="BF310" s="20"/>
      <c r="BG310" s="146"/>
      <c r="BH310" s="146"/>
      <c r="BI310" s="146"/>
      <c r="BJ310" s="20"/>
      <c r="BK310" s="20"/>
      <c r="BL310" s="154"/>
      <c r="BP310" s="20"/>
      <c r="BQ310" s="154"/>
      <c r="BR310" s="18"/>
      <c r="BS310" s="16"/>
      <c r="BT310" s="18"/>
      <c r="BU310" s="18"/>
      <c r="BV310" s="18"/>
      <c r="BW310" s="20"/>
      <c r="BX310" s="154"/>
      <c r="BY310" s="18"/>
      <c r="BZ310" s="146"/>
      <c r="CA310" s="18"/>
      <c r="CB310" s="18"/>
      <c r="CC310" s="20"/>
      <c r="CD310" s="154"/>
    </row>
    <row r="311" spans="35:82">
      <c r="AI311" s="19"/>
      <c r="AO311" s="19"/>
      <c r="AY311" s="145"/>
      <c r="AZ311" s="16"/>
      <c r="BC311" s="16"/>
      <c r="BD311" s="20"/>
      <c r="BE311" s="17"/>
      <c r="BF311" s="20"/>
      <c r="BG311" s="146"/>
      <c r="BH311" s="146"/>
      <c r="BI311" s="146"/>
      <c r="BJ311" s="20"/>
      <c r="BK311" s="20"/>
      <c r="BL311" s="154"/>
      <c r="BP311" s="20"/>
      <c r="BQ311" s="154"/>
      <c r="BR311" s="18"/>
      <c r="BS311" s="16"/>
      <c r="BT311" s="18"/>
      <c r="BU311" s="18"/>
      <c r="BV311" s="18"/>
      <c r="BW311" s="20"/>
      <c r="BX311" s="154"/>
      <c r="BY311" s="18"/>
      <c r="BZ311" s="146"/>
      <c r="CA311" s="18"/>
      <c r="CB311" s="18"/>
      <c r="CC311" s="20"/>
      <c r="CD311" s="154"/>
    </row>
    <row r="312" spans="35:82">
      <c r="AI312" s="19"/>
      <c r="AO312" s="19"/>
      <c r="AY312" s="145"/>
      <c r="AZ312" s="16"/>
      <c r="BC312" s="16"/>
      <c r="BD312" s="20"/>
      <c r="BE312" s="17"/>
      <c r="BF312" s="20"/>
      <c r="BG312" s="146"/>
      <c r="BH312" s="146"/>
      <c r="BI312" s="146"/>
      <c r="BJ312" s="20"/>
      <c r="BK312" s="20"/>
      <c r="BL312" s="154"/>
      <c r="BP312" s="20"/>
      <c r="BQ312" s="154"/>
      <c r="BR312" s="18"/>
      <c r="BS312" s="16"/>
      <c r="BT312" s="18"/>
      <c r="BU312" s="18"/>
      <c r="BV312" s="18"/>
      <c r="BW312" s="20"/>
      <c r="BX312" s="154"/>
      <c r="BY312" s="18"/>
      <c r="BZ312" s="146"/>
      <c r="CA312" s="18"/>
      <c r="CB312" s="18"/>
      <c r="CC312" s="20"/>
      <c r="CD312" s="154"/>
    </row>
    <row r="313" spans="35:82">
      <c r="AI313" s="19"/>
      <c r="AO313" s="19"/>
      <c r="AY313" s="145"/>
      <c r="AZ313" s="16"/>
      <c r="BC313" s="16"/>
      <c r="BD313" s="20"/>
      <c r="BE313" s="17"/>
      <c r="BF313" s="20"/>
      <c r="BG313" s="146"/>
      <c r="BH313" s="146"/>
      <c r="BI313" s="146"/>
      <c r="BJ313" s="20"/>
      <c r="BK313" s="20"/>
      <c r="BL313" s="154"/>
      <c r="BP313" s="20"/>
      <c r="BQ313" s="154"/>
      <c r="BR313" s="18"/>
      <c r="BS313" s="16"/>
      <c r="BT313" s="18"/>
      <c r="BU313" s="18"/>
      <c r="BV313" s="18"/>
      <c r="BW313" s="20"/>
      <c r="BX313" s="154"/>
      <c r="BY313" s="18"/>
      <c r="BZ313" s="146"/>
      <c r="CA313" s="18"/>
      <c r="CB313" s="18"/>
      <c r="CC313" s="20"/>
      <c r="CD313" s="154"/>
    </row>
    <row r="314" spans="35:82">
      <c r="AI314" s="19"/>
      <c r="AO314" s="19"/>
      <c r="AY314" s="145"/>
      <c r="AZ314" s="16"/>
      <c r="BC314" s="16"/>
      <c r="BD314" s="20"/>
      <c r="BE314" s="17"/>
      <c r="BF314" s="20"/>
      <c r="BG314" s="146"/>
      <c r="BH314" s="146"/>
      <c r="BI314" s="146"/>
      <c r="BJ314" s="20"/>
      <c r="BK314" s="20"/>
      <c r="BL314" s="154"/>
      <c r="BP314" s="20"/>
      <c r="BQ314" s="154"/>
      <c r="BR314" s="18"/>
      <c r="BS314" s="16"/>
      <c r="BT314" s="18"/>
      <c r="BU314" s="18"/>
      <c r="BV314" s="18"/>
      <c r="BW314" s="20"/>
      <c r="BX314" s="154"/>
      <c r="BY314" s="18"/>
      <c r="BZ314" s="146"/>
      <c r="CA314" s="18"/>
      <c r="CB314" s="18"/>
      <c r="CC314" s="20"/>
      <c r="CD314" s="154"/>
    </row>
    <row r="315" spans="35:82">
      <c r="AI315" s="19"/>
      <c r="AO315" s="19"/>
      <c r="AY315" s="145"/>
      <c r="AZ315" s="16"/>
      <c r="BC315" s="16"/>
      <c r="BD315" s="20"/>
      <c r="BE315" s="17"/>
      <c r="BF315" s="20"/>
      <c r="BG315" s="146"/>
      <c r="BH315" s="146"/>
      <c r="BI315" s="146"/>
      <c r="BJ315" s="20"/>
      <c r="BK315" s="20"/>
      <c r="BL315" s="154"/>
      <c r="BP315" s="20"/>
      <c r="BQ315" s="154"/>
      <c r="BR315" s="18"/>
      <c r="BS315" s="16"/>
      <c r="BT315" s="18"/>
      <c r="BU315" s="18"/>
      <c r="BV315" s="18"/>
      <c r="BW315" s="20"/>
      <c r="BX315" s="154"/>
      <c r="BY315" s="18"/>
      <c r="BZ315" s="146"/>
      <c r="CA315" s="18"/>
      <c r="CB315" s="18"/>
      <c r="CC315" s="20"/>
      <c r="CD315" s="154"/>
    </row>
    <row r="316" spans="35:82">
      <c r="AI316" s="19"/>
      <c r="AO316" s="19"/>
      <c r="AY316" s="145"/>
      <c r="AZ316" s="16"/>
      <c r="BC316" s="16"/>
      <c r="BD316" s="20"/>
      <c r="BE316" s="17"/>
      <c r="BF316" s="20"/>
      <c r="BG316" s="146"/>
      <c r="BH316" s="146"/>
      <c r="BI316" s="146"/>
      <c r="BJ316" s="20"/>
      <c r="BK316" s="20"/>
      <c r="BL316" s="154"/>
      <c r="BP316" s="20"/>
      <c r="BQ316" s="154"/>
      <c r="BR316" s="18"/>
      <c r="BS316" s="16"/>
      <c r="BT316" s="18"/>
      <c r="BU316" s="18"/>
      <c r="BV316" s="18"/>
      <c r="BW316" s="20"/>
      <c r="BX316" s="154"/>
      <c r="BY316" s="18"/>
      <c r="BZ316" s="146"/>
      <c r="CA316" s="18"/>
      <c r="CB316" s="18"/>
      <c r="CC316" s="20"/>
      <c r="CD316" s="154"/>
    </row>
    <row r="317" spans="35:82">
      <c r="AI317" s="19"/>
      <c r="AO317" s="19"/>
      <c r="AY317" s="145"/>
      <c r="AZ317" s="16"/>
      <c r="BC317" s="16"/>
      <c r="BD317" s="20"/>
      <c r="BE317" s="17"/>
      <c r="BF317" s="20"/>
      <c r="BG317" s="146"/>
      <c r="BH317" s="146"/>
      <c r="BI317" s="146"/>
      <c r="BJ317" s="20"/>
      <c r="BK317" s="20"/>
      <c r="BL317" s="154"/>
      <c r="BP317" s="20"/>
      <c r="BQ317" s="154"/>
      <c r="BR317" s="18"/>
      <c r="BS317" s="16"/>
      <c r="BT317" s="18"/>
      <c r="BU317" s="18"/>
      <c r="BV317" s="18"/>
      <c r="BW317" s="20"/>
      <c r="BX317" s="154"/>
      <c r="BY317" s="18"/>
      <c r="BZ317" s="146"/>
      <c r="CA317" s="18"/>
      <c r="CB317" s="18"/>
      <c r="CC317" s="20"/>
      <c r="CD317" s="154"/>
    </row>
    <row r="318" spans="35:82">
      <c r="AI318" s="19"/>
      <c r="AO318" s="19"/>
      <c r="AY318" s="145"/>
      <c r="AZ318" s="16"/>
      <c r="BC318" s="16"/>
      <c r="BD318" s="20"/>
      <c r="BE318" s="17"/>
      <c r="BF318" s="20"/>
      <c r="BG318" s="146"/>
      <c r="BH318" s="146"/>
      <c r="BI318" s="146"/>
      <c r="BJ318" s="20"/>
      <c r="BK318" s="20"/>
      <c r="BL318" s="154"/>
      <c r="BP318" s="20"/>
      <c r="BQ318" s="154"/>
      <c r="BR318" s="18"/>
      <c r="BS318" s="16"/>
      <c r="BT318" s="18"/>
      <c r="BU318" s="18"/>
      <c r="BV318" s="18"/>
      <c r="BW318" s="20"/>
      <c r="BX318" s="154"/>
      <c r="BY318" s="18"/>
      <c r="BZ318" s="146"/>
      <c r="CA318" s="18"/>
      <c r="CB318" s="18"/>
      <c r="CC318" s="20"/>
      <c r="CD318" s="154"/>
    </row>
    <row r="319" spans="35:82">
      <c r="AI319" s="19"/>
      <c r="AO319" s="19"/>
      <c r="AY319" s="145"/>
      <c r="AZ319" s="16"/>
      <c r="BC319" s="16"/>
      <c r="BD319" s="20"/>
      <c r="BE319" s="17"/>
      <c r="BF319" s="20"/>
      <c r="BG319" s="146"/>
      <c r="BH319" s="146"/>
      <c r="BI319" s="146"/>
      <c r="BJ319" s="20"/>
      <c r="BK319" s="20"/>
      <c r="BL319" s="154"/>
      <c r="BP319" s="20"/>
      <c r="BQ319" s="154"/>
      <c r="BR319" s="18"/>
      <c r="BS319" s="16"/>
      <c r="BT319" s="18"/>
      <c r="BU319" s="18"/>
      <c r="BV319" s="18"/>
      <c r="BW319" s="20"/>
      <c r="BX319" s="154"/>
      <c r="BY319" s="18"/>
      <c r="BZ319" s="146"/>
      <c r="CA319" s="18"/>
      <c r="CB319" s="18"/>
      <c r="CC319" s="20"/>
      <c r="CD319" s="154"/>
    </row>
    <row r="320" spans="35:82">
      <c r="AI320" s="19"/>
      <c r="AO320" s="19"/>
      <c r="AY320" s="145"/>
      <c r="AZ320" s="16"/>
      <c r="BC320" s="16"/>
      <c r="BD320" s="20"/>
      <c r="BE320" s="17"/>
      <c r="BF320" s="20"/>
      <c r="BG320" s="146"/>
      <c r="BH320" s="146"/>
      <c r="BI320" s="146"/>
      <c r="BJ320" s="20"/>
      <c r="BK320" s="20"/>
      <c r="BL320" s="154"/>
      <c r="BP320" s="20"/>
      <c r="BQ320" s="154"/>
      <c r="BR320" s="18"/>
      <c r="BS320" s="16"/>
      <c r="BT320" s="18"/>
      <c r="BU320" s="18"/>
      <c r="BV320" s="18"/>
      <c r="BW320" s="20"/>
      <c r="BX320" s="154"/>
      <c r="BY320" s="18"/>
      <c r="BZ320" s="146"/>
      <c r="CA320" s="18"/>
      <c r="CB320" s="18"/>
      <c r="CC320" s="20"/>
      <c r="CD320" s="154"/>
    </row>
    <row r="321" spans="35:82">
      <c r="AI321" s="19"/>
      <c r="AO321" s="19"/>
      <c r="AY321" s="145"/>
      <c r="AZ321" s="16"/>
      <c r="BC321" s="16"/>
      <c r="BD321" s="20"/>
      <c r="BE321" s="17"/>
      <c r="BF321" s="20"/>
      <c r="BG321" s="146"/>
      <c r="BH321" s="146"/>
      <c r="BI321" s="146"/>
      <c r="BJ321" s="20"/>
      <c r="BK321" s="20"/>
      <c r="BL321" s="154"/>
      <c r="BP321" s="20"/>
      <c r="BQ321" s="154"/>
      <c r="BR321" s="18"/>
      <c r="BS321" s="16"/>
      <c r="BT321" s="18"/>
      <c r="BU321" s="18"/>
      <c r="BV321" s="18"/>
      <c r="BW321" s="20"/>
      <c r="BX321" s="154"/>
      <c r="BY321" s="18"/>
      <c r="BZ321" s="146"/>
      <c r="CA321" s="18"/>
      <c r="CB321" s="18"/>
      <c r="CC321" s="20"/>
      <c r="CD321" s="154"/>
    </row>
    <row r="322" spans="35:82">
      <c r="AI322" s="19"/>
      <c r="AO322" s="19"/>
      <c r="AY322" s="145"/>
      <c r="AZ322" s="16"/>
      <c r="BC322" s="16"/>
      <c r="BD322" s="20"/>
      <c r="BE322" s="17"/>
      <c r="BF322" s="20"/>
      <c r="BG322" s="146"/>
      <c r="BH322" s="146"/>
      <c r="BI322" s="146"/>
      <c r="BJ322" s="20"/>
      <c r="BK322" s="20"/>
      <c r="BL322" s="154"/>
      <c r="BP322" s="20"/>
      <c r="BQ322" s="154"/>
      <c r="BR322" s="18"/>
      <c r="BS322" s="16"/>
      <c r="BT322" s="18"/>
      <c r="BU322" s="18"/>
      <c r="BV322" s="18"/>
      <c r="BW322" s="20"/>
      <c r="BX322" s="154"/>
      <c r="BY322" s="18"/>
      <c r="BZ322" s="146"/>
      <c r="CA322" s="18"/>
      <c r="CB322" s="18"/>
      <c r="CC322" s="20"/>
      <c r="CD322" s="154"/>
    </row>
    <row r="323" spans="35:82">
      <c r="AI323" s="19"/>
      <c r="AO323" s="19"/>
      <c r="AY323" s="145"/>
      <c r="AZ323" s="16"/>
      <c r="BC323" s="16"/>
      <c r="BD323" s="20"/>
      <c r="BE323" s="17"/>
      <c r="BF323" s="20"/>
      <c r="BG323" s="146"/>
      <c r="BH323" s="146"/>
      <c r="BI323" s="146"/>
      <c r="BJ323" s="20"/>
      <c r="BK323" s="20"/>
      <c r="BL323" s="154"/>
      <c r="BP323" s="20"/>
      <c r="BQ323" s="154"/>
      <c r="BR323" s="18"/>
      <c r="BS323" s="16"/>
      <c r="BT323" s="18"/>
      <c r="BU323" s="18"/>
      <c r="BV323" s="18"/>
      <c r="BW323" s="20"/>
      <c r="BX323" s="154"/>
      <c r="BY323" s="18"/>
      <c r="BZ323" s="146"/>
      <c r="CA323" s="18"/>
      <c r="CB323" s="18"/>
      <c r="CC323" s="20"/>
      <c r="CD323" s="154"/>
    </row>
    <row r="324" spans="35:82">
      <c r="AI324" s="19"/>
      <c r="AO324" s="19"/>
      <c r="AY324" s="145"/>
      <c r="AZ324" s="16"/>
      <c r="BC324" s="16"/>
      <c r="BD324" s="20"/>
      <c r="BE324" s="17"/>
      <c r="BF324" s="20"/>
      <c r="BG324" s="146"/>
      <c r="BH324" s="146"/>
      <c r="BI324" s="146"/>
      <c r="BJ324" s="20"/>
      <c r="BK324" s="20"/>
      <c r="BL324" s="154"/>
      <c r="BP324" s="20"/>
      <c r="BQ324" s="154"/>
      <c r="BR324" s="18"/>
      <c r="BS324" s="16"/>
      <c r="BT324" s="18"/>
      <c r="BU324" s="18"/>
      <c r="BV324" s="18"/>
      <c r="BW324" s="20"/>
      <c r="BX324" s="154"/>
      <c r="BY324" s="18"/>
      <c r="BZ324" s="146"/>
      <c r="CA324" s="18"/>
      <c r="CB324" s="18"/>
      <c r="CC324" s="20"/>
      <c r="CD324" s="154"/>
    </row>
    <row r="325" spans="35:82">
      <c r="AI325" s="19"/>
      <c r="AO325" s="19"/>
      <c r="AY325" s="145"/>
      <c r="AZ325" s="16"/>
      <c r="BC325" s="16"/>
      <c r="BD325" s="20"/>
      <c r="BE325" s="17"/>
      <c r="BF325" s="20"/>
      <c r="BG325" s="146"/>
      <c r="BH325" s="146"/>
      <c r="BI325" s="146"/>
      <c r="BJ325" s="20"/>
      <c r="BK325" s="20"/>
      <c r="BL325" s="154"/>
      <c r="BP325" s="20"/>
      <c r="BQ325" s="154"/>
      <c r="BR325" s="18"/>
      <c r="BS325" s="16"/>
      <c r="BT325" s="18"/>
      <c r="BU325" s="18"/>
      <c r="BV325" s="18"/>
      <c r="BW325" s="20"/>
      <c r="BX325" s="154"/>
      <c r="BY325" s="18"/>
      <c r="BZ325" s="146"/>
      <c r="CA325" s="18"/>
      <c r="CB325" s="18"/>
      <c r="CC325" s="20"/>
      <c r="CD325" s="154"/>
    </row>
    <row r="326" spans="35:82">
      <c r="AI326" s="19"/>
      <c r="AO326" s="19"/>
      <c r="AY326" s="145"/>
      <c r="AZ326" s="16"/>
      <c r="BC326" s="16"/>
      <c r="BD326" s="20"/>
      <c r="BE326" s="17"/>
      <c r="BF326" s="20"/>
      <c r="BG326" s="146"/>
      <c r="BH326" s="146"/>
      <c r="BI326" s="146"/>
      <c r="BJ326" s="20"/>
      <c r="BK326" s="20"/>
      <c r="BL326" s="154"/>
      <c r="BP326" s="20"/>
      <c r="BQ326" s="154"/>
      <c r="BR326" s="18"/>
      <c r="BS326" s="16"/>
      <c r="BT326" s="18"/>
      <c r="BU326" s="18"/>
      <c r="BV326" s="18"/>
      <c r="BW326" s="20"/>
      <c r="BX326" s="154"/>
      <c r="BY326" s="18"/>
      <c r="BZ326" s="146"/>
      <c r="CA326" s="18"/>
      <c r="CB326" s="18"/>
      <c r="CC326" s="20"/>
      <c r="CD326" s="154"/>
    </row>
    <row r="327" spans="35:82">
      <c r="AI327" s="19"/>
      <c r="AO327" s="19"/>
      <c r="AY327" s="145"/>
      <c r="AZ327" s="16"/>
      <c r="BC327" s="16"/>
      <c r="BD327" s="20"/>
      <c r="BE327" s="17"/>
      <c r="BF327" s="20"/>
      <c r="BG327" s="146"/>
      <c r="BH327" s="146"/>
      <c r="BI327" s="146"/>
      <c r="BJ327" s="20"/>
      <c r="BK327" s="20"/>
      <c r="BL327" s="154"/>
      <c r="BP327" s="20"/>
      <c r="BQ327" s="154"/>
      <c r="BR327" s="18"/>
      <c r="BS327" s="16"/>
      <c r="BT327" s="18"/>
      <c r="BU327" s="18"/>
      <c r="BV327" s="18"/>
      <c r="BW327" s="20"/>
      <c r="BX327" s="154"/>
      <c r="BY327" s="18"/>
      <c r="BZ327" s="146"/>
      <c r="CA327" s="18"/>
      <c r="CB327" s="18"/>
      <c r="CC327" s="20"/>
      <c r="CD327" s="154"/>
    </row>
    <row r="328" spans="35:82">
      <c r="AI328" s="19"/>
      <c r="AO328" s="19"/>
      <c r="AY328" s="145"/>
      <c r="AZ328" s="16"/>
      <c r="BC328" s="16"/>
      <c r="BD328" s="20"/>
      <c r="BE328" s="17"/>
      <c r="BF328" s="20"/>
      <c r="BG328" s="146"/>
      <c r="BH328" s="146"/>
      <c r="BI328" s="146"/>
      <c r="BJ328" s="20"/>
      <c r="BK328" s="20"/>
      <c r="BL328" s="154"/>
      <c r="BP328" s="20"/>
      <c r="BQ328" s="154"/>
      <c r="BR328" s="18"/>
      <c r="BS328" s="16"/>
      <c r="BT328" s="18"/>
      <c r="BU328" s="18"/>
      <c r="BV328" s="18"/>
      <c r="BW328" s="20"/>
      <c r="BX328" s="154"/>
      <c r="BY328" s="18"/>
      <c r="BZ328" s="146"/>
      <c r="CA328" s="18"/>
      <c r="CB328" s="18"/>
      <c r="CC328" s="20"/>
      <c r="CD328" s="154"/>
    </row>
    <row r="329" spans="35:82">
      <c r="AI329" s="19"/>
      <c r="AO329" s="19"/>
      <c r="AY329" s="145"/>
      <c r="AZ329" s="16"/>
      <c r="BC329" s="16"/>
      <c r="BD329" s="20"/>
      <c r="BE329" s="17"/>
      <c r="BF329" s="20"/>
      <c r="BG329" s="146"/>
      <c r="BH329" s="146"/>
      <c r="BI329" s="146"/>
      <c r="BJ329" s="20"/>
      <c r="BK329" s="20"/>
      <c r="BL329" s="154"/>
      <c r="BP329" s="20"/>
      <c r="BQ329" s="154"/>
      <c r="BR329" s="18"/>
      <c r="BS329" s="16"/>
      <c r="BT329" s="18"/>
      <c r="BU329" s="18"/>
      <c r="BV329" s="18"/>
      <c r="BW329" s="20"/>
      <c r="BX329" s="154"/>
      <c r="BY329" s="18"/>
      <c r="BZ329" s="146"/>
      <c r="CA329" s="18"/>
      <c r="CB329" s="18"/>
      <c r="CC329" s="20"/>
      <c r="CD329" s="154"/>
    </row>
    <row r="330" spans="35:82">
      <c r="AI330" s="19"/>
      <c r="AO330" s="19"/>
      <c r="AY330" s="145"/>
      <c r="AZ330" s="16"/>
      <c r="BC330" s="16"/>
      <c r="BD330" s="20"/>
      <c r="BE330" s="17"/>
      <c r="BF330" s="20"/>
      <c r="BG330" s="146"/>
      <c r="BH330" s="146"/>
      <c r="BI330" s="146"/>
      <c r="BJ330" s="20"/>
      <c r="BK330" s="20"/>
      <c r="BL330" s="154"/>
      <c r="BP330" s="20"/>
      <c r="BQ330" s="154"/>
      <c r="BR330" s="18"/>
      <c r="BS330" s="16"/>
      <c r="BT330" s="18"/>
      <c r="BU330" s="18"/>
      <c r="BV330" s="18"/>
      <c r="BW330" s="20"/>
      <c r="BX330" s="154"/>
      <c r="BY330" s="18"/>
      <c r="BZ330" s="146"/>
      <c r="CA330" s="18"/>
      <c r="CB330" s="18"/>
      <c r="CC330" s="20"/>
      <c r="CD330" s="154"/>
    </row>
    <row r="331" spans="35:82">
      <c r="AI331" s="19"/>
      <c r="AO331" s="19"/>
      <c r="AY331" s="145"/>
      <c r="AZ331" s="16"/>
      <c r="BC331" s="16"/>
      <c r="BD331" s="20"/>
      <c r="BE331" s="17"/>
      <c r="BF331" s="20"/>
      <c r="BG331" s="146"/>
      <c r="BH331" s="146"/>
      <c r="BI331" s="146"/>
      <c r="BJ331" s="20"/>
      <c r="BK331" s="20"/>
      <c r="BL331" s="154"/>
      <c r="BP331" s="20"/>
      <c r="BQ331" s="154"/>
      <c r="BR331" s="18"/>
      <c r="BS331" s="16"/>
      <c r="BT331" s="18"/>
      <c r="BU331" s="18"/>
      <c r="BV331" s="18"/>
      <c r="BW331" s="20"/>
      <c r="BX331" s="154"/>
      <c r="BY331" s="18"/>
      <c r="BZ331" s="146"/>
      <c r="CA331" s="18"/>
      <c r="CB331" s="18"/>
      <c r="CC331" s="20"/>
      <c r="CD331" s="154"/>
    </row>
    <row r="332" spans="35:82">
      <c r="AI332" s="19"/>
      <c r="AO332" s="19"/>
      <c r="AY332" s="145"/>
      <c r="AZ332" s="16"/>
      <c r="BC332" s="16"/>
      <c r="BD332" s="20"/>
      <c r="BE332" s="17"/>
      <c r="BF332" s="20"/>
      <c r="BG332" s="146"/>
      <c r="BH332" s="146"/>
      <c r="BI332" s="146"/>
      <c r="BJ332" s="20"/>
      <c r="BK332" s="20"/>
      <c r="BL332" s="154"/>
      <c r="BP332" s="20"/>
      <c r="BQ332" s="154"/>
      <c r="BR332" s="18"/>
      <c r="BS332" s="16"/>
      <c r="BT332" s="18"/>
      <c r="BU332" s="18"/>
      <c r="BV332" s="18"/>
      <c r="BW332" s="20"/>
      <c r="BX332" s="154"/>
      <c r="BY332" s="18"/>
      <c r="BZ332" s="146"/>
      <c r="CA332" s="18"/>
      <c r="CB332" s="18"/>
      <c r="CC332" s="20"/>
      <c r="CD332" s="154"/>
    </row>
    <row r="333" spans="35:82">
      <c r="AI333" s="19"/>
      <c r="AO333" s="19"/>
      <c r="AY333" s="145"/>
      <c r="AZ333" s="16"/>
      <c r="BC333" s="16"/>
      <c r="BD333" s="20"/>
      <c r="BE333" s="17"/>
      <c r="BF333" s="20"/>
      <c r="BG333" s="146"/>
      <c r="BH333" s="146"/>
      <c r="BI333" s="146"/>
      <c r="BJ333" s="20"/>
      <c r="BK333" s="20"/>
      <c r="BL333" s="154"/>
      <c r="BP333" s="20"/>
      <c r="BQ333" s="154"/>
      <c r="BR333" s="18"/>
      <c r="BS333" s="16"/>
      <c r="BT333" s="18"/>
      <c r="BU333" s="18"/>
      <c r="BV333" s="18"/>
      <c r="BW333" s="20"/>
      <c r="BX333" s="154"/>
      <c r="BY333" s="18"/>
      <c r="BZ333" s="146"/>
      <c r="CA333" s="18"/>
      <c r="CB333" s="18"/>
      <c r="CC333" s="20"/>
      <c r="CD333" s="154"/>
    </row>
    <row r="334" spans="35:82">
      <c r="AI334" s="19"/>
      <c r="AO334" s="19"/>
      <c r="AY334" s="145"/>
      <c r="AZ334" s="16"/>
      <c r="BC334" s="16"/>
      <c r="BD334" s="20"/>
      <c r="BE334" s="17"/>
      <c r="BF334" s="20"/>
      <c r="BG334" s="146"/>
      <c r="BH334" s="146"/>
      <c r="BI334" s="146"/>
      <c r="BJ334" s="20"/>
      <c r="BK334" s="20"/>
      <c r="BL334" s="154"/>
      <c r="BP334" s="20"/>
      <c r="BQ334" s="154"/>
      <c r="BR334" s="18"/>
      <c r="BS334" s="16"/>
      <c r="BT334" s="18"/>
      <c r="BU334" s="18"/>
      <c r="BV334" s="18"/>
      <c r="BW334" s="20"/>
      <c r="BX334" s="154"/>
      <c r="BY334" s="18"/>
      <c r="BZ334" s="146"/>
      <c r="CA334" s="18"/>
      <c r="CB334" s="18"/>
      <c r="CC334" s="20"/>
      <c r="CD334" s="154"/>
    </row>
    <row r="335" spans="35:82">
      <c r="AI335" s="19"/>
      <c r="AO335" s="19"/>
      <c r="AY335" s="145"/>
      <c r="AZ335" s="16"/>
      <c r="BC335" s="16"/>
      <c r="BD335" s="20"/>
      <c r="BE335" s="17"/>
      <c r="BF335" s="20"/>
      <c r="BG335" s="146"/>
      <c r="BH335" s="146"/>
      <c r="BI335" s="146"/>
      <c r="BJ335" s="20"/>
      <c r="BK335" s="20"/>
      <c r="BL335" s="154"/>
      <c r="BP335" s="20"/>
      <c r="BQ335" s="154"/>
      <c r="BR335" s="18"/>
      <c r="BS335" s="16"/>
      <c r="BT335" s="18"/>
      <c r="BU335" s="18"/>
      <c r="BV335" s="18"/>
      <c r="BW335" s="20"/>
      <c r="BX335" s="154"/>
      <c r="BY335" s="18"/>
      <c r="BZ335" s="146"/>
      <c r="CA335" s="18"/>
      <c r="CB335" s="18"/>
      <c r="CC335" s="20"/>
      <c r="CD335" s="154"/>
    </row>
    <row r="336" spans="35:82">
      <c r="AI336" s="19"/>
      <c r="AO336" s="19"/>
      <c r="AY336" s="145"/>
      <c r="AZ336" s="16"/>
      <c r="BC336" s="16"/>
      <c r="BD336" s="20"/>
      <c r="BE336" s="17"/>
      <c r="BF336" s="20"/>
      <c r="BG336" s="146"/>
      <c r="BH336" s="146"/>
      <c r="BI336" s="146"/>
      <c r="BJ336" s="20"/>
      <c r="BK336" s="20"/>
      <c r="BL336" s="154"/>
      <c r="BP336" s="20"/>
      <c r="BQ336" s="154"/>
      <c r="BR336" s="18"/>
      <c r="BS336" s="16"/>
      <c r="BT336" s="18"/>
      <c r="BU336" s="18"/>
      <c r="BV336" s="18"/>
      <c r="BW336" s="20"/>
      <c r="BX336" s="154"/>
      <c r="BY336" s="18"/>
      <c r="BZ336" s="146"/>
      <c r="CA336" s="18"/>
      <c r="CB336" s="18"/>
      <c r="CC336" s="20"/>
      <c r="CD336" s="154"/>
    </row>
    <row r="337" spans="35:82">
      <c r="AI337" s="19"/>
      <c r="AO337" s="19"/>
      <c r="AY337" s="145"/>
      <c r="AZ337" s="16"/>
      <c r="BC337" s="16"/>
      <c r="BD337" s="20"/>
      <c r="BE337" s="17"/>
      <c r="BF337" s="20"/>
      <c r="BG337" s="146"/>
      <c r="BH337" s="146"/>
      <c r="BI337" s="146"/>
      <c r="BJ337" s="20"/>
      <c r="BK337" s="20"/>
      <c r="BL337" s="154"/>
      <c r="BP337" s="20"/>
      <c r="BQ337" s="154"/>
      <c r="BR337" s="18"/>
      <c r="BS337" s="16"/>
      <c r="BT337" s="18"/>
      <c r="BU337" s="18"/>
      <c r="BV337" s="18"/>
      <c r="BW337" s="20"/>
      <c r="BX337" s="154"/>
      <c r="BY337" s="18"/>
      <c r="BZ337" s="146"/>
      <c r="CA337" s="18"/>
      <c r="CB337" s="18"/>
      <c r="CC337" s="20"/>
      <c r="CD337" s="154"/>
    </row>
    <row r="338" spans="35:82">
      <c r="AI338" s="19"/>
      <c r="AO338" s="19"/>
      <c r="AY338" s="145"/>
      <c r="AZ338" s="16"/>
      <c r="BC338" s="16"/>
      <c r="BD338" s="20"/>
      <c r="BE338" s="17"/>
      <c r="BF338" s="20"/>
      <c r="BG338" s="146"/>
      <c r="BH338" s="146"/>
      <c r="BI338" s="146"/>
      <c r="BJ338" s="20"/>
      <c r="BK338" s="20"/>
      <c r="BL338" s="154"/>
      <c r="BP338" s="20"/>
      <c r="BQ338" s="154"/>
      <c r="BR338" s="18"/>
      <c r="BS338" s="16"/>
      <c r="BT338" s="18"/>
      <c r="BU338" s="18"/>
      <c r="BV338" s="18"/>
      <c r="BW338" s="20"/>
      <c r="BX338" s="154"/>
      <c r="BY338" s="18"/>
      <c r="BZ338" s="146"/>
      <c r="CA338" s="18"/>
      <c r="CB338" s="18"/>
      <c r="CC338" s="20"/>
      <c r="CD338" s="154"/>
    </row>
    <row r="339" spans="35:82">
      <c r="AI339" s="19"/>
      <c r="AO339" s="19"/>
      <c r="AY339" s="145"/>
      <c r="AZ339" s="16"/>
      <c r="BC339" s="16"/>
      <c r="BD339" s="20"/>
      <c r="BE339" s="17"/>
      <c r="BF339" s="20"/>
      <c r="BG339" s="146"/>
      <c r="BH339" s="146"/>
      <c r="BI339" s="146"/>
      <c r="BJ339" s="20"/>
      <c r="BK339" s="20"/>
      <c r="BL339" s="154"/>
      <c r="BP339" s="20"/>
      <c r="BQ339" s="154"/>
      <c r="BR339" s="18"/>
      <c r="BS339" s="16"/>
      <c r="BT339" s="18"/>
      <c r="BU339" s="18"/>
      <c r="BV339" s="18"/>
      <c r="BW339" s="20"/>
      <c r="BX339" s="154"/>
      <c r="BY339" s="18"/>
      <c r="BZ339" s="146"/>
      <c r="CA339" s="18"/>
      <c r="CB339" s="18"/>
      <c r="CC339" s="20"/>
      <c r="CD339" s="154"/>
    </row>
    <row r="340" spans="35:82">
      <c r="AI340" s="19"/>
      <c r="AO340" s="19"/>
      <c r="AY340" s="145"/>
      <c r="AZ340" s="16"/>
      <c r="BC340" s="16"/>
      <c r="BD340" s="20"/>
      <c r="BE340" s="17"/>
      <c r="BF340" s="20"/>
      <c r="BG340" s="146"/>
      <c r="BH340" s="146"/>
      <c r="BI340" s="146"/>
      <c r="BJ340" s="20"/>
      <c r="BK340" s="20"/>
      <c r="BL340" s="154"/>
      <c r="BP340" s="20"/>
      <c r="BQ340" s="154"/>
      <c r="BR340" s="18"/>
      <c r="BS340" s="16"/>
      <c r="BT340" s="18"/>
      <c r="BU340" s="18"/>
      <c r="BV340" s="18"/>
      <c r="BW340" s="20"/>
      <c r="BX340" s="154"/>
      <c r="BY340" s="18"/>
      <c r="BZ340" s="146"/>
      <c r="CA340" s="18"/>
      <c r="CB340" s="18"/>
      <c r="CC340" s="20"/>
      <c r="CD340" s="154"/>
    </row>
    <row r="341" spans="35:82">
      <c r="AI341" s="19"/>
      <c r="AO341" s="19"/>
      <c r="AY341" s="145"/>
      <c r="AZ341" s="16"/>
      <c r="BC341" s="16"/>
      <c r="BD341" s="20"/>
      <c r="BE341" s="17"/>
      <c r="BF341" s="20"/>
      <c r="BG341" s="146"/>
      <c r="BH341" s="146"/>
      <c r="BI341" s="146"/>
      <c r="BJ341" s="20"/>
      <c r="BK341" s="20"/>
      <c r="BL341" s="154"/>
      <c r="BP341" s="20"/>
      <c r="BQ341" s="154"/>
      <c r="BR341" s="18"/>
      <c r="BS341" s="16"/>
      <c r="BT341" s="18"/>
      <c r="BU341" s="18"/>
      <c r="BV341" s="18"/>
      <c r="BW341" s="20"/>
      <c r="BX341" s="154"/>
      <c r="BY341" s="18"/>
      <c r="BZ341" s="146"/>
      <c r="CA341" s="18"/>
      <c r="CB341" s="18"/>
      <c r="CC341" s="20"/>
      <c r="CD341" s="154"/>
    </row>
    <row r="342" spans="35:82">
      <c r="AI342" s="19"/>
      <c r="AO342" s="19"/>
      <c r="AY342" s="145"/>
      <c r="AZ342" s="16"/>
      <c r="BC342" s="16"/>
      <c r="BD342" s="20"/>
      <c r="BE342" s="17"/>
      <c r="BF342" s="20"/>
      <c r="BG342" s="146"/>
      <c r="BH342" s="146"/>
      <c r="BI342" s="146"/>
      <c r="BJ342" s="20"/>
      <c r="BK342" s="20"/>
      <c r="BL342" s="154"/>
      <c r="BP342" s="20"/>
      <c r="BQ342" s="154"/>
      <c r="BR342" s="18"/>
      <c r="BS342" s="16"/>
      <c r="BT342" s="18"/>
      <c r="BU342" s="18"/>
      <c r="BV342" s="18"/>
      <c r="BW342" s="20"/>
      <c r="BX342" s="154"/>
      <c r="BY342" s="18"/>
      <c r="BZ342" s="146"/>
      <c r="CA342" s="18"/>
      <c r="CB342" s="18"/>
      <c r="CC342" s="20"/>
      <c r="CD342" s="154"/>
    </row>
    <row r="343" spans="35:82">
      <c r="AI343" s="19"/>
      <c r="AO343" s="19"/>
      <c r="AY343" s="145"/>
      <c r="AZ343" s="16"/>
      <c r="BC343" s="16"/>
      <c r="BD343" s="20"/>
      <c r="BE343" s="17"/>
      <c r="BF343" s="20"/>
      <c r="BG343" s="146"/>
      <c r="BH343" s="146"/>
      <c r="BI343" s="146"/>
      <c r="BJ343" s="20"/>
      <c r="BK343" s="20"/>
      <c r="BL343" s="154"/>
      <c r="BP343" s="20"/>
      <c r="BQ343" s="154"/>
      <c r="BR343" s="18"/>
      <c r="BS343" s="16"/>
      <c r="BT343" s="18"/>
      <c r="BU343" s="18"/>
      <c r="BV343" s="18"/>
      <c r="BW343" s="20"/>
      <c r="BX343" s="154"/>
      <c r="BY343" s="18"/>
      <c r="BZ343" s="146"/>
      <c r="CA343" s="18"/>
      <c r="CB343" s="18"/>
      <c r="CC343" s="20"/>
      <c r="CD343" s="154"/>
    </row>
    <row r="344" spans="35:82">
      <c r="AI344" s="19"/>
      <c r="AO344" s="19"/>
      <c r="AY344" s="145"/>
      <c r="AZ344" s="16"/>
      <c r="BC344" s="16"/>
      <c r="BD344" s="20"/>
      <c r="BE344" s="17"/>
      <c r="BF344" s="20"/>
      <c r="BG344" s="146"/>
      <c r="BH344" s="146"/>
      <c r="BI344" s="146"/>
      <c r="BJ344" s="20"/>
      <c r="BK344" s="20"/>
      <c r="BL344" s="154"/>
      <c r="BP344" s="20"/>
      <c r="BQ344" s="154"/>
      <c r="BR344" s="18"/>
      <c r="BS344" s="16"/>
      <c r="BT344" s="18"/>
      <c r="BU344" s="18"/>
      <c r="BV344" s="18"/>
      <c r="BW344" s="20"/>
      <c r="BX344" s="154"/>
      <c r="BY344" s="18"/>
      <c r="BZ344" s="146"/>
      <c r="CA344" s="18"/>
      <c r="CB344" s="18"/>
      <c r="CC344" s="20"/>
      <c r="CD344" s="154"/>
    </row>
    <row r="345" spans="35:82">
      <c r="AI345" s="19"/>
      <c r="AO345" s="19"/>
      <c r="AY345" s="145"/>
      <c r="AZ345" s="16"/>
      <c r="BC345" s="16"/>
      <c r="BD345" s="20"/>
      <c r="BE345" s="17"/>
      <c r="BF345" s="20"/>
      <c r="BG345" s="146"/>
      <c r="BH345" s="146"/>
      <c r="BI345" s="146"/>
      <c r="BJ345" s="20"/>
      <c r="BK345" s="20"/>
      <c r="BL345" s="154"/>
      <c r="BP345" s="20"/>
      <c r="BQ345" s="154"/>
      <c r="BR345" s="18"/>
      <c r="BS345" s="16"/>
      <c r="BT345" s="18"/>
      <c r="BU345" s="18"/>
      <c r="BV345" s="18"/>
      <c r="BW345" s="20"/>
      <c r="BX345" s="154"/>
      <c r="BY345" s="18"/>
      <c r="BZ345" s="146"/>
      <c r="CA345" s="18"/>
      <c r="CB345" s="18"/>
      <c r="CC345" s="20"/>
      <c r="CD345" s="154"/>
    </row>
    <row r="346" spans="35:82">
      <c r="AI346" s="19"/>
      <c r="AO346" s="19"/>
      <c r="AY346" s="145"/>
      <c r="AZ346" s="16"/>
      <c r="BC346" s="16"/>
      <c r="BD346" s="20"/>
      <c r="BE346" s="17"/>
      <c r="BF346" s="20"/>
      <c r="BG346" s="146"/>
      <c r="BH346" s="146"/>
      <c r="BI346" s="146"/>
      <c r="BJ346" s="20"/>
      <c r="BK346" s="20"/>
      <c r="BL346" s="154"/>
      <c r="BP346" s="20"/>
      <c r="BQ346" s="154"/>
      <c r="BR346" s="18"/>
      <c r="BS346" s="16"/>
      <c r="BT346" s="18"/>
      <c r="BU346" s="18"/>
      <c r="BV346" s="18"/>
      <c r="BW346" s="20"/>
      <c r="BX346" s="154"/>
      <c r="BY346" s="18"/>
      <c r="BZ346" s="146"/>
      <c r="CA346" s="18"/>
      <c r="CB346" s="18"/>
      <c r="CC346" s="20"/>
      <c r="CD346" s="154"/>
    </row>
    <row r="347" spans="35:82">
      <c r="AI347" s="19"/>
      <c r="AO347" s="19"/>
      <c r="AY347" s="145"/>
      <c r="AZ347" s="16"/>
      <c r="BC347" s="16"/>
      <c r="BD347" s="20"/>
      <c r="BE347" s="17"/>
      <c r="BF347" s="20"/>
      <c r="BG347" s="146"/>
      <c r="BH347" s="146"/>
      <c r="BI347" s="146"/>
      <c r="BJ347" s="20"/>
      <c r="BK347" s="20"/>
      <c r="BL347" s="154"/>
      <c r="BP347" s="20"/>
      <c r="BQ347" s="154"/>
      <c r="BR347" s="18"/>
      <c r="BS347" s="16"/>
      <c r="BT347" s="18"/>
      <c r="BU347" s="18"/>
      <c r="BV347" s="18"/>
      <c r="BW347" s="20"/>
      <c r="BX347" s="154"/>
      <c r="BY347" s="18"/>
      <c r="BZ347" s="146"/>
      <c r="CA347" s="18"/>
      <c r="CB347" s="18"/>
      <c r="CC347" s="20"/>
      <c r="CD347" s="154"/>
    </row>
    <row r="348" spans="35:82">
      <c r="AI348" s="19"/>
      <c r="AO348" s="19"/>
      <c r="AY348" s="145"/>
      <c r="AZ348" s="16"/>
      <c r="BC348" s="16"/>
      <c r="BD348" s="20"/>
      <c r="BE348" s="17"/>
      <c r="BF348" s="20"/>
      <c r="BG348" s="146"/>
      <c r="BH348" s="146"/>
      <c r="BI348" s="146"/>
      <c r="BJ348" s="20"/>
      <c r="BK348" s="20"/>
      <c r="BL348" s="154"/>
      <c r="BP348" s="20"/>
      <c r="BQ348" s="154"/>
      <c r="BR348" s="18"/>
      <c r="BS348" s="16"/>
      <c r="BT348" s="18"/>
      <c r="BU348" s="18"/>
      <c r="BV348" s="18"/>
      <c r="BW348" s="20"/>
      <c r="BX348" s="154"/>
      <c r="BY348" s="18"/>
      <c r="BZ348" s="146"/>
      <c r="CA348" s="18"/>
      <c r="CB348" s="18"/>
      <c r="CC348" s="20"/>
      <c r="CD348" s="154"/>
    </row>
    <row r="349" spans="35:82">
      <c r="AI349" s="19"/>
      <c r="AO349" s="19"/>
      <c r="AY349" s="145"/>
      <c r="AZ349" s="16"/>
      <c r="BC349" s="16"/>
      <c r="BD349" s="20"/>
      <c r="BE349" s="17"/>
      <c r="BF349" s="20"/>
      <c r="BG349" s="146"/>
      <c r="BH349" s="146"/>
      <c r="BI349" s="146"/>
      <c r="BJ349" s="20"/>
      <c r="BK349" s="20"/>
      <c r="BL349" s="154"/>
      <c r="BP349" s="20"/>
      <c r="BQ349" s="154"/>
      <c r="BR349" s="18"/>
      <c r="BS349" s="16"/>
      <c r="BT349" s="18"/>
      <c r="BU349" s="18"/>
      <c r="BV349" s="18"/>
      <c r="BW349" s="20"/>
      <c r="BX349" s="154"/>
      <c r="BY349" s="18"/>
      <c r="BZ349" s="146"/>
      <c r="CA349" s="18"/>
      <c r="CB349" s="18"/>
      <c r="CC349" s="20"/>
      <c r="CD349" s="154"/>
    </row>
    <row r="350" spans="35:82">
      <c r="AI350" s="19"/>
      <c r="AO350" s="19"/>
      <c r="AY350" s="145"/>
      <c r="AZ350" s="16"/>
      <c r="BC350" s="16"/>
      <c r="BD350" s="20"/>
      <c r="BE350" s="17"/>
      <c r="BF350" s="20"/>
      <c r="BG350" s="146"/>
      <c r="BH350" s="146"/>
      <c r="BI350" s="146"/>
      <c r="BJ350" s="20"/>
      <c r="BK350" s="20"/>
      <c r="BL350" s="154"/>
      <c r="BP350" s="20"/>
      <c r="BQ350" s="154"/>
      <c r="BR350" s="18"/>
      <c r="BS350" s="16"/>
      <c r="BT350" s="18"/>
      <c r="BU350" s="18"/>
      <c r="BV350" s="18"/>
      <c r="BW350" s="20"/>
      <c r="BX350" s="154"/>
      <c r="BY350" s="18"/>
      <c r="BZ350" s="146"/>
      <c r="CA350" s="18"/>
      <c r="CB350" s="18"/>
      <c r="CC350" s="20"/>
      <c r="CD350" s="154"/>
    </row>
    <row r="351" spans="35:82">
      <c r="AI351" s="19"/>
      <c r="AO351" s="19"/>
      <c r="AY351" s="145"/>
      <c r="AZ351" s="16"/>
      <c r="BC351" s="16"/>
      <c r="BD351" s="20"/>
      <c r="BE351" s="17"/>
      <c r="BF351" s="20"/>
      <c r="BG351" s="146"/>
      <c r="BH351" s="146"/>
      <c r="BI351" s="146"/>
      <c r="BJ351" s="20"/>
      <c r="BK351" s="20"/>
      <c r="BL351" s="154"/>
      <c r="BP351" s="20"/>
      <c r="BQ351" s="154"/>
      <c r="BR351" s="18"/>
      <c r="BS351" s="16"/>
      <c r="BT351" s="18"/>
      <c r="BU351" s="18"/>
      <c r="BV351" s="18"/>
      <c r="BW351" s="20"/>
      <c r="BX351" s="154"/>
      <c r="BY351" s="18"/>
      <c r="BZ351" s="146"/>
      <c r="CA351" s="18"/>
      <c r="CB351" s="18"/>
      <c r="CC351" s="20"/>
      <c r="CD351" s="154"/>
    </row>
    <row r="352" spans="35:82">
      <c r="AI352" s="19"/>
      <c r="AO352" s="19"/>
      <c r="AY352" s="145"/>
      <c r="AZ352" s="16"/>
      <c r="BC352" s="16"/>
      <c r="BD352" s="20"/>
      <c r="BE352" s="17"/>
      <c r="BF352" s="20"/>
      <c r="BG352" s="146"/>
      <c r="BH352" s="146"/>
      <c r="BI352" s="146"/>
      <c r="BJ352" s="20"/>
      <c r="BK352" s="20"/>
      <c r="BL352" s="154"/>
      <c r="BP352" s="20"/>
      <c r="BQ352" s="154"/>
      <c r="BR352" s="18"/>
      <c r="BS352" s="16"/>
      <c r="BT352" s="18"/>
      <c r="BU352" s="18"/>
      <c r="BV352" s="18"/>
      <c r="BW352" s="20"/>
      <c r="BX352" s="154"/>
      <c r="BY352" s="18"/>
      <c r="BZ352" s="146"/>
      <c r="CA352" s="18"/>
      <c r="CB352" s="18"/>
      <c r="CC352" s="20"/>
      <c r="CD352" s="154"/>
    </row>
    <row r="353" spans="35:82">
      <c r="AI353" s="19"/>
      <c r="AO353" s="19"/>
      <c r="AY353" s="145"/>
      <c r="AZ353" s="16"/>
      <c r="BC353" s="16"/>
      <c r="BD353" s="20"/>
      <c r="BE353" s="17"/>
      <c r="BF353" s="20"/>
      <c r="BG353" s="146"/>
      <c r="BH353" s="146"/>
      <c r="BI353" s="146"/>
      <c r="BJ353" s="20"/>
      <c r="BK353" s="20"/>
      <c r="BL353" s="154"/>
      <c r="BP353" s="20"/>
      <c r="BQ353" s="154"/>
      <c r="BR353" s="18"/>
      <c r="BS353" s="16"/>
      <c r="BT353" s="18"/>
      <c r="BU353" s="18"/>
      <c r="BV353" s="18"/>
      <c r="BW353" s="20"/>
      <c r="BX353" s="154"/>
      <c r="BY353" s="18"/>
      <c r="BZ353" s="146"/>
      <c r="CA353" s="18"/>
      <c r="CB353" s="18"/>
      <c r="CC353" s="20"/>
      <c r="CD353" s="154"/>
    </row>
    <row r="354" spans="35:82">
      <c r="AI354" s="19"/>
      <c r="AO354" s="19"/>
      <c r="AY354" s="145"/>
      <c r="AZ354" s="16"/>
      <c r="BC354" s="16"/>
      <c r="BD354" s="20"/>
      <c r="BE354" s="17"/>
      <c r="BF354" s="20"/>
      <c r="BG354" s="146"/>
      <c r="BH354" s="146"/>
      <c r="BI354" s="146"/>
      <c r="BJ354" s="20"/>
      <c r="BK354" s="20"/>
      <c r="BL354" s="154"/>
      <c r="BP354" s="20"/>
      <c r="BQ354" s="154"/>
      <c r="BR354" s="18"/>
      <c r="BS354" s="16"/>
      <c r="BT354" s="18"/>
      <c r="BU354" s="18"/>
      <c r="BV354" s="18"/>
      <c r="BW354" s="20"/>
      <c r="BX354" s="154"/>
      <c r="BY354" s="18"/>
      <c r="BZ354" s="146"/>
      <c r="CA354" s="18"/>
      <c r="CB354" s="18"/>
      <c r="CC354" s="20"/>
      <c r="CD354" s="154"/>
    </row>
    <row r="355" spans="35:82">
      <c r="AI355" s="19"/>
      <c r="AO355" s="19"/>
      <c r="AY355" s="145"/>
      <c r="AZ355" s="16"/>
      <c r="BC355" s="16"/>
      <c r="BD355" s="20"/>
      <c r="BE355" s="17"/>
      <c r="BF355" s="20"/>
      <c r="BG355" s="146"/>
      <c r="BH355" s="146"/>
      <c r="BI355" s="146"/>
      <c r="BJ355" s="20"/>
      <c r="BK355" s="20"/>
      <c r="BL355" s="154"/>
      <c r="BP355" s="20"/>
      <c r="BQ355" s="154"/>
      <c r="BR355" s="18"/>
      <c r="BS355" s="16"/>
      <c r="BT355" s="18"/>
      <c r="BU355" s="18"/>
      <c r="BV355" s="18"/>
      <c r="BW355" s="20"/>
      <c r="BX355" s="154"/>
      <c r="BY355" s="18"/>
      <c r="BZ355" s="146"/>
      <c r="CA355" s="18"/>
      <c r="CB355" s="18"/>
      <c r="CC355" s="20"/>
      <c r="CD355" s="154"/>
    </row>
    <row r="356" spans="35:82">
      <c r="AI356" s="19"/>
      <c r="AO356" s="19"/>
      <c r="AY356" s="145"/>
      <c r="AZ356" s="16"/>
      <c r="BC356" s="16"/>
      <c r="BD356" s="20"/>
      <c r="BE356" s="17"/>
      <c r="BF356" s="20"/>
      <c r="BG356" s="146"/>
      <c r="BH356" s="146"/>
      <c r="BI356" s="146"/>
      <c r="BJ356" s="20"/>
      <c r="BK356" s="20"/>
      <c r="BL356" s="154"/>
      <c r="BP356" s="20"/>
      <c r="BQ356" s="154"/>
      <c r="BR356" s="18"/>
      <c r="BS356" s="16"/>
      <c r="BT356" s="18"/>
      <c r="BU356" s="18"/>
      <c r="BV356" s="18"/>
      <c r="BW356" s="20"/>
      <c r="BX356" s="154"/>
      <c r="BY356" s="18"/>
      <c r="BZ356" s="146"/>
      <c r="CA356" s="18"/>
      <c r="CB356" s="18"/>
      <c r="CC356" s="20"/>
      <c r="CD356" s="154"/>
    </row>
    <row r="357" spans="35:82">
      <c r="AI357" s="19"/>
      <c r="AO357" s="19"/>
      <c r="AY357" s="145"/>
      <c r="AZ357" s="16"/>
      <c r="BC357" s="16"/>
      <c r="BD357" s="20"/>
      <c r="BE357" s="17"/>
      <c r="BF357" s="20"/>
      <c r="BG357" s="146"/>
      <c r="BH357" s="146"/>
      <c r="BI357" s="146"/>
      <c r="BJ357" s="20"/>
      <c r="BK357" s="20"/>
      <c r="BL357" s="154"/>
      <c r="BP357" s="20"/>
      <c r="BQ357" s="154"/>
      <c r="BR357" s="18"/>
      <c r="BS357" s="16"/>
      <c r="BT357" s="18"/>
      <c r="BU357" s="18"/>
      <c r="BV357" s="18"/>
      <c r="BW357" s="20"/>
      <c r="BX357" s="154"/>
      <c r="BY357" s="18"/>
      <c r="BZ357" s="146"/>
      <c r="CA357" s="18"/>
      <c r="CB357" s="18"/>
      <c r="CC357" s="20"/>
      <c r="CD357" s="154"/>
    </row>
    <row r="358" spans="35:82">
      <c r="AI358" s="19"/>
      <c r="AO358" s="19"/>
      <c r="AY358" s="145"/>
      <c r="AZ358" s="16"/>
      <c r="BC358" s="16"/>
      <c r="BD358" s="20"/>
      <c r="BE358" s="17"/>
      <c r="BF358" s="20"/>
      <c r="BG358" s="146"/>
      <c r="BH358" s="146"/>
      <c r="BI358" s="146"/>
      <c r="BJ358" s="20"/>
      <c r="BK358" s="20"/>
      <c r="BL358" s="154"/>
      <c r="BP358" s="20"/>
      <c r="BQ358" s="154"/>
      <c r="BR358" s="18"/>
      <c r="BS358" s="16"/>
      <c r="BT358" s="18"/>
      <c r="BU358" s="18"/>
      <c r="BV358" s="18"/>
      <c r="BW358" s="20"/>
      <c r="BX358" s="154"/>
      <c r="BY358" s="18"/>
      <c r="BZ358" s="146"/>
      <c r="CA358" s="18"/>
      <c r="CB358" s="18"/>
      <c r="CC358" s="20"/>
      <c r="CD358" s="154"/>
    </row>
    <row r="359" spans="35:82">
      <c r="AI359" s="19"/>
      <c r="AO359" s="19"/>
      <c r="AY359" s="145"/>
      <c r="AZ359" s="16"/>
      <c r="BC359" s="16"/>
      <c r="BD359" s="20"/>
      <c r="BE359" s="17"/>
      <c r="BF359" s="20"/>
      <c r="BG359" s="146"/>
      <c r="BH359" s="146"/>
      <c r="BI359" s="146"/>
      <c r="BJ359" s="20"/>
      <c r="BK359" s="20"/>
      <c r="BL359" s="154"/>
      <c r="BP359" s="20"/>
      <c r="BQ359" s="154"/>
      <c r="BR359" s="18"/>
      <c r="BS359" s="16"/>
      <c r="BT359" s="18"/>
      <c r="BU359" s="18"/>
      <c r="BV359" s="18"/>
      <c r="BW359" s="20"/>
      <c r="BX359" s="154"/>
      <c r="BY359" s="18"/>
      <c r="BZ359" s="146"/>
      <c r="CA359" s="18"/>
      <c r="CB359" s="18"/>
      <c r="CC359" s="20"/>
      <c r="CD359" s="154"/>
    </row>
    <row r="360" spans="35:82">
      <c r="AI360" s="19"/>
      <c r="AO360" s="19"/>
      <c r="AY360" s="145"/>
      <c r="AZ360" s="16"/>
      <c r="BC360" s="16"/>
      <c r="BD360" s="20"/>
      <c r="BE360" s="17"/>
      <c r="BF360" s="20"/>
      <c r="BG360" s="146"/>
      <c r="BH360" s="146"/>
      <c r="BI360" s="146"/>
      <c r="BJ360" s="20"/>
      <c r="BK360" s="20"/>
      <c r="BL360" s="154"/>
      <c r="BP360" s="20"/>
      <c r="BQ360" s="154"/>
      <c r="BR360" s="18"/>
      <c r="BS360" s="16"/>
      <c r="BT360" s="18"/>
      <c r="BU360" s="18"/>
      <c r="BV360" s="18"/>
      <c r="BW360" s="20"/>
      <c r="BX360" s="154"/>
      <c r="BY360" s="18"/>
      <c r="BZ360" s="146"/>
      <c r="CA360" s="18"/>
      <c r="CB360" s="18"/>
      <c r="CC360" s="20"/>
      <c r="CD360" s="154"/>
    </row>
    <row r="361" spans="35:82">
      <c r="AI361" s="19"/>
      <c r="AO361" s="19"/>
      <c r="AY361" s="145"/>
      <c r="AZ361" s="16"/>
      <c r="BC361" s="16"/>
      <c r="BD361" s="20"/>
      <c r="BE361" s="17"/>
      <c r="BF361" s="20"/>
      <c r="BG361" s="146"/>
      <c r="BH361" s="146"/>
      <c r="BI361" s="146"/>
      <c r="BJ361" s="20"/>
      <c r="BK361" s="20"/>
      <c r="BL361" s="154"/>
      <c r="BP361" s="20"/>
      <c r="BQ361" s="154"/>
      <c r="BR361" s="18"/>
      <c r="BS361" s="16"/>
      <c r="BT361" s="18"/>
      <c r="BU361" s="18"/>
      <c r="BV361" s="18"/>
      <c r="BW361" s="20"/>
      <c r="BX361" s="154"/>
      <c r="BY361" s="18"/>
      <c r="BZ361" s="146"/>
      <c r="CA361" s="18"/>
      <c r="CB361" s="18"/>
      <c r="CC361" s="20"/>
      <c r="CD361" s="154"/>
    </row>
    <row r="362" spans="35:82">
      <c r="AI362" s="19"/>
      <c r="AO362" s="19"/>
      <c r="AY362" s="145"/>
      <c r="AZ362" s="16"/>
      <c r="BC362" s="16"/>
      <c r="BD362" s="20"/>
      <c r="BE362" s="17"/>
      <c r="BF362" s="20"/>
      <c r="BG362" s="146"/>
      <c r="BH362" s="146"/>
      <c r="BI362" s="146"/>
      <c r="BJ362" s="20"/>
      <c r="BK362" s="20"/>
      <c r="BL362" s="154"/>
      <c r="BP362" s="20"/>
      <c r="BQ362" s="154"/>
      <c r="BR362" s="18"/>
      <c r="BS362" s="16"/>
      <c r="BT362" s="18"/>
      <c r="BU362" s="18"/>
      <c r="BV362" s="18"/>
      <c r="BW362" s="20"/>
      <c r="BX362" s="154"/>
      <c r="BY362" s="18"/>
      <c r="BZ362" s="146"/>
      <c r="CA362" s="18"/>
      <c r="CB362" s="18"/>
      <c r="CC362" s="20"/>
      <c r="CD362" s="154"/>
    </row>
    <row r="363" spans="35:82">
      <c r="AI363" s="19"/>
      <c r="AO363" s="19"/>
      <c r="AY363" s="145"/>
      <c r="AZ363" s="16"/>
      <c r="BC363" s="16"/>
      <c r="BD363" s="20"/>
      <c r="BE363" s="17"/>
      <c r="BF363" s="20"/>
      <c r="BG363" s="146"/>
      <c r="BH363" s="146"/>
      <c r="BI363" s="146"/>
      <c r="BJ363" s="20"/>
      <c r="BK363" s="20"/>
      <c r="BL363" s="154"/>
      <c r="BP363" s="20"/>
      <c r="BQ363" s="154"/>
      <c r="BR363" s="18"/>
      <c r="BS363" s="16"/>
      <c r="BT363" s="18"/>
      <c r="BU363" s="18"/>
      <c r="BV363" s="18"/>
      <c r="BW363" s="20"/>
      <c r="BX363" s="154"/>
      <c r="BY363" s="18"/>
      <c r="BZ363" s="146"/>
      <c r="CA363" s="18"/>
      <c r="CB363" s="18"/>
      <c r="CC363" s="20"/>
      <c r="CD363" s="154"/>
    </row>
    <row r="364" spans="35:82">
      <c r="AI364" s="19"/>
      <c r="AO364" s="19"/>
      <c r="AY364" s="145"/>
      <c r="AZ364" s="16"/>
      <c r="BC364" s="16"/>
      <c r="BD364" s="20"/>
      <c r="BE364" s="17"/>
      <c r="BF364" s="20"/>
      <c r="BG364" s="146"/>
      <c r="BH364" s="146"/>
      <c r="BI364" s="146"/>
      <c r="BJ364" s="20"/>
      <c r="BK364" s="20"/>
      <c r="BL364" s="154"/>
      <c r="BP364" s="20"/>
      <c r="BQ364" s="154"/>
      <c r="BR364" s="18"/>
      <c r="BS364" s="16"/>
      <c r="BT364" s="18"/>
      <c r="BU364" s="18"/>
      <c r="BV364" s="18"/>
      <c r="BW364" s="20"/>
      <c r="BX364" s="154"/>
      <c r="BY364" s="18"/>
      <c r="BZ364" s="146"/>
      <c r="CA364" s="18"/>
      <c r="CB364" s="18"/>
      <c r="CC364" s="20"/>
      <c r="CD364" s="154"/>
    </row>
    <row r="365" spans="35:82">
      <c r="AI365" s="19"/>
      <c r="AO365" s="19"/>
      <c r="AY365" s="145"/>
      <c r="AZ365" s="16"/>
      <c r="BC365" s="16"/>
      <c r="BD365" s="20"/>
      <c r="BE365" s="17"/>
      <c r="BF365" s="20"/>
      <c r="BG365" s="146"/>
      <c r="BH365" s="146"/>
      <c r="BI365" s="146"/>
      <c r="BJ365" s="20"/>
      <c r="BK365" s="20"/>
      <c r="BL365" s="154"/>
      <c r="BP365" s="20"/>
      <c r="BQ365" s="154"/>
      <c r="BR365" s="18"/>
      <c r="BS365" s="16"/>
      <c r="BT365" s="18"/>
      <c r="BU365" s="18"/>
      <c r="BV365" s="18"/>
      <c r="BW365" s="20"/>
      <c r="BX365" s="154"/>
      <c r="BY365" s="18"/>
      <c r="BZ365" s="146"/>
      <c r="CA365" s="18"/>
      <c r="CB365" s="18"/>
      <c r="CC365" s="20"/>
      <c r="CD365" s="154"/>
    </row>
    <row r="366" spans="35:82">
      <c r="AI366" s="19"/>
      <c r="AO366" s="19"/>
      <c r="AY366" s="145"/>
      <c r="AZ366" s="16"/>
      <c r="BC366" s="16"/>
      <c r="BD366" s="20"/>
      <c r="BE366" s="17"/>
      <c r="BF366" s="20"/>
      <c r="BG366" s="146"/>
      <c r="BH366" s="146"/>
      <c r="BI366" s="146"/>
      <c r="BJ366" s="20"/>
      <c r="BK366" s="20"/>
      <c r="BL366" s="154"/>
      <c r="BP366" s="20"/>
      <c r="BQ366" s="154"/>
      <c r="BR366" s="18"/>
      <c r="BS366" s="16"/>
      <c r="BT366" s="18"/>
      <c r="BU366" s="18"/>
      <c r="BV366" s="18"/>
      <c r="BW366" s="20"/>
      <c r="BX366" s="154"/>
      <c r="BY366" s="18"/>
      <c r="BZ366" s="146"/>
      <c r="CA366" s="18"/>
      <c r="CB366" s="18"/>
      <c r="CC366" s="20"/>
      <c r="CD366" s="154"/>
    </row>
    <row r="367" spans="35:82">
      <c r="AI367" s="19"/>
      <c r="AO367" s="19"/>
      <c r="AY367" s="145"/>
      <c r="AZ367" s="16"/>
      <c r="BC367" s="16"/>
      <c r="BD367" s="20"/>
      <c r="BE367" s="17"/>
      <c r="BF367" s="20"/>
      <c r="BG367" s="146"/>
      <c r="BH367" s="146"/>
      <c r="BI367" s="146"/>
      <c r="BJ367" s="20"/>
      <c r="BK367" s="20"/>
      <c r="BL367" s="154"/>
      <c r="BP367" s="20"/>
      <c r="BQ367" s="154"/>
      <c r="BR367" s="18"/>
      <c r="BS367" s="16"/>
      <c r="BT367" s="18"/>
      <c r="BU367" s="18"/>
      <c r="BV367" s="18"/>
      <c r="BW367" s="20"/>
      <c r="BX367" s="154"/>
      <c r="BY367" s="18"/>
      <c r="BZ367" s="146"/>
      <c r="CA367" s="18"/>
      <c r="CB367" s="18"/>
      <c r="CC367" s="20"/>
      <c r="CD367" s="154"/>
    </row>
    <row r="368" spans="35:82">
      <c r="AI368" s="19"/>
      <c r="AO368" s="19"/>
      <c r="AY368" s="145"/>
      <c r="AZ368" s="16"/>
      <c r="BC368" s="16"/>
      <c r="BD368" s="20"/>
      <c r="BE368" s="17"/>
      <c r="BF368" s="20"/>
      <c r="BG368" s="146"/>
      <c r="BH368" s="146"/>
      <c r="BI368" s="146"/>
      <c r="BJ368" s="20"/>
      <c r="BK368" s="20"/>
      <c r="BL368" s="154"/>
      <c r="BP368" s="20"/>
      <c r="BQ368" s="154"/>
      <c r="BR368" s="18"/>
      <c r="BS368" s="16"/>
      <c r="BT368" s="18"/>
      <c r="BU368" s="18"/>
      <c r="BV368" s="18"/>
      <c r="BW368" s="20"/>
      <c r="BX368" s="154"/>
      <c r="BY368" s="18"/>
      <c r="BZ368" s="146"/>
      <c r="CA368" s="18"/>
      <c r="CB368" s="18"/>
      <c r="CC368" s="20"/>
      <c r="CD368" s="154"/>
    </row>
    <row r="369" spans="35:82">
      <c r="AI369" s="19"/>
      <c r="AO369" s="19"/>
      <c r="AY369" s="145"/>
      <c r="AZ369" s="16"/>
      <c r="BC369" s="16"/>
      <c r="BD369" s="20"/>
      <c r="BE369" s="17"/>
      <c r="BF369" s="20"/>
      <c r="BG369" s="146"/>
      <c r="BH369" s="146"/>
      <c r="BI369" s="146"/>
      <c r="BJ369" s="20"/>
      <c r="BK369" s="20"/>
      <c r="BL369" s="154"/>
      <c r="BP369" s="20"/>
      <c r="BQ369" s="154"/>
      <c r="BR369" s="18"/>
      <c r="BS369" s="16"/>
      <c r="BT369" s="18"/>
      <c r="BU369" s="18"/>
      <c r="BV369" s="18"/>
      <c r="BW369" s="20"/>
      <c r="BX369" s="154"/>
      <c r="BY369" s="18"/>
      <c r="BZ369" s="146"/>
      <c r="CA369" s="18"/>
      <c r="CB369" s="18"/>
      <c r="CC369" s="20"/>
      <c r="CD369" s="154"/>
    </row>
    <row r="370" spans="35:82">
      <c r="AI370" s="19"/>
      <c r="AO370" s="19"/>
      <c r="AY370" s="145"/>
      <c r="AZ370" s="16"/>
      <c r="BC370" s="16"/>
      <c r="BD370" s="20"/>
      <c r="BE370" s="17"/>
      <c r="BF370" s="20"/>
      <c r="BG370" s="146"/>
      <c r="BH370" s="146"/>
      <c r="BI370" s="146"/>
      <c r="BJ370" s="20"/>
      <c r="BK370" s="20"/>
      <c r="BL370" s="154"/>
      <c r="BP370" s="20"/>
      <c r="BQ370" s="154"/>
      <c r="BR370" s="18"/>
      <c r="BS370" s="16"/>
      <c r="BT370" s="18"/>
      <c r="BU370" s="18"/>
      <c r="BV370" s="18"/>
      <c r="BW370" s="20"/>
      <c r="BX370" s="154"/>
      <c r="BY370" s="18"/>
      <c r="BZ370" s="146"/>
      <c r="CA370" s="18"/>
      <c r="CB370" s="18"/>
      <c r="CC370" s="20"/>
      <c r="CD370" s="154"/>
    </row>
    <row r="371" spans="35:82">
      <c r="AI371" s="19"/>
      <c r="AO371" s="19"/>
      <c r="AY371" s="145"/>
      <c r="AZ371" s="16"/>
      <c r="BC371" s="16"/>
      <c r="BD371" s="20"/>
      <c r="BE371" s="17"/>
      <c r="BF371" s="20"/>
      <c r="BG371" s="146"/>
      <c r="BH371" s="146"/>
      <c r="BI371" s="146"/>
      <c r="BJ371" s="20"/>
      <c r="BK371" s="20"/>
      <c r="BL371" s="154"/>
      <c r="BP371" s="20"/>
      <c r="BQ371" s="154"/>
      <c r="BR371" s="18"/>
      <c r="BS371" s="16"/>
      <c r="BT371" s="18"/>
      <c r="BU371" s="18"/>
      <c r="BV371" s="18"/>
      <c r="BW371" s="20"/>
      <c r="BX371" s="154"/>
      <c r="BY371" s="18"/>
      <c r="BZ371" s="146"/>
      <c r="CA371" s="18"/>
      <c r="CB371" s="18"/>
      <c r="CC371" s="20"/>
      <c r="CD371" s="154"/>
    </row>
    <row r="372" spans="35:82">
      <c r="AI372" s="19"/>
      <c r="AO372" s="19"/>
      <c r="AY372" s="145"/>
      <c r="AZ372" s="16"/>
      <c r="BC372" s="16"/>
      <c r="BD372" s="20"/>
      <c r="BE372" s="17"/>
      <c r="BF372" s="20"/>
      <c r="BG372" s="146"/>
      <c r="BH372" s="146"/>
      <c r="BI372" s="146"/>
      <c r="BJ372" s="20"/>
      <c r="BK372" s="20"/>
      <c r="BL372" s="154"/>
      <c r="BP372" s="20"/>
      <c r="BQ372" s="154"/>
      <c r="BR372" s="18"/>
      <c r="BS372" s="16"/>
      <c r="BT372" s="18"/>
      <c r="BU372" s="18"/>
      <c r="BV372" s="18"/>
      <c r="BW372" s="20"/>
      <c r="BX372" s="154"/>
      <c r="BY372" s="18"/>
      <c r="BZ372" s="146"/>
      <c r="CA372" s="18"/>
      <c r="CB372" s="18"/>
      <c r="CC372" s="20"/>
      <c r="CD372" s="154"/>
    </row>
    <row r="373" spans="35:82">
      <c r="AI373" s="19"/>
      <c r="AO373" s="19"/>
      <c r="AY373" s="145"/>
      <c r="AZ373" s="16"/>
      <c r="BC373" s="16"/>
      <c r="BD373" s="20"/>
      <c r="BE373" s="17"/>
      <c r="BF373" s="20"/>
      <c r="BG373" s="146"/>
      <c r="BH373" s="146"/>
      <c r="BI373" s="146"/>
      <c r="BJ373" s="20"/>
      <c r="BK373" s="20"/>
      <c r="BL373" s="154"/>
      <c r="BP373" s="20"/>
      <c r="BQ373" s="154"/>
      <c r="BR373" s="18"/>
      <c r="BS373" s="16"/>
      <c r="BT373" s="18"/>
      <c r="BU373" s="18"/>
      <c r="BV373" s="18"/>
      <c r="BW373" s="20"/>
      <c r="BX373" s="154"/>
      <c r="BY373" s="18"/>
      <c r="BZ373" s="146"/>
      <c r="CA373" s="18"/>
      <c r="CB373" s="18"/>
      <c r="CC373" s="20"/>
      <c r="CD373" s="154"/>
    </row>
    <row r="374" spans="35:82">
      <c r="AI374" s="19"/>
      <c r="AO374" s="19"/>
      <c r="AY374" s="145"/>
      <c r="AZ374" s="16"/>
      <c r="BC374" s="16"/>
      <c r="BD374" s="20"/>
      <c r="BE374" s="17"/>
      <c r="BF374" s="20"/>
      <c r="BG374" s="146"/>
      <c r="BH374" s="146"/>
      <c r="BI374" s="146"/>
      <c r="BJ374" s="20"/>
      <c r="BK374" s="20"/>
      <c r="BL374" s="154"/>
      <c r="BP374" s="20"/>
      <c r="BQ374" s="154"/>
      <c r="BR374" s="18"/>
      <c r="BS374" s="16"/>
      <c r="BT374" s="18"/>
      <c r="BU374" s="18"/>
      <c r="BV374" s="18"/>
      <c r="BW374" s="20"/>
      <c r="BX374" s="154"/>
      <c r="BY374" s="18"/>
      <c r="BZ374" s="146"/>
      <c r="CA374" s="18"/>
      <c r="CB374" s="18"/>
      <c r="CC374" s="20"/>
      <c r="CD374" s="154"/>
    </row>
    <row r="375" spans="35:82">
      <c r="AI375" s="19"/>
      <c r="AO375" s="19"/>
      <c r="AY375" s="145"/>
      <c r="AZ375" s="16"/>
      <c r="BC375" s="16"/>
      <c r="BD375" s="20"/>
      <c r="BE375" s="17"/>
      <c r="BF375" s="20"/>
      <c r="BG375" s="146"/>
      <c r="BH375" s="146"/>
      <c r="BI375" s="146"/>
      <c r="BJ375" s="20"/>
      <c r="BK375" s="20"/>
      <c r="BL375" s="154"/>
      <c r="BP375" s="20"/>
      <c r="BQ375" s="154"/>
      <c r="BR375" s="18"/>
      <c r="BS375" s="16"/>
      <c r="BT375" s="18"/>
      <c r="BU375" s="18"/>
      <c r="BV375" s="18"/>
      <c r="BW375" s="20"/>
      <c r="BX375" s="154"/>
      <c r="BY375" s="18"/>
      <c r="BZ375" s="146"/>
      <c r="CA375" s="18"/>
      <c r="CB375" s="18"/>
      <c r="CC375" s="20"/>
      <c r="CD375" s="154"/>
    </row>
    <row r="376" spans="35:82">
      <c r="AI376" s="19"/>
      <c r="AO376" s="19"/>
      <c r="AY376" s="145"/>
      <c r="AZ376" s="16"/>
      <c r="BC376" s="16"/>
      <c r="BD376" s="20"/>
      <c r="BE376" s="17"/>
      <c r="BF376" s="20"/>
      <c r="BG376" s="146"/>
      <c r="BH376" s="146"/>
      <c r="BI376" s="146"/>
      <c r="BJ376" s="20"/>
      <c r="BK376" s="20"/>
      <c r="BL376" s="154"/>
      <c r="BP376" s="20"/>
      <c r="BQ376" s="154"/>
      <c r="BR376" s="18"/>
      <c r="BS376" s="16"/>
      <c r="BT376" s="18"/>
      <c r="BU376" s="18"/>
      <c r="BV376" s="18"/>
      <c r="BW376" s="20"/>
      <c r="BX376" s="154"/>
      <c r="BY376" s="18"/>
      <c r="BZ376" s="146"/>
      <c r="CA376" s="18"/>
      <c r="CB376" s="18"/>
      <c r="CC376" s="20"/>
      <c r="CD376" s="154"/>
    </row>
    <row r="377" spans="35:82">
      <c r="AI377" s="19"/>
      <c r="AO377" s="19"/>
      <c r="AY377" s="145"/>
      <c r="AZ377" s="16"/>
      <c r="BC377" s="16"/>
      <c r="BD377" s="20"/>
      <c r="BE377" s="17"/>
      <c r="BF377" s="20"/>
      <c r="BG377" s="146"/>
      <c r="BH377" s="146"/>
      <c r="BI377" s="146"/>
      <c r="BJ377" s="20"/>
      <c r="BK377" s="20"/>
      <c r="BL377" s="154"/>
      <c r="BP377" s="20"/>
      <c r="BQ377" s="154"/>
      <c r="BR377" s="18"/>
      <c r="BS377" s="16"/>
      <c r="BT377" s="18"/>
      <c r="BU377" s="18"/>
      <c r="BV377" s="18"/>
      <c r="BW377" s="20"/>
      <c r="BX377" s="154"/>
      <c r="BY377" s="18"/>
      <c r="BZ377" s="146"/>
      <c r="CA377" s="18"/>
      <c r="CB377" s="18"/>
      <c r="CC377" s="20"/>
      <c r="CD377" s="154"/>
    </row>
    <row r="378" spans="35:82">
      <c r="AI378" s="19"/>
      <c r="AO378" s="19"/>
      <c r="AY378" s="145"/>
      <c r="AZ378" s="16"/>
      <c r="BC378" s="16"/>
      <c r="BD378" s="20"/>
      <c r="BE378" s="17"/>
      <c r="BF378" s="20"/>
      <c r="BG378" s="146"/>
      <c r="BH378" s="146"/>
      <c r="BI378" s="146"/>
      <c r="BJ378" s="20"/>
      <c r="BK378" s="20"/>
      <c r="BL378" s="154"/>
      <c r="BP378" s="20"/>
      <c r="BQ378" s="154"/>
      <c r="BR378" s="18"/>
      <c r="BS378" s="16"/>
      <c r="BT378" s="18"/>
      <c r="BU378" s="18"/>
      <c r="BV378" s="18"/>
      <c r="BW378" s="20"/>
      <c r="BX378" s="154"/>
      <c r="BY378" s="18"/>
      <c r="BZ378" s="146"/>
      <c r="CA378" s="18"/>
      <c r="CB378" s="18"/>
      <c r="CC378" s="20"/>
      <c r="CD378" s="154"/>
    </row>
    <row r="379" spans="35:82">
      <c r="AI379" s="19"/>
      <c r="AO379" s="19"/>
      <c r="AY379" s="145"/>
      <c r="AZ379" s="16"/>
      <c r="BC379" s="16"/>
      <c r="BD379" s="20"/>
      <c r="BE379" s="17"/>
      <c r="BF379" s="20"/>
      <c r="BG379" s="146"/>
      <c r="BH379" s="146"/>
      <c r="BI379" s="146"/>
      <c r="BJ379" s="20"/>
      <c r="BK379" s="20"/>
      <c r="BL379" s="154"/>
      <c r="BP379" s="20"/>
      <c r="BQ379" s="154"/>
      <c r="BR379" s="18"/>
      <c r="BS379" s="16"/>
      <c r="BT379" s="18"/>
      <c r="BU379" s="18"/>
      <c r="BV379" s="18"/>
      <c r="BW379" s="20"/>
      <c r="BX379" s="154"/>
      <c r="BY379" s="18"/>
      <c r="BZ379" s="146"/>
      <c r="CA379" s="18"/>
      <c r="CB379" s="18"/>
      <c r="CC379" s="20"/>
      <c r="CD379" s="154"/>
    </row>
    <row r="380" spans="35:82">
      <c r="AI380" s="19"/>
      <c r="AO380" s="19"/>
      <c r="AY380" s="145"/>
      <c r="AZ380" s="16"/>
      <c r="BC380" s="16"/>
      <c r="BD380" s="20"/>
      <c r="BE380" s="17"/>
      <c r="BF380" s="20"/>
      <c r="BG380" s="146"/>
      <c r="BH380" s="146"/>
      <c r="BI380" s="146"/>
      <c r="BJ380" s="20"/>
      <c r="BK380" s="20"/>
      <c r="BL380" s="154"/>
      <c r="BP380" s="20"/>
      <c r="BQ380" s="154"/>
      <c r="BR380" s="18"/>
      <c r="BS380" s="16"/>
      <c r="BT380" s="18"/>
      <c r="BU380" s="18"/>
      <c r="BV380" s="18"/>
      <c r="BW380" s="20"/>
      <c r="BX380" s="154"/>
      <c r="BY380" s="18"/>
      <c r="BZ380" s="146"/>
      <c r="CA380" s="18"/>
      <c r="CB380" s="18"/>
      <c r="CC380" s="20"/>
      <c r="CD380" s="154"/>
    </row>
    <row r="381" spans="35:82">
      <c r="AI381" s="19"/>
      <c r="AO381" s="19"/>
      <c r="AY381" s="145"/>
      <c r="AZ381" s="16"/>
      <c r="BC381" s="16"/>
      <c r="BD381" s="20"/>
      <c r="BE381" s="17"/>
      <c r="BF381" s="20"/>
      <c r="BG381" s="146"/>
      <c r="BH381" s="146"/>
      <c r="BI381" s="146"/>
      <c r="BJ381" s="20"/>
      <c r="BK381" s="20"/>
      <c r="BL381" s="154"/>
      <c r="BP381" s="20"/>
      <c r="BQ381" s="154"/>
      <c r="BR381" s="18"/>
      <c r="BS381" s="16"/>
      <c r="BT381" s="18"/>
      <c r="BU381" s="18"/>
      <c r="BV381" s="18"/>
      <c r="BW381" s="20"/>
      <c r="BX381" s="154"/>
      <c r="BY381" s="18"/>
      <c r="BZ381" s="146"/>
      <c r="CA381" s="18"/>
      <c r="CB381" s="18"/>
      <c r="CC381" s="20"/>
      <c r="CD381" s="154"/>
    </row>
    <row r="382" spans="35:82">
      <c r="AI382" s="19"/>
      <c r="AO382" s="19"/>
      <c r="AY382" s="145"/>
      <c r="AZ382" s="16"/>
      <c r="BC382" s="16"/>
      <c r="BD382" s="20"/>
      <c r="BE382" s="17"/>
      <c r="BF382" s="20"/>
      <c r="BG382" s="146"/>
      <c r="BH382" s="146"/>
      <c r="BI382" s="146"/>
      <c r="BJ382" s="20"/>
      <c r="BK382" s="20"/>
      <c r="BL382" s="154"/>
      <c r="BP382" s="20"/>
      <c r="BQ382" s="154"/>
      <c r="BR382" s="18"/>
      <c r="BS382" s="16"/>
      <c r="BT382" s="18"/>
      <c r="BU382" s="18"/>
      <c r="BV382" s="18"/>
      <c r="BW382" s="20"/>
      <c r="BX382" s="154"/>
      <c r="BY382" s="18"/>
      <c r="BZ382" s="146"/>
      <c r="CA382" s="18"/>
      <c r="CB382" s="18"/>
      <c r="CC382" s="20"/>
      <c r="CD382" s="154"/>
    </row>
    <row r="383" spans="35:82">
      <c r="AI383" s="19"/>
      <c r="AO383" s="19"/>
      <c r="AY383" s="145"/>
      <c r="AZ383" s="16"/>
      <c r="BC383" s="16"/>
      <c r="BD383" s="20"/>
      <c r="BE383" s="17"/>
      <c r="BF383" s="20"/>
      <c r="BG383" s="146"/>
      <c r="BH383" s="146"/>
      <c r="BI383" s="146"/>
      <c r="BJ383" s="20"/>
      <c r="BK383" s="20"/>
      <c r="BL383" s="154"/>
      <c r="BP383" s="20"/>
      <c r="BQ383" s="154"/>
      <c r="BR383" s="18"/>
      <c r="BS383" s="16"/>
      <c r="BT383" s="18"/>
      <c r="BU383" s="18"/>
      <c r="BV383" s="18"/>
      <c r="BW383" s="20"/>
      <c r="BX383" s="154"/>
      <c r="BY383" s="18"/>
      <c r="BZ383" s="146"/>
      <c r="CA383" s="18"/>
      <c r="CB383" s="18"/>
      <c r="CC383" s="20"/>
      <c r="CD383" s="154"/>
    </row>
    <row r="384" spans="35:82">
      <c r="AI384" s="19"/>
      <c r="AO384" s="19"/>
      <c r="AY384" s="145"/>
      <c r="AZ384" s="16"/>
      <c r="BC384" s="16"/>
      <c r="BD384" s="20"/>
      <c r="BE384" s="17"/>
      <c r="BF384" s="20"/>
      <c r="BG384" s="146"/>
      <c r="BH384" s="146"/>
      <c r="BI384" s="146"/>
      <c r="BJ384" s="20"/>
      <c r="BK384" s="20"/>
      <c r="BL384" s="154"/>
      <c r="BP384" s="20"/>
      <c r="BQ384" s="154"/>
      <c r="BR384" s="18"/>
      <c r="BS384" s="16"/>
      <c r="BT384" s="18"/>
      <c r="BU384" s="18"/>
      <c r="BV384" s="18"/>
      <c r="BW384" s="20"/>
      <c r="BX384" s="154"/>
      <c r="BY384" s="18"/>
      <c r="BZ384" s="146"/>
      <c r="CA384" s="18"/>
      <c r="CB384" s="18"/>
      <c r="CC384" s="20"/>
      <c r="CD384" s="154"/>
    </row>
    <row r="385" spans="35:82">
      <c r="AI385" s="19"/>
      <c r="AO385" s="19"/>
      <c r="AY385" s="145"/>
      <c r="AZ385" s="16"/>
      <c r="BC385" s="16"/>
      <c r="BD385" s="20"/>
      <c r="BE385" s="17"/>
      <c r="BF385" s="20"/>
      <c r="BG385" s="146"/>
      <c r="BH385" s="146"/>
      <c r="BI385" s="146"/>
      <c r="BJ385" s="20"/>
      <c r="BK385" s="20"/>
      <c r="BL385" s="154"/>
      <c r="BP385" s="20"/>
      <c r="BQ385" s="154"/>
      <c r="BR385" s="18"/>
      <c r="BS385" s="16"/>
      <c r="BT385" s="18"/>
      <c r="BU385" s="18"/>
      <c r="BV385" s="18"/>
      <c r="BW385" s="20"/>
      <c r="BX385" s="154"/>
      <c r="BY385" s="18"/>
      <c r="BZ385" s="146"/>
      <c r="CA385" s="18"/>
      <c r="CB385" s="18"/>
      <c r="CC385" s="20"/>
      <c r="CD385" s="154"/>
    </row>
    <row r="386" spans="35:82">
      <c r="AI386" s="19"/>
      <c r="AO386" s="19"/>
      <c r="AY386" s="145"/>
      <c r="AZ386" s="16"/>
      <c r="BC386" s="16"/>
      <c r="BD386" s="20"/>
      <c r="BE386" s="17"/>
      <c r="BF386" s="20"/>
      <c r="BG386" s="146"/>
      <c r="BH386" s="146"/>
      <c r="BI386" s="146"/>
      <c r="BJ386" s="20"/>
      <c r="BK386" s="20"/>
      <c r="BL386" s="154"/>
      <c r="BP386" s="20"/>
      <c r="BQ386" s="154"/>
      <c r="BR386" s="18"/>
      <c r="BS386" s="16"/>
      <c r="BT386" s="18"/>
      <c r="BU386" s="18"/>
      <c r="BV386" s="18"/>
      <c r="BW386" s="20"/>
      <c r="BX386" s="154"/>
      <c r="BY386" s="18"/>
      <c r="BZ386" s="146"/>
      <c r="CA386" s="18"/>
      <c r="CB386" s="18"/>
      <c r="CC386" s="20"/>
      <c r="CD386" s="154"/>
    </row>
    <row r="387" spans="35:82">
      <c r="AI387" s="19"/>
      <c r="AO387" s="19"/>
      <c r="AY387" s="145"/>
      <c r="AZ387" s="16"/>
      <c r="BC387" s="16"/>
      <c r="BD387" s="20"/>
      <c r="BE387" s="17"/>
      <c r="BF387" s="20"/>
      <c r="BG387" s="146"/>
      <c r="BH387" s="146"/>
      <c r="BI387" s="146"/>
      <c r="BJ387" s="20"/>
      <c r="BK387" s="20"/>
      <c r="BL387" s="154"/>
      <c r="BP387" s="20"/>
      <c r="BQ387" s="154"/>
      <c r="BR387" s="18"/>
      <c r="BS387" s="16"/>
      <c r="BT387" s="18"/>
      <c r="BU387" s="18"/>
      <c r="BV387" s="18"/>
      <c r="BW387" s="20"/>
      <c r="BX387" s="154"/>
      <c r="BY387" s="18"/>
      <c r="BZ387" s="146"/>
      <c r="CA387" s="18"/>
      <c r="CB387" s="18"/>
      <c r="CC387" s="20"/>
      <c r="CD387" s="154"/>
    </row>
    <row r="388" spans="35:82">
      <c r="AI388" s="19"/>
      <c r="AO388" s="19"/>
      <c r="AY388" s="145"/>
      <c r="AZ388" s="16"/>
      <c r="BC388" s="16"/>
      <c r="BD388" s="20"/>
      <c r="BE388" s="17"/>
      <c r="BF388" s="20"/>
      <c r="BG388" s="146"/>
      <c r="BH388" s="146"/>
      <c r="BI388" s="146"/>
      <c r="BJ388" s="20"/>
      <c r="BK388" s="20"/>
      <c r="BL388" s="154"/>
      <c r="BP388" s="20"/>
      <c r="BQ388" s="154"/>
      <c r="BR388" s="18"/>
      <c r="BS388" s="16"/>
      <c r="BT388" s="18"/>
      <c r="BU388" s="18"/>
      <c r="BV388" s="18"/>
      <c r="BW388" s="20"/>
      <c r="BX388" s="154"/>
      <c r="BY388" s="18"/>
      <c r="BZ388" s="146"/>
      <c r="CA388" s="18"/>
      <c r="CB388" s="18"/>
      <c r="CC388" s="20"/>
      <c r="CD388" s="154"/>
    </row>
    <row r="389" spans="35:82">
      <c r="AI389" s="19"/>
      <c r="AO389" s="19"/>
      <c r="AY389" s="145"/>
      <c r="AZ389" s="16"/>
      <c r="BC389" s="16"/>
      <c r="BD389" s="20"/>
      <c r="BE389" s="17"/>
      <c r="BF389" s="20"/>
      <c r="BG389" s="146"/>
      <c r="BH389" s="146"/>
      <c r="BI389" s="146"/>
      <c r="BJ389" s="20"/>
      <c r="BK389" s="20"/>
      <c r="BL389" s="154"/>
      <c r="BP389" s="20"/>
      <c r="BQ389" s="154"/>
      <c r="BR389" s="18"/>
      <c r="BS389" s="16"/>
      <c r="BT389" s="18"/>
      <c r="BU389" s="18"/>
      <c r="BV389" s="18"/>
      <c r="BW389" s="20"/>
      <c r="BX389" s="154"/>
      <c r="BY389" s="18"/>
      <c r="BZ389" s="146"/>
      <c r="CA389" s="18"/>
      <c r="CB389" s="18"/>
      <c r="CC389" s="20"/>
      <c r="CD389" s="154"/>
    </row>
    <row r="390" spans="35:82">
      <c r="AI390" s="19"/>
      <c r="AO390" s="19"/>
      <c r="AY390" s="145"/>
      <c r="AZ390" s="16"/>
      <c r="BC390" s="16"/>
      <c r="BD390" s="20"/>
      <c r="BE390" s="17"/>
      <c r="BF390" s="20"/>
      <c r="BG390" s="146"/>
      <c r="BH390" s="146"/>
      <c r="BI390" s="146"/>
      <c r="BJ390" s="20"/>
      <c r="BK390" s="20"/>
      <c r="BL390" s="154"/>
      <c r="BP390" s="20"/>
      <c r="BQ390" s="154"/>
      <c r="BR390" s="18"/>
      <c r="BS390" s="16"/>
      <c r="BT390" s="18"/>
      <c r="BU390" s="18"/>
      <c r="BV390" s="18"/>
      <c r="BW390" s="20"/>
      <c r="BX390" s="154"/>
      <c r="BY390" s="18"/>
      <c r="BZ390" s="146"/>
      <c r="CA390" s="18"/>
      <c r="CB390" s="18"/>
      <c r="CC390" s="20"/>
      <c r="CD390" s="154"/>
    </row>
    <row r="391" spans="35:82">
      <c r="AI391" s="19"/>
      <c r="AO391" s="19"/>
      <c r="AY391" s="145"/>
      <c r="AZ391" s="16"/>
      <c r="BC391" s="16"/>
      <c r="BD391" s="20"/>
      <c r="BE391" s="17"/>
      <c r="BF391" s="20"/>
      <c r="BG391" s="146"/>
      <c r="BH391" s="146"/>
      <c r="BI391" s="146"/>
      <c r="BJ391" s="20"/>
      <c r="BK391" s="20"/>
      <c r="BL391" s="154"/>
      <c r="BP391" s="20"/>
      <c r="BQ391" s="154"/>
      <c r="BR391" s="18"/>
      <c r="BS391" s="16"/>
      <c r="BT391" s="18"/>
      <c r="BU391" s="18"/>
      <c r="BV391" s="18"/>
      <c r="BW391" s="20"/>
      <c r="BX391" s="154"/>
      <c r="BY391" s="18"/>
      <c r="BZ391" s="146"/>
      <c r="CA391" s="18"/>
      <c r="CB391" s="18"/>
      <c r="CC391" s="20"/>
      <c r="CD391" s="154"/>
    </row>
    <row r="392" spans="35:82">
      <c r="AI392" s="19"/>
      <c r="AO392" s="19"/>
      <c r="AY392" s="145"/>
      <c r="AZ392" s="16"/>
      <c r="BC392" s="16"/>
      <c r="BD392" s="20"/>
      <c r="BE392" s="17"/>
      <c r="BF392" s="20"/>
      <c r="BG392" s="146"/>
      <c r="BH392" s="146"/>
      <c r="BI392" s="146"/>
      <c r="BJ392" s="20"/>
      <c r="BK392" s="20"/>
      <c r="BL392" s="154"/>
      <c r="BP392" s="20"/>
      <c r="BQ392" s="154"/>
      <c r="BR392" s="18"/>
      <c r="BS392" s="16"/>
      <c r="BT392" s="18"/>
      <c r="BU392" s="18"/>
      <c r="BV392" s="18"/>
      <c r="BW392" s="20"/>
      <c r="BX392" s="154"/>
      <c r="BY392" s="18"/>
      <c r="BZ392" s="146"/>
      <c r="CA392" s="18"/>
      <c r="CB392" s="18"/>
      <c r="CC392" s="20"/>
      <c r="CD392" s="154"/>
    </row>
    <row r="393" spans="35:82">
      <c r="AI393" s="19"/>
      <c r="AO393" s="19"/>
      <c r="AY393" s="145"/>
      <c r="AZ393" s="16"/>
      <c r="BC393" s="16"/>
      <c r="BD393" s="20"/>
      <c r="BE393" s="17"/>
      <c r="BF393" s="20"/>
      <c r="BG393" s="146"/>
      <c r="BH393" s="146"/>
      <c r="BI393" s="146"/>
      <c r="BJ393" s="20"/>
      <c r="BK393" s="20"/>
      <c r="BL393" s="154"/>
      <c r="BP393" s="20"/>
      <c r="BQ393" s="154"/>
      <c r="BR393" s="18"/>
      <c r="BS393" s="16"/>
      <c r="BT393" s="18"/>
      <c r="BU393" s="18"/>
      <c r="BV393" s="18"/>
      <c r="BW393" s="20"/>
      <c r="BX393" s="154"/>
      <c r="BY393" s="18"/>
      <c r="BZ393" s="146"/>
      <c r="CA393" s="18"/>
      <c r="CB393" s="18"/>
      <c r="CC393" s="20"/>
      <c r="CD393" s="154"/>
    </row>
    <row r="394" spans="35:82">
      <c r="AI394" s="19"/>
      <c r="AO394" s="19"/>
      <c r="AY394" s="145"/>
      <c r="AZ394" s="16"/>
      <c r="BC394" s="16"/>
      <c r="BD394" s="20"/>
      <c r="BE394" s="17"/>
      <c r="BF394" s="20"/>
      <c r="BG394" s="146"/>
      <c r="BH394" s="146"/>
      <c r="BI394" s="146"/>
      <c r="BJ394" s="20"/>
      <c r="BK394" s="20"/>
      <c r="BL394" s="154"/>
      <c r="BP394" s="20"/>
      <c r="BQ394" s="154"/>
      <c r="BR394" s="18"/>
      <c r="BS394" s="16"/>
      <c r="BT394" s="18"/>
      <c r="BU394" s="18"/>
      <c r="BV394" s="18"/>
      <c r="BW394" s="20"/>
      <c r="BX394" s="154"/>
      <c r="BY394" s="18"/>
      <c r="BZ394" s="146"/>
      <c r="CA394" s="18"/>
      <c r="CB394" s="18"/>
      <c r="CC394" s="20"/>
      <c r="CD394" s="154"/>
    </row>
    <row r="395" spans="35:82">
      <c r="AI395" s="19"/>
      <c r="AO395" s="19"/>
      <c r="AY395" s="145"/>
      <c r="AZ395" s="16"/>
      <c r="BC395" s="16"/>
      <c r="BD395" s="20"/>
      <c r="BE395" s="17"/>
      <c r="BF395" s="20"/>
      <c r="BG395" s="146"/>
      <c r="BH395" s="146"/>
      <c r="BI395" s="146"/>
      <c r="BJ395" s="20"/>
      <c r="BK395" s="20"/>
      <c r="BL395" s="154"/>
      <c r="BP395" s="20"/>
      <c r="BQ395" s="154"/>
      <c r="BR395" s="18"/>
      <c r="BS395" s="16"/>
      <c r="BT395" s="18"/>
      <c r="BU395" s="18"/>
      <c r="BV395" s="18"/>
      <c r="BW395" s="20"/>
      <c r="BX395" s="154"/>
      <c r="BY395" s="18"/>
      <c r="BZ395" s="146"/>
      <c r="CA395" s="18"/>
      <c r="CB395" s="18"/>
      <c r="CC395" s="20"/>
      <c r="CD395" s="154"/>
    </row>
    <row r="396" spans="35:82">
      <c r="AI396" s="19"/>
      <c r="AO396" s="19"/>
      <c r="AY396" s="145"/>
      <c r="AZ396" s="16"/>
      <c r="BC396" s="16"/>
      <c r="BD396" s="20"/>
      <c r="BE396" s="17"/>
      <c r="BF396" s="20"/>
      <c r="BG396" s="146"/>
      <c r="BH396" s="146"/>
      <c r="BI396" s="146"/>
      <c r="BJ396" s="20"/>
      <c r="BK396" s="20"/>
      <c r="BL396" s="154"/>
      <c r="BP396" s="20"/>
      <c r="BQ396" s="154"/>
      <c r="BR396" s="18"/>
      <c r="BS396" s="16"/>
      <c r="BT396" s="18"/>
      <c r="BU396" s="18"/>
      <c r="BV396" s="18"/>
      <c r="BW396" s="20"/>
      <c r="BX396" s="154"/>
      <c r="BY396" s="18"/>
      <c r="BZ396" s="146"/>
      <c r="CA396" s="18"/>
      <c r="CB396" s="18"/>
      <c r="CC396" s="20"/>
      <c r="CD396" s="154"/>
    </row>
    <row r="397" spans="35:82">
      <c r="AI397" s="19"/>
      <c r="AO397" s="19"/>
      <c r="AY397" s="145"/>
      <c r="AZ397" s="16"/>
      <c r="BC397" s="16"/>
      <c r="BD397" s="20"/>
      <c r="BE397" s="17"/>
      <c r="BF397" s="20"/>
      <c r="BG397" s="146"/>
      <c r="BH397" s="146"/>
      <c r="BI397" s="146"/>
      <c r="BJ397" s="20"/>
      <c r="BK397" s="20"/>
      <c r="BL397" s="154"/>
      <c r="BP397" s="20"/>
      <c r="BQ397" s="154"/>
      <c r="BR397" s="18"/>
      <c r="BS397" s="16"/>
      <c r="BT397" s="18"/>
      <c r="BU397" s="18"/>
      <c r="BV397" s="18"/>
      <c r="BW397" s="20"/>
      <c r="BX397" s="154"/>
      <c r="BY397" s="18"/>
      <c r="BZ397" s="146"/>
      <c r="CA397" s="18"/>
      <c r="CB397" s="18"/>
      <c r="CC397" s="20"/>
      <c r="CD397" s="154"/>
    </row>
    <row r="398" spans="35:82">
      <c r="AI398" s="19"/>
      <c r="AO398" s="19"/>
      <c r="AY398" s="145"/>
      <c r="AZ398" s="16"/>
      <c r="BC398" s="16"/>
      <c r="BD398" s="20"/>
      <c r="BE398" s="17"/>
      <c r="BF398" s="20"/>
      <c r="BG398" s="146"/>
      <c r="BH398" s="146"/>
      <c r="BI398" s="146"/>
      <c r="BJ398" s="20"/>
      <c r="BK398" s="20"/>
      <c r="BL398" s="154"/>
      <c r="BP398" s="20"/>
      <c r="BQ398" s="154"/>
      <c r="BR398" s="18"/>
      <c r="BS398" s="16"/>
      <c r="BT398" s="18"/>
      <c r="BU398" s="18"/>
      <c r="BV398" s="18"/>
      <c r="BW398" s="20"/>
      <c r="BX398" s="154"/>
      <c r="BY398" s="18"/>
      <c r="BZ398" s="146"/>
      <c r="CA398" s="18"/>
      <c r="CB398" s="18"/>
      <c r="CC398" s="20"/>
      <c r="CD398" s="154"/>
    </row>
    <row r="399" spans="35:82">
      <c r="AI399" s="19"/>
      <c r="AO399" s="19"/>
      <c r="AY399" s="145"/>
      <c r="AZ399" s="16"/>
      <c r="BC399" s="16"/>
      <c r="BD399" s="20"/>
      <c r="BE399" s="17"/>
      <c r="BF399" s="20"/>
      <c r="BG399" s="146"/>
      <c r="BH399" s="146"/>
      <c r="BI399" s="146"/>
      <c r="BJ399" s="20"/>
      <c r="BK399" s="20"/>
      <c r="BL399" s="154"/>
      <c r="BP399" s="20"/>
      <c r="BQ399" s="154"/>
      <c r="BR399" s="18"/>
      <c r="BS399" s="16"/>
      <c r="BT399" s="18"/>
      <c r="BU399" s="18"/>
      <c r="BV399" s="18"/>
      <c r="BW399" s="20"/>
      <c r="BX399" s="154"/>
      <c r="BY399" s="18"/>
      <c r="BZ399" s="146"/>
      <c r="CA399" s="18"/>
      <c r="CB399" s="18"/>
      <c r="CC399" s="20"/>
      <c r="CD399" s="154"/>
    </row>
    <row r="400" spans="35:82">
      <c r="AI400" s="19"/>
      <c r="AO400" s="19"/>
      <c r="AY400" s="145"/>
      <c r="AZ400" s="16"/>
      <c r="BC400" s="16"/>
      <c r="BD400" s="20"/>
      <c r="BE400" s="17"/>
      <c r="BF400" s="20"/>
      <c r="BG400" s="146"/>
      <c r="BH400" s="146"/>
      <c r="BI400" s="146"/>
      <c r="BJ400" s="20"/>
      <c r="BK400" s="20"/>
      <c r="BL400" s="154"/>
      <c r="BP400" s="20"/>
      <c r="BQ400" s="154"/>
      <c r="BR400" s="18"/>
      <c r="BS400" s="16"/>
      <c r="BT400" s="18"/>
      <c r="BU400" s="18"/>
      <c r="BV400" s="18"/>
      <c r="BW400" s="20"/>
      <c r="BX400" s="154"/>
      <c r="BY400" s="18"/>
      <c r="BZ400" s="146"/>
      <c r="CA400" s="18"/>
      <c r="CB400" s="18"/>
      <c r="CC400" s="20"/>
      <c r="CD400" s="154"/>
    </row>
    <row r="401" spans="35:82">
      <c r="AI401" s="19"/>
      <c r="AO401" s="19"/>
      <c r="AY401" s="145"/>
      <c r="AZ401" s="16"/>
      <c r="BC401" s="16"/>
      <c r="BD401" s="20"/>
      <c r="BE401" s="17"/>
      <c r="BF401" s="20"/>
      <c r="BG401" s="146"/>
      <c r="BH401" s="146"/>
      <c r="BI401" s="146"/>
      <c r="BJ401" s="20"/>
      <c r="BK401" s="20"/>
      <c r="BL401" s="154"/>
      <c r="BP401" s="20"/>
      <c r="BQ401" s="154"/>
      <c r="BR401" s="18"/>
      <c r="BS401" s="16"/>
      <c r="BT401" s="18"/>
      <c r="BU401" s="18"/>
      <c r="BV401" s="18"/>
      <c r="BW401" s="20"/>
      <c r="BX401" s="154"/>
      <c r="BY401" s="18"/>
      <c r="BZ401" s="146"/>
      <c r="CA401" s="18"/>
      <c r="CB401" s="18"/>
      <c r="CC401" s="20"/>
      <c r="CD401" s="154"/>
    </row>
    <row r="402" spans="35:82">
      <c r="AI402" s="19"/>
      <c r="AO402" s="19"/>
      <c r="AY402" s="145"/>
      <c r="AZ402" s="16"/>
      <c r="BC402" s="16"/>
      <c r="BD402" s="20"/>
      <c r="BE402" s="17"/>
      <c r="BF402" s="20"/>
      <c r="BG402" s="146"/>
      <c r="BH402" s="146"/>
      <c r="BI402" s="146"/>
      <c r="BJ402" s="20"/>
      <c r="BK402" s="20"/>
      <c r="BL402" s="154"/>
      <c r="BP402" s="20"/>
      <c r="BQ402" s="154"/>
      <c r="BR402" s="18"/>
      <c r="BS402" s="16"/>
      <c r="BT402" s="18"/>
      <c r="BU402" s="18"/>
      <c r="BV402" s="18"/>
      <c r="BW402" s="20"/>
      <c r="BX402" s="154"/>
      <c r="BY402" s="18"/>
      <c r="BZ402" s="146"/>
      <c r="CA402" s="18"/>
      <c r="CB402" s="18"/>
      <c r="CC402" s="20"/>
      <c r="CD402" s="154"/>
    </row>
    <row r="403" spans="35:82">
      <c r="AI403" s="19"/>
      <c r="AO403" s="19"/>
      <c r="AY403" s="145"/>
      <c r="AZ403" s="16"/>
      <c r="BC403" s="16"/>
      <c r="BD403" s="20"/>
      <c r="BE403" s="17"/>
      <c r="BF403" s="20"/>
      <c r="BG403" s="146"/>
      <c r="BH403" s="146"/>
      <c r="BI403" s="146"/>
      <c r="BJ403" s="20"/>
      <c r="BK403" s="20"/>
      <c r="BL403" s="154"/>
      <c r="BP403" s="20"/>
      <c r="BQ403" s="154"/>
      <c r="BR403" s="18"/>
      <c r="BS403" s="16"/>
      <c r="BT403" s="18"/>
      <c r="BU403" s="18"/>
      <c r="BV403" s="18"/>
      <c r="BW403" s="20"/>
      <c r="BX403" s="154"/>
      <c r="BY403" s="18"/>
      <c r="BZ403" s="146"/>
      <c r="CA403" s="18"/>
      <c r="CB403" s="18"/>
      <c r="CC403" s="20"/>
      <c r="CD403" s="154"/>
    </row>
    <row r="404" spans="35:82">
      <c r="AI404" s="19"/>
      <c r="AO404" s="19"/>
      <c r="AY404" s="145"/>
      <c r="AZ404" s="16"/>
      <c r="BC404" s="16"/>
      <c r="BD404" s="20"/>
      <c r="BE404" s="17"/>
      <c r="BF404" s="20"/>
      <c r="BG404" s="146"/>
      <c r="BH404" s="146"/>
      <c r="BI404" s="146"/>
      <c r="BJ404" s="20"/>
      <c r="BK404" s="20"/>
      <c r="BL404" s="154"/>
      <c r="BP404" s="20"/>
      <c r="BQ404" s="154"/>
      <c r="BR404" s="18"/>
      <c r="BS404" s="16"/>
      <c r="BT404" s="18"/>
      <c r="BU404" s="18"/>
      <c r="BV404" s="18"/>
      <c r="BW404" s="20"/>
      <c r="BX404" s="154"/>
      <c r="BY404" s="18"/>
      <c r="BZ404" s="146"/>
      <c r="CA404" s="18"/>
      <c r="CB404" s="18"/>
      <c r="CC404" s="20"/>
      <c r="CD404" s="154"/>
    </row>
    <row r="405" spans="35:82">
      <c r="AI405" s="19"/>
      <c r="AO405" s="19"/>
      <c r="AY405" s="145"/>
      <c r="AZ405" s="16"/>
      <c r="BC405" s="16"/>
      <c r="BD405" s="20"/>
      <c r="BE405" s="17"/>
      <c r="BF405" s="20"/>
      <c r="BG405" s="146"/>
      <c r="BH405" s="146"/>
      <c r="BI405" s="146"/>
      <c r="BJ405" s="20"/>
      <c r="BK405" s="20"/>
      <c r="BL405" s="154"/>
      <c r="BP405" s="20"/>
      <c r="BQ405" s="154"/>
      <c r="BR405" s="18"/>
      <c r="BS405" s="16"/>
      <c r="BT405" s="18"/>
      <c r="BU405" s="18"/>
      <c r="BV405" s="18"/>
      <c r="BW405" s="20"/>
      <c r="BX405" s="154"/>
      <c r="BY405" s="18"/>
      <c r="BZ405" s="146"/>
      <c r="CA405" s="18"/>
      <c r="CB405" s="18"/>
      <c r="CC405" s="20"/>
      <c r="CD405" s="154"/>
    </row>
    <row r="406" spans="35:82">
      <c r="AI406" s="19"/>
      <c r="AO406" s="19"/>
      <c r="AY406" s="145"/>
      <c r="AZ406" s="16"/>
      <c r="BC406" s="16"/>
      <c r="BD406" s="20"/>
      <c r="BE406" s="17"/>
      <c r="BF406" s="20"/>
      <c r="BG406" s="146"/>
      <c r="BH406" s="146"/>
      <c r="BI406" s="146"/>
      <c r="BJ406" s="20"/>
      <c r="BK406" s="20"/>
      <c r="BL406" s="154"/>
      <c r="BP406" s="20"/>
      <c r="BQ406" s="154"/>
      <c r="BR406" s="18"/>
      <c r="BS406" s="16"/>
      <c r="BT406" s="18"/>
      <c r="BU406" s="18"/>
      <c r="BV406" s="18"/>
      <c r="BW406" s="20"/>
      <c r="BX406" s="154"/>
      <c r="BY406" s="18"/>
      <c r="BZ406" s="146"/>
      <c r="CA406" s="18"/>
      <c r="CB406" s="18"/>
      <c r="CC406" s="20"/>
      <c r="CD406" s="154"/>
    </row>
    <row r="407" spans="35:82">
      <c r="AI407" s="19"/>
      <c r="AO407" s="19"/>
      <c r="AY407" s="145"/>
      <c r="AZ407" s="16"/>
      <c r="BC407" s="16"/>
      <c r="BD407" s="20"/>
      <c r="BE407" s="17"/>
      <c r="BF407" s="20"/>
      <c r="BG407" s="146"/>
      <c r="BH407" s="146"/>
      <c r="BI407" s="146"/>
      <c r="BJ407" s="20"/>
      <c r="BK407" s="20"/>
      <c r="BL407" s="154"/>
      <c r="BP407" s="20"/>
      <c r="BQ407" s="154"/>
      <c r="BR407" s="18"/>
      <c r="BS407" s="16"/>
      <c r="BT407" s="18"/>
      <c r="BU407" s="18"/>
      <c r="BV407" s="18"/>
      <c r="BW407" s="20"/>
      <c r="BX407" s="154"/>
      <c r="BY407" s="18"/>
      <c r="BZ407" s="146"/>
      <c r="CA407" s="18"/>
      <c r="CB407" s="18"/>
      <c r="CC407" s="20"/>
      <c r="CD407" s="154"/>
    </row>
    <row r="408" spans="35:82">
      <c r="AI408" s="19"/>
      <c r="AO408" s="19"/>
      <c r="AY408" s="145"/>
      <c r="AZ408" s="16"/>
      <c r="BC408" s="16"/>
      <c r="BD408" s="20"/>
      <c r="BE408" s="17"/>
      <c r="BF408" s="20"/>
      <c r="BG408" s="146"/>
      <c r="BH408" s="146"/>
      <c r="BI408" s="146"/>
      <c r="BJ408" s="20"/>
      <c r="BK408" s="20"/>
      <c r="BL408" s="154"/>
      <c r="BP408" s="20"/>
      <c r="BQ408" s="154"/>
      <c r="BR408" s="18"/>
      <c r="BS408" s="16"/>
      <c r="BT408" s="18"/>
      <c r="BU408" s="18"/>
      <c r="BV408" s="18"/>
      <c r="BW408" s="20"/>
      <c r="BX408" s="154"/>
      <c r="BY408" s="18"/>
      <c r="BZ408" s="146"/>
      <c r="CA408" s="18"/>
      <c r="CB408" s="18"/>
      <c r="CC408" s="20"/>
      <c r="CD408" s="154"/>
    </row>
    <row r="409" spans="35:82">
      <c r="AI409" s="19"/>
      <c r="AO409" s="19"/>
      <c r="AY409" s="145"/>
      <c r="AZ409" s="16"/>
      <c r="BC409" s="16"/>
      <c r="BD409" s="20"/>
      <c r="BE409" s="17"/>
      <c r="BF409" s="20"/>
      <c r="BG409" s="146"/>
      <c r="BH409" s="146"/>
      <c r="BI409" s="146"/>
      <c r="BJ409" s="20"/>
      <c r="BK409" s="20"/>
      <c r="BL409" s="154"/>
      <c r="BP409" s="20"/>
      <c r="BQ409" s="154"/>
      <c r="BR409" s="18"/>
      <c r="BS409" s="16"/>
      <c r="BT409" s="18"/>
      <c r="BU409" s="18"/>
      <c r="BV409" s="18"/>
      <c r="BW409" s="20"/>
      <c r="BX409" s="154"/>
      <c r="BY409" s="18"/>
      <c r="BZ409" s="146"/>
      <c r="CA409" s="18"/>
      <c r="CB409" s="18"/>
      <c r="CC409" s="20"/>
      <c r="CD409" s="154"/>
    </row>
    <row r="410" spans="35:82">
      <c r="AI410" s="19"/>
      <c r="AO410" s="19"/>
      <c r="AY410" s="145"/>
      <c r="AZ410" s="16"/>
      <c r="BC410" s="16"/>
      <c r="BD410" s="20"/>
      <c r="BE410" s="17"/>
      <c r="BF410" s="20"/>
      <c r="BG410" s="146"/>
      <c r="BH410" s="146"/>
      <c r="BI410" s="146"/>
      <c r="BJ410" s="20"/>
      <c r="BK410" s="20"/>
      <c r="BL410" s="154"/>
      <c r="BP410" s="20"/>
      <c r="BQ410" s="154"/>
      <c r="BR410" s="18"/>
      <c r="BS410" s="16"/>
      <c r="BT410" s="18"/>
      <c r="BU410" s="18"/>
      <c r="BV410" s="18"/>
      <c r="BW410" s="20"/>
      <c r="BX410" s="154"/>
      <c r="BY410" s="18"/>
      <c r="BZ410" s="146"/>
      <c r="CA410" s="18"/>
      <c r="CB410" s="18"/>
      <c r="CC410" s="20"/>
      <c r="CD410" s="154"/>
    </row>
    <row r="411" spans="35:82">
      <c r="AI411" s="19"/>
      <c r="AO411" s="19"/>
      <c r="AY411" s="145"/>
      <c r="AZ411" s="16"/>
      <c r="BC411" s="16"/>
      <c r="BD411" s="20"/>
      <c r="BE411" s="17"/>
      <c r="BF411" s="20"/>
      <c r="BG411" s="146"/>
      <c r="BH411" s="146"/>
      <c r="BI411" s="146"/>
      <c r="BJ411" s="20"/>
      <c r="BK411" s="20"/>
      <c r="BL411" s="154"/>
      <c r="BP411" s="20"/>
      <c r="BQ411" s="154"/>
      <c r="BR411" s="18"/>
      <c r="BS411" s="16"/>
      <c r="BT411" s="18"/>
      <c r="BU411" s="18"/>
      <c r="BV411" s="18"/>
      <c r="BW411" s="20"/>
      <c r="BX411" s="154"/>
      <c r="BY411" s="18"/>
      <c r="BZ411" s="146"/>
      <c r="CA411" s="18"/>
      <c r="CB411" s="18"/>
      <c r="CC411" s="20"/>
      <c r="CD411" s="154"/>
    </row>
    <row r="412" spans="35:82">
      <c r="AI412" s="19"/>
      <c r="AO412" s="19"/>
      <c r="AY412" s="145"/>
      <c r="AZ412" s="16"/>
      <c r="BC412" s="16"/>
      <c r="BD412" s="20"/>
      <c r="BE412" s="17"/>
      <c r="BF412" s="20"/>
      <c r="BG412" s="146"/>
      <c r="BH412" s="146"/>
      <c r="BI412" s="146"/>
      <c r="BJ412" s="20"/>
      <c r="BK412" s="20"/>
      <c r="BL412" s="154"/>
      <c r="BP412" s="20"/>
      <c r="BQ412" s="154"/>
      <c r="BR412" s="18"/>
      <c r="BS412" s="16"/>
      <c r="BT412" s="18"/>
      <c r="BU412" s="18"/>
      <c r="BV412" s="18"/>
      <c r="BW412" s="20"/>
      <c r="BX412" s="154"/>
      <c r="BY412" s="18"/>
      <c r="BZ412" s="146"/>
      <c r="CA412" s="18"/>
      <c r="CB412" s="18"/>
      <c r="CC412" s="20"/>
      <c r="CD412" s="154"/>
    </row>
    <row r="413" spans="35:82">
      <c r="AI413" s="19"/>
      <c r="AO413" s="19"/>
      <c r="AY413" s="145"/>
      <c r="AZ413" s="16"/>
      <c r="BC413" s="16"/>
      <c r="BD413" s="20"/>
      <c r="BE413" s="17"/>
      <c r="BF413" s="20"/>
      <c r="BG413" s="146"/>
      <c r="BH413" s="146"/>
      <c r="BI413" s="146"/>
      <c r="BJ413" s="20"/>
      <c r="BK413" s="20"/>
      <c r="BL413" s="154"/>
      <c r="BP413" s="20"/>
      <c r="BQ413" s="154"/>
      <c r="BR413" s="18"/>
      <c r="BS413" s="16"/>
      <c r="BT413" s="18"/>
      <c r="BU413" s="18"/>
      <c r="BV413" s="18"/>
      <c r="BW413" s="20"/>
      <c r="BX413" s="154"/>
      <c r="BY413" s="18"/>
      <c r="BZ413" s="146"/>
      <c r="CA413" s="18"/>
      <c r="CB413" s="18"/>
      <c r="CC413" s="20"/>
      <c r="CD413" s="154"/>
    </row>
    <row r="414" spans="35:82">
      <c r="AI414" s="19"/>
      <c r="AO414" s="19"/>
      <c r="AY414" s="145"/>
      <c r="AZ414" s="16"/>
      <c r="BC414" s="16"/>
      <c r="BD414" s="20"/>
      <c r="BE414" s="17"/>
      <c r="BF414" s="20"/>
      <c r="BG414" s="146"/>
      <c r="BH414" s="146"/>
      <c r="BI414" s="146"/>
      <c r="BJ414" s="20"/>
      <c r="BK414" s="20"/>
      <c r="BL414" s="154"/>
      <c r="BP414" s="20"/>
      <c r="BQ414" s="154"/>
      <c r="BR414" s="18"/>
      <c r="BS414" s="16"/>
      <c r="BT414" s="18"/>
      <c r="BU414" s="18"/>
      <c r="BV414" s="18"/>
      <c r="BW414" s="20"/>
      <c r="BX414" s="154"/>
      <c r="BY414" s="18"/>
      <c r="BZ414" s="146"/>
      <c r="CA414" s="18"/>
      <c r="CB414" s="18"/>
      <c r="CC414" s="20"/>
      <c r="CD414" s="154"/>
    </row>
    <row r="415" spans="35:82">
      <c r="AI415" s="19"/>
      <c r="AO415" s="19"/>
      <c r="AY415" s="145"/>
      <c r="AZ415" s="16"/>
      <c r="BC415" s="16"/>
      <c r="BD415" s="20"/>
      <c r="BE415" s="17"/>
      <c r="BF415" s="20"/>
      <c r="BG415" s="146"/>
      <c r="BH415" s="146"/>
      <c r="BI415" s="146"/>
      <c r="BJ415" s="20"/>
      <c r="BK415" s="20"/>
      <c r="BL415" s="154"/>
      <c r="BP415" s="20"/>
      <c r="BQ415" s="154"/>
      <c r="BR415" s="18"/>
      <c r="BS415" s="16"/>
      <c r="BT415" s="18"/>
      <c r="BU415" s="18"/>
      <c r="BV415" s="18"/>
      <c r="BW415" s="20"/>
      <c r="BX415" s="154"/>
      <c r="BY415" s="18"/>
      <c r="BZ415" s="146"/>
      <c r="CA415" s="18"/>
      <c r="CB415" s="18"/>
      <c r="CC415" s="20"/>
      <c r="CD415" s="154"/>
    </row>
    <row r="416" spans="35:82">
      <c r="AI416" s="19"/>
      <c r="AO416" s="19"/>
      <c r="AY416" s="145"/>
      <c r="AZ416" s="16"/>
      <c r="BC416" s="16"/>
      <c r="BD416" s="20"/>
      <c r="BE416" s="17"/>
      <c r="BF416" s="20"/>
      <c r="BG416" s="146"/>
      <c r="BH416" s="146"/>
      <c r="BI416" s="146"/>
      <c r="BJ416" s="20"/>
      <c r="BK416" s="20"/>
      <c r="BL416" s="154"/>
      <c r="BP416" s="20"/>
      <c r="BQ416" s="154"/>
      <c r="BR416" s="18"/>
      <c r="BS416" s="16"/>
      <c r="BT416" s="18"/>
      <c r="BU416" s="18"/>
      <c r="BV416" s="18"/>
      <c r="BW416" s="20"/>
      <c r="BX416" s="154"/>
      <c r="BY416" s="18"/>
      <c r="BZ416" s="146"/>
      <c r="CA416" s="18"/>
      <c r="CB416" s="18"/>
      <c r="CC416" s="20"/>
      <c r="CD416" s="154"/>
    </row>
    <row r="417" spans="35:82">
      <c r="AI417" s="19"/>
      <c r="AO417" s="19"/>
      <c r="AY417" s="145"/>
      <c r="AZ417" s="16"/>
      <c r="BC417" s="16"/>
      <c r="BD417" s="20"/>
      <c r="BE417" s="17"/>
      <c r="BF417" s="20"/>
      <c r="BG417" s="146"/>
      <c r="BH417" s="146"/>
      <c r="BI417" s="146"/>
      <c r="BJ417" s="20"/>
      <c r="BK417" s="20"/>
      <c r="BL417" s="154"/>
      <c r="BP417" s="20"/>
      <c r="BQ417" s="154"/>
      <c r="BR417" s="18"/>
      <c r="BS417" s="16"/>
      <c r="BT417" s="18"/>
      <c r="BU417" s="18"/>
      <c r="BV417" s="18"/>
      <c r="BW417" s="20"/>
      <c r="BX417" s="154"/>
      <c r="BY417" s="18"/>
      <c r="BZ417" s="146"/>
      <c r="CA417" s="18"/>
      <c r="CB417" s="18"/>
      <c r="CC417" s="20"/>
      <c r="CD417" s="154"/>
    </row>
    <row r="418" spans="35:82">
      <c r="AI418" s="19"/>
      <c r="AO418" s="19"/>
      <c r="AY418" s="145"/>
      <c r="AZ418" s="16"/>
      <c r="BC418" s="16"/>
      <c r="BD418" s="20"/>
      <c r="BE418" s="17"/>
      <c r="BF418" s="20"/>
      <c r="BG418" s="146"/>
      <c r="BH418" s="146"/>
      <c r="BI418" s="146"/>
      <c r="BJ418" s="20"/>
      <c r="BK418" s="20"/>
      <c r="BL418" s="154"/>
      <c r="BP418" s="20"/>
      <c r="BQ418" s="154"/>
      <c r="BR418" s="18"/>
      <c r="BS418" s="16"/>
      <c r="BT418" s="18"/>
      <c r="BU418" s="18"/>
      <c r="BV418" s="18"/>
      <c r="BW418" s="20"/>
      <c r="BX418" s="154"/>
      <c r="BY418" s="18"/>
      <c r="BZ418" s="146"/>
      <c r="CA418" s="18"/>
      <c r="CB418" s="18"/>
      <c r="CC418" s="20"/>
      <c r="CD418" s="154"/>
    </row>
    <row r="419" spans="35:82">
      <c r="AI419" s="19"/>
      <c r="AO419" s="19"/>
      <c r="AY419" s="145"/>
      <c r="AZ419" s="16"/>
      <c r="BC419" s="16"/>
      <c r="BD419" s="20"/>
      <c r="BE419" s="17"/>
      <c r="BF419" s="20"/>
      <c r="BG419" s="146"/>
      <c r="BH419" s="146"/>
      <c r="BI419" s="146"/>
      <c r="BJ419" s="20"/>
      <c r="BK419" s="20"/>
      <c r="BL419" s="154"/>
      <c r="BP419" s="20"/>
      <c r="BQ419" s="154"/>
      <c r="BR419" s="18"/>
      <c r="BS419" s="16"/>
      <c r="BT419" s="18"/>
      <c r="BU419" s="18"/>
      <c r="BV419" s="18"/>
      <c r="BW419" s="20"/>
      <c r="BX419" s="154"/>
      <c r="BY419" s="18"/>
      <c r="BZ419" s="146"/>
      <c r="CA419" s="18"/>
      <c r="CB419" s="18"/>
      <c r="CC419" s="20"/>
      <c r="CD419" s="154"/>
    </row>
    <row r="420" spans="35:82">
      <c r="AI420" s="19"/>
      <c r="AO420" s="19"/>
      <c r="AY420" s="145"/>
      <c r="AZ420" s="16"/>
      <c r="BC420" s="16"/>
      <c r="BD420" s="20"/>
      <c r="BE420" s="17"/>
      <c r="BF420" s="20"/>
      <c r="BG420" s="146"/>
      <c r="BH420" s="146"/>
      <c r="BI420" s="146"/>
      <c r="BJ420" s="20"/>
      <c r="BK420" s="20"/>
      <c r="BL420" s="154"/>
      <c r="BP420" s="20"/>
      <c r="BQ420" s="154"/>
      <c r="BR420" s="18"/>
      <c r="BS420" s="16"/>
      <c r="BT420" s="18"/>
      <c r="BU420" s="18"/>
      <c r="BV420" s="18"/>
      <c r="BW420" s="20"/>
      <c r="BX420" s="154"/>
      <c r="BY420" s="18"/>
      <c r="BZ420" s="146"/>
      <c r="CA420" s="18"/>
      <c r="CB420" s="18"/>
      <c r="CC420" s="20"/>
      <c r="CD420" s="154"/>
    </row>
    <row r="421" spans="35:82">
      <c r="AI421" s="19"/>
      <c r="AO421" s="19"/>
      <c r="AY421" s="145"/>
      <c r="AZ421" s="16"/>
      <c r="BC421" s="16"/>
      <c r="BD421" s="20"/>
      <c r="BE421" s="17"/>
      <c r="BF421" s="20"/>
      <c r="BG421" s="146"/>
      <c r="BH421" s="146"/>
      <c r="BI421" s="146"/>
      <c r="BJ421" s="20"/>
      <c r="BK421" s="20"/>
      <c r="BL421" s="154"/>
      <c r="BP421" s="20"/>
      <c r="BQ421" s="154"/>
      <c r="BR421" s="18"/>
      <c r="BS421" s="16"/>
      <c r="BT421" s="18"/>
      <c r="BU421" s="18"/>
      <c r="BV421" s="18"/>
      <c r="BW421" s="20"/>
      <c r="BX421" s="154"/>
      <c r="BY421" s="18"/>
      <c r="BZ421" s="146"/>
      <c r="CA421" s="18"/>
      <c r="CB421" s="18"/>
      <c r="CC421" s="20"/>
      <c r="CD421" s="154"/>
    </row>
    <row r="422" spans="35:82">
      <c r="AI422" s="19"/>
      <c r="AO422" s="19"/>
      <c r="AY422" s="145"/>
      <c r="AZ422" s="16"/>
      <c r="BC422" s="16"/>
      <c r="BD422" s="20"/>
      <c r="BE422" s="17"/>
      <c r="BF422" s="20"/>
      <c r="BG422" s="146"/>
      <c r="BH422" s="146"/>
      <c r="BI422" s="146"/>
      <c r="BJ422" s="20"/>
      <c r="BK422" s="20"/>
      <c r="BL422" s="154"/>
      <c r="BP422" s="20"/>
      <c r="BQ422" s="154"/>
      <c r="BR422" s="18"/>
      <c r="BS422" s="16"/>
      <c r="BT422" s="18"/>
      <c r="BU422" s="18"/>
      <c r="BV422" s="18"/>
      <c r="BW422" s="20"/>
      <c r="BX422" s="154"/>
      <c r="BY422" s="18"/>
      <c r="BZ422" s="146"/>
      <c r="CA422" s="18"/>
      <c r="CB422" s="18"/>
      <c r="CC422" s="20"/>
      <c r="CD422" s="154"/>
    </row>
    <row r="423" spans="35:82">
      <c r="AI423" s="19"/>
      <c r="AO423" s="19"/>
      <c r="AY423" s="145"/>
      <c r="AZ423" s="16"/>
      <c r="BC423" s="16"/>
      <c r="BD423" s="20"/>
      <c r="BE423" s="17"/>
      <c r="BF423" s="20"/>
      <c r="BG423" s="146"/>
      <c r="BH423" s="146"/>
      <c r="BI423" s="146"/>
      <c r="BJ423" s="20"/>
      <c r="BK423" s="20"/>
      <c r="BL423" s="154"/>
      <c r="BP423" s="20"/>
      <c r="BQ423" s="154"/>
      <c r="BR423" s="18"/>
      <c r="BS423" s="16"/>
      <c r="BT423" s="18"/>
      <c r="BU423" s="18"/>
      <c r="BV423" s="18"/>
      <c r="BW423" s="20"/>
      <c r="BX423" s="154"/>
      <c r="BY423" s="18"/>
      <c r="BZ423" s="146"/>
      <c r="CA423" s="18"/>
      <c r="CB423" s="18"/>
      <c r="CC423" s="20"/>
      <c r="CD423" s="154"/>
    </row>
    <row r="424" spans="35:82">
      <c r="AI424" s="19"/>
      <c r="AO424" s="19"/>
      <c r="AY424" s="145"/>
      <c r="AZ424" s="16"/>
      <c r="BC424" s="16"/>
      <c r="BD424" s="20"/>
      <c r="BE424" s="17"/>
      <c r="BF424" s="20"/>
      <c r="BG424" s="146"/>
      <c r="BH424" s="146"/>
      <c r="BI424" s="146"/>
      <c r="BJ424" s="20"/>
      <c r="BK424" s="20"/>
      <c r="BL424" s="154"/>
      <c r="BP424" s="20"/>
      <c r="BQ424" s="154"/>
      <c r="BR424" s="18"/>
      <c r="BS424" s="16"/>
      <c r="BT424" s="18"/>
      <c r="BU424" s="18"/>
      <c r="BV424" s="18"/>
      <c r="BW424" s="20"/>
      <c r="BX424" s="154"/>
      <c r="BY424" s="18"/>
      <c r="BZ424" s="146"/>
      <c r="CA424" s="18"/>
      <c r="CB424" s="18"/>
      <c r="CC424" s="20"/>
      <c r="CD424" s="154"/>
    </row>
    <row r="425" spans="35:82">
      <c r="AI425" s="19"/>
      <c r="AO425" s="19"/>
      <c r="AY425" s="145"/>
      <c r="AZ425" s="16"/>
      <c r="BC425" s="16"/>
      <c r="BD425" s="20"/>
      <c r="BE425" s="17"/>
      <c r="BF425" s="20"/>
      <c r="BG425" s="146"/>
      <c r="BH425" s="146"/>
      <c r="BI425" s="146"/>
      <c r="BJ425" s="20"/>
      <c r="BK425" s="20"/>
      <c r="BL425" s="154"/>
      <c r="BP425" s="20"/>
      <c r="BQ425" s="154"/>
      <c r="BR425" s="18"/>
      <c r="BS425" s="16"/>
      <c r="BT425" s="18"/>
      <c r="BU425" s="18"/>
      <c r="BV425" s="18"/>
      <c r="BW425" s="20"/>
      <c r="BX425" s="154"/>
      <c r="BY425" s="18"/>
      <c r="BZ425" s="146"/>
      <c r="CA425" s="18"/>
      <c r="CB425" s="18"/>
      <c r="CC425" s="20"/>
      <c r="CD425" s="154"/>
    </row>
    <row r="426" spans="35:82">
      <c r="AI426" s="19"/>
      <c r="AO426" s="19"/>
      <c r="AY426" s="145"/>
      <c r="AZ426" s="16"/>
      <c r="BC426" s="16"/>
      <c r="BD426" s="20"/>
      <c r="BE426" s="17"/>
      <c r="BF426" s="20"/>
      <c r="BG426" s="146"/>
      <c r="BH426" s="146"/>
      <c r="BI426" s="146"/>
      <c r="BJ426" s="20"/>
      <c r="BK426" s="20"/>
      <c r="BL426" s="154"/>
      <c r="BP426" s="20"/>
      <c r="BQ426" s="154"/>
      <c r="BR426" s="18"/>
      <c r="BS426" s="16"/>
      <c r="BT426" s="18"/>
      <c r="BU426" s="18"/>
      <c r="BV426" s="18"/>
      <c r="BW426" s="20"/>
      <c r="BX426" s="154"/>
      <c r="BY426" s="18"/>
      <c r="BZ426" s="146"/>
      <c r="CA426" s="18"/>
      <c r="CB426" s="18"/>
      <c r="CC426" s="20"/>
      <c r="CD426" s="154"/>
    </row>
    <row r="427" spans="35:82">
      <c r="AI427" s="19"/>
      <c r="AO427" s="19"/>
      <c r="AY427" s="145"/>
      <c r="AZ427" s="16"/>
      <c r="BC427" s="16"/>
      <c r="BD427" s="20"/>
      <c r="BE427" s="17"/>
      <c r="BF427" s="20"/>
      <c r="BG427" s="146"/>
      <c r="BH427" s="146"/>
      <c r="BI427" s="146"/>
      <c r="BJ427" s="20"/>
      <c r="BK427" s="20"/>
      <c r="BL427" s="154"/>
      <c r="BP427" s="20"/>
      <c r="BQ427" s="154"/>
      <c r="BR427" s="18"/>
      <c r="BS427" s="16"/>
      <c r="BT427" s="18"/>
      <c r="BU427" s="18"/>
      <c r="BV427" s="18"/>
      <c r="BW427" s="20"/>
      <c r="BX427" s="154"/>
      <c r="BY427" s="18"/>
      <c r="BZ427" s="146"/>
      <c r="CA427" s="18"/>
      <c r="CB427" s="18"/>
      <c r="CC427" s="20"/>
      <c r="CD427" s="154"/>
    </row>
    <row r="428" spans="35:82">
      <c r="AI428" s="19"/>
      <c r="AO428" s="19"/>
      <c r="AY428" s="145"/>
      <c r="AZ428" s="16"/>
      <c r="BC428" s="16"/>
      <c r="BD428" s="20"/>
      <c r="BE428" s="17"/>
      <c r="BF428" s="20"/>
      <c r="BG428" s="146"/>
      <c r="BH428" s="146"/>
      <c r="BI428" s="146"/>
      <c r="BJ428" s="20"/>
      <c r="BK428" s="20"/>
      <c r="BL428" s="154"/>
      <c r="BP428" s="20"/>
      <c r="BQ428" s="154"/>
      <c r="BR428" s="18"/>
      <c r="BS428" s="16"/>
      <c r="BT428" s="18"/>
      <c r="BU428" s="18"/>
      <c r="BV428" s="18"/>
      <c r="BW428" s="20"/>
      <c r="BX428" s="154"/>
      <c r="BY428" s="18"/>
      <c r="BZ428" s="146"/>
      <c r="CA428" s="18"/>
      <c r="CB428" s="18"/>
      <c r="CC428" s="20"/>
      <c r="CD428" s="154"/>
    </row>
    <row r="429" spans="35:82">
      <c r="AI429" s="19"/>
      <c r="AO429" s="19"/>
      <c r="AY429" s="145"/>
      <c r="AZ429" s="16"/>
      <c r="BC429" s="16"/>
      <c r="BD429" s="20"/>
      <c r="BE429" s="17"/>
      <c r="BF429" s="20"/>
      <c r="BG429" s="146"/>
      <c r="BH429" s="146"/>
      <c r="BI429" s="146"/>
      <c r="BJ429" s="20"/>
      <c r="BK429" s="20"/>
      <c r="BL429" s="154"/>
      <c r="BP429" s="20"/>
      <c r="BQ429" s="154"/>
      <c r="BR429" s="18"/>
      <c r="BS429" s="16"/>
      <c r="BT429" s="18"/>
      <c r="BU429" s="18"/>
      <c r="BV429" s="18"/>
      <c r="BW429" s="20"/>
      <c r="BX429" s="154"/>
      <c r="BY429" s="18"/>
      <c r="BZ429" s="146"/>
      <c r="CA429" s="18"/>
      <c r="CB429" s="18"/>
      <c r="CC429" s="20"/>
      <c r="CD429" s="154"/>
    </row>
    <row r="430" spans="35:82">
      <c r="AI430" s="19"/>
      <c r="AO430" s="19"/>
      <c r="AY430" s="145"/>
      <c r="AZ430" s="16"/>
      <c r="BC430" s="16"/>
      <c r="BD430" s="20"/>
      <c r="BE430" s="17"/>
      <c r="BF430" s="20"/>
      <c r="BG430" s="146"/>
      <c r="BH430" s="146"/>
      <c r="BI430" s="146"/>
      <c r="BJ430" s="20"/>
      <c r="BK430" s="20"/>
      <c r="BL430" s="154"/>
      <c r="BP430" s="20"/>
      <c r="BQ430" s="154"/>
      <c r="BR430" s="18"/>
      <c r="BS430" s="16"/>
      <c r="BT430" s="18"/>
      <c r="BU430" s="18"/>
      <c r="BV430" s="18"/>
      <c r="BW430" s="20"/>
      <c r="BX430" s="154"/>
      <c r="BY430" s="18"/>
      <c r="BZ430" s="146"/>
      <c r="CA430" s="18"/>
      <c r="CB430" s="18"/>
      <c r="CC430" s="20"/>
      <c r="CD430" s="154"/>
    </row>
    <row r="431" spans="35:82">
      <c r="AI431" s="19"/>
      <c r="AO431" s="19"/>
      <c r="AY431" s="145"/>
      <c r="AZ431" s="16"/>
      <c r="BC431" s="16"/>
      <c r="BD431" s="20"/>
      <c r="BE431" s="17"/>
      <c r="BF431" s="20"/>
      <c r="BG431" s="146"/>
      <c r="BH431" s="146"/>
      <c r="BI431" s="146"/>
      <c r="BJ431" s="20"/>
      <c r="BK431" s="20"/>
      <c r="BL431" s="154"/>
      <c r="BP431" s="20"/>
      <c r="BQ431" s="154"/>
      <c r="BR431" s="18"/>
      <c r="BS431" s="16"/>
      <c r="BT431" s="18"/>
      <c r="BU431" s="18"/>
      <c r="BV431" s="18"/>
      <c r="BW431" s="20"/>
      <c r="BX431" s="154"/>
      <c r="BY431" s="18"/>
      <c r="BZ431" s="146"/>
      <c r="CA431" s="18"/>
      <c r="CB431" s="18"/>
      <c r="CC431" s="20"/>
      <c r="CD431" s="154"/>
    </row>
    <row r="432" spans="35:82">
      <c r="AI432" s="19"/>
      <c r="AO432" s="19"/>
      <c r="AY432" s="145"/>
      <c r="AZ432" s="16"/>
      <c r="BC432" s="16"/>
      <c r="BD432" s="20"/>
      <c r="BE432" s="17"/>
      <c r="BF432" s="20"/>
      <c r="BG432" s="146"/>
      <c r="BH432" s="146"/>
      <c r="BI432" s="146"/>
      <c r="BJ432" s="20"/>
      <c r="BK432" s="20"/>
      <c r="BL432" s="154"/>
      <c r="BP432" s="20"/>
      <c r="BQ432" s="154"/>
      <c r="BR432" s="18"/>
      <c r="BS432" s="16"/>
      <c r="BT432" s="18"/>
      <c r="BU432" s="18"/>
      <c r="BV432" s="18"/>
      <c r="BW432" s="20"/>
      <c r="BX432" s="154"/>
      <c r="BY432" s="18"/>
      <c r="BZ432" s="146"/>
      <c r="CA432" s="18"/>
      <c r="CB432" s="18"/>
      <c r="CC432" s="20"/>
      <c r="CD432" s="154"/>
    </row>
    <row r="433" spans="35:82">
      <c r="AI433" s="19"/>
      <c r="AO433" s="19"/>
      <c r="AY433" s="145"/>
      <c r="AZ433" s="16"/>
      <c r="BC433" s="16"/>
      <c r="BD433" s="20"/>
      <c r="BE433" s="17"/>
      <c r="BF433" s="20"/>
      <c r="BG433" s="146"/>
      <c r="BH433" s="146"/>
      <c r="BI433" s="146"/>
      <c r="BJ433" s="20"/>
      <c r="BK433" s="20"/>
      <c r="BL433" s="154"/>
      <c r="BP433" s="20"/>
      <c r="BQ433" s="154"/>
      <c r="BR433" s="18"/>
      <c r="BS433" s="16"/>
      <c r="BT433" s="18"/>
      <c r="BU433" s="18"/>
      <c r="BV433" s="18"/>
      <c r="BW433" s="20"/>
      <c r="BX433" s="154"/>
      <c r="BY433" s="18"/>
      <c r="BZ433" s="146"/>
      <c r="CA433" s="18"/>
      <c r="CB433" s="18"/>
      <c r="CC433" s="20"/>
      <c r="CD433" s="154"/>
    </row>
    <row r="434" spans="35:82">
      <c r="AI434" s="19"/>
      <c r="AO434" s="19"/>
      <c r="AY434" s="145"/>
      <c r="AZ434" s="16"/>
      <c r="BC434" s="16"/>
      <c r="BD434" s="20"/>
      <c r="BE434" s="17"/>
      <c r="BF434" s="20"/>
      <c r="BG434" s="146"/>
      <c r="BH434" s="146"/>
      <c r="BI434" s="146"/>
      <c r="BJ434" s="20"/>
      <c r="BK434" s="20"/>
      <c r="BL434" s="154"/>
      <c r="BP434" s="20"/>
      <c r="BQ434" s="154"/>
      <c r="BR434" s="18"/>
      <c r="BS434" s="16"/>
      <c r="BT434" s="18"/>
      <c r="BU434" s="18"/>
      <c r="BV434" s="18"/>
      <c r="BW434" s="20"/>
      <c r="BX434" s="154"/>
      <c r="BY434" s="18"/>
      <c r="BZ434" s="146"/>
      <c r="CA434" s="18"/>
      <c r="CB434" s="18"/>
      <c r="CC434" s="20"/>
      <c r="CD434" s="154"/>
    </row>
    <row r="435" spans="35:82">
      <c r="AI435" s="19"/>
      <c r="AO435" s="19"/>
      <c r="AY435" s="145"/>
      <c r="AZ435" s="16"/>
      <c r="BC435" s="16"/>
      <c r="BD435" s="20"/>
      <c r="BE435" s="17"/>
      <c r="BF435" s="20"/>
      <c r="BG435" s="146"/>
      <c r="BH435" s="146"/>
      <c r="BI435" s="146"/>
      <c r="BJ435" s="20"/>
      <c r="BK435" s="20"/>
      <c r="BL435" s="154"/>
      <c r="BP435" s="20"/>
      <c r="BQ435" s="154"/>
      <c r="BR435" s="18"/>
      <c r="BS435" s="16"/>
      <c r="BT435" s="18"/>
      <c r="BU435" s="18"/>
      <c r="BV435" s="18"/>
      <c r="BW435" s="20"/>
      <c r="BX435" s="154"/>
      <c r="BY435" s="18"/>
      <c r="BZ435" s="146"/>
      <c r="CA435" s="18"/>
      <c r="CB435" s="18"/>
      <c r="CC435" s="20"/>
      <c r="CD435" s="154"/>
    </row>
    <row r="436" spans="35:82">
      <c r="AI436" s="19"/>
      <c r="AO436" s="19"/>
      <c r="AY436" s="145"/>
      <c r="AZ436" s="16"/>
      <c r="BC436" s="16"/>
      <c r="BD436" s="20"/>
      <c r="BE436" s="17"/>
      <c r="BF436" s="20"/>
      <c r="BG436" s="146"/>
      <c r="BH436" s="146"/>
      <c r="BI436" s="146"/>
      <c r="BJ436" s="20"/>
      <c r="BK436" s="20"/>
      <c r="BL436" s="154"/>
      <c r="BP436" s="20"/>
      <c r="BQ436" s="154"/>
      <c r="BR436" s="18"/>
      <c r="BS436" s="16"/>
      <c r="BT436" s="18"/>
      <c r="BU436" s="18"/>
      <c r="BV436" s="18"/>
      <c r="BW436" s="20"/>
      <c r="BX436" s="154"/>
      <c r="BY436" s="18"/>
      <c r="BZ436" s="146"/>
      <c r="CA436" s="18"/>
      <c r="CB436" s="18"/>
      <c r="CC436" s="20"/>
      <c r="CD436" s="154"/>
    </row>
    <row r="437" spans="35:82">
      <c r="AI437" s="19"/>
      <c r="AO437" s="19"/>
      <c r="AY437" s="145"/>
      <c r="AZ437" s="16"/>
      <c r="BC437" s="16"/>
      <c r="BD437" s="20"/>
      <c r="BE437" s="17"/>
      <c r="BF437" s="20"/>
      <c r="BG437" s="146"/>
      <c r="BH437" s="146"/>
      <c r="BI437" s="146"/>
      <c r="BJ437" s="20"/>
      <c r="BK437" s="20"/>
      <c r="BL437" s="154"/>
      <c r="BP437" s="20"/>
      <c r="BQ437" s="154"/>
      <c r="BR437" s="18"/>
      <c r="BS437" s="16"/>
      <c r="BT437" s="18"/>
      <c r="BU437" s="18"/>
      <c r="BV437" s="18"/>
      <c r="BW437" s="20"/>
      <c r="BX437" s="154"/>
      <c r="BY437" s="18"/>
      <c r="BZ437" s="146"/>
      <c r="CA437" s="18"/>
      <c r="CB437" s="18"/>
      <c r="CC437" s="20"/>
      <c r="CD437" s="154"/>
    </row>
    <row r="438" spans="35:82">
      <c r="AI438" s="19"/>
      <c r="AO438" s="19"/>
      <c r="AY438" s="145"/>
      <c r="AZ438" s="16"/>
      <c r="BC438" s="16"/>
      <c r="BD438" s="20"/>
      <c r="BE438" s="17"/>
      <c r="BF438" s="20"/>
      <c r="BG438" s="146"/>
      <c r="BH438" s="146"/>
      <c r="BI438" s="146"/>
      <c r="BJ438" s="20"/>
      <c r="BK438" s="20"/>
      <c r="BL438" s="154"/>
      <c r="BP438" s="20"/>
      <c r="BQ438" s="154"/>
      <c r="BR438" s="18"/>
      <c r="BS438" s="16"/>
      <c r="BT438" s="18"/>
      <c r="BU438" s="18"/>
      <c r="BV438" s="18"/>
      <c r="BW438" s="20"/>
      <c r="BX438" s="154"/>
      <c r="BY438" s="18"/>
      <c r="BZ438" s="146"/>
      <c r="CA438" s="18"/>
      <c r="CB438" s="18"/>
      <c r="CC438" s="20"/>
      <c r="CD438" s="154"/>
    </row>
    <row r="439" spans="35:82">
      <c r="AI439" s="19"/>
      <c r="AO439" s="19"/>
      <c r="AY439" s="145"/>
      <c r="AZ439" s="16"/>
      <c r="BC439" s="16"/>
      <c r="BD439" s="20"/>
      <c r="BE439" s="17"/>
      <c r="BF439" s="20"/>
      <c r="BG439" s="146"/>
      <c r="BH439" s="146"/>
      <c r="BI439" s="146"/>
      <c r="BJ439" s="20"/>
      <c r="BK439" s="20"/>
      <c r="BL439" s="154"/>
      <c r="BP439" s="20"/>
      <c r="BQ439" s="154"/>
      <c r="BR439" s="18"/>
      <c r="BS439" s="16"/>
      <c r="BT439" s="18"/>
      <c r="BU439" s="18"/>
      <c r="BV439" s="18"/>
      <c r="BW439" s="20"/>
      <c r="BX439" s="154"/>
      <c r="BY439" s="18"/>
      <c r="BZ439" s="146"/>
      <c r="CA439" s="18"/>
      <c r="CB439" s="18"/>
      <c r="CC439" s="20"/>
      <c r="CD439" s="154"/>
    </row>
    <row r="440" spans="35:82">
      <c r="AI440" s="19"/>
      <c r="AO440" s="19"/>
      <c r="AY440" s="145"/>
      <c r="AZ440" s="16"/>
      <c r="BC440" s="16"/>
      <c r="BD440" s="20"/>
      <c r="BE440" s="17"/>
      <c r="BF440" s="20"/>
      <c r="BG440" s="146"/>
      <c r="BH440" s="146"/>
      <c r="BI440" s="146"/>
      <c r="BJ440" s="20"/>
      <c r="BK440" s="20"/>
      <c r="BL440" s="154"/>
      <c r="BP440" s="20"/>
      <c r="BQ440" s="154"/>
      <c r="BR440" s="18"/>
      <c r="BS440" s="16"/>
      <c r="BT440" s="18"/>
      <c r="BU440" s="18"/>
      <c r="BV440" s="18"/>
      <c r="BW440" s="20"/>
      <c r="BX440" s="154"/>
      <c r="BY440" s="18"/>
      <c r="BZ440" s="146"/>
      <c r="CA440" s="18"/>
      <c r="CB440" s="18"/>
      <c r="CC440" s="20"/>
      <c r="CD440" s="154"/>
    </row>
    <row r="441" spans="35:82">
      <c r="AI441" s="19"/>
      <c r="AO441" s="19"/>
      <c r="AY441" s="145"/>
      <c r="AZ441" s="16"/>
      <c r="BC441" s="16"/>
      <c r="BD441" s="20"/>
      <c r="BE441" s="17"/>
      <c r="BF441" s="20"/>
      <c r="BG441" s="146"/>
      <c r="BH441" s="146"/>
      <c r="BI441" s="146"/>
      <c r="BJ441" s="20"/>
      <c r="BK441" s="20"/>
      <c r="BL441" s="154"/>
      <c r="BP441" s="20"/>
      <c r="BQ441" s="154"/>
      <c r="BR441" s="18"/>
      <c r="BS441" s="16"/>
      <c r="BT441" s="18"/>
      <c r="BU441" s="18"/>
      <c r="BV441" s="18"/>
      <c r="BW441" s="20"/>
      <c r="BX441" s="154"/>
      <c r="BY441" s="18"/>
      <c r="BZ441" s="146"/>
      <c r="CA441" s="18"/>
      <c r="CB441" s="18"/>
      <c r="CC441" s="20"/>
      <c r="CD441" s="154"/>
    </row>
    <row r="442" spans="35:82">
      <c r="AI442" s="19"/>
      <c r="AO442" s="19"/>
      <c r="AY442" s="145"/>
      <c r="AZ442" s="16"/>
      <c r="BC442" s="16"/>
      <c r="BD442" s="20"/>
      <c r="BE442" s="17"/>
      <c r="BF442" s="20"/>
      <c r="BG442" s="146"/>
      <c r="BH442" s="146"/>
      <c r="BI442" s="146"/>
      <c r="BJ442" s="20"/>
      <c r="BK442" s="20"/>
      <c r="BL442" s="154"/>
      <c r="BP442" s="20"/>
      <c r="BQ442" s="154"/>
      <c r="BR442" s="18"/>
      <c r="BS442" s="16"/>
      <c r="BT442" s="18"/>
      <c r="BU442" s="18"/>
      <c r="BV442" s="18"/>
      <c r="BW442" s="20"/>
      <c r="BX442" s="154"/>
      <c r="BY442" s="18"/>
      <c r="BZ442" s="146"/>
      <c r="CA442" s="18"/>
      <c r="CB442" s="18"/>
      <c r="CC442" s="20"/>
      <c r="CD442" s="154"/>
    </row>
    <row r="443" spans="35:82">
      <c r="AI443" s="19"/>
      <c r="AO443" s="19"/>
      <c r="AY443" s="145"/>
      <c r="AZ443" s="16"/>
      <c r="BC443" s="16"/>
      <c r="BD443" s="20"/>
      <c r="BE443" s="17"/>
      <c r="BF443" s="20"/>
      <c r="BG443" s="146"/>
      <c r="BH443" s="146"/>
      <c r="BI443" s="146"/>
      <c r="BJ443" s="20"/>
      <c r="BK443" s="20"/>
      <c r="BL443" s="154"/>
      <c r="BP443" s="20"/>
      <c r="BQ443" s="154"/>
      <c r="BR443" s="18"/>
      <c r="BS443" s="16"/>
      <c r="BT443" s="18"/>
      <c r="BU443" s="18"/>
      <c r="BV443" s="18"/>
      <c r="BW443" s="20"/>
      <c r="BX443" s="154"/>
      <c r="BY443" s="18"/>
      <c r="BZ443" s="146"/>
      <c r="CA443" s="18"/>
      <c r="CB443" s="18"/>
      <c r="CC443" s="20"/>
      <c r="CD443" s="154"/>
    </row>
    <row r="444" spans="35:82">
      <c r="AI444" s="19"/>
      <c r="AO444" s="19"/>
      <c r="AY444" s="145"/>
      <c r="AZ444" s="16"/>
      <c r="BC444" s="16"/>
      <c r="BD444" s="20"/>
      <c r="BE444" s="17"/>
      <c r="BF444" s="20"/>
      <c r="BG444" s="146"/>
      <c r="BH444" s="146"/>
      <c r="BI444" s="146"/>
      <c r="BJ444" s="20"/>
      <c r="BK444" s="20"/>
      <c r="BL444" s="154"/>
      <c r="BP444" s="20"/>
      <c r="BQ444" s="154"/>
      <c r="BR444" s="18"/>
      <c r="BS444" s="16"/>
      <c r="BT444" s="18"/>
      <c r="BU444" s="18"/>
      <c r="BV444" s="18"/>
      <c r="BW444" s="20"/>
      <c r="BX444" s="154"/>
      <c r="BY444" s="18"/>
      <c r="BZ444" s="146"/>
      <c r="CA444" s="18"/>
      <c r="CB444" s="18"/>
      <c r="CC444" s="20"/>
      <c r="CD444" s="154"/>
    </row>
    <row r="445" spans="35:82">
      <c r="AI445" s="19"/>
      <c r="AO445" s="19"/>
      <c r="AY445" s="145"/>
      <c r="AZ445" s="16"/>
      <c r="BC445" s="16"/>
      <c r="BD445" s="20"/>
      <c r="BE445" s="17"/>
      <c r="BF445" s="20"/>
      <c r="BG445" s="146"/>
      <c r="BH445" s="146"/>
      <c r="BI445" s="146"/>
      <c r="BJ445" s="20"/>
      <c r="BK445" s="20"/>
      <c r="BL445" s="154"/>
      <c r="BP445" s="20"/>
      <c r="BQ445" s="154"/>
      <c r="BR445" s="18"/>
      <c r="BS445" s="16"/>
      <c r="BT445" s="18"/>
      <c r="BU445" s="18"/>
      <c r="BV445" s="18"/>
      <c r="BW445" s="20"/>
      <c r="BX445" s="154"/>
      <c r="BY445" s="18"/>
      <c r="BZ445" s="146"/>
      <c r="CA445" s="18"/>
      <c r="CB445" s="18"/>
      <c r="CC445" s="20"/>
      <c r="CD445" s="154"/>
    </row>
    <row r="446" spans="35:82">
      <c r="AI446" s="19"/>
      <c r="AO446" s="19"/>
      <c r="AY446" s="145"/>
      <c r="AZ446" s="16"/>
      <c r="BC446" s="16"/>
      <c r="BD446" s="20"/>
      <c r="BE446" s="17"/>
      <c r="BF446" s="20"/>
      <c r="BG446" s="146"/>
      <c r="BH446" s="146"/>
      <c r="BI446" s="146"/>
      <c r="BJ446" s="20"/>
      <c r="BK446" s="20"/>
      <c r="BL446" s="154"/>
      <c r="BP446" s="20"/>
      <c r="BQ446" s="154"/>
      <c r="BR446" s="18"/>
      <c r="BS446" s="16"/>
      <c r="BT446" s="18"/>
      <c r="BU446" s="18"/>
      <c r="BV446" s="18"/>
      <c r="BW446" s="20"/>
      <c r="BX446" s="154"/>
      <c r="BY446" s="18"/>
      <c r="BZ446" s="146"/>
      <c r="CA446" s="18"/>
      <c r="CB446" s="18"/>
      <c r="CC446" s="20"/>
      <c r="CD446" s="154"/>
    </row>
    <row r="447" spans="35:82">
      <c r="AI447" s="19"/>
      <c r="AO447" s="19"/>
      <c r="AY447" s="145"/>
      <c r="AZ447" s="16"/>
      <c r="BC447" s="16"/>
      <c r="BD447" s="20"/>
      <c r="BE447" s="17"/>
      <c r="BF447" s="20"/>
      <c r="BG447" s="146"/>
      <c r="BH447" s="146"/>
      <c r="BI447" s="146"/>
      <c r="BJ447" s="20"/>
      <c r="BK447" s="20"/>
      <c r="BL447" s="154"/>
      <c r="BP447" s="20"/>
      <c r="BQ447" s="154"/>
      <c r="BR447" s="18"/>
      <c r="BS447" s="16"/>
      <c r="BT447" s="18"/>
      <c r="BU447" s="18"/>
      <c r="BV447" s="18"/>
      <c r="BW447" s="20"/>
      <c r="BX447" s="154"/>
      <c r="BY447" s="18"/>
      <c r="BZ447" s="146"/>
      <c r="CA447" s="18"/>
      <c r="CB447" s="18"/>
      <c r="CC447" s="20"/>
      <c r="CD447" s="154"/>
    </row>
    <row r="448" spans="35:82">
      <c r="AI448" s="19"/>
      <c r="AO448" s="19"/>
      <c r="AY448" s="145"/>
      <c r="AZ448" s="16"/>
      <c r="BC448" s="16"/>
      <c r="BD448" s="20"/>
      <c r="BE448" s="17"/>
      <c r="BF448" s="20"/>
      <c r="BG448" s="146"/>
      <c r="BH448" s="146"/>
      <c r="BI448" s="146"/>
      <c r="BJ448" s="20"/>
      <c r="BK448" s="20"/>
      <c r="BL448" s="154"/>
      <c r="BP448" s="20"/>
      <c r="BQ448" s="154"/>
      <c r="BR448" s="18"/>
      <c r="BS448" s="16"/>
      <c r="BT448" s="18"/>
      <c r="BU448" s="18"/>
      <c r="BV448" s="18"/>
      <c r="BW448" s="20"/>
      <c r="BX448" s="154"/>
      <c r="BY448" s="18"/>
      <c r="BZ448" s="146"/>
      <c r="CA448" s="18"/>
      <c r="CB448" s="18"/>
      <c r="CC448" s="20"/>
      <c r="CD448" s="154"/>
    </row>
    <row r="449" spans="35:82">
      <c r="AI449" s="19"/>
      <c r="AO449" s="19"/>
      <c r="AY449" s="145"/>
      <c r="AZ449" s="16"/>
      <c r="BC449" s="16"/>
      <c r="BD449" s="20"/>
      <c r="BE449" s="17"/>
      <c r="BF449" s="20"/>
      <c r="BG449" s="146"/>
      <c r="BH449" s="146"/>
      <c r="BI449" s="146"/>
      <c r="BJ449" s="20"/>
      <c r="BK449" s="20"/>
      <c r="BL449" s="154"/>
      <c r="BP449" s="20"/>
      <c r="BQ449" s="154"/>
      <c r="BR449" s="18"/>
      <c r="BS449" s="16"/>
      <c r="BT449" s="18"/>
      <c r="BU449" s="18"/>
      <c r="BV449" s="18"/>
      <c r="BW449" s="20"/>
      <c r="BX449" s="154"/>
      <c r="BY449" s="18"/>
      <c r="BZ449" s="146"/>
      <c r="CA449" s="18"/>
      <c r="CB449" s="18"/>
      <c r="CC449" s="20"/>
      <c r="CD449" s="154"/>
    </row>
    <row r="450" spans="35:82">
      <c r="AI450" s="19"/>
      <c r="AO450" s="19"/>
      <c r="AY450" s="145"/>
      <c r="AZ450" s="16"/>
      <c r="BC450" s="16"/>
      <c r="BD450" s="20"/>
      <c r="BE450" s="17"/>
      <c r="BF450" s="20"/>
      <c r="BG450" s="146"/>
      <c r="BH450" s="146"/>
      <c r="BI450" s="146"/>
      <c r="BJ450" s="20"/>
      <c r="BK450" s="20"/>
      <c r="BL450" s="154"/>
      <c r="BP450" s="20"/>
      <c r="BQ450" s="154"/>
      <c r="BR450" s="18"/>
      <c r="BS450" s="16"/>
      <c r="BT450" s="18"/>
      <c r="BU450" s="18"/>
      <c r="BV450" s="18"/>
      <c r="BW450" s="20"/>
      <c r="BX450" s="154"/>
      <c r="BY450" s="18"/>
      <c r="BZ450" s="146"/>
      <c r="CA450" s="18"/>
      <c r="CB450" s="18"/>
      <c r="CC450" s="20"/>
      <c r="CD450" s="154"/>
    </row>
    <row r="451" spans="35:82">
      <c r="AI451" s="19"/>
      <c r="AO451" s="19"/>
      <c r="AY451" s="145"/>
      <c r="AZ451" s="16"/>
      <c r="BC451" s="16"/>
      <c r="BD451" s="20"/>
      <c r="BE451" s="17"/>
      <c r="BF451" s="20"/>
      <c r="BG451" s="146"/>
      <c r="BH451" s="146"/>
      <c r="BI451" s="146"/>
      <c r="BJ451" s="20"/>
      <c r="BK451" s="20"/>
      <c r="BL451" s="154"/>
      <c r="BP451" s="20"/>
      <c r="BQ451" s="154"/>
      <c r="BR451" s="18"/>
      <c r="BS451" s="16"/>
      <c r="BT451" s="18"/>
      <c r="BU451" s="18"/>
      <c r="BV451" s="18"/>
      <c r="BW451" s="20"/>
      <c r="BX451" s="154"/>
      <c r="BY451" s="18"/>
      <c r="BZ451" s="146"/>
      <c r="CA451" s="18"/>
      <c r="CB451" s="18"/>
      <c r="CC451" s="20"/>
      <c r="CD451" s="154"/>
    </row>
    <row r="452" spans="35:82">
      <c r="AI452" s="19"/>
      <c r="AO452" s="19"/>
      <c r="AY452" s="145"/>
      <c r="AZ452" s="16"/>
      <c r="BC452" s="16"/>
      <c r="BD452" s="20"/>
      <c r="BE452" s="17"/>
      <c r="BF452" s="20"/>
      <c r="BG452" s="146"/>
      <c r="BH452" s="146"/>
      <c r="BI452" s="146"/>
      <c r="BJ452" s="20"/>
      <c r="BK452" s="20"/>
      <c r="BL452" s="154"/>
      <c r="BP452" s="20"/>
      <c r="BQ452" s="154"/>
      <c r="BR452" s="18"/>
      <c r="BS452" s="16"/>
      <c r="BT452" s="18"/>
      <c r="BU452" s="18"/>
      <c r="BV452" s="18"/>
      <c r="BW452" s="20"/>
      <c r="BX452" s="154"/>
      <c r="BY452" s="18"/>
      <c r="BZ452" s="146"/>
      <c r="CA452" s="18"/>
      <c r="CB452" s="18"/>
      <c r="CC452" s="20"/>
      <c r="CD452" s="154"/>
    </row>
    <row r="453" spans="35:82">
      <c r="AI453" s="19"/>
      <c r="AO453" s="19"/>
      <c r="AY453" s="145"/>
      <c r="AZ453" s="16"/>
      <c r="BC453" s="16"/>
      <c r="BD453" s="20"/>
      <c r="BE453" s="17"/>
      <c r="BF453" s="20"/>
      <c r="BG453" s="146"/>
      <c r="BH453" s="146"/>
      <c r="BI453" s="146"/>
      <c r="BJ453" s="20"/>
      <c r="BK453" s="20"/>
      <c r="BL453" s="154"/>
      <c r="BP453" s="20"/>
      <c r="BQ453" s="154"/>
      <c r="BR453" s="18"/>
      <c r="BS453" s="16"/>
      <c r="BT453" s="18"/>
      <c r="BU453" s="18"/>
      <c r="BV453" s="18"/>
      <c r="BW453" s="20"/>
      <c r="BX453" s="154"/>
      <c r="BY453" s="18"/>
      <c r="BZ453" s="146"/>
      <c r="CA453" s="18"/>
      <c r="CB453" s="18"/>
      <c r="CC453" s="20"/>
      <c r="CD453" s="154"/>
    </row>
    <row r="454" spans="35:82">
      <c r="AI454" s="19"/>
      <c r="AO454" s="19"/>
      <c r="AY454" s="145"/>
      <c r="AZ454" s="16"/>
      <c r="BC454" s="16"/>
      <c r="BD454" s="20"/>
      <c r="BE454" s="17"/>
      <c r="BF454" s="20"/>
      <c r="BG454" s="146"/>
      <c r="BH454" s="146"/>
      <c r="BI454" s="146"/>
      <c r="BJ454" s="20"/>
      <c r="BK454" s="20"/>
      <c r="BL454" s="154"/>
      <c r="BP454" s="20"/>
      <c r="BQ454" s="154"/>
      <c r="BR454" s="18"/>
      <c r="BS454" s="16"/>
      <c r="BT454" s="18"/>
      <c r="BU454" s="18"/>
      <c r="BV454" s="18"/>
      <c r="BW454" s="20"/>
      <c r="BX454" s="154"/>
      <c r="BY454" s="18"/>
      <c r="BZ454" s="146"/>
      <c r="CA454" s="18"/>
      <c r="CB454" s="18"/>
      <c r="CC454" s="20"/>
      <c r="CD454" s="154"/>
    </row>
    <row r="455" spans="35:82">
      <c r="AI455" s="19"/>
      <c r="AO455" s="19"/>
      <c r="AY455" s="145"/>
      <c r="AZ455" s="16"/>
      <c r="BC455" s="16"/>
      <c r="BD455" s="20"/>
      <c r="BE455" s="17"/>
      <c r="BF455" s="20"/>
      <c r="BG455" s="146"/>
      <c r="BH455" s="146"/>
      <c r="BI455" s="146"/>
      <c r="BJ455" s="20"/>
      <c r="BK455" s="20"/>
      <c r="BL455" s="154"/>
      <c r="BP455" s="20"/>
      <c r="BQ455" s="154"/>
      <c r="BR455" s="18"/>
      <c r="BS455" s="16"/>
      <c r="BT455" s="18"/>
      <c r="BU455" s="18"/>
      <c r="BV455" s="18"/>
      <c r="BW455" s="20"/>
      <c r="BX455" s="154"/>
      <c r="BY455" s="18"/>
      <c r="BZ455" s="146"/>
      <c r="CA455" s="18"/>
      <c r="CB455" s="18"/>
      <c r="CC455" s="20"/>
      <c r="CD455" s="154"/>
    </row>
    <row r="456" spans="35:82">
      <c r="AI456" s="19"/>
      <c r="AO456" s="19"/>
      <c r="AY456" s="145"/>
      <c r="AZ456" s="16"/>
      <c r="BC456" s="16"/>
      <c r="BD456" s="20"/>
      <c r="BE456" s="17"/>
      <c r="BF456" s="20"/>
      <c r="BG456" s="146"/>
      <c r="BH456" s="146"/>
      <c r="BI456" s="146"/>
      <c r="BJ456" s="20"/>
      <c r="BK456" s="20"/>
      <c r="BL456" s="154"/>
      <c r="BP456" s="20"/>
      <c r="BQ456" s="154"/>
      <c r="BR456" s="18"/>
      <c r="BS456" s="16"/>
      <c r="BT456" s="18"/>
      <c r="BU456" s="18"/>
      <c r="BV456" s="18"/>
      <c r="BW456" s="20"/>
      <c r="BX456" s="154"/>
      <c r="BY456" s="18"/>
      <c r="BZ456" s="146"/>
      <c r="CA456" s="18"/>
      <c r="CB456" s="18"/>
      <c r="CC456" s="20"/>
      <c r="CD456" s="154"/>
    </row>
    <row r="457" spans="35:82">
      <c r="AI457" s="19"/>
      <c r="AO457" s="19"/>
      <c r="AY457" s="145"/>
      <c r="AZ457" s="16"/>
      <c r="BC457" s="16"/>
      <c r="BD457" s="20"/>
      <c r="BE457" s="17"/>
      <c r="BF457" s="20"/>
      <c r="BG457" s="146"/>
      <c r="BH457" s="146"/>
      <c r="BI457" s="146"/>
      <c r="BJ457" s="20"/>
      <c r="BK457" s="20"/>
      <c r="BL457" s="154"/>
      <c r="BP457" s="20"/>
      <c r="BQ457" s="154"/>
      <c r="BR457" s="18"/>
      <c r="BS457" s="16"/>
      <c r="BT457" s="18"/>
      <c r="BU457" s="18"/>
      <c r="BV457" s="18"/>
      <c r="BW457" s="20"/>
      <c r="BX457" s="154"/>
      <c r="BY457" s="18"/>
      <c r="BZ457" s="146"/>
      <c r="CA457" s="18"/>
      <c r="CB457" s="18"/>
      <c r="CC457" s="20"/>
      <c r="CD457" s="154"/>
    </row>
    <row r="458" spans="35:82">
      <c r="AI458" s="19"/>
      <c r="AO458" s="19"/>
      <c r="AY458" s="145"/>
      <c r="AZ458" s="16"/>
      <c r="BC458" s="16"/>
      <c r="BD458" s="20"/>
      <c r="BE458" s="17"/>
      <c r="BF458" s="20"/>
      <c r="BG458" s="146"/>
      <c r="BH458" s="146"/>
      <c r="BI458" s="146"/>
      <c r="BJ458" s="20"/>
      <c r="BK458" s="20"/>
      <c r="BL458" s="154"/>
      <c r="BP458" s="20"/>
      <c r="BQ458" s="154"/>
      <c r="BR458" s="18"/>
      <c r="BS458" s="16"/>
      <c r="BT458" s="18"/>
      <c r="BU458" s="18"/>
      <c r="BV458" s="18"/>
      <c r="BW458" s="20"/>
      <c r="BX458" s="154"/>
      <c r="BY458" s="18"/>
      <c r="BZ458" s="146"/>
      <c r="CA458" s="18"/>
      <c r="CB458" s="18"/>
      <c r="CC458" s="20"/>
      <c r="CD458" s="154"/>
    </row>
    <row r="459" spans="35:82">
      <c r="AI459" s="19"/>
      <c r="AO459" s="19"/>
      <c r="AY459" s="145"/>
      <c r="AZ459" s="16"/>
      <c r="BC459" s="16"/>
      <c r="BD459" s="20"/>
      <c r="BE459" s="17"/>
      <c r="BF459" s="20"/>
      <c r="BG459" s="146"/>
      <c r="BH459" s="146"/>
      <c r="BI459" s="146"/>
      <c r="BJ459" s="20"/>
      <c r="BK459" s="20"/>
      <c r="BL459" s="154"/>
      <c r="BP459" s="20"/>
      <c r="BQ459" s="154"/>
      <c r="BR459" s="18"/>
      <c r="BS459" s="16"/>
      <c r="BT459" s="18"/>
      <c r="BU459" s="18"/>
      <c r="BV459" s="18"/>
      <c r="BW459" s="20"/>
      <c r="BX459" s="154"/>
      <c r="BY459" s="18"/>
      <c r="BZ459" s="146"/>
      <c r="CA459" s="18"/>
      <c r="CB459" s="18"/>
      <c r="CC459" s="20"/>
      <c r="CD459" s="154"/>
    </row>
    <row r="460" spans="35:82">
      <c r="AI460" s="19"/>
      <c r="AO460" s="19"/>
      <c r="AY460" s="145"/>
      <c r="AZ460" s="16"/>
      <c r="BC460" s="16"/>
      <c r="BD460" s="20"/>
      <c r="BE460" s="17"/>
      <c r="BF460" s="20"/>
      <c r="BG460" s="146"/>
      <c r="BH460" s="146"/>
      <c r="BI460" s="146"/>
      <c r="BJ460" s="20"/>
      <c r="BK460" s="20"/>
      <c r="BL460" s="154"/>
      <c r="BP460" s="20"/>
      <c r="BQ460" s="154"/>
      <c r="BR460" s="18"/>
      <c r="BS460" s="16"/>
      <c r="BT460" s="18"/>
      <c r="BU460" s="18"/>
      <c r="BV460" s="18"/>
      <c r="BW460" s="20"/>
      <c r="BX460" s="154"/>
      <c r="BY460" s="18"/>
      <c r="BZ460" s="146"/>
      <c r="CA460" s="18"/>
      <c r="CB460" s="18"/>
      <c r="CC460" s="20"/>
      <c r="CD460" s="154"/>
    </row>
    <row r="461" spans="35:82">
      <c r="AI461" s="19"/>
      <c r="AO461" s="19"/>
      <c r="AY461" s="145"/>
      <c r="AZ461" s="16"/>
      <c r="BC461" s="16"/>
      <c r="BD461" s="20"/>
      <c r="BE461" s="17"/>
      <c r="BF461" s="20"/>
      <c r="BG461" s="146"/>
      <c r="BH461" s="146"/>
      <c r="BI461" s="146"/>
      <c r="BJ461" s="20"/>
      <c r="BK461" s="20"/>
      <c r="BL461" s="154"/>
      <c r="BP461" s="20"/>
      <c r="BQ461" s="154"/>
      <c r="BR461" s="18"/>
      <c r="BS461" s="16"/>
      <c r="BT461" s="18"/>
      <c r="BU461" s="18"/>
      <c r="BV461" s="18"/>
      <c r="BW461" s="20"/>
      <c r="BX461" s="154"/>
      <c r="BY461" s="18"/>
      <c r="BZ461" s="146"/>
      <c r="CA461" s="18"/>
      <c r="CB461" s="18"/>
      <c r="CC461" s="20"/>
      <c r="CD461" s="154"/>
    </row>
    <row r="462" spans="35:82">
      <c r="AI462" s="19"/>
      <c r="AO462" s="19"/>
      <c r="AY462" s="145"/>
      <c r="AZ462" s="16"/>
      <c r="BC462" s="16"/>
      <c r="BD462" s="20"/>
      <c r="BE462" s="17"/>
      <c r="BF462" s="20"/>
      <c r="BG462" s="146"/>
      <c r="BH462" s="146"/>
      <c r="BI462" s="146"/>
      <c r="BJ462" s="20"/>
      <c r="BK462" s="20"/>
      <c r="BL462" s="154"/>
      <c r="BP462" s="20"/>
      <c r="BQ462" s="154"/>
      <c r="BR462" s="18"/>
      <c r="BS462" s="16"/>
      <c r="BT462" s="18"/>
      <c r="BU462" s="18"/>
      <c r="BV462" s="18"/>
      <c r="BW462" s="20"/>
      <c r="BX462" s="154"/>
      <c r="BY462" s="18"/>
      <c r="BZ462" s="146"/>
      <c r="CA462" s="18"/>
      <c r="CB462" s="18"/>
      <c r="CC462" s="20"/>
      <c r="CD462" s="154"/>
    </row>
    <row r="463" spans="35:82">
      <c r="AI463" s="19"/>
      <c r="AO463" s="19"/>
      <c r="AY463" s="145"/>
      <c r="AZ463" s="16"/>
      <c r="BC463" s="16"/>
      <c r="BD463" s="20"/>
      <c r="BE463" s="17"/>
      <c r="BF463" s="20"/>
      <c r="BG463" s="146"/>
      <c r="BH463" s="146"/>
      <c r="BI463" s="146"/>
      <c r="BJ463" s="20"/>
      <c r="BK463" s="20"/>
      <c r="BL463" s="154"/>
      <c r="BP463" s="20"/>
      <c r="BQ463" s="154"/>
      <c r="BR463" s="18"/>
      <c r="BS463" s="16"/>
      <c r="BT463" s="18"/>
      <c r="BU463" s="18"/>
      <c r="BV463" s="18"/>
      <c r="BW463" s="20"/>
      <c r="BX463" s="154"/>
      <c r="BY463" s="18"/>
      <c r="BZ463" s="146"/>
      <c r="CA463" s="18"/>
      <c r="CB463" s="18"/>
      <c r="CC463" s="20"/>
      <c r="CD463" s="154"/>
    </row>
    <row r="464" spans="35:82">
      <c r="AI464" s="19"/>
      <c r="AO464" s="19"/>
      <c r="AY464" s="145"/>
      <c r="AZ464" s="16"/>
      <c r="BC464" s="16"/>
      <c r="BD464" s="20"/>
      <c r="BE464" s="17"/>
      <c r="BF464" s="20"/>
      <c r="BG464" s="146"/>
      <c r="BH464" s="146"/>
      <c r="BI464" s="146"/>
      <c r="BJ464" s="20"/>
      <c r="BK464" s="20"/>
      <c r="BL464" s="154"/>
      <c r="BP464" s="20"/>
      <c r="BQ464" s="154"/>
      <c r="BR464" s="18"/>
      <c r="BS464" s="16"/>
      <c r="BT464" s="18"/>
      <c r="BU464" s="18"/>
      <c r="BV464" s="18"/>
      <c r="BW464" s="20"/>
      <c r="BX464" s="154"/>
      <c r="BY464" s="18"/>
      <c r="BZ464" s="146"/>
      <c r="CA464" s="18"/>
      <c r="CB464" s="18"/>
      <c r="CC464" s="20"/>
      <c r="CD464" s="154"/>
    </row>
    <row r="465" spans="35:82">
      <c r="AI465" s="19"/>
      <c r="AO465" s="19"/>
      <c r="AY465" s="145"/>
      <c r="AZ465" s="16"/>
      <c r="BC465" s="16"/>
      <c r="BD465" s="20"/>
      <c r="BE465" s="17"/>
      <c r="BF465" s="20"/>
      <c r="BG465" s="146"/>
      <c r="BH465" s="146"/>
      <c r="BI465" s="146"/>
      <c r="BJ465" s="20"/>
      <c r="BK465" s="20"/>
      <c r="BL465" s="154"/>
      <c r="BP465" s="20"/>
      <c r="BQ465" s="154"/>
      <c r="BR465" s="18"/>
      <c r="BS465" s="16"/>
      <c r="BT465" s="18"/>
      <c r="BU465" s="18"/>
      <c r="BV465" s="18"/>
      <c r="BW465" s="20"/>
      <c r="BX465" s="154"/>
      <c r="BY465" s="18"/>
      <c r="BZ465" s="146"/>
      <c r="CA465" s="18"/>
      <c r="CB465" s="18"/>
      <c r="CC465" s="20"/>
      <c r="CD465" s="154"/>
    </row>
    <row r="466" spans="35:82">
      <c r="AI466" s="19"/>
      <c r="AO466" s="19"/>
      <c r="AY466" s="145"/>
      <c r="AZ466" s="16"/>
      <c r="BC466" s="16"/>
      <c r="BD466" s="20"/>
      <c r="BE466" s="17"/>
      <c r="BF466" s="20"/>
      <c r="BG466" s="146"/>
      <c r="BH466" s="146"/>
      <c r="BI466" s="146"/>
      <c r="BJ466" s="20"/>
      <c r="BK466" s="20"/>
      <c r="BL466" s="154"/>
      <c r="BP466" s="20"/>
      <c r="BQ466" s="154"/>
      <c r="BR466" s="18"/>
      <c r="BS466" s="16"/>
      <c r="BT466" s="18"/>
      <c r="BU466" s="18"/>
      <c r="BV466" s="18"/>
      <c r="BW466" s="20"/>
      <c r="BX466" s="154"/>
      <c r="BY466" s="18"/>
      <c r="BZ466" s="146"/>
      <c r="CA466" s="18"/>
      <c r="CB466" s="18"/>
      <c r="CC466" s="20"/>
      <c r="CD466" s="154"/>
    </row>
    <row r="467" spans="35:82">
      <c r="AI467" s="19"/>
      <c r="AO467" s="19"/>
      <c r="AY467" s="145"/>
      <c r="AZ467" s="16"/>
      <c r="BC467" s="16"/>
      <c r="BD467" s="20"/>
      <c r="BE467" s="17"/>
      <c r="BF467" s="20"/>
      <c r="BG467" s="146"/>
      <c r="BH467" s="146"/>
      <c r="BI467" s="146"/>
      <c r="BJ467" s="20"/>
      <c r="BK467" s="20"/>
      <c r="BL467" s="154"/>
      <c r="BP467" s="20"/>
      <c r="BQ467" s="154"/>
      <c r="BR467" s="18"/>
      <c r="BS467" s="16"/>
      <c r="BT467" s="18"/>
      <c r="BU467" s="18"/>
      <c r="BV467" s="18"/>
      <c r="BW467" s="20"/>
      <c r="BX467" s="154"/>
      <c r="BY467" s="18"/>
      <c r="BZ467" s="146"/>
      <c r="CA467" s="18"/>
      <c r="CB467" s="18"/>
      <c r="CC467" s="20"/>
      <c r="CD467" s="154"/>
    </row>
    <row r="468" spans="35:82">
      <c r="AI468" s="19"/>
      <c r="AO468" s="19"/>
      <c r="AY468" s="145"/>
      <c r="AZ468" s="16"/>
      <c r="BC468" s="16"/>
      <c r="BD468" s="20"/>
      <c r="BE468" s="17"/>
      <c r="BF468" s="20"/>
      <c r="BG468" s="146"/>
      <c r="BH468" s="146"/>
      <c r="BI468" s="146"/>
      <c r="BJ468" s="20"/>
      <c r="BK468" s="20"/>
      <c r="BL468" s="154"/>
      <c r="BP468" s="20"/>
      <c r="BQ468" s="154"/>
      <c r="BR468" s="18"/>
      <c r="BS468" s="16"/>
      <c r="BT468" s="18"/>
      <c r="BU468" s="18"/>
      <c r="BV468" s="18"/>
      <c r="BW468" s="20"/>
      <c r="BX468" s="154"/>
      <c r="BY468" s="18"/>
      <c r="BZ468" s="146"/>
      <c r="CA468" s="18"/>
      <c r="CB468" s="18"/>
      <c r="CC468" s="20"/>
      <c r="CD468" s="154"/>
    </row>
    <row r="469" spans="35:82">
      <c r="AI469" s="19"/>
      <c r="AO469" s="19"/>
      <c r="AY469" s="145"/>
      <c r="AZ469" s="16"/>
      <c r="BC469" s="16"/>
      <c r="BD469" s="20"/>
      <c r="BE469" s="17"/>
      <c r="BF469" s="20"/>
      <c r="BG469" s="146"/>
      <c r="BH469" s="146"/>
      <c r="BI469" s="146"/>
      <c r="BJ469" s="20"/>
      <c r="BK469" s="20"/>
      <c r="BL469" s="154"/>
      <c r="BP469" s="20"/>
      <c r="BQ469" s="154"/>
      <c r="BR469" s="18"/>
      <c r="BS469" s="16"/>
      <c r="BT469" s="18"/>
      <c r="BU469" s="18"/>
      <c r="BV469" s="18"/>
      <c r="BW469" s="20"/>
      <c r="BX469" s="154"/>
      <c r="BY469" s="18"/>
      <c r="BZ469" s="146"/>
      <c r="CA469" s="18"/>
      <c r="CB469" s="18"/>
      <c r="CC469" s="20"/>
      <c r="CD469" s="154"/>
    </row>
    <row r="470" spans="35:82">
      <c r="AI470" s="19"/>
      <c r="AO470" s="19"/>
      <c r="AY470" s="145"/>
      <c r="AZ470" s="16"/>
      <c r="BC470" s="16"/>
      <c r="BD470" s="20"/>
      <c r="BE470" s="17"/>
      <c r="BF470" s="20"/>
      <c r="BG470" s="146"/>
      <c r="BH470" s="146"/>
      <c r="BI470" s="146"/>
      <c r="BJ470" s="20"/>
      <c r="BK470" s="20"/>
      <c r="BL470" s="154"/>
      <c r="BP470" s="20"/>
      <c r="BQ470" s="154"/>
      <c r="BR470" s="18"/>
      <c r="BS470" s="16"/>
      <c r="BT470" s="18"/>
      <c r="BU470" s="18"/>
      <c r="BV470" s="18"/>
      <c r="BW470" s="20"/>
      <c r="BX470" s="154"/>
      <c r="BY470" s="18"/>
      <c r="BZ470" s="146"/>
      <c r="CA470" s="18"/>
      <c r="CB470" s="18"/>
      <c r="CC470" s="20"/>
      <c r="CD470" s="154"/>
    </row>
    <row r="471" spans="35:82">
      <c r="AI471" s="19"/>
      <c r="AO471" s="19"/>
      <c r="AY471" s="145"/>
      <c r="AZ471" s="16"/>
      <c r="BC471" s="16"/>
      <c r="BD471" s="20"/>
      <c r="BE471" s="17"/>
      <c r="BF471" s="20"/>
      <c r="BG471" s="146"/>
      <c r="BH471" s="146"/>
      <c r="BI471" s="146"/>
      <c r="BJ471" s="20"/>
      <c r="BK471" s="20"/>
      <c r="BL471" s="154"/>
      <c r="BP471" s="20"/>
      <c r="BQ471" s="154"/>
      <c r="BR471" s="18"/>
      <c r="BS471" s="16"/>
      <c r="BT471" s="18"/>
      <c r="BU471" s="18"/>
      <c r="BV471" s="18"/>
      <c r="BW471" s="20"/>
      <c r="BX471" s="154"/>
      <c r="BY471" s="18"/>
      <c r="BZ471" s="146"/>
      <c r="CA471" s="18"/>
      <c r="CB471" s="18"/>
      <c r="CC471" s="20"/>
      <c r="CD471" s="154"/>
    </row>
    <row r="472" spans="35:82">
      <c r="AI472" s="19"/>
      <c r="AO472" s="19"/>
      <c r="AY472" s="145"/>
      <c r="AZ472" s="16"/>
      <c r="BC472" s="16"/>
      <c r="BD472" s="20"/>
      <c r="BE472" s="17"/>
      <c r="BF472" s="20"/>
      <c r="BG472" s="146"/>
      <c r="BH472" s="146"/>
      <c r="BI472" s="146"/>
      <c r="BJ472" s="20"/>
      <c r="BK472" s="20"/>
      <c r="BL472" s="154"/>
      <c r="BP472" s="20"/>
      <c r="BQ472" s="154"/>
      <c r="BR472" s="18"/>
      <c r="BS472" s="16"/>
      <c r="BT472" s="18"/>
      <c r="BU472" s="18"/>
      <c r="BV472" s="18"/>
      <c r="BW472" s="20"/>
      <c r="BX472" s="154"/>
      <c r="BY472" s="18"/>
      <c r="BZ472" s="146"/>
      <c r="CA472" s="18"/>
      <c r="CB472" s="18"/>
      <c r="CC472" s="20"/>
      <c r="CD472" s="154"/>
    </row>
    <row r="473" spans="35:82">
      <c r="AI473" s="19"/>
      <c r="AO473" s="19"/>
      <c r="AY473" s="145"/>
      <c r="AZ473" s="16"/>
      <c r="BC473" s="16"/>
      <c r="BD473" s="20"/>
      <c r="BE473" s="17"/>
      <c r="BF473" s="20"/>
      <c r="BG473" s="146"/>
      <c r="BH473" s="146"/>
      <c r="BI473" s="146"/>
      <c r="BJ473" s="20"/>
      <c r="BK473" s="20"/>
      <c r="BL473" s="154"/>
      <c r="BP473" s="20"/>
      <c r="BQ473" s="154"/>
      <c r="BR473" s="18"/>
      <c r="BS473" s="16"/>
      <c r="BT473" s="18"/>
      <c r="BU473" s="18"/>
      <c r="BV473" s="18"/>
      <c r="BW473" s="20"/>
      <c r="BX473" s="154"/>
      <c r="BY473" s="18"/>
      <c r="BZ473" s="146"/>
      <c r="CA473" s="18"/>
      <c r="CB473" s="18"/>
      <c r="CC473" s="20"/>
      <c r="CD473" s="154"/>
    </row>
    <row r="474" spans="35:82">
      <c r="AI474" s="19"/>
      <c r="AO474" s="19"/>
      <c r="AY474" s="145"/>
      <c r="AZ474" s="16"/>
      <c r="BC474" s="16"/>
      <c r="BD474" s="20"/>
      <c r="BE474" s="17"/>
      <c r="BF474" s="20"/>
      <c r="BG474" s="146"/>
      <c r="BH474" s="146"/>
      <c r="BI474" s="146"/>
      <c r="BJ474" s="20"/>
      <c r="BK474" s="20"/>
      <c r="BL474" s="154"/>
      <c r="BP474" s="20"/>
      <c r="BQ474" s="154"/>
      <c r="BR474" s="18"/>
      <c r="BS474" s="16"/>
      <c r="BT474" s="18"/>
      <c r="BU474" s="18"/>
      <c r="BV474" s="18"/>
      <c r="BW474" s="20"/>
      <c r="BX474" s="154"/>
      <c r="BY474" s="18"/>
      <c r="BZ474" s="146"/>
      <c r="CA474" s="18"/>
      <c r="CB474" s="18"/>
      <c r="CC474" s="20"/>
      <c r="CD474" s="154"/>
    </row>
    <row r="475" spans="35:82">
      <c r="AI475" s="19"/>
      <c r="AO475" s="19"/>
      <c r="AY475" s="145"/>
      <c r="AZ475" s="16"/>
      <c r="BC475" s="16"/>
      <c r="BD475" s="20"/>
      <c r="BE475" s="17"/>
      <c r="BF475" s="20"/>
      <c r="BG475" s="146"/>
      <c r="BH475" s="146"/>
      <c r="BI475" s="146"/>
      <c r="BJ475" s="20"/>
      <c r="BK475" s="20"/>
      <c r="BL475" s="154"/>
      <c r="BP475" s="20"/>
      <c r="BQ475" s="154"/>
      <c r="BR475" s="18"/>
      <c r="BS475" s="16"/>
      <c r="BT475" s="18"/>
      <c r="BU475" s="18"/>
      <c r="BV475" s="18"/>
      <c r="BW475" s="20"/>
      <c r="BX475" s="154"/>
      <c r="BY475" s="18"/>
      <c r="BZ475" s="146"/>
      <c r="CA475" s="18"/>
      <c r="CB475" s="18"/>
      <c r="CC475" s="20"/>
      <c r="CD475" s="154"/>
    </row>
    <row r="476" spans="35:82">
      <c r="AI476" s="19"/>
      <c r="AO476" s="19"/>
      <c r="AY476" s="145"/>
      <c r="AZ476" s="16"/>
      <c r="BC476" s="16"/>
      <c r="BD476" s="20"/>
      <c r="BE476" s="17"/>
      <c r="BF476" s="20"/>
      <c r="BG476" s="146"/>
      <c r="BH476" s="146"/>
      <c r="BI476" s="146"/>
      <c r="BJ476" s="20"/>
      <c r="BK476" s="20"/>
      <c r="BL476" s="154"/>
      <c r="BP476" s="20"/>
      <c r="BQ476" s="154"/>
      <c r="BR476" s="18"/>
      <c r="BS476" s="16"/>
      <c r="BT476" s="18"/>
      <c r="BU476" s="18"/>
      <c r="BV476" s="18"/>
      <c r="BW476" s="20"/>
      <c r="BX476" s="154"/>
      <c r="BY476" s="18"/>
      <c r="BZ476" s="146"/>
      <c r="CA476" s="18"/>
      <c r="CB476" s="18"/>
      <c r="CC476" s="20"/>
      <c r="CD476" s="154"/>
    </row>
    <row r="477" spans="35:82">
      <c r="AI477" s="19"/>
      <c r="AO477" s="19"/>
      <c r="AY477" s="145"/>
      <c r="AZ477" s="16"/>
      <c r="BC477" s="16"/>
      <c r="BD477" s="20"/>
      <c r="BE477" s="17"/>
      <c r="BF477" s="20"/>
      <c r="BG477" s="146"/>
      <c r="BH477" s="146"/>
      <c r="BI477" s="146"/>
      <c r="BJ477" s="20"/>
      <c r="BK477" s="20"/>
      <c r="BL477" s="154"/>
      <c r="BP477" s="20"/>
      <c r="BQ477" s="154"/>
      <c r="BR477" s="18"/>
      <c r="BS477" s="16"/>
      <c r="BT477" s="18"/>
      <c r="BU477" s="18"/>
      <c r="BV477" s="18"/>
      <c r="BW477" s="20"/>
      <c r="BX477" s="154"/>
      <c r="BY477" s="18"/>
      <c r="BZ477" s="146"/>
      <c r="CA477" s="18"/>
      <c r="CB477" s="18"/>
      <c r="CC477" s="20"/>
      <c r="CD477" s="154"/>
    </row>
    <row r="478" spans="35:82">
      <c r="AI478" s="19"/>
      <c r="AO478" s="19"/>
      <c r="AY478" s="145"/>
      <c r="AZ478" s="16"/>
      <c r="BC478" s="16"/>
      <c r="BD478" s="20"/>
      <c r="BE478" s="17"/>
      <c r="BF478" s="20"/>
      <c r="BG478" s="146"/>
      <c r="BH478" s="146"/>
      <c r="BI478" s="146"/>
      <c r="BJ478" s="20"/>
      <c r="BK478" s="20"/>
      <c r="BL478" s="154"/>
      <c r="BP478" s="20"/>
      <c r="BQ478" s="154"/>
      <c r="BR478" s="18"/>
      <c r="BS478" s="16"/>
      <c r="BT478" s="18"/>
      <c r="BU478" s="18"/>
      <c r="BV478" s="18"/>
      <c r="BW478" s="20"/>
      <c r="BX478" s="154"/>
      <c r="BY478" s="18"/>
      <c r="BZ478" s="146"/>
      <c r="CA478" s="18"/>
      <c r="CB478" s="18"/>
      <c r="CC478" s="20"/>
      <c r="CD478" s="154"/>
    </row>
    <row r="479" spans="35:82">
      <c r="AI479" s="19"/>
      <c r="AO479" s="19"/>
      <c r="AY479" s="145"/>
      <c r="AZ479" s="16"/>
      <c r="BC479" s="16"/>
      <c r="BD479" s="20"/>
      <c r="BE479" s="17"/>
      <c r="BF479" s="20"/>
      <c r="BG479" s="146"/>
      <c r="BH479" s="146"/>
      <c r="BI479" s="146"/>
      <c r="BJ479" s="20"/>
      <c r="BK479" s="20"/>
      <c r="BL479" s="154"/>
      <c r="BP479" s="20"/>
      <c r="BQ479" s="154"/>
      <c r="BR479" s="18"/>
      <c r="BS479" s="16"/>
      <c r="BT479" s="18"/>
      <c r="BU479" s="18"/>
      <c r="BV479" s="18"/>
      <c r="BW479" s="20"/>
      <c r="BX479" s="154"/>
      <c r="BY479" s="18"/>
      <c r="BZ479" s="146"/>
      <c r="CA479" s="18"/>
      <c r="CB479" s="18"/>
      <c r="CC479" s="20"/>
      <c r="CD479" s="154"/>
    </row>
    <row r="480" spans="35:82">
      <c r="AI480" s="19"/>
      <c r="AO480" s="19"/>
      <c r="AY480" s="145"/>
      <c r="AZ480" s="16"/>
      <c r="BC480" s="16"/>
      <c r="BD480" s="20"/>
      <c r="BE480" s="17"/>
      <c r="BF480" s="20"/>
      <c r="BG480" s="146"/>
      <c r="BH480" s="146"/>
      <c r="BI480" s="146"/>
      <c r="BJ480" s="20"/>
      <c r="BK480" s="20"/>
      <c r="BL480" s="154"/>
      <c r="BP480" s="20"/>
      <c r="BQ480" s="154"/>
      <c r="BR480" s="18"/>
      <c r="BS480" s="16"/>
      <c r="BT480" s="18"/>
      <c r="BU480" s="18"/>
      <c r="BV480" s="18"/>
      <c r="BW480" s="20"/>
      <c r="BX480" s="154"/>
      <c r="BY480" s="18"/>
      <c r="BZ480" s="146"/>
      <c r="CA480" s="18"/>
      <c r="CB480" s="18"/>
      <c r="CC480" s="20"/>
      <c r="CD480" s="154"/>
    </row>
    <row r="481" spans="35:82">
      <c r="AI481" s="19"/>
      <c r="AO481" s="19"/>
      <c r="AY481" s="145"/>
      <c r="AZ481" s="16"/>
      <c r="BC481" s="16"/>
      <c r="BD481" s="20"/>
      <c r="BE481" s="17"/>
      <c r="BF481" s="20"/>
      <c r="BG481" s="146"/>
      <c r="BH481" s="146"/>
      <c r="BI481" s="146"/>
      <c r="BJ481" s="20"/>
      <c r="BK481" s="20"/>
      <c r="BL481" s="154"/>
      <c r="BP481" s="20"/>
      <c r="BQ481" s="154"/>
      <c r="BR481" s="18"/>
      <c r="BS481" s="16"/>
      <c r="BT481" s="18"/>
      <c r="BU481" s="18"/>
      <c r="BV481" s="18"/>
      <c r="BW481" s="20"/>
      <c r="BX481" s="154"/>
      <c r="BY481" s="18"/>
      <c r="BZ481" s="146"/>
      <c r="CA481" s="18"/>
      <c r="CB481" s="18"/>
      <c r="CC481" s="20"/>
      <c r="CD481" s="154"/>
    </row>
    <row r="482" spans="35:82">
      <c r="AI482" s="19"/>
      <c r="AO482" s="19"/>
      <c r="AY482" s="145"/>
      <c r="AZ482" s="16"/>
      <c r="BC482" s="16"/>
      <c r="BD482" s="20"/>
      <c r="BE482" s="17"/>
      <c r="BF482" s="20"/>
      <c r="BG482" s="146"/>
      <c r="BH482" s="146"/>
      <c r="BI482" s="146"/>
      <c r="BJ482" s="20"/>
      <c r="BK482" s="20"/>
      <c r="BL482" s="154"/>
      <c r="BP482" s="20"/>
      <c r="BQ482" s="154"/>
      <c r="BR482" s="18"/>
      <c r="BS482" s="16"/>
      <c r="BT482" s="18"/>
      <c r="BU482" s="18"/>
      <c r="BV482" s="18"/>
      <c r="BW482" s="20"/>
      <c r="BX482" s="154"/>
      <c r="BY482" s="18"/>
      <c r="BZ482" s="146"/>
      <c r="CA482" s="18"/>
      <c r="CB482" s="18"/>
      <c r="CC482" s="20"/>
      <c r="CD482" s="154"/>
    </row>
    <row r="483" spans="35:82">
      <c r="AI483" s="19"/>
      <c r="AO483" s="19"/>
      <c r="AY483" s="145"/>
      <c r="AZ483" s="16"/>
      <c r="BC483" s="16"/>
      <c r="BD483" s="20"/>
      <c r="BE483" s="17"/>
      <c r="BF483" s="20"/>
      <c r="BG483" s="146"/>
      <c r="BH483" s="146"/>
      <c r="BI483" s="146"/>
      <c r="BJ483" s="20"/>
      <c r="BK483" s="20"/>
      <c r="BL483" s="154"/>
      <c r="BP483" s="20"/>
      <c r="BQ483" s="154"/>
      <c r="BR483" s="18"/>
      <c r="BS483" s="16"/>
      <c r="BT483" s="18"/>
      <c r="BU483" s="18"/>
      <c r="BV483" s="18"/>
      <c r="BW483" s="20"/>
      <c r="BX483" s="154"/>
      <c r="BY483" s="18"/>
      <c r="BZ483" s="146"/>
      <c r="CA483" s="18"/>
      <c r="CB483" s="18"/>
      <c r="CC483" s="20"/>
      <c r="CD483" s="154"/>
    </row>
    <row r="484" spans="35:82">
      <c r="AI484" s="19"/>
      <c r="AO484" s="19"/>
      <c r="AY484" s="145"/>
      <c r="AZ484" s="16"/>
      <c r="BC484" s="16"/>
      <c r="BD484" s="20"/>
      <c r="BE484" s="17"/>
      <c r="BF484" s="20"/>
      <c r="BG484" s="146"/>
      <c r="BH484" s="146"/>
      <c r="BI484" s="146"/>
      <c r="BJ484" s="20"/>
      <c r="BK484" s="20"/>
      <c r="BL484" s="154"/>
      <c r="BP484" s="20"/>
      <c r="BQ484" s="154"/>
      <c r="BR484" s="18"/>
      <c r="BS484" s="16"/>
      <c r="BT484" s="18"/>
      <c r="BU484" s="18"/>
      <c r="BV484" s="18"/>
      <c r="BW484" s="20"/>
      <c r="BX484" s="154"/>
      <c r="BY484" s="18"/>
      <c r="BZ484" s="146"/>
      <c r="CA484" s="18"/>
      <c r="CB484" s="18"/>
      <c r="CC484" s="20"/>
      <c r="CD484" s="154"/>
    </row>
    <row r="485" spans="35:82">
      <c r="AI485" s="19"/>
      <c r="AO485" s="19"/>
      <c r="AY485" s="145"/>
      <c r="AZ485" s="16"/>
      <c r="BC485" s="16"/>
      <c r="BD485" s="20"/>
      <c r="BE485" s="17"/>
      <c r="BF485" s="20"/>
      <c r="BG485" s="146"/>
      <c r="BH485" s="146"/>
      <c r="BI485" s="146"/>
      <c r="BJ485" s="20"/>
      <c r="BK485" s="20"/>
      <c r="BL485" s="154"/>
      <c r="BP485" s="20"/>
      <c r="BQ485" s="154"/>
      <c r="BR485" s="18"/>
      <c r="BS485" s="16"/>
      <c r="BT485" s="18"/>
      <c r="BU485" s="18"/>
      <c r="BV485" s="18"/>
      <c r="BW485" s="20"/>
      <c r="BX485" s="154"/>
      <c r="BY485" s="18"/>
      <c r="BZ485" s="146"/>
      <c r="CA485" s="18"/>
      <c r="CB485" s="18"/>
      <c r="CC485" s="20"/>
      <c r="CD485" s="154"/>
    </row>
    <row r="486" spans="35:82">
      <c r="AI486" s="19"/>
      <c r="AO486" s="19"/>
      <c r="AY486" s="145"/>
      <c r="AZ486" s="16"/>
      <c r="BC486" s="16"/>
      <c r="BD486" s="20"/>
      <c r="BE486" s="17"/>
      <c r="BF486" s="20"/>
      <c r="BG486" s="146"/>
      <c r="BH486" s="146"/>
      <c r="BI486" s="146"/>
      <c r="BJ486" s="20"/>
      <c r="BK486" s="20"/>
      <c r="BL486" s="154"/>
      <c r="BP486" s="20"/>
      <c r="BQ486" s="154"/>
      <c r="BR486" s="18"/>
      <c r="BS486" s="16"/>
      <c r="BT486" s="18"/>
      <c r="BU486" s="18"/>
      <c r="BV486" s="18"/>
      <c r="BW486" s="20"/>
      <c r="BX486" s="154"/>
      <c r="BY486" s="18"/>
      <c r="BZ486" s="146"/>
      <c r="CA486" s="18"/>
      <c r="CB486" s="18"/>
      <c r="CC486" s="20"/>
      <c r="CD486" s="154"/>
    </row>
    <row r="487" spans="35:82">
      <c r="AI487" s="19"/>
      <c r="AO487" s="19"/>
      <c r="AY487" s="145"/>
      <c r="AZ487" s="16"/>
      <c r="BC487" s="16"/>
      <c r="BD487" s="20"/>
      <c r="BE487" s="17"/>
      <c r="BF487" s="20"/>
      <c r="BG487" s="146"/>
      <c r="BH487" s="146"/>
      <c r="BI487" s="146"/>
      <c r="BJ487" s="20"/>
      <c r="BK487" s="20"/>
      <c r="BL487" s="154"/>
      <c r="BP487" s="20"/>
      <c r="BQ487" s="154"/>
      <c r="BR487" s="18"/>
      <c r="BS487" s="16"/>
      <c r="BT487" s="18"/>
      <c r="BU487" s="18"/>
      <c r="BV487" s="18"/>
      <c r="BW487" s="20"/>
      <c r="BX487" s="154"/>
      <c r="BY487" s="18"/>
      <c r="BZ487" s="146"/>
      <c r="CA487" s="18"/>
      <c r="CB487" s="18"/>
      <c r="CC487" s="20"/>
      <c r="CD487" s="154"/>
    </row>
    <row r="488" spans="35:82">
      <c r="AI488" s="19"/>
      <c r="AO488" s="19"/>
      <c r="AY488" s="145"/>
      <c r="AZ488" s="16"/>
      <c r="BC488" s="16"/>
      <c r="BD488" s="20"/>
      <c r="BE488" s="17"/>
      <c r="BF488" s="20"/>
      <c r="BG488" s="146"/>
      <c r="BH488" s="146"/>
      <c r="BI488" s="146"/>
      <c r="BJ488" s="20"/>
      <c r="BK488" s="20"/>
      <c r="BL488" s="154"/>
      <c r="BP488" s="20"/>
      <c r="BQ488" s="154"/>
      <c r="BR488" s="18"/>
      <c r="BS488" s="16"/>
      <c r="BT488" s="18"/>
      <c r="BU488" s="18"/>
      <c r="BV488" s="18"/>
      <c r="BW488" s="20"/>
      <c r="BX488" s="154"/>
      <c r="BY488" s="18"/>
      <c r="BZ488" s="146"/>
      <c r="CA488" s="18"/>
      <c r="CB488" s="18"/>
      <c r="CC488" s="20"/>
      <c r="CD488" s="154"/>
    </row>
    <row r="489" spans="35:82">
      <c r="AI489" s="19"/>
      <c r="AO489" s="19"/>
      <c r="AY489" s="145"/>
      <c r="AZ489" s="16"/>
      <c r="BC489" s="16"/>
      <c r="BD489" s="20"/>
      <c r="BE489" s="17"/>
      <c r="BF489" s="20"/>
      <c r="BG489" s="146"/>
      <c r="BH489" s="146"/>
      <c r="BI489" s="146"/>
      <c r="BJ489" s="20"/>
      <c r="BK489" s="20"/>
      <c r="BL489" s="154"/>
      <c r="BP489" s="20"/>
      <c r="BQ489" s="154"/>
      <c r="BR489" s="18"/>
      <c r="BS489" s="16"/>
      <c r="BT489" s="18"/>
      <c r="BU489" s="18"/>
      <c r="BV489" s="18"/>
      <c r="BW489" s="20"/>
      <c r="BX489" s="154"/>
      <c r="BY489" s="18"/>
      <c r="BZ489" s="146"/>
      <c r="CA489" s="18"/>
      <c r="CB489" s="18"/>
      <c r="CC489" s="20"/>
      <c r="CD489" s="154"/>
    </row>
    <row r="490" spans="35:82">
      <c r="AI490" s="19"/>
      <c r="AO490" s="19"/>
      <c r="AY490" s="145"/>
      <c r="AZ490" s="16"/>
      <c r="BC490" s="16"/>
      <c r="BD490" s="20"/>
      <c r="BE490" s="17"/>
      <c r="BF490" s="20"/>
      <c r="BG490" s="146"/>
      <c r="BH490" s="146"/>
      <c r="BI490" s="146"/>
      <c r="BJ490" s="20"/>
      <c r="BK490" s="20"/>
      <c r="BL490" s="154"/>
      <c r="BP490" s="20"/>
      <c r="BQ490" s="154"/>
      <c r="BR490" s="18"/>
      <c r="BS490" s="16"/>
      <c r="BT490" s="18"/>
      <c r="BU490" s="18"/>
      <c r="BV490" s="18"/>
      <c r="BW490" s="20"/>
      <c r="BX490" s="154"/>
      <c r="BY490" s="18"/>
      <c r="BZ490" s="146"/>
      <c r="CA490" s="18"/>
      <c r="CB490" s="18"/>
      <c r="CC490" s="20"/>
      <c r="CD490" s="154"/>
    </row>
    <row r="491" spans="35:82">
      <c r="AI491" s="19"/>
      <c r="AO491" s="19"/>
      <c r="AY491" s="145"/>
      <c r="AZ491" s="16"/>
      <c r="BC491" s="16"/>
      <c r="BD491" s="20"/>
      <c r="BE491" s="17"/>
      <c r="BF491" s="20"/>
      <c r="BG491" s="146"/>
      <c r="BH491" s="146"/>
      <c r="BI491" s="146"/>
      <c r="BJ491" s="20"/>
      <c r="BK491" s="20"/>
      <c r="BL491" s="154"/>
      <c r="BP491" s="20"/>
      <c r="BQ491" s="154"/>
      <c r="BR491" s="18"/>
      <c r="BS491" s="16"/>
      <c r="BT491" s="18"/>
      <c r="BU491" s="18"/>
      <c r="BV491" s="18"/>
      <c r="BW491" s="20"/>
      <c r="BX491" s="154"/>
      <c r="BY491" s="18"/>
      <c r="BZ491" s="146"/>
      <c r="CA491" s="18"/>
      <c r="CB491" s="18"/>
      <c r="CC491" s="20"/>
      <c r="CD491" s="154"/>
    </row>
    <row r="492" spans="35:82">
      <c r="AI492" s="19"/>
      <c r="AO492" s="19"/>
      <c r="AY492" s="145"/>
      <c r="AZ492" s="16"/>
      <c r="BC492" s="16"/>
      <c r="BD492" s="20"/>
      <c r="BE492" s="17"/>
      <c r="BF492" s="20"/>
      <c r="BG492" s="146"/>
      <c r="BH492" s="146"/>
      <c r="BI492" s="146"/>
      <c r="BJ492" s="20"/>
      <c r="BK492" s="20"/>
      <c r="BL492" s="154"/>
      <c r="BP492" s="20"/>
      <c r="BQ492" s="154"/>
      <c r="BR492" s="18"/>
      <c r="BS492" s="16"/>
      <c r="BT492" s="18"/>
      <c r="BU492" s="18"/>
      <c r="BV492" s="18"/>
      <c r="BW492" s="20"/>
      <c r="BX492" s="154"/>
      <c r="BY492" s="18"/>
      <c r="BZ492" s="146"/>
      <c r="CA492" s="18"/>
      <c r="CB492" s="18"/>
      <c r="CC492" s="20"/>
      <c r="CD492" s="154"/>
    </row>
    <row r="493" spans="35:82">
      <c r="AI493" s="19"/>
      <c r="AO493" s="19"/>
      <c r="AY493" s="145"/>
      <c r="AZ493" s="16"/>
      <c r="BC493" s="16"/>
      <c r="BD493" s="20"/>
      <c r="BE493" s="17"/>
      <c r="BF493" s="20"/>
      <c r="BG493" s="146"/>
      <c r="BH493" s="146"/>
      <c r="BI493" s="146"/>
      <c r="BJ493" s="20"/>
      <c r="BK493" s="20"/>
      <c r="BL493" s="154"/>
      <c r="BP493" s="20"/>
      <c r="BQ493" s="154"/>
      <c r="BR493" s="18"/>
      <c r="BS493" s="16"/>
      <c r="BT493" s="18"/>
      <c r="BU493" s="18"/>
      <c r="BV493" s="18"/>
      <c r="BW493" s="20"/>
      <c r="BX493" s="154"/>
      <c r="BY493" s="18"/>
      <c r="BZ493" s="146"/>
      <c r="CA493" s="18"/>
      <c r="CB493" s="18"/>
      <c r="CC493" s="20"/>
      <c r="CD493" s="154"/>
    </row>
    <row r="494" spans="35:82">
      <c r="AI494" s="19"/>
      <c r="AO494" s="19"/>
      <c r="AY494" s="145"/>
      <c r="AZ494" s="16"/>
      <c r="BC494" s="16"/>
      <c r="BD494" s="20"/>
      <c r="BE494" s="17"/>
      <c r="BF494" s="20"/>
      <c r="BG494" s="146"/>
      <c r="BH494" s="146"/>
      <c r="BI494" s="146"/>
      <c r="BJ494" s="20"/>
      <c r="BK494" s="20"/>
      <c r="BL494" s="154"/>
      <c r="BP494" s="20"/>
      <c r="BQ494" s="154"/>
      <c r="BR494" s="18"/>
      <c r="BS494" s="16"/>
      <c r="BT494" s="18"/>
      <c r="BU494" s="18"/>
      <c r="BV494" s="18"/>
      <c r="BW494" s="20"/>
      <c r="BX494" s="154"/>
      <c r="BY494" s="18"/>
      <c r="BZ494" s="146"/>
      <c r="CA494" s="18"/>
      <c r="CB494" s="18"/>
      <c r="CC494" s="20"/>
      <c r="CD494" s="154"/>
    </row>
    <row r="495" spans="35:82">
      <c r="AI495" s="19"/>
      <c r="AO495" s="19"/>
      <c r="AY495" s="145"/>
      <c r="AZ495" s="16"/>
      <c r="BC495" s="16"/>
      <c r="BD495" s="20"/>
      <c r="BE495" s="17"/>
      <c r="BF495" s="20"/>
      <c r="BG495" s="146"/>
      <c r="BH495" s="146"/>
      <c r="BI495" s="146"/>
      <c r="BJ495" s="20"/>
      <c r="BK495" s="20"/>
      <c r="BL495" s="154"/>
      <c r="BP495" s="20"/>
      <c r="BQ495" s="154"/>
      <c r="BR495" s="18"/>
      <c r="BS495" s="16"/>
      <c r="BT495" s="18"/>
      <c r="BU495" s="18"/>
      <c r="BV495" s="18"/>
      <c r="BW495" s="20"/>
      <c r="BX495" s="154"/>
      <c r="BY495" s="18"/>
      <c r="BZ495" s="146"/>
      <c r="CA495" s="18"/>
      <c r="CB495" s="18"/>
      <c r="CC495" s="20"/>
      <c r="CD495" s="154"/>
    </row>
    <row r="496" spans="35:82">
      <c r="AI496" s="19"/>
      <c r="AO496" s="19"/>
      <c r="AY496" s="145"/>
      <c r="AZ496" s="16"/>
      <c r="BC496" s="16"/>
      <c r="BD496" s="20"/>
      <c r="BE496" s="17"/>
      <c r="BF496" s="20"/>
      <c r="BG496" s="146"/>
      <c r="BH496" s="146"/>
      <c r="BI496" s="146"/>
      <c r="BJ496" s="20"/>
      <c r="BK496" s="20"/>
      <c r="BL496" s="154"/>
      <c r="BP496" s="20"/>
      <c r="BQ496" s="154"/>
      <c r="BR496" s="18"/>
      <c r="BS496" s="16"/>
      <c r="BT496" s="18"/>
      <c r="BU496" s="18"/>
      <c r="BV496" s="18"/>
      <c r="BW496" s="20"/>
      <c r="BX496" s="154"/>
      <c r="BY496" s="18"/>
      <c r="BZ496" s="146"/>
      <c r="CA496" s="18"/>
      <c r="CB496" s="18"/>
      <c r="CC496" s="20"/>
      <c r="CD496" s="154"/>
    </row>
    <row r="497" spans="35:82">
      <c r="AI497" s="19"/>
      <c r="AO497" s="19"/>
      <c r="AY497" s="145"/>
      <c r="AZ497" s="16"/>
      <c r="BC497" s="16"/>
      <c r="BD497" s="20"/>
      <c r="BE497" s="17"/>
      <c r="BF497" s="20"/>
      <c r="BG497" s="146"/>
      <c r="BH497" s="146"/>
      <c r="BI497" s="146"/>
      <c r="BJ497" s="20"/>
      <c r="BK497" s="20"/>
      <c r="BL497" s="154"/>
      <c r="BP497" s="20"/>
      <c r="BQ497" s="154"/>
      <c r="BR497" s="18"/>
      <c r="BS497" s="16"/>
      <c r="BT497" s="18"/>
      <c r="BU497" s="18"/>
      <c r="BV497" s="18"/>
      <c r="BW497" s="20"/>
      <c r="BX497" s="154"/>
      <c r="BY497" s="18"/>
      <c r="BZ497" s="146"/>
      <c r="CA497" s="18"/>
      <c r="CB497" s="18"/>
      <c r="CC497" s="20"/>
      <c r="CD497" s="154"/>
    </row>
    <row r="498" spans="35:82">
      <c r="AI498" s="19"/>
      <c r="AO498" s="19"/>
      <c r="AY498" s="145"/>
      <c r="AZ498" s="16"/>
      <c r="BC498" s="16"/>
      <c r="BD498" s="20"/>
      <c r="BE498" s="17"/>
      <c r="BF498" s="20"/>
      <c r="BG498" s="146"/>
      <c r="BH498" s="146"/>
      <c r="BI498" s="146"/>
      <c r="BJ498" s="20"/>
      <c r="BK498" s="20"/>
      <c r="BL498" s="154"/>
      <c r="BP498" s="20"/>
      <c r="BQ498" s="154"/>
      <c r="BR498" s="18"/>
      <c r="BS498" s="16"/>
      <c r="BT498" s="18"/>
      <c r="BU498" s="18"/>
      <c r="BV498" s="18"/>
      <c r="BW498" s="20"/>
      <c r="BX498" s="154"/>
      <c r="BY498" s="18"/>
      <c r="BZ498" s="146"/>
      <c r="CA498" s="18"/>
      <c r="CB498" s="18"/>
      <c r="CC498" s="20"/>
      <c r="CD498" s="154"/>
    </row>
    <row r="499" spans="35:82">
      <c r="AI499" s="19"/>
      <c r="AO499" s="19"/>
      <c r="AY499" s="145"/>
      <c r="AZ499" s="16"/>
      <c r="BC499" s="16"/>
      <c r="BD499" s="20"/>
      <c r="BE499" s="17"/>
      <c r="BF499" s="20"/>
      <c r="BG499" s="146"/>
      <c r="BH499" s="146"/>
      <c r="BI499" s="146"/>
      <c r="BJ499" s="20"/>
      <c r="BK499" s="20"/>
      <c r="BL499" s="154"/>
      <c r="BP499" s="20"/>
      <c r="BQ499" s="154"/>
      <c r="BR499" s="18"/>
      <c r="BS499" s="16"/>
      <c r="BT499" s="18"/>
      <c r="BU499" s="18"/>
      <c r="BV499" s="18"/>
      <c r="BW499" s="20"/>
      <c r="BX499" s="154"/>
      <c r="BY499" s="18"/>
      <c r="BZ499" s="146"/>
      <c r="CA499" s="18"/>
      <c r="CB499" s="18"/>
      <c r="CC499" s="20"/>
      <c r="CD499" s="154"/>
    </row>
    <row r="500" spans="35:82">
      <c r="AI500" s="19"/>
      <c r="AO500" s="19"/>
      <c r="AY500" s="145"/>
      <c r="AZ500" s="16"/>
      <c r="BC500" s="16"/>
      <c r="BD500" s="20"/>
      <c r="BE500" s="17"/>
      <c r="BF500" s="20"/>
      <c r="BG500" s="146"/>
      <c r="BH500" s="146"/>
      <c r="BI500" s="146"/>
      <c r="BJ500" s="20"/>
      <c r="BK500" s="20"/>
      <c r="BL500" s="154"/>
      <c r="BP500" s="20"/>
      <c r="BQ500" s="154"/>
      <c r="BR500" s="18"/>
      <c r="BS500" s="16"/>
      <c r="BT500" s="18"/>
      <c r="BU500" s="18"/>
      <c r="BV500" s="18"/>
      <c r="BW500" s="20"/>
      <c r="BX500" s="154"/>
      <c r="BY500" s="18"/>
      <c r="BZ500" s="146"/>
      <c r="CA500" s="18"/>
      <c r="CB500" s="18"/>
      <c r="CC500" s="20"/>
      <c r="CD500" s="154"/>
    </row>
    <row r="501" spans="35:82">
      <c r="AI501" s="19"/>
      <c r="AO501" s="19"/>
      <c r="AY501" s="145"/>
      <c r="AZ501" s="16"/>
      <c r="BC501" s="16"/>
      <c r="BD501" s="20"/>
      <c r="BE501" s="17"/>
      <c r="BF501" s="20"/>
      <c r="BG501" s="146"/>
      <c r="BH501" s="146"/>
      <c r="BI501" s="146"/>
      <c r="BJ501" s="20"/>
      <c r="BK501" s="20"/>
      <c r="BL501" s="154"/>
      <c r="BP501" s="20"/>
      <c r="BQ501" s="154"/>
      <c r="BR501" s="18"/>
      <c r="BS501" s="16"/>
      <c r="BT501" s="18"/>
      <c r="BU501" s="18"/>
      <c r="BV501" s="18"/>
      <c r="BW501" s="20"/>
      <c r="BX501" s="154"/>
      <c r="BY501" s="18"/>
      <c r="BZ501" s="146"/>
      <c r="CA501" s="18"/>
      <c r="CB501" s="18"/>
      <c r="CC501" s="20"/>
      <c r="CD501" s="154"/>
    </row>
    <row r="502" spans="35:82">
      <c r="AI502" s="19"/>
      <c r="AO502" s="19"/>
      <c r="AY502" s="145"/>
      <c r="AZ502" s="16"/>
      <c r="BC502" s="16"/>
      <c r="BD502" s="20"/>
      <c r="BE502" s="17"/>
      <c r="BF502" s="20"/>
      <c r="BG502" s="146"/>
      <c r="BH502" s="146"/>
      <c r="BI502" s="146"/>
      <c r="BJ502" s="20"/>
      <c r="BK502" s="20"/>
      <c r="BL502" s="154"/>
      <c r="BP502" s="20"/>
      <c r="BQ502" s="154"/>
      <c r="BR502" s="18"/>
      <c r="BS502" s="16"/>
      <c r="BT502" s="18"/>
      <c r="BU502" s="18"/>
      <c r="BV502" s="18"/>
      <c r="BW502" s="20"/>
      <c r="BX502" s="154"/>
      <c r="BY502" s="18"/>
      <c r="BZ502" s="146"/>
      <c r="CA502" s="18"/>
      <c r="CB502" s="18"/>
      <c r="CC502" s="20"/>
      <c r="CD502" s="154"/>
    </row>
    <row r="503" spans="35:82">
      <c r="AI503" s="19"/>
      <c r="AO503" s="19"/>
      <c r="AY503" s="145"/>
      <c r="AZ503" s="16"/>
      <c r="BC503" s="16"/>
      <c r="BD503" s="20"/>
      <c r="BE503" s="17"/>
      <c r="BF503" s="20"/>
      <c r="BG503" s="146"/>
      <c r="BH503" s="146"/>
      <c r="BI503" s="146"/>
      <c r="BJ503" s="20"/>
      <c r="BK503" s="20"/>
      <c r="BL503" s="154"/>
      <c r="BP503" s="20"/>
      <c r="BQ503" s="154"/>
      <c r="BR503" s="18"/>
      <c r="BS503" s="16"/>
      <c r="BT503" s="18"/>
      <c r="BU503" s="18"/>
      <c r="BV503" s="18"/>
      <c r="BW503" s="20"/>
      <c r="BX503" s="154"/>
      <c r="BY503" s="18"/>
      <c r="BZ503" s="146"/>
      <c r="CA503" s="18"/>
      <c r="CB503" s="18"/>
      <c r="CC503" s="20"/>
      <c r="CD503" s="154"/>
    </row>
    <row r="504" spans="35:82">
      <c r="AI504" s="19"/>
      <c r="AO504" s="19"/>
      <c r="AY504" s="145"/>
      <c r="AZ504" s="16"/>
      <c r="BC504" s="16"/>
      <c r="BD504" s="20"/>
      <c r="BE504" s="17"/>
      <c r="BF504" s="20"/>
      <c r="BG504" s="146"/>
      <c r="BH504" s="146"/>
      <c r="BI504" s="146"/>
      <c r="BJ504" s="20"/>
      <c r="BK504" s="20"/>
      <c r="BL504" s="154"/>
      <c r="BP504" s="20"/>
      <c r="BQ504" s="154"/>
      <c r="BR504" s="18"/>
      <c r="BS504" s="16"/>
      <c r="BT504" s="18"/>
      <c r="BU504" s="18"/>
      <c r="BV504" s="18"/>
      <c r="BW504" s="20"/>
      <c r="BX504" s="154"/>
      <c r="BY504" s="18"/>
      <c r="BZ504" s="146"/>
      <c r="CA504" s="18"/>
      <c r="CB504" s="18"/>
      <c r="CC504" s="20"/>
      <c r="CD504" s="154"/>
    </row>
    <row r="505" spans="35:82">
      <c r="AI505" s="19"/>
      <c r="AO505" s="19"/>
      <c r="AY505" s="145"/>
      <c r="AZ505" s="16"/>
      <c r="BC505" s="16"/>
      <c r="BD505" s="20"/>
      <c r="BE505" s="17"/>
      <c r="BF505" s="20"/>
      <c r="BG505" s="146"/>
      <c r="BH505" s="146"/>
      <c r="BI505" s="146"/>
      <c r="BJ505" s="20"/>
      <c r="BK505" s="20"/>
      <c r="BL505" s="154"/>
      <c r="BP505" s="20"/>
      <c r="BQ505" s="154"/>
      <c r="BR505" s="18"/>
      <c r="BS505" s="16"/>
      <c r="BT505" s="18"/>
      <c r="BU505" s="18"/>
      <c r="BV505" s="18"/>
      <c r="BW505" s="20"/>
      <c r="BX505" s="154"/>
      <c r="BY505" s="18"/>
      <c r="BZ505" s="146"/>
      <c r="CA505" s="18"/>
      <c r="CB505" s="18"/>
      <c r="CC505" s="20"/>
      <c r="CD505" s="154"/>
    </row>
    <row r="506" spans="35:82">
      <c r="AI506" s="19"/>
      <c r="AO506" s="19"/>
      <c r="AY506" s="145"/>
      <c r="AZ506" s="16"/>
      <c r="BC506" s="16"/>
      <c r="BD506" s="20"/>
      <c r="BE506" s="17"/>
      <c r="BF506" s="20"/>
      <c r="BG506" s="146"/>
      <c r="BH506" s="146"/>
      <c r="BI506" s="146"/>
      <c r="BJ506" s="20"/>
      <c r="BK506" s="20"/>
      <c r="BL506" s="154"/>
      <c r="BP506" s="20"/>
      <c r="BQ506" s="154"/>
      <c r="BR506" s="18"/>
      <c r="BS506" s="16"/>
      <c r="BT506" s="18"/>
      <c r="BU506" s="18"/>
      <c r="BV506" s="18"/>
      <c r="BW506" s="20"/>
      <c r="BX506" s="154"/>
      <c r="BY506" s="18"/>
      <c r="BZ506" s="146"/>
      <c r="CA506" s="18"/>
      <c r="CB506" s="18"/>
      <c r="CC506" s="20"/>
      <c r="CD506" s="154"/>
    </row>
    <row r="507" spans="35:82">
      <c r="AI507" s="19"/>
      <c r="AO507" s="19"/>
      <c r="AY507" s="145"/>
      <c r="AZ507" s="16"/>
      <c r="BC507" s="16"/>
      <c r="BD507" s="20"/>
      <c r="BE507" s="17"/>
      <c r="BF507" s="20"/>
      <c r="BG507" s="146"/>
      <c r="BH507" s="146"/>
      <c r="BI507" s="146"/>
      <c r="BJ507" s="20"/>
      <c r="BK507" s="20"/>
      <c r="BL507" s="154"/>
      <c r="BP507" s="20"/>
      <c r="BQ507" s="154"/>
      <c r="BR507" s="18"/>
      <c r="BS507" s="16"/>
      <c r="BT507" s="18"/>
      <c r="BU507" s="18"/>
      <c r="BV507" s="18"/>
      <c r="BW507" s="20"/>
      <c r="BX507" s="154"/>
      <c r="BY507" s="18"/>
      <c r="BZ507" s="146"/>
      <c r="CA507" s="18"/>
      <c r="CB507" s="18"/>
      <c r="CC507" s="20"/>
      <c r="CD507" s="154"/>
    </row>
    <row r="508" spans="35:82">
      <c r="AI508" s="19"/>
      <c r="AO508" s="19"/>
      <c r="AY508" s="145"/>
      <c r="AZ508" s="16"/>
      <c r="BC508" s="16"/>
      <c r="BD508" s="20"/>
      <c r="BE508" s="17"/>
      <c r="BF508" s="20"/>
      <c r="BG508" s="146"/>
      <c r="BH508" s="146"/>
      <c r="BI508" s="146"/>
      <c r="BJ508" s="20"/>
      <c r="BK508" s="20"/>
      <c r="BL508" s="154"/>
      <c r="BP508" s="20"/>
      <c r="BQ508" s="154"/>
      <c r="BR508" s="18"/>
      <c r="BS508" s="16"/>
      <c r="BT508" s="18"/>
      <c r="BU508" s="18"/>
      <c r="BV508" s="18"/>
      <c r="BW508" s="20"/>
      <c r="BX508" s="154"/>
      <c r="BY508" s="18"/>
      <c r="BZ508" s="146"/>
      <c r="CA508" s="18"/>
      <c r="CB508" s="18"/>
      <c r="CC508" s="20"/>
      <c r="CD508" s="154"/>
    </row>
    <row r="509" spans="35:82">
      <c r="AI509" s="19"/>
      <c r="AO509" s="19"/>
      <c r="AY509" s="145"/>
      <c r="AZ509" s="16"/>
      <c r="BC509" s="16"/>
      <c r="BD509" s="20"/>
      <c r="BE509" s="17"/>
      <c r="BF509" s="20"/>
      <c r="BG509" s="146"/>
      <c r="BH509" s="146"/>
      <c r="BI509" s="146"/>
      <c r="BJ509" s="20"/>
      <c r="BK509" s="20"/>
      <c r="BL509" s="154"/>
      <c r="BP509" s="20"/>
      <c r="BQ509" s="154"/>
      <c r="BR509" s="18"/>
      <c r="BS509" s="16"/>
      <c r="BT509" s="18"/>
      <c r="BU509" s="18"/>
      <c r="BV509" s="18"/>
      <c r="BW509" s="20"/>
      <c r="BX509" s="154"/>
      <c r="BY509" s="18"/>
      <c r="BZ509" s="146"/>
      <c r="CA509" s="18"/>
      <c r="CB509" s="18"/>
      <c r="CC509" s="20"/>
      <c r="CD509" s="154"/>
    </row>
    <row r="510" spans="35:82">
      <c r="AI510" s="19"/>
      <c r="AO510" s="19"/>
      <c r="AY510" s="145"/>
      <c r="AZ510" s="16"/>
      <c r="BC510" s="16"/>
      <c r="BD510" s="20"/>
      <c r="BE510" s="17"/>
      <c r="BF510" s="20"/>
      <c r="BG510" s="146"/>
      <c r="BH510" s="146"/>
      <c r="BI510" s="146"/>
      <c r="BJ510" s="20"/>
      <c r="BK510" s="20"/>
      <c r="BL510" s="154"/>
      <c r="BP510" s="20"/>
      <c r="BQ510" s="154"/>
      <c r="BR510" s="18"/>
      <c r="BS510" s="16"/>
      <c r="BT510" s="18"/>
      <c r="BU510" s="18"/>
      <c r="BV510" s="18"/>
      <c r="BW510" s="20"/>
      <c r="BX510" s="154"/>
      <c r="BY510" s="18"/>
      <c r="BZ510" s="146"/>
      <c r="CA510" s="18"/>
      <c r="CB510" s="18"/>
      <c r="CC510" s="20"/>
      <c r="CD510" s="154"/>
    </row>
    <row r="511" spans="35:82">
      <c r="AI511" s="19"/>
      <c r="AO511" s="19"/>
      <c r="AY511" s="145"/>
      <c r="AZ511" s="16"/>
      <c r="BC511" s="16"/>
      <c r="BD511" s="20"/>
      <c r="BE511" s="17"/>
      <c r="BF511" s="20"/>
      <c r="BG511" s="146"/>
      <c r="BH511" s="146"/>
      <c r="BI511" s="146"/>
      <c r="BJ511" s="20"/>
      <c r="BK511" s="20"/>
      <c r="BL511" s="154"/>
      <c r="BP511" s="20"/>
      <c r="BQ511" s="154"/>
      <c r="BR511" s="18"/>
      <c r="BS511" s="16"/>
      <c r="BT511" s="18"/>
      <c r="BU511" s="18"/>
      <c r="BV511" s="18"/>
      <c r="BW511" s="20"/>
      <c r="BX511" s="154"/>
      <c r="BY511" s="18"/>
      <c r="BZ511" s="146"/>
      <c r="CA511" s="18"/>
      <c r="CB511" s="18"/>
      <c r="CC511" s="20"/>
      <c r="CD511" s="154"/>
    </row>
    <row r="512" spans="35:82">
      <c r="AI512" s="19"/>
      <c r="AO512" s="19"/>
      <c r="AY512" s="145"/>
      <c r="AZ512" s="16"/>
      <c r="BC512" s="16"/>
      <c r="BD512" s="20"/>
      <c r="BE512" s="17"/>
      <c r="BF512" s="20"/>
      <c r="BG512" s="146"/>
      <c r="BH512" s="146"/>
      <c r="BI512" s="146"/>
      <c r="BJ512" s="20"/>
      <c r="BK512" s="20"/>
      <c r="BL512" s="154"/>
      <c r="BP512" s="20"/>
      <c r="BQ512" s="154"/>
      <c r="BR512" s="18"/>
      <c r="BS512" s="16"/>
      <c r="BT512" s="18"/>
      <c r="BU512" s="18"/>
      <c r="BV512" s="18"/>
      <c r="BW512" s="20"/>
      <c r="BX512" s="154"/>
      <c r="BY512" s="18"/>
      <c r="BZ512" s="146"/>
      <c r="CA512" s="18"/>
      <c r="CB512" s="18"/>
      <c r="CC512" s="20"/>
      <c r="CD512" s="154"/>
    </row>
    <row r="513" spans="35:82">
      <c r="AI513" s="19"/>
      <c r="AO513" s="19"/>
      <c r="AY513" s="145"/>
      <c r="AZ513" s="16"/>
      <c r="BC513" s="16"/>
      <c r="BD513" s="20"/>
      <c r="BE513" s="17"/>
      <c r="BF513" s="20"/>
      <c r="BG513" s="146"/>
      <c r="BH513" s="146"/>
      <c r="BI513" s="146"/>
      <c r="BJ513" s="20"/>
      <c r="BK513" s="20"/>
      <c r="BL513" s="154"/>
      <c r="BP513" s="20"/>
      <c r="BQ513" s="154"/>
      <c r="BR513" s="18"/>
      <c r="BS513" s="16"/>
      <c r="BT513" s="18"/>
      <c r="BU513" s="18"/>
      <c r="BV513" s="18"/>
      <c r="BW513" s="20"/>
      <c r="BX513" s="154"/>
      <c r="BY513" s="18"/>
      <c r="BZ513" s="146"/>
      <c r="CA513" s="18"/>
      <c r="CB513" s="18"/>
      <c r="CC513" s="20"/>
      <c r="CD513" s="154"/>
    </row>
    <row r="514" spans="35:82">
      <c r="AI514" s="19"/>
      <c r="AO514" s="19"/>
      <c r="AY514" s="145"/>
      <c r="AZ514" s="16"/>
      <c r="BC514" s="16"/>
      <c r="BD514" s="20"/>
      <c r="BE514" s="17"/>
      <c r="BF514" s="20"/>
      <c r="BG514" s="146"/>
      <c r="BH514" s="146"/>
      <c r="BI514" s="146"/>
      <c r="BJ514" s="20"/>
      <c r="BK514" s="20"/>
      <c r="BL514" s="154"/>
      <c r="BP514" s="20"/>
      <c r="BQ514" s="154"/>
      <c r="BR514" s="18"/>
      <c r="BS514" s="16"/>
      <c r="BT514" s="18"/>
      <c r="BU514" s="18"/>
      <c r="BV514" s="18"/>
      <c r="BW514" s="20"/>
      <c r="BX514" s="154"/>
      <c r="BY514" s="18"/>
      <c r="BZ514" s="146"/>
      <c r="CA514" s="18"/>
      <c r="CB514" s="18"/>
      <c r="CC514" s="20"/>
      <c r="CD514" s="154"/>
    </row>
    <row r="515" spans="35:82">
      <c r="AI515" s="19"/>
      <c r="AO515" s="19"/>
      <c r="AY515" s="145"/>
      <c r="AZ515" s="16"/>
      <c r="BC515" s="16"/>
      <c r="BD515" s="20"/>
      <c r="BE515" s="17"/>
      <c r="BF515" s="20"/>
      <c r="BG515" s="146"/>
      <c r="BH515" s="146"/>
      <c r="BI515" s="146"/>
      <c r="BJ515" s="20"/>
      <c r="BK515" s="20"/>
      <c r="BL515" s="154"/>
      <c r="BP515" s="20"/>
      <c r="BQ515" s="154"/>
      <c r="BR515" s="18"/>
      <c r="BS515" s="16"/>
      <c r="BT515" s="18"/>
      <c r="BU515" s="18"/>
      <c r="BV515" s="18"/>
      <c r="BW515" s="20"/>
      <c r="BX515" s="154"/>
      <c r="BY515" s="18"/>
      <c r="BZ515" s="146"/>
      <c r="CA515" s="18"/>
      <c r="CB515" s="18"/>
      <c r="CC515" s="20"/>
      <c r="CD515" s="154"/>
    </row>
    <row r="516" spans="35:82">
      <c r="AI516" s="19"/>
      <c r="AO516" s="19"/>
      <c r="AY516" s="145"/>
      <c r="AZ516" s="16"/>
      <c r="BC516" s="16"/>
      <c r="BD516" s="20"/>
      <c r="BE516" s="17"/>
      <c r="BF516" s="20"/>
      <c r="BG516" s="146"/>
      <c r="BH516" s="146"/>
      <c r="BI516" s="146"/>
      <c r="BJ516" s="20"/>
      <c r="BK516" s="20"/>
      <c r="BL516" s="154"/>
      <c r="BP516" s="20"/>
      <c r="BQ516" s="154"/>
      <c r="BR516" s="18"/>
      <c r="BS516" s="16"/>
      <c r="BT516" s="18"/>
      <c r="BU516" s="18"/>
      <c r="BV516" s="18"/>
      <c r="BW516" s="20"/>
      <c r="BX516" s="154"/>
      <c r="BY516" s="18"/>
      <c r="BZ516" s="146"/>
      <c r="CA516" s="18"/>
      <c r="CB516" s="18"/>
      <c r="CC516" s="20"/>
      <c r="CD516" s="154"/>
    </row>
    <row r="517" spans="35:82">
      <c r="AI517" s="19"/>
      <c r="AO517" s="19"/>
      <c r="AY517" s="145"/>
      <c r="AZ517" s="16"/>
      <c r="BC517" s="16"/>
      <c r="BD517" s="20"/>
      <c r="BE517" s="17"/>
      <c r="BF517" s="20"/>
      <c r="BG517" s="146"/>
      <c r="BH517" s="146"/>
      <c r="BI517" s="146"/>
      <c r="BJ517" s="20"/>
      <c r="BK517" s="20"/>
      <c r="BL517" s="154"/>
      <c r="BP517" s="20"/>
      <c r="BQ517" s="154"/>
      <c r="BR517" s="18"/>
      <c r="BS517" s="16"/>
      <c r="BT517" s="18"/>
      <c r="BU517" s="18"/>
      <c r="BV517" s="18"/>
      <c r="BW517" s="20"/>
      <c r="BX517" s="154"/>
      <c r="BY517" s="18"/>
      <c r="BZ517" s="146"/>
      <c r="CA517" s="18"/>
      <c r="CB517" s="18"/>
      <c r="CC517" s="20"/>
      <c r="CD517" s="154"/>
    </row>
    <row r="518" spans="35:82">
      <c r="AI518" s="19"/>
      <c r="AO518" s="19"/>
      <c r="AY518" s="145"/>
      <c r="AZ518" s="16"/>
      <c r="BC518" s="16"/>
      <c r="BD518" s="20"/>
      <c r="BE518" s="17"/>
      <c r="BF518" s="20"/>
      <c r="BG518" s="146"/>
      <c r="BH518" s="146"/>
      <c r="BI518" s="146"/>
      <c r="BJ518" s="20"/>
      <c r="BK518" s="20"/>
      <c r="BL518" s="154"/>
      <c r="BP518" s="20"/>
      <c r="BQ518" s="154"/>
      <c r="BR518" s="18"/>
      <c r="BS518" s="16"/>
      <c r="BT518" s="18"/>
      <c r="BU518" s="18"/>
      <c r="BV518" s="18"/>
      <c r="BW518" s="20"/>
      <c r="BX518" s="154"/>
      <c r="BY518" s="18"/>
      <c r="BZ518" s="146"/>
      <c r="CA518" s="18"/>
      <c r="CB518" s="18"/>
      <c r="CC518" s="20"/>
      <c r="CD518" s="154"/>
    </row>
    <row r="519" spans="35:82">
      <c r="AI519" s="19"/>
      <c r="AO519" s="19"/>
      <c r="AY519" s="145"/>
      <c r="AZ519" s="16"/>
      <c r="BC519" s="16"/>
      <c r="BD519" s="20"/>
      <c r="BE519" s="17"/>
      <c r="BF519" s="20"/>
      <c r="BG519" s="146"/>
      <c r="BH519" s="146"/>
      <c r="BI519" s="146"/>
      <c r="BJ519" s="20"/>
      <c r="BK519" s="20"/>
      <c r="BL519" s="154"/>
      <c r="BP519" s="20"/>
      <c r="BQ519" s="154"/>
      <c r="BR519" s="18"/>
      <c r="BS519" s="16"/>
      <c r="BT519" s="18"/>
      <c r="BU519" s="18"/>
      <c r="BV519" s="18"/>
      <c r="BW519" s="20"/>
      <c r="BX519" s="154"/>
      <c r="BY519" s="18"/>
      <c r="BZ519" s="146"/>
      <c r="CA519" s="18"/>
      <c r="CB519" s="18"/>
      <c r="CC519" s="20"/>
      <c r="CD519" s="154"/>
    </row>
    <row r="520" spans="35:82">
      <c r="AI520" s="19"/>
      <c r="AO520" s="19"/>
      <c r="AY520" s="145"/>
      <c r="AZ520" s="16"/>
      <c r="BC520" s="16"/>
      <c r="BD520" s="20"/>
      <c r="BE520" s="17"/>
      <c r="BF520" s="20"/>
      <c r="BG520" s="146"/>
      <c r="BH520" s="146"/>
      <c r="BI520" s="146"/>
      <c r="BJ520" s="20"/>
      <c r="BK520" s="20"/>
      <c r="BL520" s="154"/>
      <c r="BP520" s="20"/>
      <c r="BQ520" s="154"/>
      <c r="BR520" s="18"/>
      <c r="BS520" s="16"/>
      <c r="BT520" s="18"/>
      <c r="BU520" s="18"/>
      <c r="BV520" s="18"/>
      <c r="BW520" s="20"/>
      <c r="BX520" s="154"/>
      <c r="BY520" s="18"/>
      <c r="BZ520" s="146"/>
      <c r="CA520" s="18"/>
      <c r="CB520" s="18"/>
      <c r="CC520" s="20"/>
      <c r="CD520" s="154"/>
    </row>
    <row r="521" spans="35:82">
      <c r="AI521" s="19"/>
      <c r="AO521" s="19"/>
      <c r="AY521" s="145"/>
      <c r="AZ521" s="16"/>
      <c r="BC521" s="16"/>
      <c r="BD521" s="20"/>
      <c r="BE521" s="17"/>
      <c r="BF521" s="20"/>
      <c r="BG521" s="146"/>
      <c r="BH521" s="146"/>
      <c r="BI521" s="146"/>
      <c r="BJ521" s="20"/>
      <c r="BK521" s="20"/>
      <c r="BL521" s="154"/>
      <c r="BP521" s="20"/>
      <c r="BQ521" s="154"/>
      <c r="BR521" s="18"/>
      <c r="BS521" s="16"/>
      <c r="BT521" s="18"/>
      <c r="BU521" s="18"/>
      <c r="BV521" s="18"/>
      <c r="BW521" s="20"/>
      <c r="BX521" s="154"/>
      <c r="BY521" s="18"/>
      <c r="BZ521" s="146"/>
      <c r="CA521" s="18"/>
      <c r="CB521" s="18"/>
      <c r="CC521" s="20"/>
      <c r="CD521" s="154"/>
    </row>
    <row r="522" spans="35:82">
      <c r="AI522" s="19"/>
      <c r="AO522" s="19"/>
      <c r="AY522" s="145"/>
      <c r="AZ522" s="16"/>
      <c r="BC522" s="16"/>
      <c r="BD522" s="20"/>
      <c r="BE522" s="17"/>
      <c r="BF522" s="20"/>
      <c r="BG522" s="146"/>
      <c r="BH522" s="146"/>
      <c r="BI522" s="146"/>
      <c r="BJ522" s="20"/>
      <c r="BK522" s="20"/>
      <c r="BL522" s="154"/>
      <c r="BP522" s="20"/>
      <c r="BQ522" s="154"/>
      <c r="BR522" s="18"/>
      <c r="BS522" s="16"/>
      <c r="BT522" s="18"/>
      <c r="BU522" s="18"/>
      <c r="BV522" s="18"/>
      <c r="BW522" s="20"/>
      <c r="BX522" s="154"/>
      <c r="BY522" s="18"/>
      <c r="BZ522" s="146"/>
      <c r="CA522" s="18"/>
      <c r="CB522" s="18"/>
      <c r="CC522" s="20"/>
      <c r="CD522" s="154"/>
    </row>
    <row r="523" spans="35:82">
      <c r="AI523" s="19"/>
      <c r="AO523" s="19"/>
      <c r="AY523" s="145"/>
      <c r="AZ523" s="16"/>
      <c r="BC523" s="16"/>
      <c r="BD523" s="20"/>
      <c r="BE523" s="17"/>
      <c r="BF523" s="20"/>
      <c r="BG523" s="146"/>
      <c r="BH523" s="146"/>
      <c r="BI523" s="146"/>
      <c r="BJ523" s="20"/>
      <c r="BK523" s="20"/>
      <c r="BL523" s="154"/>
      <c r="BP523" s="20"/>
      <c r="BQ523" s="154"/>
      <c r="BR523" s="18"/>
      <c r="BS523" s="16"/>
      <c r="BT523" s="18"/>
      <c r="BU523" s="18"/>
      <c r="BV523" s="18"/>
      <c r="BW523" s="20"/>
      <c r="BX523" s="154"/>
      <c r="BY523" s="18"/>
      <c r="BZ523" s="146"/>
      <c r="CA523" s="18"/>
      <c r="CB523" s="18"/>
      <c r="CC523" s="20"/>
      <c r="CD523" s="154"/>
    </row>
    <row r="524" spans="35:82">
      <c r="AI524" s="19"/>
      <c r="AO524" s="19"/>
      <c r="AY524" s="145"/>
      <c r="AZ524" s="16"/>
      <c r="BC524" s="16"/>
      <c r="BD524" s="20"/>
      <c r="BE524" s="17"/>
      <c r="BF524" s="20"/>
      <c r="BG524" s="146"/>
      <c r="BH524" s="146"/>
      <c r="BI524" s="146"/>
      <c r="BJ524" s="20"/>
      <c r="BK524" s="20"/>
      <c r="BL524" s="154"/>
      <c r="BP524" s="20"/>
      <c r="BQ524" s="154"/>
      <c r="BR524" s="18"/>
      <c r="BS524" s="16"/>
      <c r="BT524" s="18"/>
      <c r="BU524" s="18"/>
      <c r="BV524" s="18"/>
      <c r="BW524" s="20"/>
      <c r="BX524" s="154"/>
      <c r="BY524" s="18"/>
      <c r="BZ524" s="146"/>
      <c r="CA524" s="18"/>
      <c r="CB524" s="18"/>
      <c r="CC524" s="20"/>
      <c r="CD524" s="154"/>
    </row>
    <row r="525" spans="35:82">
      <c r="AI525" s="19"/>
      <c r="AO525" s="19"/>
      <c r="AY525" s="145"/>
      <c r="AZ525" s="16"/>
      <c r="BC525" s="16"/>
      <c r="BD525" s="20"/>
      <c r="BE525" s="17"/>
      <c r="BF525" s="20"/>
      <c r="BG525" s="146"/>
      <c r="BH525" s="146"/>
      <c r="BI525" s="146"/>
      <c r="BJ525" s="20"/>
      <c r="BK525" s="20"/>
      <c r="BL525" s="154"/>
      <c r="BP525" s="20"/>
      <c r="BQ525" s="154"/>
      <c r="BR525" s="18"/>
      <c r="BS525" s="16"/>
      <c r="BT525" s="18"/>
      <c r="BU525" s="18"/>
      <c r="BV525" s="18"/>
      <c r="BW525" s="20"/>
      <c r="BX525" s="154"/>
      <c r="BY525" s="18"/>
      <c r="BZ525" s="146"/>
      <c r="CA525" s="18"/>
      <c r="CB525" s="18"/>
      <c r="CC525" s="20"/>
      <c r="CD525" s="154"/>
    </row>
    <row r="526" spans="35:82">
      <c r="AI526" s="19"/>
      <c r="AO526" s="19"/>
      <c r="AY526" s="145"/>
      <c r="AZ526" s="16"/>
      <c r="BC526" s="16"/>
      <c r="BD526" s="20"/>
      <c r="BE526" s="17"/>
      <c r="BF526" s="20"/>
      <c r="BG526" s="146"/>
      <c r="BH526" s="146"/>
      <c r="BI526" s="146"/>
      <c r="BJ526" s="20"/>
      <c r="BK526" s="20"/>
      <c r="BL526" s="154"/>
      <c r="BP526" s="20"/>
      <c r="BQ526" s="154"/>
      <c r="BR526" s="18"/>
      <c r="BS526" s="16"/>
      <c r="BT526" s="18"/>
      <c r="BU526" s="18"/>
      <c r="BV526" s="18"/>
      <c r="BW526" s="20"/>
      <c r="BX526" s="154"/>
      <c r="BY526" s="18"/>
      <c r="BZ526" s="146"/>
      <c r="CA526" s="18"/>
      <c r="CB526" s="18"/>
      <c r="CC526" s="20"/>
      <c r="CD526" s="154"/>
    </row>
    <row r="527" spans="35:82">
      <c r="AI527" s="19"/>
      <c r="AO527" s="19"/>
      <c r="AY527" s="145"/>
      <c r="AZ527" s="16"/>
      <c r="BC527" s="16"/>
      <c r="BD527" s="20"/>
      <c r="BE527" s="17"/>
      <c r="BF527" s="20"/>
      <c r="BG527" s="146"/>
      <c r="BH527" s="146"/>
      <c r="BI527" s="146"/>
      <c r="BJ527" s="20"/>
      <c r="BK527" s="20"/>
      <c r="BL527" s="154"/>
      <c r="BP527" s="20"/>
      <c r="BQ527" s="154"/>
      <c r="BR527" s="18"/>
      <c r="BS527" s="16"/>
      <c r="BT527" s="18"/>
      <c r="BU527" s="18"/>
      <c r="BV527" s="18"/>
      <c r="BW527" s="20"/>
      <c r="BX527" s="154"/>
      <c r="BY527" s="18"/>
      <c r="BZ527" s="146"/>
      <c r="CA527" s="18"/>
      <c r="CB527" s="18"/>
      <c r="CC527" s="20"/>
      <c r="CD527" s="154"/>
    </row>
    <row r="528" spans="35:82">
      <c r="AI528" s="19"/>
      <c r="AO528" s="19"/>
      <c r="AY528" s="145"/>
      <c r="AZ528" s="16"/>
      <c r="BC528" s="16"/>
      <c r="BD528" s="20"/>
      <c r="BE528" s="17"/>
      <c r="BF528" s="20"/>
      <c r="BG528" s="146"/>
      <c r="BH528" s="146"/>
      <c r="BI528" s="146"/>
      <c r="BJ528" s="20"/>
      <c r="BK528" s="20"/>
      <c r="BL528" s="154"/>
      <c r="BP528" s="20"/>
      <c r="BQ528" s="154"/>
      <c r="BR528" s="18"/>
      <c r="BS528" s="16"/>
      <c r="BT528" s="18"/>
      <c r="BU528" s="18"/>
      <c r="BV528" s="18"/>
      <c r="BW528" s="20"/>
      <c r="BX528" s="154"/>
      <c r="BY528" s="18"/>
      <c r="BZ528" s="146"/>
      <c r="CA528" s="18"/>
      <c r="CB528" s="18"/>
      <c r="CC528" s="20"/>
      <c r="CD528" s="154"/>
    </row>
    <row r="529" spans="35:82">
      <c r="AI529" s="19"/>
      <c r="AO529" s="19"/>
      <c r="AY529" s="145"/>
      <c r="AZ529" s="16"/>
      <c r="BC529" s="16"/>
      <c r="BD529" s="20"/>
      <c r="BE529" s="17"/>
      <c r="BF529" s="20"/>
      <c r="BG529" s="146"/>
      <c r="BH529" s="146"/>
      <c r="BI529" s="146"/>
      <c r="BJ529" s="20"/>
      <c r="BK529" s="20"/>
      <c r="BL529" s="154"/>
      <c r="BP529" s="20"/>
      <c r="BQ529" s="154"/>
      <c r="BR529" s="18"/>
      <c r="BS529" s="16"/>
      <c r="BT529" s="18"/>
      <c r="BU529" s="18"/>
      <c r="BV529" s="18"/>
      <c r="BW529" s="20"/>
      <c r="BX529" s="154"/>
      <c r="BY529" s="18"/>
      <c r="BZ529" s="146"/>
      <c r="CA529" s="18"/>
      <c r="CB529" s="18"/>
      <c r="CC529" s="20"/>
      <c r="CD529" s="154"/>
    </row>
    <row r="530" spans="35:82">
      <c r="AI530" s="19"/>
      <c r="AO530" s="19"/>
      <c r="AY530" s="145"/>
      <c r="AZ530" s="16"/>
      <c r="BC530" s="16"/>
      <c r="BD530" s="20"/>
      <c r="BE530" s="17"/>
      <c r="BF530" s="20"/>
      <c r="BG530" s="146"/>
      <c r="BH530" s="146"/>
      <c r="BI530" s="146"/>
      <c r="BJ530" s="20"/>
      <c r="BK530" s="20"/>
      <c r="BL530" s="154"/>
      <c r="BP530" s="20"/>
      <c r="BQ530" s="154"/>
      <c r="BR530" s="18"/>
      <c r="BS530" s="16"/>
      <c r="BT530" s="18"/>
      <c r="BU530" s="18"/>
      <c r="BV530" s="18"/>
      <c r="BW530" s="20"/>
      <c r="BX530" s="154"/>
      <c r="BY530" s="18"/>
      <c r="BZ530" s="146"/>
      <c r="CA530" s="18"/>
      <c r="CB530" s="18"/>
      <c r="CC530" s="20"/>
      <c r="CD530" s="154"/>
    </row>
    <row r="531" spans="35:82">
      <c r="AI531" s="19"/>
      <c r="AO531" s="19"/>
      <c r="AY531" s="145"/>
      <c r="AZ531" s="16"/>
      <c r="BC531" s="16"/>
      <c r="BD531" s="20"/>
      <c r="BE531" s="17"/>
      <c r="BF531" s="20"/>
      <c r="BG531" s="146"/>
      <c r="BH531" s="146"/>
      <c r="BI531" s="146"/>
      <c r="BJ531" s="20"/>
      <c r="BK531" s="20"/>
      <c r="BL531" s="154"/>
      <c r="BP531" s="20"/>
      <c r="BQ531" s="154"/>
      <c r="BR531" s="18"/>
      <c r="BS531" s="16"/>
      <c r="BT531" s="18"/>
      <c r="BU531" s="18"/>
      <c r="BV531" s="18"/>
      <c r="BW531" s="20"/>
      <c r="BX531" s="154"/>
      <c r="BY531" s="18"/>
      <c r="BZ531" s="146"/>
      <c r="CA531" s="18"/>
      <c r="CB531" s="18"/>
      <c r="CC531" s="20"/>
      <c r="CD531" s="154"/>
    </row>
    <row r="532" spans="35:82">
      <c r="AI532" s="19"/>
      <c r="AO532" s="19"/>
      <c r="AY532" s="145"/>
      <c r="AZ532" s="16"/>
      <c r="BC532" s="16"/>
      <c r="BD532" s="20"/>
      <c r="BE532" s="17"/>
      <c r="BF532" s="20"/>
      <c r="BG532" s="146"/>
      <c r="BH532" s="146"/>
      <c r="BI532" s="146"/>
      <c r="BJ532" s="20"/>
      <c r="BK532" s="20"/>
      <c r="BL532" s="154"/>
      <c r="BP532" s="20"/>
      <c r="BQ532" s="154"/>
      <c r="BR532" s="18"/>
      <c r="BS532" s="16"/>
      <c r="BT532" s="18"/>
      <c r="BU532" s="18"/>
      <c r="BV532" s="18"/>
      <c r="BW532" s="20"/>
      <c r="BX532" s="154"/>
      <c r="BY532" s="18"/>
      <c r="BZ532" s="146"/>
      <c r="CA532" s="18"/>
      <c r="CB532" s="18"/>
      <c r="CC532" s="20"/>
      <c r="CD532" s="154"/>
    </row>
    <row r="533" spans="35:82">
      <c r="AI533" s="19"/>
      <c r="AO533" s="19"/>
      <c r="AY533" s="145"/>
      <c r="AZ533" s="16"/>
      <c r="BC533" s="16"/>
      <c r="BD533" s="20"/>
      <c r="BE533" s="17"/>
      <c r="BF533" s="20"/>
      <c r="BG533" s="146"/>
      <c r="BH533" s="146"/>
      <c r="BI533" s="146"/>
      <c r="BJ533" s="20"/>
      <c r="BK533" s="20"/>
      <c r="BL533" s="154"/>
      <c r="BP533" s="20"/>
      <c r="BQ533" s="154"/>
      <c r="BR533" s="18"/>
      <c r="BS533" s="16"/>
      <c r="BT533" s="18"/>
      <c r="BU533" s="18"/>
      <c r="BV533" s="18"/>
      <c r="BW533" s="20"/>
      <c r="BX533" s="154"/>
      <c r="BY533" s="18"/>
      <c r="BZ533" s="146"/>
      <c r="CA533" s="18"/>
      <c r="CB533" s="18"/>
      <c r="CC533" s="20"/>
      <c r="CD533" s="154"/>
    </row>
    <row r="534" spans="35:82">
      <c r="AI534" s="19"/>
      <c r="AO534" s="19"/>
      <c r="AY534" s="145"/>
      <c r="AZ534" s="16"/>
      <c r="BC534" s="16"/>
      <c r="BD534" s="20"/>
      <c r="BE534" s="17"/>
      <c r="BF534" s="20"/>
      <c r="BG534" s="146"/>
      <c r="BH534" s="146"/>
      <c r="BI534" s="146"/>
      <c r="BJ534" s="20"/>
      <c r="BK534" s="20"/>
      <c r="BL534" s="154"/>
      <c r="BP534" s="20"/>
      <c r="BQ534" s="154"/>
      <c r="BR534" s="18"/>
      <c r="BS534" s="16"/>
      <c r="BT534" s="18"/>
      <c r="BU534" s="18"/>
      <c r="BV534" s="18"/>
      <c r="BW534" s="20"/>
      <c r="BX534" s="154"/>
      <c r="BY534" s="18"/>
      <c r="BZ534" s="146"/>
      <c r="CA534" s="18"/>
      <c r="CB534" s="18"/>
      <c r="CC534" s="20"/>
      <c r="CD534" s="154"/>
    </row>
    <row r="535" spans="35:82">
      <c r="AI535" s="19"/>
      <c r="AO535" s="19"/>
      <c r="AY535" s="145"/>
      <c r="AZ535" s="16"/>
      <c r="BC535" s="16"/>
      <c r="BD535" s="20"/>
      <c r="BE535" s="17"/>
      <c r="BF535" s="20"/>
      <c r="BG535" s="146"/>
      <c r="BH535" s="146"/>
      <c r="BI535" s="146"/>
      <c r="BJ535" s="20"/>
      <c r="BK535" s="20"/>
      <c r="BL535" s="154"/>
      <c r="BP535" s="20"/>
      <c r="BQ535" s="154"/>
      <c r="BR535" s="18"/>
      <c r="BS535" s="16"/>
      <c r="BT535" s="18"/>
      <c r="BU535" s="18"/>
      <c r="BV535" s="18"/>
      <c r="BW535" s="20"/>
      <c r="BX535" s="154"/>
      <c r="BY535" s="18"/>
      <c r="BZ535" s="146"/>
      <c r="CA535" s="18"/>
      <c r="CB535" s="18"/>
      <c r="CC535" s="20"/>
      <c r="CD535" s="154"/>
    </row>
    <row r="536" spans="35:82">
      <c r="AI536" s="19"/>
      <c r="AO536" s="19"/>
      <c r="AY536" s="145"/>
      <c r="AZ536" s="16"/>
      <c r="BC536" s="16"/>
      <c r="BD536" s="20"/>
      <c r="BE536" s="17"/>
      <c r="BF536" s="20"/>
      <c r="BG536" s="146"/>
      <c r="BH536" s="146"/>
      <c r="BI536" s="146"/>
      <c r="BJ536" s="20"/>
      <c r="BK536" s="20"/>
      <c r="BL536" s="154"/>
      <c r="BP536" s="20"/>
      <c r="BQ536" s="154"/>
      <c r="BR536" s="18"/>
      <c r="BS536" s="16"/>
      <c r="BT536" s="18"/>
      <c r="BU536" s="18"/>
      <c r="BV536" s="18"/>
      <c r="BW536" s="20"/>
      <c r="BX536" s="154"/>
      <c r="BY536" s="18"/>
      <c r="BZ536" s="146"/>
      <c r="CA536" s="18"/>
      <c r="CB536" s="18"/>
      <c r="CC536" s="20"/>
      <c r="CD536" s="154"/>
    </row>
    <row r="537" spans="35:82">
      <c r="AI537" s="19"/>
      <c r="AO537" s="19"/>
      <c r="AY537" s="145"/>
      <c r="AZ537" s="16"/>
      <c r="BC537" s="16"/>
      <c r="BD537" s="20"/>
      <c r="BE537" s="17"/>
      <c r="BF537" s="20"/>
      <c r="BG537" s="146"/>
      <c r="BH537" s="146"/>
      <c r="BI537" s="146"/>
      <c r="BJ537" s="20"/>
      <c r="BK537" s="20"/>
      <c r="BL537" s="154"/>
      <c r="BP537" s="20"/>
      <c r="BQ537" s="154"/>
      <c r="BR537" s="18"/>
      <c r="BS537" s="16"/>
      <c r="BT537" s="18"/>
      <c r="BU537" s="18"/>
      <c r="BV537" s="18"/>
      <c r="BW537" s="20"/>
      <c r="BX537" s="154"/>
      <c r="BY537" s="18"/>
      <c r="BZ537" s="146"/>
      <c r="CA537" s="18"/>
      <c r="CB537" s="18"/>
      <c r="CC537" s="20"/>
      <c r="CD537" s="154"/>
    </row>
    <row r="538" spans="35:82">
      <c r="AI538" s="19"/>
      <c r="AO538" s="19"/>
      <c r="AY538" s="145"/>
      <c r="AZ538" s="16"/>
      <c r="BC538" s="16"/>
      <c r="BD538" s="20"/>
      <c r="BE538" s="17"/>
      <c r="BF538" s="20"/>
      <c r="BG538" s="146"/>
      <c r="BH538" s="146"/>
      <c r="BI538" s="146"/>
      <c r="BJ538" s="20"/>
      <c r="BK538" s="20"/>
      <c r="BL538" s="154"/>
      <c r="BP538" s="20"/>
      <c r="BQ538" s="154"/>
      <c r="BR538" s="18"/>
      <c r="BS538" s="16"/>
      <c r="BT538" s="18"/>
      <c r="BU538" s="18"/>
      <c r="BV538" s="18"/>
      <c r="BW538" s="20"/>
      <c r="BX538" s="154"/>
      <c r="BY538" s="18"/>
      <c r="BZ538" s="146"/>
      <c r="CA538" s="18"/>
      <c r="CB538" s="18"/>
      <c r="CC538" s="20"/>
      <c r="CD538" s="154"/>
    </row>
    <row r="539" spans="35:82">
      <c r="AI539" s="19"/>
      <c r="AO539" s="19"/>
      <c r="AY539" s="145"/>
      <c r="AZ539" s="16"/>
      <c r="BC539" s="16"/>
      <c r="BD539" s="20"/>
      <c r="BE539" s="17"/>
      <c r="BF539" s="20"/>
      <c r="BG539" s="146"/>
      <c r="BH539" s="146"/>
      <c r="BI539" s="146"/>
      <c r="BJ539" s="20"/>
      <c r="BK539" s="20"/>
      <c r="BL539" s="154"/>
      <c r="BP539" s="20"/>
      <c r="BQ539" s="154"/>
      <c r="BR539" s="18"/>
      <c r="BS539" s="16"/>
      <c r="BT539" s="18"/>
      <c r="BU539" s="18"/>
      <c r="BV539" s="18"/>
      <c r="BW539" s="20"/>
      <c r="BX539" s="154"/>
      <c r="BY539" s="18"/>
      <c r="BZ539" s="146"/>
      <c r="CA539" s="18"/>
      <c r="CB539" s="18"/>
      <c r="CC539" s="20"/>
      <c r="CD539" s="154"/>
    </row>
    <row r="540" spans="35:82">
      <c r="AI540" s="19"/>
      <c r="AO540" s="19"/>
      <c r="AY540" s="145"/>
      <c r="AZ540" s="16"/>
      <c r="BC540" s="16"/>
      <c r="BD540" s="20"/>
      <c r="BE540" s="17"/>
      <c r="BF540" s="20"/>
      <c r="BG540" s="146"/>
      <c r="BH540" s="146"/>
      <c r="BI540" s="146"/>
      <c r="BJ540" s="20"/>
      <c r="BK540" s="20"/>
      <c r="BL540" s="154"/>
      <c r="BP540" s="20"/>
      <c r="BQ540" s="154"/>
      <c r="BR540" s="18"/>
      <c r="BS540" s="16"/>
      <c r="BT540" s="18"/>
      <c r="BU540" s="18"/>
      <c r="BV540" s="18"/>
      <c r="BW540" s="20"/>
      <c r="BX540" s="154"/>
      <c r="BY540" s="18"/>
      <c r="BZ540" s="146"/>
      <c r="CA540" s="18"/>
      <c r="CB540" s="18"/>
      <c r="CC540" s="20"/>
      <c r="CD540" s="154"/>
    </row>
    <row r="541" spans="35:82">
      <c r="AI541" s="19"/>
      <c r="AO541" s="19"/>
      <c r="AY541" s="145"/>
      <c r="AZ541" s="16"/>
      <c r="BC541" s="16"/>
      <c r="BD541" s="20"/>
      <c r="BE541" s="17"/>
      <c r="BF541" s="20"/>
      <c r="BG541" s="146"/>
      <c r="BH541" s="146"/>
      <c r="BI541" s="146"/>
      <c r="BJ541" s="20"/>
      <c r="BK541" s="20"/>
      <c r="BL541" s="154"/>
      <c r="BP541" s="20"/>
      <c r="BQ541" s="154"/>
      <c r="BR541" s="18"/>
      <c r="BS541" s="16"/>
      <c r="BT541" s="18"/>
      <c r="BU541" s="18"/>
      <c r="BV541" s="18"/>
      <c r="BW541" s="20"/>
      <c r="BX541" s="154"/>
      <c r="BY541" s="18"/>
      <c r="BZ541" s="146"/>
      <c r="CA541" s="18"/>
      <c r="CB541" s="18"/>
      <c r="CC541" s="20"/>
      <c r="CD541" s="154"/>
    </row>
    <row r="542" spans="35:82">
      <c r="AI542" s="19"/>
      <c r="AO542" s="19"/>
      <c r="AY542" s="145"/>
      <c r="AZ542" s="16"/>
      <c r="BC542" s="16"/>
      <c r="BD542" s="20"/>
      <c r="BE542" s="17"/>
      <c r="BF542" s="20"/>
      <c r="BG542" s="146"/>
      <c r="BH542" s="146"/>
      <c r="BI542" s="146"/>
      <c r="BJ542" s="20"/>
      <c r="BK542" s="20"/>
      <c r="BL542" s="154"/>
      <c r="BP542" s="20"/>
      <c r="BQ542" s="154"/>
      <c r="BR542" s="18"/>
      <c r="BS542" s="16"/>
      <c r="BT542" s="18"/>
      <c r="BU542" s="18"/>
      <c r="BV542" s="18"/>
      <c r="BW542" s="20"/>
      <c r="BX542" s="154"/>
      <c r="BY542" s="18"/>
      <c r="BZ542" s="146"/>
      <c r="CA542" s="18"/>
      <c r="CB542" s="18"/>
      <c r="CC542" s="20"/>
      <c r="CD542" s="154"/>
    </row>
    <row r="543" spans="35:82">
      <c r="AI543" s="19"/>
      <c r="AO543" s="19"/>
      <c r="AY543" s="145"/>
      <c r="AZ543" s="16"/>
      <c r="BC543" s="16"/>
      <c r="BD543" s="20"/>
      <c r="BE543" s="17"/>
      <c r="BF543" s="20"/>
      <c r="BG543" s="146"/>
      <c r="BH543" s="146"/>
      <c r="BI543" s="146"/>
      <c r="BJ543" s="20"/>
      <c r="BK543" s="20"/>
      <c r="BL543" s="154"/>
      <c r="BP543" s="20"/>
      <c r="BQ543" s="154"/>
      <c r="BR543" s="18"/>
      <c r="BS543" s="16"/>
      <c r="BT543" s="18"/>
      <c r="BU543" s="18"/>
      <c r="BV543" s="18"/>
      <c r="BW543" s="20"/>
      <c r="BX543" s="154"/>
      <c r="BY543" s="18"/>
      <c r="BZ543" s="146"/>
      <c r="CA543" s="18"/>
      <c r="CB543" s="18"/>
      <c r="CC543" s="20"/>
      <c r="CD543" s="154"/>
    </row>
    <row r="544" spans="35:82">
      <c r="AI544" s="19"/>
      <c r="AO544" s="19"/>
      <c r="AY544" s="145"/>
      <c r="AZ544" s="16"/>
      <c r="BC544" s="16"/>
      <c r="BD544" s="20"/>
      <c r="BE544" s="17"/>
      <c r="BF544" s="20"/>
      <c r="BG544" s="146"/>
      <c r="BH544" s="146"/>
      <c r="BI544" s="146"/>
      <c r="BJ544" s="20"/>
      <c r="BK544" s="20"/>
      <c r="BL544" s="154"/>
      <c r="BP544" s="20"/>
      <c r="BQ544" s="154"/>
      <c r="BR544" s="18"/>
      <c r="BS544" s="16"/>
      <c r="BT544" s="18"/>
      <c r="BU544" s="18"/>
      <c r="BV544" s="18"/>
      <c r="BW544" s="20"/>
      <c r="BX544" s="154"/>
      <c r="BY544" s="18"/>
      <c r="BZ544" s="146"/>
      <c r="CA544" s="18"/>
      <c r="CB544" s="18"/>
      <c r="CC544" s="20"/>
      <c r="CD544" s="154"/>
    </row>
    <row r="545" spans="35:82">
      <c r="AI545" s="19"/>
      <c r="AO545" s="19"/>
      <c r="AY545" s="145"/>
      <c r="AZ545" s="16"/>
      <c r="BC545" s="16"/>
      <c r="BD545" s="20"/>
      <c r="BE545" s="17"/>
      <c r="BF545" s="20"/>
      <c r="BG545" s="146"/>
      <c r="BH545" s="146"/>
      <c r="BI545" s="146"/>
      <c r="BJ545" s="20"/>
      <c r="BK545" s="20"/>
      <c r="BL545" s="154"/>
      <c r="BP545" s="20"/>
      <c r="BQ545" s="154"/>
      <c r="BR545" s="18"/>
      <c r="BS545" s="16"/>
      <c r="BT545" s="18"/>
      <c r="BU545" s="18"/>
      <c r="BV545" s="18"/>
      <c r="BW545" s="20"/>
      <c r="BX545" s="154"/>
      <c r="BY545" s="18"/>
      <c r="BZ545" s="146"/>
      <c r="CA545" s="18"/>
      <c r="CB545" s="18"/>
      <c r="CC545" s="20"/>
      <c r="CD545" s="154"/>
    </row>
    <row r="546" spans="35:82">
      <c r="AI546" s="19"/>
      <c r="AO546" s="19"/>
      <c r="AY546" s="145"/>
      <c r="AZ546" s="16"/>
      <c r="BC546" s="16"/>
      <c r="BD546" s="20"/>
      <c r="BE546" s="17"/>
      <c r="BF546" s="20"/>
      <c r="BG546" s="146"/>
      <c r="BH546" s="146"/>
      <c r="BI546" s="146"/>
      <c r="BJ546" s="20"/>
      <c r="BK546" s="20"/>
      <c r="BL546" s="154"/>
      <c r="BP546" s="20"/>
      <c r="BQ546" s="154"/>
      <c r="BR546" s="18"/>
      <c r="BS546" s="16"/>
      <c r="BT546" s="18"/>
      <c r="BU546" s="18"/>
      <c r="BV546" s="18"/>
      <c r="BW546" s="20"/>
      <c r="BX546" s="154"/>
      <c r="BY546" s="18"/>
      <c r="BZ546" s="146"/>
      <c r="CA546" s="18"/>
      <c r="CB546" s="18"/>
      <c r="CC546" s="20"/>
      <c r="CD546" s="154"/>
    </row>
    <row r="547" spans="35:82">
      <c r="AI547" s="19"/>
      <c r="AO547" s="19"/>
      <c r="AY547" s="145"/>
      <c r="AZ547" s="16"/>
      <c r="BC547" s="16"/>
      <c r="BD547" s="20"/>
      <c r="BE547" s="17"/>
      <c r="BF547" s="20"/>
      <c r="BG547" s="146"/>
      <c r="BH547" s="146"/>
      <c r="BI547" s="146"/>
      <c r="BJ547" s="20"/>
      <c r="BK547" s="20"/>
      <c r="BL547" s="154"/>
      <c r="BP547" s="20"/>
      <c r="BQ547" s="154"/>
      <c r="BR547" s="18"/>
      <c r="BS547" s="16"/>
      <c r="BT547" s="18"/>
      <c r="BU547" s="18"/>
      <c r="BV547" s="18"/>
      <c r="BW547" s="20"/>
      <c r="BX547" s="154"/>
      <c r="BY547" s="18"/>
      <c r="BZ547" s="146"/>
      <c r="CA547" s="18"/>
      <c r="CB547" s="18"/>
      <c r="CC547" s="20"/>
      <c r="CD547" s="154"/>
    </row>
    <row r="548" spans="35:82">
      <c r="AI548" s="19"/>
      <c r="AO548" s="19"/>
      <c r="AY548" s="145"/>
      <c r="AZ548" s="16"/>
      <c r="BC548" s="16"/>
      <c r="BD548" s="20"/>
      <c r="BE548" s="17"/>
      <c r="BF548" s="20"/>
      <c r="BG548" s="146"/>
      <c r="BH548" s="146"/>
      <c r="BI548" s="146"/>
      <c r="BJ548" s="20"/>
      <c r="BK548" s="20"/>
      <c r="BL548" s="154"/>
      <c r="BP548" s="20"/>
      <c r="BQ548" s="154"/>
      <c r="BR548" s="18"/>
      <c r="BS548" s="16"/>
      <c r="BT548" s="18"/>
      <c r="BU548" s="18"/>
      <c r="BV548" s="18"/>
      <c r="BW548" s="20"/>
      <c r="BX548" s="154"/>
      <c r="BY548" s="18"/>
      <c r="BZ548" s="146"/>
      <c r="CA548" s="18"/>
      <c r="CB548" s="18"/>
      <c r="CC548" s="20"/>
      <c r="CD548" s="154"/>
    </row>
    <row r="549" spans="35:82">
      <c r="AI549" s="19"/>
      <c r="AO549" s="19"/>
      <c r="AY549" s="145"/>
      <c r="AZ549" s="16"/>
      <c r="BC549" s="16"/>
      <c r="BD549" s="20"/>
      <c r="BE549" s="17"/>
      <c r="BF549" s="20"/>
      <c r="BG549" s="146"/>
      <c r="BH549" s="146"/>
      <c r="BI549" s="146"/>
      <c r="BJ549" s="20"/>
      <c r="BK549" s="20"/>
      <c r="BL549" s="154"/>
      <c r="BP549" s="20"/>
      <c r="BQ549" s="154"/>
      <c r="BR549" s="18"/>
      <c r="BS549" s="16"/>
      <c r="BT549" s="18"/>
      <c r="BU549" s="18"/>
      <c r="BV549" s="18"/>
      <c r="BW549" s="20"/>
      <c r="BX549" s="154"/>
      <c r="BY549" s="18"/>
      <c r="BZ549" s="146"/>
      <c r="CA549" s="18"/>
      <c r="CB549" s="18"/>
      <c r="CC549" s="20"/>
      <c r="CD549" s="154"/>
    </row>
    <row r="550" spans="35:82">
      <c r="AI550" s="19"/>
      <c r="AO550" s="19"/>
      <c r="AY550" s="145"/>
      <c r="AZ550" s="16"/>
      <c r="BC550" s="16"/>
      <c r="BD550" s="20"/>
      <c r="BE550" s="17"/>
      <c r="BF550" s="20"/>
      <c r="BG550" s="146"/>
      <c r="BH550" s="146"/>
      <c r="BI550" s="146"/>
      <c r="BJ550" s="20"/>
      <c r="BK550" s="20"/>
      <c r="BL550" s="154"/>
      <c r="BP550" s="20"/>
      <c r="BQ550" s="154"/>
      <c r="BR550" s="18"/>
      <c r="BS550" s="16"/>
      <c r="BT550" s="18"/>
      <c r="BU550" s="18"/>
      <c r="BV550" s="18"/>
      <c r="BW550" s="20"/>
      <c r="BX550" s="154"/>
      <c r="BY550" s="18"/>
      <c r="BZ550" s="146"/>
      <c r="CA550" s="18"/>
      <c r="CB550" s="18"/>
      <c r="CC550" s="20"/>
      <c r="CD550" s="154"/>
    </row>
    <row r="551" spans="35:82">
      <c r="AI551" s="19"/>
      <c r="AO551" s="19"/>
      <c r="AY551" s="145"/>
      <c r="AZ551" s="16"/>
      <c r="BC551" s="16"/>
      <c r="BD551" s="20"/>
      <c r="BE551" s="17"/>
      <c r="BF551" s="20"/>
      <c r="BG551" s="146"/>
      <c r="BH551" s="146"/>
      <c r="BI551" s="146"/>
      <c r="BJ551" s="20"/>
      <c r="BK551" s="20"/>
      <c r="BL551" s="154"/>
      <c r="BP551" s="20"/>
      <c r="BQ551" s="154"/>
      <c r="BR551" s="18"/>
      <c r="BS551" s="16"/>
      <c r="BT551" s="18"/>
      <c r="BU551" s="18"/>
      <c r="BV551" s="18"/>
      <c r="BW551" s="20"/>
      <c r="BX551" s="154"/>
      <c r="BY551" s="18"/>
      <c r="BZ551" s="146"/>
      <c r="CA551" s="18"/>
      <c r="CB551" s="18"/>
      <c r="CC551" s="20"/>
      <c r="CD551" s="154"/>
    </row>
    <row r="552" spans="35:82">
      <c r="AI552" s="19"/>
      <c r="AO552" s="19"/>
      <c r="AY552" s="145"/>
      <c r="AZ552" s="16"/>
      <c r="BC552" s="16"/>
      <c r="BD552" s="20"/>
      <c r="BE552" s="17"/>
      <c r="BF552" s="20"/>
      <c r="BG552" s="146"/>
      <c r="BH552" s="146"/>
      <c r="BI552" s="146"/>
      <c r="BJ552" s="20"/>
      <c r="BK552" s="20"/>
      <c r="BL552" s="154"/>
      <c r="BP552" s="20"/>
      <c r="BQ552" s="154"/>
      <c r="BR552" s="18"/>
      <c r="BS552" s="16"/>
      <c r="BT552" s="18"/>
      <c r="BU552" s="18"/>
      <c r="BV552" s="18"/>
      <c r="BW552" s="20"/>
      <c r="BX552" s="154"/>
      <c r="BY552" s="18"/>
      <c r="BZ552" s="146"/>
      <c r="CA552" s="18"/>
      <c r="CB552" s="18"/>
      <c r="CC552" s="20"/>
      <c r="CD552" s="154"/>
    </row>
    <row r="553" spans="35:82">
      <c r="AI553" s="19"/>
      <c r="AO553" s="19"/>
      <c r="AY553" s="145"/>
      <c r="AZ553" s="16"/>
      <c r="BC553" s="16"/>
      <c r="BD553" s="20"/>
      <c r="BE553" s="17"/>
      <c r="BF553" s="20"/>
      <c r="BG553" s="146"/>
      <c r="BH553" s="146"/>
      <c r="BI553" s="146"/>
      <c r="BJ553" s="20"/>
      <c r="BK553" s="20"/>
      <c r="BL553" s="154"/>
      <c r="BP553" s="20"/>
      <c r="BQ553" s="154"/>
      <c r="BR553" s="18"/>
      <c r="BS553" s="16"/>
      <c r="BT553" s="18"/>
      <c r="BU553" s="18"/>
      <c r="BV553" s="18"/>
      <c r="BW553" s="20"/>
      <c r="BX553" s="154"/>
      <c r="BY553" s="18"/>
      <c r="BZ553" s="146"/>
      <c r="CA553" s="18"/>
      <c r="CB553" s="18"/>
      <c r="CC553" s="20"/>
      <c r="CD553" s="154"/>
    </row>
    <row r="554" spans="35:82">
      <c r="AI554" s="19"/>
      <c r="AO554" s="19"/>
      <c r="AY554" s="145"/>
      <c r="AZ554" s="16"/>
      <c r="BC554" s="16"/>
      <c r="BD554" s="20"/>
      <c r="BE554" s="17"/>
      <c r="BF554" s="20"/>
      <c r="BG554" s="146"/>
      <c r="BH554" s="146"/>
      <c r="BI554" s="146"/>
      <c r="BJ554" s="20"/>
      <c r="BK554" s="20"/>
      <c r="BL554" s="154"/>
      <c r="BP554" s="20"/>
      <c r="BQ554" s="154"/>
      <c r="BR554" s="18"/>
      <c r="BS554" s="16"/>
      <c r="BT554" s="18"/>
      <c r="BU554" s="18"/>
      <c r="BV554" s="18"/>
      <c r="BW554" s="20"/>
      <c r="BX554" s="154"/>
      <c r="BY554" s="18"/>
      <c r="BZ554" s="146"/>
      <c r="CA554" s="18"/>
      <c r="CB554" s="18"/>
      <c r="CC554" s="20"/>
      <c r="CD554" s="154"/>
    </row>
    <row r="555" spans="35:82">
      <c r="AI555" s="19"/>
      <c r="AO555" s="19"/>
      <c r="AY555" s="145"/>
      <c r="AZ555" s="16"/>
      <c r="BC555" s="16"/>
      <c r="BD555" s="20"/>
      <c r="BE555" s="17"/>
      <c r="BF555" s="20"/>
      <c r="BG555" s="146"/>
      <c r="BH555" s="146"/>
      <c r="BI555" s="146"/>
      <c r="BJ555" s="20"/>
      <c r="BK555" s="20"/>
      <c r="BL555" s="154"/>
      <c r="BP555" s="20"/>
      <c r="BQ555" s="154"/>
      <c r="BR555" s="18"/>
      <c r="BS555" s="16"/>
      <c r="BT555" s="18"/>
      <c r="BU555" s="18"/>
      <c r="BV555" s="18"/>
      <c r="BW555" s="20"/>
      <c r="BX555" s="154"/>
      <c r="BY555" s="18"/>
      <c r="BZ555" s="146"/>
      <c r="CA555" s="18"/>
      <c r="CB555" s="18"/>
      <c r="CC555" s="20"/>
      <c r="CD555" s="154"/>
    </row>
    <row r="556" spans="35:82">
      <c r="AI556" s="19"/>
      <c r="AO556" s="19"/>
      <c r="AY556" s="145"/>
      <c r="AZ556" s="16"/>
      <c r="BC556" s="16"/>
      <c r="BD556" s="20"/>
      <c r="BE556" s="17"/>
      <c r="BF556" s="20"/>
      <c r="BG556" s="146"/>
      <c r="BH556" s="146"/>
      <c r="BI556" s="146"/>
      <c r="BJ556" s="20"/>
      <c r="BK556" s="20"/>
      <c r="BL556" s="154"/>
      <c r="BP556" s="20"/>
      <c r="BQ556" s="154"/>
      <c r="BR556" s="18"/>
      <c r="BS556" s="16"/>
      <c r="BT556" s="18"/>
      <c r="BU556" s="18"/>
      <c r="BV556" s="18"/>
      <c r="BW556" s="20"/>
      <c r="BX556" s="154"/>
      <c r="BY556" s="18"/>
      <c r="BZ556" s="146"/>
      <c r="CA556" s="18"/>
      <c r="CB556" s="18"/>
      <c r="CC556" s="20"/>
      <c r="CD556" s="154"/>
    </row>
    <row r="557" spans="35:82">
      <c r="AI557" s="19"/>
      <c r="AO557" s="19"/>
      <c r="AY557" s="145"/>
      <c r="AZ557" s="16"/>
      <c r="BC557" s="16"/>
      <c r="BD557" s="20"/>
      <c r="BE557" s="17"/>
      <c r="BF557" s="20"/>
      <c r="BG557" s="146"/>
      <c r="BH557" s="146"/>
      <c r="BI557" s="146"/>
      <c r="BJ557" s="20"/>
      <c r="BK557" s="20"/>
      <c r="BL557" s="154"/>
      <c r="BP557" s="20"/>
      <c r="BQ557" s="154"/>
      <c r="BR557" s="18"/>
      <c r="BS557" s="16"/>
      <c r="BT557" s="18"/>
      <c r="BU557" s="18"/>
      <c r="BV557" s="18"/>
      <c r="BW557" s="20"/>
      <c r="BX557" s="154"/>
      <c r="BY557" s="18"/>
      <c r="BZ557" s="146"/>
      <c r="CA557" s="18"/>
      <c r="CB557" s="18"/>
      <c r="CC557" s="20"/>
      <c r="CD557" s="154"/>
    </row>
    <row r="558" spans="35:82">
      <c r="AI558" s="19"/>
      <c r="AO558" s="19"/>
      <c r="AY558" s="145"/>
      <c r="AZ558" s="16"/>
      <c r="BC558" s="16"/>
      <c r="BD558" s="20"/>
      <c r="BE558" s="17"/>
      <c r="BF558" s="20"/>
      <c r="BG558" s="146"/>
      <c r="BH558" s="146"/>
      <c r="BI558" s="146"/>
      <c r="BJ558" s="20"/>
      <c r="BK558" s="20"/>
      <c r="BL558" s="154"/>
      <c r="BP558" s="20"/>
      <c r="BQ558" s="154"/>
      <c r="BR558" s="18"/>
      <c r="BS558" s="16"/>
      <c r="BT558" s="18"/>
      <c r="BU558" s="18"/>
      <c r="BV558" s="18"/>
      <c r="BW558" s="20"/>
      <c r="BX558" s="154"/>
      <c r="BY558" s="18"/>
      <c r="BZ558" s="146"/>
      <c r="CA558" s="18"/>
      <c r="CB558" s="18"/>
      <c r="CC558" s="20"/>
      <c r="CD558" s="154"/>
    </row>
    <row r="559" spans="35:82">
      <c r="AI559" s="19"/>
      <c r="AO559" s="19"/>
      <c r="AY559" s="145"/>
      <c r="AZ559" s="16"/>
      <c r="BC559" s="16"/>
      <c r="BD559" s="20"/>
      <c r="BE559" s="17"/>
      <c r="BF559" s="20"/>
      <c r="BG559" s="146"/>
      <c r="BH559" s="146"/>
      <c r="BI559" s="146"/>
      <c r="BJ559" s="20"/>
      <c r="BK559" s="20"/>
      <c r="BL559" s="154"/>
      <c r="BP559" s="20"/>
      <c r="BQ559" s="154"/>
      <c r="BR559" s="18"/>
      <c r="BS559" s="16"/>
      <c r="BT559" s="18"/>
      <c r="BU559" s="18"/>
      <c r="BV559" s="18"/>
      <c r="BW559" s="20"/>
      <c r="BX559" s="154"/>
      <c r="BY559" s="18"/>
      <c r="BZ559" s="146"/>
      <c r="CA559" s="18"/>
      <c r="CB559" s="18"/>
      <c r="CC559" s="20"/>
      <c r="CD559" s="154"/>
    </row>
    <row r="560" spans="35:82">
      <c r="AI560" s="19"/>
      <c r="AO560" s="19"/>
      <c r="AY560" s="145"/>
      <c r="AZ560" s="16"/>
      <c r="BC560" s="16"/>
      <c r="BD560" s="20"/>
      <c r="BE560" s="17"/>
      <c r="BF560" s="20"/>
      <c r="BG560" s="146"/>
      <c r="BH560" s="146"/>
      <c r="BI560" s="146"/>
      <c r="BJ560" s="20"/>
      <c r="BK560" s="20"/>
      <c r="BL560" s="154"/>
      <c r="BP560" s="20"/>
      <c r="BQ560" s="154"/>
      <c r="BR560" s="18"/>
      <c r="BS560" s="16"/>
      <c r="BT560" s="18"/>
      <c r="BU560" s="18"/>
      <c r="BV560" s="18"/>
      <c r="BW560" s="20"/>
      <c r="BX560" s="154"/>
      <c r="BY560" s="18"/>
      <c r="BZ560" s="146"/>
      <c r="CA560" s="18"/>
      <c r="CB560" s="18"/>
      <c r="CC560" s="20"/>
      <c r="CD560" s="154"/>
    </row>
    <row r="561" spans="35:82">
      <c r="AI561" s="19"/>
      <c r="AO561" s="19"/>
      <c r="AY561" s="145"/>
      <c r="AZ561" s="16"/>
      <c r="BC561" s="16"/>
      <c r="BD561" s="20"/>
      <c r="BE561" s="17"/>
      <c r="BF561" s="20"/>
      <c r="BG561" s="146"/>
      <c r="BH561" s="146"/>
      <c r="BI561" s="146"/>
      <c r="BJ561" s="20"/>
      <c r="BK561" s="20"/>
      <c r="BL561" s="154"/>
      <c r="BP561" s="20"/>
      <c r="BQ561" s="154"/>
      <c r="BR561" s="18"/>
      <c r="BS561" s="16"/>
      <c r="BT561" s="18"/>
      <c r="BU561" s="18"/>
      <c r="BV561" s="18"/>
      <c r="BW561" s="20"/>
      <c r="BX561" s="154"/>
      <c r="BY561" s="18"/>
      <c r="BZ561" s="146"/>
      <c r="CA561" s="18"/>
      <c r="CB561" s="18"/>
      <c r="CC561" s="20"/>
      <c r="CD561" s="154"/>
    </row>
    <row r="562" spans="35:82">
      <c r="AI562" s="19"/>
      <c r="AO562" s="19"/>
      <c r="AY562" s="145"/>
      <c r="AZ562" s="16"/>
      <c r="BC562" s="16"/>
      <c r="BD562" s="20"/>
      <c r="BE562" s="17"/>
      <c r="BF562" s="20"/>
      <c r="BG562" s="146"/>
      <c r="BH562" s="146"/>
      <c r="BI562" s="146"/>
      <c r="BJ562" s="20"/>
      <c r="BK562" s="20"/>
      <c r="BL562" s="154"/>
      <c r="BP562" s="20"/>
      <c r="BQ562" s="154"/>
      <c r="BR562" s="18"/>
      <c r="BS562" s="16"/>
      <c r="BT562" s="18"/>
      <c r="BU562" s="18"/>
      <c r="BV562" s="18"/>
      <c r="BW562" s="20"/>
      <c r="BX562" s="154"/>
      <c r="BY562" s="18"/>
      <c r="BZ562" s="146"/>
      <c r="CA562" s="18"/>
      <c r="CB562" s="18"/>
      <c r="CC562" s="20"/>
      <c r="CD562" s="154"/>
    </row>
    <row r="563" spans="35:82">
      <c r="AI563" s="19"/>
      <c r="AO563" s="19"/>
      <c r="AY563" s="145"/>
      <c r="AZ563" s="16"/>
      <c r="BC563" s="16"/>
      <c r="BD563" s="20"/>
      <c r="BE563" s="17"/>
      <c r="BF563" s="20"/>
      <c r="BG563" s="146"/>
      <c r="BH563" s="146"/>
      <c r="BI563" s="146"/>
      <c r="BJ563" s="20"/>
      <c r="BK563" s="20"/>
      <c r="BL563" s="154"/>
      <c r="BP563" s="20"/>
      <c r="BQ563" s="154"/>
      <c r="BR563" s="18"/>
      <c r="BS563" s="16"/>
      <c r="BT563" s="18"/>
      <c r="BU563" s="18"/>
      <c r="BV563" s="18"/>
      <c r="BW563" s="20"/>
      <c r="BX563" s="154"/>
      <c r="BY563" s="18"/>
      <c r="BZ563" s="146"/>
      <c r="CA563" s="18"/>
      <c r="CB563" s="18"/>
      <c r="CC563" s="20"/>
      <c r="CD563" s="154"/>
    </row>
    <row r="564" spans="35:82">
      <c r="AI564" s="19"/>
      <c r="AO564" s="19"/>
      <c r="AY564" s="145"/>
      <c r="AZ564" s="16"/>
      <c r="BC564" s="16"/>
      <c r="BD564" s="20"/>
      <c r="BE564" s="17"/>
      <c r="BF564" s="20"/>
      <c r="BG564" s="146"/>
      <c r="BH564" s="146"/>
      <c r="BI564" s="146"/>
      <c r="BJ564" s="20"/>
      <c r="BK564" s="20"/>
      <c r="BL564" s="154"/>
      <c r="BP564" s="20"/>
      <c r="BQ564" s="154"/>
      <c r="BR564" s="18"/>
      <c r="BS564" s="16"/>
      <c r="BT564" s="18"/>
      <c r="BU564" s="18"/>
      <c r="BV564" s="18"/>
      <c r="BW564" s="20"/>
      <c r="BX564" s="154"/>
      <c r="BY564" s="18"/>
      <c r="BZ564" s="146"/>
      <c r="CA564" s="18"/>
      <c r="CB564" s="18"/>
      <c r="CC564" s="20"/>
      <c r="CD564" s="154"/>
    </row>
    <row r="565" spans="35:82">
      <c r="AI565" s="19"/>
      <c r="AO565" s="19"/>
      <c r="AY565" s="145"/>
      <c r="AZ565" s="16"/>
      <c r="BC565" s="16"/>
      <c r="BD565" s="20"/>
      <c r="BE565" s="17"/>
      <c r="BF565" s="20"/>
      <c r="BG565" s="146"/>
      <c r="BH565" s="146"/>
      <c r="BI565" s="146"/>
      <c r="BJ565" s="20"/>
      <c r="BK565" s="20"/>
      <c r="BL565" s="154"/>
      <c r="BP565" s="20"/>
      <c r="BQ565" s="154"/>
      <c r="BR565" s="18"/>
      <c r="BS565" s="16"/>
      <c r="BT565" s="18"/>
      <c r="BU565" s="18"/>
      <c r="BV565" s="18"/>
      <c r="BW565" s="20"/>
      <c r="BX565" s="154"/>
      <c r="BY565" s="18"/>
      <c r="BZ565" s="146"/>
      <c r="CA565" s="18"/>
      <c r="CB565" s="18"/>
      <c r="CC565" s="20"/>
      <c r="CD565" s="154"/>
    </row>
    <row r="566" spans="35:82">
      <c r="AI566" s="19"/>
      <c r="AO566" s="19"/>
      <c r="AY566" s="145"/>
      <c r="AZ566" s="16"/>
      <c r="BC566" s="16"/>
      <c r="BD566" s="20"/>
      <c r="BE566" s="17"/>
      <c r="BF566" s="20"/>
      <c r="BG566" s="146"/>
      <c r="BH566" s="146"/>
      <c r="BI566" s="146"/>
      <c r="BJ566" s="20"/>
      <c r="BK566" s="20"/>
      <c r="BL566" s="154"/>
      <c r="BP566" s="20"/>
      <c r="BQ566" s="154"/>
      <c r="BR566" s="18"/>
      <c r="BS566" s="16"/>
      <c r="BT566" s="18"/>
      <c r="BU566" s="18"/>
      <c r="BV566" s="18"/>
      <c r="BW566" s="20"/>
      <c r="BX566" s="154"/>
      <c r="BY566" s="18"/>
      <c r="BZ566" s="146"/>
      <c r="CA566" s="18"/>
      <c r="CB566" s="18"/>
      <c r="CC566" s="20"/>
      <c r="CD566" s="154"/>
    </row>
    <row r="567" spans="35:82">
      <c r="AI567" s="19"/>
      <c r="AO567" s="19"/>
      <c r="AY567" s="145"/>
      <c r="AZ567" s="16"/>
      <c r="BC567" s="16"/>
      <c r="BD567" s="20"/>
      <c r="BE567" s="17"/>
      <c r="BF567" s="20"/>
      <c r="BG567" s="146"/>
      <c r="BH567" s="146"/>
      <c r="BI567" s="146"/>
      <c r="BJ567" s="20"/>
      <c r="BK567" s="20"/>
      <c r="BL567" s="154"/>
      <c r="BP567" s="20"/>
      <c r="BQ567" s="154"/>
      <c r="BR567" s="18"/>
      <c r="BS567" s="16"/>
      <c r="BT567" s="18"/>
      <c r="BU567" s="18"/>
      <c r="BV567" s="18"/>
      <c r="BW567" s="20"/>
      <c r="BX567" s="154"/>
      <c r="BY567" s="18"/>
      <c r="BZ567" s="146"/>
      <c r="CA567" s="18"/>
      <c r="CB567" s="18"/>
      <c r="CC567" s="20"/>
      <c r="CD567" s="154"/>
    </row>
    <row r="568" spans="35:82">
      <c r="AI568" s="19"/>
      <c r="AO568" s="19"/>
      <c r="AY568" s="145"/>
      <c r="AZ568" s="16"/>
      <c r="BC568" s="16"/>
      <c r="BD568" s="20"/>
      <c r="BE568" s="17"/>
      <c r="BF568" s="20"/>
      <c r="BG568" s="146"/>
      <c r="BH568" s="146"/>
      <c r="BI568" s="146"/>
      <c r="BJ568" s="20"/>
      <c r="BK568" s="20"/>
      <c r="BL568" s="154"/>
      <c r="BP568" s="20"/>
      <c r="BQ568" s="154"/>
      <c r="BR568" s="18"/>
      <c r="BS568" s="16"/>
      <c r="BT568" s="18"/>
      <c r="BU568" s="18"/>
      <c r="BV568" s="18"/>
      <c r="BW568" s="20"/>
      <c r="BX568" s="154"/>
      <c r="BY568" s="18"/>
      <c r="BZ568" s="146"/>
      <c r="CA568" s="18"/>
      <c r="CB568" s="18"/>
      <c r="CC568" s="20"/>
      <c r="CD568" s="154"/>
    </row>
    <row r="569" spans="35:82">
      <c r="AI569" s="19"/>
      <c r="AO569" s="19"/>
      <c r="AY569" s="145"/>
      <c r="AZ569" s="16"/>
      <c r="BC569" s="16"/>
      <c r="BD569" s="20"/>
      <c r="BE569" s="17"/>
      <c r="BF569" s="20"/>
      <c r="BG569" s="146"/>
      <c r="BH569" s="146"/>
      <c r="BI569" s="146"/>
      <c r="BJ569" s="20"/>
      <c r="BK569" s="20"/>
      <c r="BL569" s="154"/>
      <c r="BP569" s="20"/>
      <c r="BQ569" s="154"/>
      <c r="BR569" s="18"/>
      <c r="BS569" s="16"/>
      <c r="BT569" s="18"/>
      <c r="BU569" s="18"/>
      <c r="BV569" s="18"/>
      <c r="BW569" s="20"/>
      <c r="BX569" s="154"/>
      <c r="BY569" s="18"/>
      <c r="BZ569" s="146"/>
      <c r="CA569" s="18"/>
      <c r="CB569" s="18"/>
      <c r="CC569" s="20"/>
      <c r="CD569" s="154"/>
    </row>
    <row r="570" spans="35:82">
      <c r="AI570" s="19"/>
      <c r="AO570" s="19"/>
      <c r="AY570" s="145"/>
      <c r="AZ570" s="16"/>
      <c r="BC570" s="16"/>
      <c r="BD570" s="20"/>
      <c r="BE570" s="17"/>
      <c r="BF570" s="20"/>
      <c r="BG570" s="146"/>
      <c r="BH570" s="146"/>
      <c r="BI570" s="146"/>
      <c r="BJ570" s="20"/>
      <c r="BK570" s="20"/>
      <c r="BL570" s="154"/>
      <c r="BP570" s="20"/>
      <c r="BQ570" s="154"/>
      <c r="BR570" s="18"/>
      <c r="BS570" s="16"/>
      <c r="BT570" s="18"/>
      <c r="BU570" s="18"/>
      <c r="BV570" s="18"/>
      <c r="BW570" s="20"/>
      <c r="BX570" s="154"/>
      <c r="BY570" s="18"/>
      <c r="BZ570" s="146"/>
      <c r="CA570" s="18"/>
      <c r="CB570" s="18"/>
      <c r="CC570" s="20"/>
      <c r="CD570" s="154"/>
    </row>
    <row r="571" spans="35:82">
      <c r="AI571" s="19"/>
      <c r="AO571" s="19"/>
      <c r="AY571" s="145"/>
      <c r="AZ571" s="16"/>
      <c r="BC571" s="16"/>
      <c r="BD571" s="20"/>
      <c r="BE571" s="17"/>
      <c r="BF571" s="20"/>
      <c r="BG571" s="146"/>
      <c r="BH571" s="146"/>
      <c r="BI571" s="146"/>
      <c r="BJ571" s="20"/>
      <c r="BK571" s="20"/>
      <c r="BL571" s="154"/>
      <c r="BP571" s="20"/>
      <c r="BQ571" s="154"/>
      <c r="BR571" s="18"/>
      <c r="BS571" s="16"/>
      <c r="BT571" s="18"/>
      <c r="BU571" s="18"/>
      <c r="BV571" s="18"/>
      <c r="BW571" s="20"/>
      <c r="BX571" s="154"/>
      <c r="BY571" s="18"/>
      <c r="BZ571" s="146"/>
      <c r="CA571" s="18"/>
      <c r="CB571" s="18"/>
      <c r="CC571" s="20"/>
      <c r="CD571" s="154"/>
    </row>
    <row r="572" spans="35:82">
      <c r="AI572" s="19"/>
      <c r="AO572" s="19"/>
      <c r="AY572" s="145"/>
      <c r="AZ572" s="16"/>
      <c r="BC572" s="16"/>
      <c r="BD572" s="20"/>
      <c r="BE572" s="17"/>
      <c r="BF572" s="20"/>
      <c r="BG572" s="146"/>
      <c r="BH572" s="146"/>
      <c r="BI572" s="146"/>
      <c r="BJ572" s="20"/>
      <c r="BK572" s="20"/>
      <c r="BL572" s="154"/>
      <c r="BP572" s="20"/>
      <c r="BQ572" s="154"/>
      <c r="BR572" s="18"/>
      <c r="BS572" s="16"/>
      <c r="BT572" s="18"/>
      <c r="BU572" s="18"/>
      <c r="BV572" s="18"/>
      <c r="BW572" s="20"/>
      <c r="BX572" s="154"/>
      <c r="BY572" s="18"/>
      <c r="BZ572" s="146"/>
      <c r="CA572" s="18"/>
      <c r="CB572" s="18"/>
      <c r="CC572" s="20"/>
      <c r="CD572" s="154"/>
    </row>
    <row r="573" spans="35:82">
      <c r="AI573" s="19"/>
      <c r="AO573" s="19"/>
      <c r="AY573" s="145"/>
      <c r="AZ573" s="16"/>
      <c r="BC573" s="16"/>
      <c r="BD573" s="20"/>
      <c r="BE573" s="17"/>
      <c r="BF573" s="20"/>
      <c r="BG573" s="146"/>
      <c r="BH573" s="146"/>
      <c r="BI573" s="146"/>
      <c r="BJ573" s="20"/>
      <c r="BK573" s="20"/>
      <c r="BL573" s="154"/>
      <c r="BP573" s="20"/>
      <c r="BQ573" s="154"/>
      <c r="BR573" s="18"/>
      <c r="BS573" s="16"/>
      <c r="BT573" s="18"/>
      <c r="BU573" s="18"/>
      <c r="BV573" s="18"/>
      <c r="BW573" s="20"/>
      <c r="BX573" s="154"/>
      <c r="BY573" s="18"/>
      <c r="BZ573" s="146"/>
      <c r="CA573" s="18"/>
      <c r="CB573" s="18"/>
      <c r="CC573" s="20"/>
      <c r="CD573" s="154"/>
    </row>
    <row r="574" spans="35:82">
      <c r="AI574" s="19"/>
      <c r="AO574" s="19"/>
      <c r="AY574" s="145"/>
      <c r="AZ574" s="16"/>
      <c r="BC574" s="16"/>
      <c r="BD574" s="20"/>
      <c r="BE574" s="17"/>
      <c r="BF574" s="20"/>
      <c r="BG574" s="146"/>
      <c r="BH574" s="146"/>
      <c r="BI574" s="146"/>
      <c r="BJ574" s="20"/>
      <c r="BK574" s="20"/>
      <c r="BL574" s="154"/>
      <c r="BP574" s="20"/>
      <c r="BQ574" s="154"/>
      <c r="BR574" s="18"/>
      <c r="BS574" s="16"/>
      <c r="BT574" s="18"/>
      <c r="BU574" s="18"/>
      <c r="BV574" s="18"/>
      <c r="BW574" s="20"/>
      <c r="BX574" s="154"/>
      <c r="BY574" s="18"/>
      <c r="BZ574" s="146"/>
      <c r="CA574" s="18"/>
      <c r="CB574" s="18"/>
      <c r="CC574" s="20"/>
      <c r="CD574" s="154"/>
    </row>
    <row r="575" spans="35:82">
      <c r="AI575" s="19"/>
      <c r="AO575" s="19"/>
      <c r="AY575" s="145"/>
      <c r="AZ575" s="16"/>
      <c r="BC575" s="16"/>
      <c r="BD575" s="20"/>
      <c r="BE575" s="17"/>
      <c r="BF575" s="20"/>
      <c r="BG575" s="146"/>
      <c r="BH575" s="146"/>
      <c r="BI575" s="146"/>
      <c r="BJ575" s="20"/>
      <c r="BK575" s="20"/>
      <c r="BL575" s="154"/>
      <c r="BP575" s="20"/>
      <c r="BQ575" s="154"/>
      <c r="BR575" s="18"/>
      <c r="BS575" s="16"/>
      <c r="BT575" s="18"/>
      <c r="BU575" s="18"/>
      <c r="BV575" s="18"/>
      <c r="BW575" s="20"/>
      <c r="BX575" s="154"/>
      <c r="BY575" s="18"/>
      <c r="BZ575" s="146"/>
      <c r="CA575" s="18"/>
      <c r="CB575" s="18"/>
      <c r="CC575" s="20"/>
      <c r="CD575" s="154"/>
    </row>
    <row r="576" spans="35:82">
      <c r="AI576" s="19"/>
      <c r="AO576" s="19"/>
      <c r="AY576" s="145"/>
      <c r="AZ576" s="16"/>
      <c r="BC576" s="16"/>
      <c r="BD576" s="20"/>
      <c r="BE576" s="17"/>
      <c r="BF576" s="20"/>
      <c r="BG576" s="146"/>
      <c r="BH576" s="146"/>
      <c r="BI576" s="146"/>
      <c r="BJ576" s="20"/>
      <c r="BK576" s="20"/>
      <c r="BL576" s="154"/>
      <c r="BP576" s="20"/>
      <c r="BQ576" s="154"/>
      <c r="BR576" s="18"/>
      <c r="BS576" s="16"/>
      <c r="BT576" s="18"/>
      <c r="BU576" s="18"/>
      <c r="BV576" s="18"/>
      <c r="BW576" s="20"/>
      <c r="BX576" s="154"/>
      <c r="BY576" s="18"/>
      <c r="BZ576" s="146"/>
      <c r="CA576" s="18"/>
      <c r="CB576" s="18"/>
      <c r="CC576" s="20"/>
      <c r="CD576" s="154"/>
    </row>
    <row r="577" spans="35:82">
      <c r="AI577" s="19"/>
      <c r="AO577" s="19"/>
      <c r="AY577" s="145"/>
      <c r="AZ577" s="16"/>
      <c r="BC577" s="16"/>
      <c r="BD577" s="20"/>
      <c r="BE577" s="17"/>
      <c r="BF577" s="20"/>
      <c r="BG577" s="146"/>
      <c r="BH577" s="146"/>
      <c r="BI577" s="146"/>
      <c r="BJ577" s="20"/>
      <c r="BK577" s="20"/>
      <c r="BL577" s="154"/>
      <c r="BP577" s="20"/>
      <c r="BQ577" s="154"/>
      <c r="BR577" s="18"/>
      <c r="BS577" s="16"/>
      <c r="BT577" s="18"/>
      <c r="BU577" s="18"/>
      <c r="BV577" s="18"/>
      <c r="BW577" s="20"/>
      <c r="BX577" s="154"/>
      <c r="BY577" s="18"/>
      <c r="BZ577" s="146"/>
      <c r="CA577" s="18"/>
      <c r="CB577" s="18"/>
      <c r="CC577" s="20"/>
      <c r="CD577" s="154"/>
    </row>
    <row r="578" spans="35:82">
      <c r="AI578" s="19"/>
      <c r="AO578" s="19"/>
      <c r="AY578" s="145"/>
      <c r="AZ578" s="16"/>
      <c r="BC578" s="16"/>
      <c r="BD578" s="20"/>
      <c r="BE578" s="17"/>
      <c r="BF578" s="20"/>
      <c r="BG578" s="146"/>
      <c r="BH578" s="146"/>
      <c r="BI578" s="146"/>
      <c r="BJ578" s="20"/>
      <c r="BK578" s="20"/>
      <c r="BL578" s="154"/>
      <c r="BP578" s="20"/>
      <c r="BQ578" s="154"/>
      <c r="BR578" s="18"/>
      <c r="BS578" s="16"/>
      <c r="BT578" s="18"/>
      <c r="BU578" s="18"/>
      <c r="BV578" s="18"/>
      <c r="BW578" s="20"/>
      <c r="BX578" s="154"/>
      <c r="BY578" s="18"/>
      <c r="BZ578" s="146"/>
      <c r="CA578" s="18"/>
      <c r="CB578" s="18"/>
      <c r="CC578" s="20"/>
      <c r="CD578" s="154"/>
    </row>
    <row r="579" spans="35:82">
      <c r="AI579" s="19"/>
      <c r="AO579" s="19"/>
      <c r="AY579" s="145"/>
      <c r="AZ579" s="16"/>
      <c r="BC579" s="16"/>
      <c r="BD579" s="20"/>
      <c r="BE579" s="17"/>
      <c r="BF579" s="20"/>
      <c r="BG579" s="146"/>
      <c r="BH579" s="146"/>
      <c r="BI579" s="146"/>
      <c r="BJ579" s="20"/>
      <c r="BK579" s="20"/>
      <c r="BL579" s="154"/>
      <c r="BP579" s="20"/>
      <c r="BQ579" s="154"/>
      <c r="BR579" s="18"/>
      <c r="BS579" s="16"/>
      <c r="BT579" s="18"/>
      <c r="BU579" s="18"/>
      <c r="BV579" s="18"/>
      <c r="BW579" s="20"/>
      <c r="BX579" s="154"/>
      <c r="BY579" s="18"/>
      <c r="BZ579" s="146"/>
      <c r="CA579" s="18"/>
      <c r="CB579" s="18"/>
      <c r="CC579" s="20"/>
      <c r="CD579" s="154"/>
    </row>
    <row r="580" spans="35:82">
      <c r="AI580" s="19"/>
      <c r="AO580" s="19"/>
      <c r="AY580" s="145"/>
      <c r="AZ580" s="16"/>
      <c r="BC580" s="16"/>
      <c r="BD580" s="20"/>
      <c r="BE580" s="17"/>
      <c r="BF580" s="20"/>
      <c r="BG580" s="146"/>
      <c r="BH580" s="146"/>
      <c r="BI580" s="146"/>
      <c r="BJ580" s="20"/>
      <c r="BK580" s="20"/>
      <c r="BL580" s="154"/>
      <c r="BP580" s="20"/>
      <c r="BQ580" s="154"/>
      <c r="BR580" s="18"/>
      <c r="BS580" s="16"/>
      <c r="BT580" s="18"/>
      <c r="BU580" s="18"/>
      <c r="BV580" s="18"/>
      <c r="BW580" s="20"/>
      <c r="BX580" s="154"/>
      <c r="BY580" s="18"/>
      <c r="BZ580" s="146"/>
      <c r="CA580" s="18"/>
      <c r="CB580" s="18"/>
      <c r="CC580" s="20"/>
      <c r="CD580" s="154"/>
    </row>
    <row r="581" spans="35:82">
      <c r="AI581" s="19"/>
      <c r="AO581" s="19"/>
      <c r="AY581" s="145"/>
      <c r="AZ581" s="16"/>
      <c r="BC581" s="16"/>
      <c r="BD581" s="20"/>
      <c r="BE581" s="17"/>
      <c r="BF581" s="20"/>
      <c r="BG581" s="146"/>
      <c r="BH581" s="146"/>
      <c r="BI581" s="146"/>
      <c r="BJ581" s="20"/>
      <c r="BK581" s="20"/>
      <c r="BL581" s="154"/>
      <c r="BP581" s="20"/>
      <c r="BQ581" s="154"/>
      <c r="BR581" s="18"/>
      <c r="BS581" s="16"/>
      <c r="BT581" s="18"/>
      <c r="BU581" s="18"/>
      <c r="BV581" s="18"/>
      <c r="BW581" s="20"/>
      <c r="BX581" s="154"/>
      <c r="BY581" s="18"/>
      <c r="BZ581" s="146"/>
      <c r="CA581" s="18"/>
      <c r="CB581" s="18"/>
      <c r="CC581" s="20"/>
      <c r="CD581" s="154"/>
    </row>
    <row r="582" spans="35:82">
      <c r="AI582" s="19"/>
      <c r="AO582" s="19"/>
      <c r="AY582" s="145"/>
      <c r="AZ582" s="16"/>
      <c r="BC582" s="16"/>
      <c r="BD582" s="20"/>
      <c r="BE582" s="17"/>
      <c r="BF582" s="20"/>
      <c r="BG582" s="146"/>
      <c r="BH582" s="146"/>
      <c r="BI582" s="146"/>
      <c r="BJ582" s="20"/>
      <c r="BK582" s="20"/>
      <c r="BL582" s="154"/>
      <c r="BP582" s="20"/>
      <c r="BQ582" s="154"/>
      <c r="BR582" s="18"/>
      <c r="BS582" s="16"/>
      <c r="BT582" s="18"/>
      <c r="BU582" s="18"/>
      <c r="BV582" s="18"/>
      <c r="BW582" s="20"/>
      <c r="BX582" s="154"/>
      <c r="BY582" s="18"/>
      <c r="BZ582" s="146"/>
      <c r="CA582" s="18"/>
      <c r="CB582" s="18"/>
      <c r="CC582" s="20"/>
      <c r="CD582" s="154"/>
    </row>
    <row r="583" spans="35:82">
      <c r="AI583" s="19"/>
      <c r="AO583" s="19"/>
      <c r="AY583" s="145"/>
      <c r="AZ583" s="16"/>
      <c r="BC583" s="16"/>
      <c r="BD583" s="20"/>
      <c r="BE583" s="17"/>
      <c r="BF583" s="20"/>
      <c r="BG583" s="146"/>
      <c r="BH583" s="146"/>
      <c r="BI583" s="146"/>
      <c r="BJ583" s="20"/>
      <c r="BK583" s="20"/>
      <c r="BL583" s="154"/>
      <c r="BP583" s="20"/>
      <c r="BQ583" s="154"/>
      <c r="BR583" s="18"/>
      <c r="BS583" s="16"/>
      <c r="BT583" s="18"/>
      <c r="BU583" s="18"/>
      <c r="BV583" s="18"/>
      <c r="BW583" s="20"/>
      <c r="BX583" s="154"/>
      <c r="BY583" s="18"/>
      <c r="BZ583" s="146"/>
      <c r="CA583" s="18"/>
      <c r="CB583" s="18"/>
      <c r="CC583" s="20"/>
      <c r="CD583" s="154"/>
    </row>
    <row r="584" spans="35:82">
      <c r="AI584" s="19"/>
      <c r="AO584" s="19"/>
      <c r="AY584" s="145"/>
      <c r="AZ584" s="16"/>
      <c r="BC584" s="16"/>
      <c r="BD584" s="20"/>
      <c r="BE584" s="17"/>
      <c r="BF584" s="20"/>
      <c r="BG584" s="146"/>
      <c r="BH584" s="146"/>
      <c r="BI584" s="146"/>
      <c r="BJ584" s="20"/>
      <c r="BK584" s="20"/>
      <c r="BL584" s="154"/>
      <c r="BP584" s="20"/>
      <c r="BQ584" s="154"/>
      <c r="BR584" s="18"/>
      <c r="BS584" s="16"/>
      <c r="BT584" s="18"/>
      <c r="BU584" s="18"/>
      <c r="BV584" s="18"/>
      <c r="BW584" s="20"/>
      <c r="BX584" s="154"/>
      <c r="BY584" s="18"/>
      <c r="BZ584" s="146"/>
      <c r="CA584" s="18"/>
      <c r="CB584" s="18"/>
      <c r="CC584" s="20"/>
      <c r="CD584" s="154"/>
    </row>
    <row r="585" spans="35:82">
      <c r="AI585" s="19"/>
      <c r="AO585" s="19"/>
      <c r="AY585" s="145"/>
      <c r="AZ585" s="16"/>
      <c r="BC585" s="16"/>
      <c r="BD585" s="20"/>
      <c r="BE585" s="17"/>
      <c r="BF585" s="20"/>
      <c r="BG585" s="146"/>
      <c r="BH585" s="146"/>
      <c r="BI585" s="146"/>
      <c r="BJ585" s="20"/>
      <c r="BK585" s="20"/>
      <c r="BL585" s="154"/>
      <c r="BP585" s="20"/>
      <c r="BQ585" s="154"/>
      <c r="BR585" s="18"/>
      <c r="BS585" s="16"/>
      <c r="BT585" s="18"/>
      <c r="BU585" s="18"/>
      <c r="BV585" s="18"/>
      <c r="BW585" s="20"/>
      <c r="BX585" s="154"/>
      <c r="BY585" s="18"/>
      <c r="BZ585" s="146"/>
      <c r="CA585" s="18"/>
      <c r="CB585" s="18"/>
      <c r="CC585" s="20"/>
      <c r="CD585" s="154"/>
    </row>
    <row r="586" spans="35:82">
      <c r="AI586" s="19"/>
      <c r="AO586" s="19"/>
      <c r="AY586" s="145"/>
      <c r="AZ586" s="16"/>
      <c r="BC586" s="16"/>
      <c r="BD586" s="20"/>
      <c r="BE586" s="17"/>
      <c r="BF586" s="20"/>
      <c r="BG586" s="146"/>
      <c r="BH586" s="146"/>
      <c r="BI586" s="146"/>
      <c r="BJ586" s="20"/>
      <c r="BK586" s="20"/>
      <c r="BL586" s="154"/>
      <c r="BP586" s="20"/>
      <c r="BQ586" s="154"/>
      <c r="BR586" s="18"/>
      <c r="BS586" s="16"/>
      <c r="BT586" s="18"/>
      <c r="BU586" s="18"/>
      <c r="BV586" s="18"/>
      <c r="BW586" s="20"/>
      <c r="BX586" s="154"/>
      <c r="BY586" s="18"/>
      <c r="BZ586" s="146"/>
      <c r="CA586" s="18"/>
      <c r="CB586" s="18"/>
      <c r="CC586" s="20"/>
      <c r="CD586" s="154"/>
    </row>
    <row r="587" spans="35:82">
      <c r="AI587" s="19"/>
      <c r="AO587" s="19"/>
      <c r="AY587" s="145"/>
      <c r="AZ587" s="16"/>
      <c r="BC587" s="16"/>
      <c r="BD587" s="20"/>
      <c r="BE587" s="17"/>
      <c r="BF587" s="20"/>
      <c r="BG587" s="146"/>
      <c r="BH587" s="146"/>
      <c r="BI587" s="146"/>
      <c r="BJ587" s="20"/>
      <c r="BK587" s="20"/>
      <c r="BL587" s="154"/>
      <c r="BP587" s="20"/>
      <c r="BQ587" s="154"/>
      <c r="BR587" s="18"/>
      <c r="BS587" s="16"/>
      <c r="BT587" s="18"/>
      <c r="BU587" s="18"/>
      <c r="BV587" s="18"/>
      <c r="BW587" s="20"/>
      <c r="BX587" s="154"/>
      <c r="BY587" s="18"/>
      <c r="BZ587" s="146"/>
      <c r="CA587" s="18"/>
      <c r="CB587" s="18"/>
      <c r="CC587" s="20"/>
      <c r="CD587" s="154"/>
    </row>
    <row r="588" spans="35:82">
      <c r="AI588" s="19"/>
      <c r="AO588" s="19"/>
      <c r="AY588" s="145"/>
      <c r="AZ588" s="16"/>
      <c r="BC588" s="16"/>
      <c r="BD588" s="20"/>
      <c r="BE588" s="17"/>
      <c r="BF588" s="20"/>
      <c r="BG588" s="146"/>
      <c r="BH588" s="146"/>
      <c r="BI588" s="146"/>
      <c r="BJ588" s="20"/>
      <c r="BK588" s="20"/>
      <c r="BL588" s="154"/>
      <c r="BP588" s="20"/>
      <c r="BQ588" s="154"/>
      <c r="BR588" s="18"/>
      <c r="BS588" s="16"/>
      <c r="BT588" s="18"/>
      <c r="BU588" s="18"/>
      <c r="BV588" s="18"/>
      <c r="BW588" s="20"/>
      <c r="BX588" s="154"/>
      <c r="BY588" s="18"/>
      <c r="BZ588" s="146"/>
      <c r="CA588" s="18"/>
      <c r="CB588" s="18"/>
      <c r="CC588" s="20"/>
      <c r="CD588" s="154"/>
    </row>
    <row r="589" spans="35:82">
      <c r="AI589" s="19"/>
      <c r="AO589" s="19"/>
      <c r="AY589" s="145"/>
      <c r="AZ589" s="16"/>
      <c r="BC589" s="16"/>
      <c r="BD589" s="20"/>
      <c r="BE589" s="17"/>
      <c r="BF589" s="20"/>
      <c r="BG589" s="146"/>
      <c r="BH589" s="146"/>
      <c r="BI589" s="146"/>
      <c r="BJ589" s="20"/>
      <c r="BK589" s="20"/>
      <c r="BL589" s="154"/>
      <c r="BP589" s="20"/>
      <c r="BQ589" s="154"/>
      <c r="BR589" s="18"/>
      <c r="BS589" s="16"/>
      <c r="BT589" s="18"/>
      <c r="BU589" s="18"/>
      <c r="BV589" s="18"/>
      <c r="BW589" s="20"/>
      <c r="BX589" s="154"/>
      <c r="BY589" s="18"/>
      <c r="BZ589" s="146"/>
      <c r="CA589" s="18"/>
      <c r="CB589" s="18"/>
      <c r="CC589" s="20"/>
      <c r="CD589" s="154"/>
    </row>
    <row r="590" spans="35:82">
      <c r="AI590" s="19"/>
      <c r="AO590" s="19"/>
      <c r="AY590" s="145"/>
      <c r="AZ590" s="16"/>
      <c r="BC590" s="16"/>
      <c r="BD590" s="20"/>
      <c r="BE590" s="17"/>
      <c r="BF590" s="20"/>
      <c r="BG590" s="146"/>
      <c r="BH590" s="146"/>
      <c r="BI590" s="146"/>
      <c r="BJ590" s="20"/>
      <c r="BK590" s="20"/>
      <c r="BL590" s="154"/>
      <c r="BP590" s="20"/>
      <c r="BQ590" s="154"/>
      <c r="BR590" s="18"/>
      <c r="BS590" s="16"/>
      <c r="BT590" s="18"/>
      <c r="BU590" s="18"/>
      <c r="BV590" s="18"/>
      <c r="BW590" s="20"/>
      <c r="BX590" s="154"/>
      <c r="BY590" s="18"/>
      <c r="BZ590" s="146"/>
      <c r="CA590" s="18"/>
      <c r="CB590" s="18"/>
      <c r="CC590" s="20"/>
      <c r="CD590" s="154"/>
    </row>
    <row r="591" spans="35:82">
      <c r="AI591" s="19"/>
      <c r="AO591" s="19"/>
      <c r="AY591" s="145"/>
      <c r="AZ591" s="16"/>
      <c r="BC591" s="16"/>
      <c r="BD591" s="20"/>
      <c r="BE591" s="17"/>
      <c r="BF591" s="20"/>
      <c r="BG591" s="146"/>
      <c r="BH591" s="146"/>
      <c r="BI591" s="146"/>
      <c r="BJ591" s="20"/>
      <c r="BK591" s="20"/>
      <c r="BL591" s="154"/>
      <c r="BP591" s="20"/>
      <c r="BQ591" s="154"/>
      <c r="BR591" s="18"/>
      <c r="BS591" s="16"/>
      <c r="BT591" s="18"/>
      <c r="BU591" s="18"/>
      <c r="BV591" s="18"/>
      <c r="BW591" s="20"/>
      <c r="BX591" s="154"/>
      <c r="BY591" s="18"/>
      <c r="BZ591" s="146"/>
      <c r="CA591" s="18"/>
      <c r="CB591" s="18"/>
      <c r="CC591" s="20"/>
      <c r="CD591" s="154"/>
    </row>
    <row r="592" spans="35:82">
      <c r="AI592" s="19"/>
      <c r="AO592" s="19"/>
      <c r="AY592" s="145"/>
      <c r="AZ592" s="16"/>
      <c r="BC592" s="16"/>
      <c r="BD592" s="20"/>
      <c r="BE592" s="17"/>
      <c r="BF592" s="20"/>
      <c r="BG592" s="146"/>
      <c r="BH592" s="146"/>
      <c r="BI592" s="146"/>
      <c r="BJ592" s="20"/>
      <c r="BK592" s="20"/>
      <c r="BL592" s="154"/>
      <c r="BP592" s="20"/>
      <c r="BQ592" s="154"/>
      <c r="BR592" s="18"/>
      <c r="BS592" s="16"/>
      <c r="BT592" s="18"/>
      <c r="BU592" s="18"/>
      <c r="BV592" s="18"/>
      <c r="BW592" s="20"/>
      <c r="BX592" s="154"/>
      <c r="BY592" s="18"/>
      <c r="BZ592" s="146"/>
      <c r="CA592" s="18"/>
      <c r="CB592" s="18"/>
      <c r="CC592" s="20"/>
      <c r="CD592" s="154"/>
    </row>
    <row r="593" spans="35:82">
      <c r="AI593" s="19"/>
      <c r="AO593" s="19"/>
      <c r="AY593" s="145"/>
      <c r="AZ593" s="16"/>
      <c r="BC593" s="16"/>
      <c r="BD593" s="20"/>
      <c r="BE593" s="17"/>
      <c r="BF593" s="20"/>
      <c r="BG593" s="146"/>
      <c r="BH593" s="146"/>
      <c r="BI593" s="146"/>
      <c r="BJ593" s="20"/>
      <c r="BK593" s="20"/>
      <c r="BL593" s="154"/>
      <c r="BP593" s="20"/>
      <c r="BQ593" s="154"/>
      <c r="BR593" s="18"/>
      <c r="BS593" s="16"/>
      <c r="BT593" s="18"/>
      <c r="BU593" s="18"/>
      <c r="BV593" s="18"/>
      <c r="BW593" s="20"/>
      <c r="BX593" s="154"/>
      <c r="BY593" s="18"/>
      <c r="BZ593" s="146"/>
      <c r="CA593" s="18"/>
      <c r="CB593" s="18"/>
      <c r="CC593" s="20"/>
      <c r="CD593" s="154"/>
    </row>
    <row r="594" spans="35:82">
      <c r="AI594" s="19"/>
      <c r="AO594" s="19"/>
      <c r="AY594" s="145"/>
      <c r="AZ594" s="16"/>
      <c r="BC594" s="16"/>
      <c r="BD594" s="20"/>
      <c r="BE594" s="17"/>
      <c r="BF594" s="20"/>
      <c r="BG594" s="146"/>
      <c r="BH594" s="146"/>
      <c r="BI594" s="146"/>
      <c r="BJ594" s="20"/>
      <c r="BK594" s="20"/>
      <c r="BL594" s="154"/>
      <c r="BP594" s="20"/>
      <c r="BQ594" s="154"/>
      <c r="BR594" s="18"/>
      <c r="BS594" s="16"/>
      <c r="BT594" s="18"/>
      <c r="BU594" s="18"/>
      <c r="BV594" s="18"/>
      <c r="BW594" s="20"/>
      <c r="BX594" s="154"/>
      <c r="BY594" s="18"/>
      <c r="BZ594" s="146"/>
      <c r="CA594" s="18"/>
      <c r="CB594" s="18"/>
      <c r="CC594" s="20"/>
      <c r="CD594" s="154"/>
    </row>
    <row r="595" spans="35:82">
      <c r="AI595" s="19"/>
      <c r="AO595" s="19"/>
      <c r="AY595" s="145"/>
      <c r="AZ595" s="16"/>
      <c r="BC595" s="16"/>
      <c r="BD595" s="20"/>
      <c r="BE595" s="17"/>
      <c r="BF595" s="20"/>
      <c r="BG595" s="146"/>
      <c r="BH595" s="146"/>
      <c r="BI595" s="146"/>
      <c r="BJ595" s="20"/>
      <c r="BK595" s="20"/>
      <c r="BL595" s="154"/>
      <c r="BP595" s="20"/>
      <c r="BQ595" s="154"/>
      <c r="BR595" s="18"/>
      <c r="BS595" s="16"/>
      <c r="BT595" s="18"/>
      <c r="BU595" s="18"/>
      <c r="BV595" s="18"/>
      <c r="BW595" s="20"/>
      <c r="BX595" s="154"/>
      <c r="BY595" s="18"/>
      <c r="BZ595" s="146"/>
      <c r="CA595" s="18"/>
      <c r="CB595" s="18"/>
      <c r="CC595" s="20"/>
      <c r="CD595" s="154"/>
    </row>
    <row r="596" spans="35:82">
      <c r="AI596" s="19"/>
      <c r="AO596" s="19"/>
      <c r="AY596" s="145"/>
      <c r="AZ596" s="16"/>
      <c r="BC596" s="16"/>
      <c r="BD596" s="20"/>
      <c r="BE596" s="17"/>
      <c r="BF596" s="20"/>
      <c r="BG596" s="146"/>
      <c r="BH596" s="146"/>
      <c r="BI596" s="146"/>
      <c r="BJ596" s="20"/>
      <c r="BK596" s="20"/>
      <c r="BL596" s="154"/>
      <c r="BP596" s="20"/>
      <c r="BQ596" s="154"/>
      <c r="BR596" s="18"/>
      <c r="BS596" s="16"/>
      <c r="BT596" s="18"/>
      <c r="BU596" s="18"/>
      <c r="BV596" s="18"/>
      <c r="BW596" s="20"/>
      <c r="BX596" s="154"/>
      <c r="BY596" s="18"/>
      <c r="BZ596" s="146"/>
      <c r="CA596" s="18"/>
      <c r="CB596" s="18"/>
      <c r="CC596" s="20"/>
      <c r="CD596" s="154"/>
    </row>
    <row r="597" spans="35:82">
      <c r="AI597" s="19"/>
      <c r="AO597" s="19"/>
      <c r="AY597" s="145"/>
      <c r="AZ597" s="16"/>
      <c r="BC597" s="16"/>
      <c r="BD597" s="20"/>
      <c r="BE597" s="17"/>
      <c r="BF597" s="20"/>
      <c r="BG597" s="146"/>
      <c r="BH597" s="146"/>
      <c r="BI597" s="146"/>
      <c r="BJ597" s="20"/>
      <c r="BK597" s="20"/>
      <c r="BL597" s="154"/>
      <c r="BP597" s="20"/>
      <c r="BQ597" s="154"/>
      <c r="BR597" s="18"/>
      <c r="BS597" s="16"/>
      <c r="BT597" s="18"/>
      <c r="BU597" s="18"/>
      <c r="BV597" s="18"/>
      <c r="BW597" s="20"/>
      <c r="BX597" s="154"/>
      <c r="BY597" s="18"/>
      <c r="BZ597" s="146"/>
      <c r="CA597" s="18"/>
      <c r="CB597" s="18"/>
      <c r="CC597" s="20"/>
      <c r="CD597" s="154"/>
    </row>
    <row r="598" spans="35:82">
      <c r="AI598" s="19"/>
      <c r="AO598" s="19"/>
      <c r="AY598" s="145"/>
      <c r="AZ598" s="16"/>
      <c r="BC598" s="16"/>
      <c r="BD598" s="20"/>
      <c r="BE598" s="17"/>
      <c r="BF598" s="20"/>
      <c r="BG598" s="146"/>
      <c r="BH598" s="146"/>
      <c r="BI598" s="146"/>
      <c r="BJ598" s="20"/>
      <c r="BK598" s="20"/>
      <c r="BL598" s="154"/>
      <c r="BP598" s="20"/>
      <c r="BQ598" s="154"/>
      <c r="BR598" s="18"/>
      <c r="BS598" s="16"/>
      <c r="BT598" s="18"/>
      <c r="BU598" s="18"/>
      <c r="BV598" s="18"/>
      <c r="BW598" s="20"/>
      <c r="BX598" s="154"/>
      <c r="BY598" s="18"/>
      <c r="BZ598" s="146"/>
      <c r="CA598" s="18"/>
      <c r="CB598" s="18"/>
      <c r="CC598" s="20"/>
      <c r="CD598" s="154"/>
    </row>
    <row r="599" spans="35:82">
      <c r="AI599" s="19"/>
      <c r="AO599" s="19"/>
      <c r="AY599" s="145"/>
      <c r="AZ599" s="16"/>
      <c r="BC599" s="16"/>
      <c r="BD599" s="20"/>
      <c r="BE599" s="17"/>
      <c r="BF599" s="20"/>
      <c r="BG599" s="146"/>
      <c r="BH599" s="146"/>
      <c r="BI599" s="146"/>
      <c r="BJ599" s="20"/>
      <c r="BK599" s="20"/>
      <c r="BL599" s="154"/>
      <c r="BP599" s="20"/>
      <c r="BQ599" s="154"/>
      <c r="BR599" s="18"/>
      <c r="BS599" s="16"/>
      <c r="BT599" s="18"/>
      <c r="BU599" s="18"/>
      <c r="BV599" s="18"/>
      <c r="BW599" s="20"/>
      <c r="BX599" s="154"/>
      <c r="BY599" s="18"/>
      <c r="BZ599" s="146"/>
      <c r="CA599" s="18"/>
      <c r="CB599" s="18"/>
      <c r="CC599" s="20"/>
      <c r="CD599" s="154"/>
    </row>
    <row r="600" spans="35:82">
      <c r="AI600" s="19"/>
      <c r="AO600" s="19"/>
      <c r="AY600" s="145"/>
      <c r="AZ600" s="16"/>
      <c r="BC600" s="16"/>
      <c r="BD600" s="20"/>
      <c r="BE600" s="17"/>
      <c r="BF600" s="20"/>
      <c r="BG600" s="146"/>
      <c r="BH600" s="146"/>
      <c r="BI600" s="146"/>
      <c r="BJ600" s="20"/>
      <c r="BK600" s="20"/>
      <c r="BL600" s="154"/>
      <c r="BP600" s="20"/>
      <c r="BQ600" s="154"/>
      <c r="BR600" s="18"/>
      <c r="BS600" s="16"/>
      <c r="BT600" s="18"/>
      <c r="BU600" s="18"/>
      <c r="BV600" s="18"/>
      <c r="BW600" s="20"/>
      <c r="BX600" s="154"/>
      <c r="BY600" s="18"/>
      <c r="BZ600" s="146"/>
      <c r="CA600" s="18"/>
      <c r="CB600" s="18"/>
      <c r="CC600" s="20"/>
      <c r="CD600" s="154"/>
    </row>
    <row r="601" spans="35:82">
      <c r="AI601" s="19"/>
      <c r="AO601" s="19"/>
      <c r="AY601" s="145"/>
      <c r="AZ601" s="16"/>
      <c r="BC601" s="16"/>
      <c r="BD601" s="20"/>
      <c r="BE601" s="17"/>
      <c r="BF601" s="20"/>
      <c r="BG601" s="146"/>
      <c r="BH601" s="146"/>
      <c r="BI601" s="146"/>
      <c r="BJ601" s="20"/>
      <c r="BK601" s="20"/>
      <c r="BL601" s="154"/>
      <c r="BP601" s="20"/>
      <c r="BQ601" s="154"/>
      <c r="BR601" s="18"/>
      <c r="BS601" s="16"/>
      <c r="BT601" s="18"/>
      <c r="BU601" s="18"/>
      <c r="BV601" s="18"/>
      <c r="BW601" s="20"/>
      <c r="BX601" s="154"/>
      <c r="BY601" s="18"/>
      <c r="BZ601" s="146"/>
      <c r="CA601" s="18"/>
      <c r="CB601" s="18"/>
      <c r="CC601" s="20"/>
      <c r="CD601" s="154"/>
    </row>
    <row r="602" spans="35:82">
      <c r="AI602" s="19"/>
      <c r="AO602" s="19"/>
      <c r="AY602" s="145"/>
      <c r="AZ602" s="16"/>
      <c r="BC602" s="16"/>
      <c r="BD602" s="20"/>
      <c r="BE602" s="17"/>
      <c r="BF602" s="20"/>
      <c r="BG602" s="146"/>
      <c r="BH602" s="146"/>
      <c r="BI602" s="146"/>
      <c r="BJ602" s="20"/>
      <c r="BK602" s="20"/>
      <c r="BL602" s="154"/>
      <c r="BP602" s="20"/>
      <c r="BQ602" s="154"/>
      <c r="BR602" s="18"/>
      <c r="BS602" s="16"/>
      <c r="BT602" s="18"/>
      <c r="BU602" s="18"/>
      <c r="BV602" s="18"/>
      <c r="BW602" s="20"/>
      <c r="BX602" s="154"/>
      <c r="BY602" s="18"/>
      <c r="BZ602" s="146"/>
      <c r="CA602" s="18"/>
      <c r="CB602" s="18"/>
      <c r="CC602" s="20"/>
      <c r="CD602" s="154"/>
    </row>
    <row r="603" spans="35:82">
      <c r="AI603" s="19"/>
      <c r="AO603" s="19"/>
      <c r="AY603" s="145"/>
      <c r="AZ603" s="16"/>
      <c r="BC603" s="16"/>
      <c r="BD603" s="20"/>
      <c r="BE603" s="17"/>
      <c r="BF603" s="20"/>
      <c r="BG603" s="146"/>
      <c r="BH603" s="146"/>
      <c r="BI603" s="146"/>
      <c r="BJ603" s="20"/>
      <c r="BK603" s="20"/>
      <c r="BL603" s="154"/>
      <c r="BP603" s="20"/>
      <c r="BQ603" s="154"/>
      <c r="BR603" s="18"/>
      <c r="BS603" s="16"/>
      <c r="BT603" s="18"/>
      <c r="BU603" s="18"/>
      <c r="BV603" s="18"/>
      <c r="BW603" s="20"/>
      <c r="BX603" s="154"/>
      <c r="BY603" s="18"/>
      <c r="BZ603" s="146"/>
      <c r="CA603" s="18"/>
      <c r="CB603" s="18"/>
      <c r="CC603" s="20"/>
      <c r="CD603" s="154"/>
    </row>
    <row r="604" spans="35:82">
      <c r="AI604" s="19"/>
      <c r="AO604" s="19"/>
      <c r="AY604" s="145"/>
      <c r="AZ604" s="16"/>
      <c r="BC604" s="16"/>
      <c r="BD604" s="20"/>
      <c r="BE604" s="17"/>
      <c r="BF604" s="20"/>
      <c r="BG604" s="146"/>
      <c r="BH604" s="146"/>
      <c r="BI604" s="146"/>
      <c r="BJ604" s="20"/>
      <c r="BK604" s="20"/>
      <c r="BL604" s="154"/>
      <c r="BP604" s="20"/>
      <c r="BQ604" s="154"/>
      <c r="BR604" s="18"/>
      <c r="BS604" s="16"/>
      <c r="BT604" s="18"/>
      <c r="BU604" s="18"/>
      <c r="BV604" s="18"/>
      <c r="BW604" s="20"/>
      <c r="BX604" s="154"/>
      <c r="BY604" s="18"/>
      <c r="BZ604" s="146"/>
      <c r="CA604" s="18"/>
      <c r="CB604" s="18"/>
      <c r="CC604" s="20"/>
      <c r="CD604" s="154"/>
    </row>
    <row r="605" spans="35:82">
      <c r="AI605" s="19"/>
      <c r="AO605" s="19"/>
      <c r="AY605" s="145"/>
      <c r="AZ605" s="16"/>
      <c r="BC605" s="16"/>
      <c r="BD605" s="20"/>
      <c r="BE605" s="17"/>
      <c r="BF605" s="20"/>
      <c r="BG605" s="146"/>
      <c r="BH605" s="146"/>
      <c r="BI605" s="146"/>
      <c r="BJ605" s="20"/>
      <c r="BK605" s="20"/>
      <c r="BL605" s="154"/>
      <c r="BP605" s="20"/>
      <c r="BQ605" s="154"/>
      <c r="BR605" s="18"/>
      <c r="BS605" s="16"/>
      <c r="BT605" s="18"/>
      <c r="BU605" s="18"/>
      <c r="BV605" s="18"/>
      <c r="BW605" s="20"/>
      <c r="BX605" s="154"/>
      <c r="BY605" s="18"/>
      <c r="BZ605" s="146"/>
      <c r="CA605" s="18"/>
      <c r="CB605" s="18"/>
      <c r="CC605" s="20"/>
      <c r="CD605" s="154"/>
    </row>
    <row r="606" spans="35:82">
      <c r="AI606" s="19"/>
      <c r="AO606" s="19"/>
      <c r="AY606" s="145"/>
      <c r="AZ606" s="16"/>
      <c r="BC606" s="16"/>
      <c r="BD606" s="20"/>
      <c r="BE606" s="17"/>
      <c r="BF606" s="20"/>
      <c r="BG606" s="146"/>
      <c r="BH606" s="146"/>
      <c r="BI606" s="146"/>
      <c r="BJ606" s="20"/>
      <c r="BK606" s="20"/>
      <c r="BL606" s="154"/>
      <c r="BP606" s="20"/>
      <c r="BQ606" s="154"/>
      <c r="BR606" s="18"/>
      <c r="BS606" s="16"/>
      <c r="BT606" s="18"/>
      <c r="BU606" s="18"/>
      <c r="BV606" s="18"/>
      <c r="BW606" s="20"/>
      <c r="BX606" s="154"/>
      <c r="BY606" s="18"/>
      <c r="BZ606" s="146"/>
      <c r="CA606" s="18"/>
      <c r="CB606" s="18"/>
      <c r="CC606" s="20"/>
      <c r="CD606" s="154"/>
    </row>
    <row r="607" spans="35:82">
      <c r="AI607" s="19"/>
      <c r="AO607" s="19"/>
      <c r="AY607" s="145"/>
      <c r="AZ607" s="16"/>
      <c r="BC607" s="16"/>
      <c r="BD607" s="20"/>
      <c r="BE607" s="17"/>
      <c r="BF607" s="20"/>
      <c r="BG607" s="146"/>
      <c r="BH607" s="146"/>
      <c r="BI607" s="146"/>
      <c r="BJ607" s="20"/>
      <c r="BK607" s="20"/>
      <c r="BL607" s="154"/>
      <c r="BP607" s="20"/>
      <c r="BQ607" s="154"/>
      <c r="BR607" s="18"/>
      <c r="BS607" s="16"/>
      <c r="BT607" s="18"/>
      <c r="BU607" s="18"/>
      <c r="BV607" s="18"/>
      <c r="BW607" s="20"/>
      <c r="BX607" s="154"/>
      <c r="BY607" s="18"/>
      <c r="BZ607" s="146"/>
      <c r="CA607" s="18"/>
      <c r="CB607" s="18"/>
      <c r="CC607" s="20"/>
      <c r="CD607" s="154"/>
    </row>
    <row r="608" spans="35:82">
      <c r="AI608" s="19"/>
      <c r="AO608" s="19"/>
      <c r="AY608" s="145"/>
      <c r="AZ608" s="16"/>
      <c r="BC608" s="16"/>
      <c r="BD608" s="20"/>
      <c r="BE608" s="17"/>
      <c r="BF608" s="20"/>
      <c r="BG608" s="146"/>
      <c r="BH608" s="146"/>
      <c r="BI608" s="146"/>
      <c r="BJ608" s="20"/>
      <c r="BK608" s="20"/>
      <c r="BL608" s="154"/>
      <c r="BP608" s="20"/>
      <c r="BQ608" s="154"/>
      <c r="BR608" s="18"/>
      <c r="BS608" s="16"/>
      <c r="BT608" s="18"/>
      <c r="BU608" s="18"/>
      <c r="BV608" s="18"/>
      <c r="BW608" s="20"/>
      <c r="BX608" s="154"/>
      <c r="BY608" s="18"/>
      <c r="BZ608" s="146"/>
      <c r="CA608" s="18"/>
      <c r="CB608" s="18"/>
      <c r="CC608" s="20"/>
      <c r="CD608" s="154"/>
    </row>
    <row r="609" spans="35:82">
      <c r="AI609" s="19"/>
      <c r="AO609" s="19"/>
      <c r="AY609" s="145"/>
      <c r="AZ609" s="16"/>
      <c r="BC609" s="16"/>
      <c r="BD609" s="20"/>
      <c r="BE609" s="17"/>
      <c r="BF609" s="20"/>
      <c r="BG609" s="146"/>
      <c r="BH609" s="146"/>
      <c r="BI609" s="146"/>
      <c r="BJ609" s="20"/>
      <c r="BK609" s="20"/>
      <c r="BL609" s="154"/>
      <c r="BP609" s="20"/>
      <c r="BQ609" s="154"/>
      <c r="BR609" s="18"/>
      <c r="BS609" s="16"/>
      <c r="BT609" s="18"/>
      <c r="BU609" s="18"/>
      <c r="BV609" s="18"/>
      <c r="BW609" s="20"/>
      <c r="BX609" s="154"/>
      <c r="BY609" s="18"/>
      <c r="BZ609" s="146"/>
      <c r="CA609" s="18"/>
      <c r="CB609" s="18"/>
      <c r="CC609" s="20"/>
      <c r="CD609" s="154"/>
    </row>
    <row r="610" spans="35:82">
      <c r="AI610" s="19"/>
      <c r="AO610" s="19"/>
      <c r="AY610" s="145"/>
      <c r="AZ610" s="16"/>
      <c r="BC610" s="16"/>
      <c r="BD610" s="20"/>
      <c r="BE610" s="17"/>
      <c r="BF610" s="20"/>
      <c r="BG610" s="146"/>
      <c r="BH610" s="146"/>
      <c r="BI610" s="146"/>
      <c r="BJ610" s="20"/>
      <c r="BK610" s="20"/>
      <c r="BL610" s="154"/>
      <c r="BP610" s="20"/>
      <c r="BQ610" s="154"/>
      <c r="BR610" s="18"/>
      <c r="BS610" s="16"/>
      <c r="BT610" s="18"/>
      <c r="BU610" s="18"/>
      <c r="BV610" s="18"/>
      <c r="BW610" s="20"/>
      <c r="BX610" s="154"/>
      <c r="BY610" s="18"/>
      <c r="BZ610" s="146"/>
      <c r="CA610" s="18"/>
      <c r="CB610" s="18"/>
      <c r="CC610" s="20"/>
      <c r="CD610" s="154"/>
    </row>
    <row r="611" spans="35:82">
      <c r="AI611" s="19"/>
      <c r="AO611" s="19"/>
      <c r="AY611" s="145"/>
      <c r="AZ611" s="16"/>
      <c r="BC611" s="16"/>
      <c r="BD611" s="20"/>
      <c r="BE611" s="17"/>
      <c r="BF611" s="20"/>
      <c r="BG611" s="146"/>
      <c r="BH611" s="146"/>
      <c r="BI611" s="146"/>
      <c r="BJ611" s="20"/>
      <c r="BK611" s="20"/>
      <c r="BL611" s="154"/>
      <c r="BP611" s="20"/>
      <c r="BQ611" s="154"/>
      <c r="BR611" s="18"/>
      <c r="BS611" s="16"/>
      <c r="BT611" s="18"/>
      <c r="BU611" s="18"/>
      <c r="BV611" s="18"/>
      <c r="BW611" s="20"/>
      <c r="BX611" s="154"/>
      <c r="BY611" s="18"/>
      <c r="BZ611" s="146"/>
      <c r="CA611" s="18"/>
      <c r="CB611" s="18"/>
      <c r="CC611" s="20"/>
      <c r="CD611" s="154"/>
    </row>
    <row r="612" spans="35:82">
      <c r="AI612" s="19"/>
      <c r="AO612" s="19"/>
      <c r="AY612" s="145"/>
      <c r="AZ612" s="16"/>
      <c r="BC612" s="16"/>
      <c r="BD612" s="20"/>
      <c r="BE612" s="17"/>
      <c r="BF612" s="20"/>
      <c r="BG612" s="146"/>
      <c r="BH612" s="146"/>
      <c r="BI612" s="146"/>
      <c r="BJ612" s="20"/>
      <c r="BK612" s="20"/>
      <c r="BL612" s="154"/>
      <c r="BP612" s="20"/>
      <c r="BQ612" s="154"/>
      <c r="BR612" s="18"/>
      <c r="BS612" s="16"/>
      <c r="BT612" s="18"/>
      <c r="BU612" s="18"/>
      <c r="BV612" s="18"/>
      <c r="BW612" s="20"/>
      <c r="BX612" s="154"/>
      <c r="BY612" s="18"/>
      <c r="BZ612" s="146"/>
      <c r="CA612" s="18"/>
      <c r="CB612" s="18"/>
      <c r="CC612" s="20"/>
      <c r="CD612" s="154"/>
    </row>
    <row r="613" spans="35:82">
      <c r="AI613" s="19"/>
      <c r="AO613" s="19"/>
      <c r="AY613" s="145"/>
      <c r="AZ613" s="16"/>
      <c r="BC613" s="16"/>
      <c r="BD613" s="20"/>
      <c r="BE613" s="17"/>
      <c r="BF613" s="20"/>
      <c r="BG613" s="146"/>
      <c r="BH613" s="146"/>
      <c r="BI613" s="146"/>
      <c r="BJ613" s="20"/>
      <c r="BK613" s="20"/>
      <c r="BL613" s="154"/>
      <c r="BP613" s="20"/>
      <c r="BQ613" s="154"/>
      <c r="BR613" s="18"/>
      <c r="BS613" s="16"/>
      <c r="BT613" s="18"/>
      <c r="BU613" s="18"/>
      <c r="BV613" s="18"/>
      <c r="BW613" s="20"/>
      <c r="BX613" s="154"/>
      <c r="BY613" s="18"/>
      <c r="BZ613" s="146"/>
      <c r="CA613" s="18"/>
      <c r="CB613" s="18"/>
      <c r="CC613" s="20"/>
      <c r="CD613" s="154"/>
    </row>
    <row r="614" spans="35:82">
      <c r="AI614" s="19"/>
      <c r="AO614" s="19"/>
      <c r="AY614" s="145"/>
      <c r="AZ614" s="16"/>
      <c r="BC614" s="16"/>
      <c r="BD614" s="20"/>
      <c r="BE614" s="17"/>
      <c r="BF614" s="20"/>
      <c r="BG614" s="146"/>
      <c r="BH614" s="146"/>
      <c r="BI614" s="146"/>
      <c r="BJ614" s="20"/>
      <c r="BK614" s="20"/>
      <c r="BL614" s="154"/>
      <c r="BP614" s="20"/>
      <c r="BQ614" s="154"/>
      <c r="BR614" s="18"/>
      <c r="BS614" s="16"/>
      <c r="BT614" s="18"/>
      <c r="BU614" s="18"/>
      <c r="BV614" s="18"/>
      <c r="BW614" s="20"/>
      <c r="BX614" s="154"/>
      <c r="BY614" s="18"/>
      <c r="BZ614" s="146"/>
      <c r="CA614" s="18"/>
      <c r="CB614" s="18"/>
      <c r="CC614" s="20"/>
      <c r="CD614" s="154"/>
    </row>
    <row r="615" spans="35:82">
      <c r="AI615" s="19"/>
      <c r="AO615" s="19"/>
      <c r="AY615" s="145"/>
      <c r="AZ615" s="16"/>
      <c r="BC615" s="16"/>
      <c r="BD615" s="20"/>
      <c r="BE615" s="17"/>
      <c r="BF615" s="20"/>
      <c r="BG615" s="146"/>
      <c r="BH615" s="146"/>
      <c r="BI615" s="146"/>
      <c r="BJ615" s="20"/>
      <c r="BK615" s="20"/>
      <c r="BL615" s="154"/>
      <c r="BP615" s="20"/>
      <c r="BQ615" s="154"/>
      <c r="BR615" s="18"/>
      <c r="BS615" s="16"/>
      <c r="BT615" s="18"/>
      <c r="BU615" s="18"/>
      <c r="BV615" s="18"/>
      <c r="BW615" s="20"/>
      <c r="BX615" s="154"/>
      <c r="BY615" s="18"/>
      <c r="BZ615" s="146"/>
      <c r="CA615" s="18"/>
      <c r="CB615" s="18"/>
      <c r="CC615" s="20"/>
      <c r="CD615" s="154"/>
    </row>
    <row r="616" spans="35:82">
      <c r="AI616" s="19"/>
      <c r="AO616" s="19"/>
      <c r="AY616" s="145"/>
      <c r="AZ616" s="16"/>
      <c r="BC616" s="16"/>
      <c r="BD616" s="20"/>
      <c r="BE616" s="17"/>
      <c r="BF616" s="20"/>
      <c r="BG616" s="146"/>
      <c r="BH616" s="146"/>
      <c r="BI616" s="146"/>
      <c r="BJ616" s="20"/>
      <c r="BK616" s="20"/>
      <c r="BL616" s="154"/>
      <c r="BP616" s="20"/>
      <c r="BQ616" s="154"/>
      <c r="BR616" s="18"/>
      <c r="BS616" s="16"/>
      <c r="BT616" s="18"/>
      <c r="BU616" s="18"/>
      <c r="BV616" s="18"/>
      <c r="BW616" s="20"/>
      <c r="BX616" s="154"/>
      <c r="BY616" s="18"/>
      <c r="BZ616" s="146"/>
      <c r="CA616" s="18"/>
      <c r="CB616" s="18"/>
      <c r="CC616" s="20"/>
      <c r="CD616" s="154"/>
    </row>
    <row r="617" spans="35:82">
      <c r="AI617" s="19"/>
      <c r="AO617" s="19"/>
      <c r="AY617" s="145"/>
      <c r="AZ617" s="16"/>
      <c r="BC617" s="16"/>
      <c r="BD617" s="20"/>
      <c r="BE617" s="17"/>
      <c r="BF617" s="20"/>
      <c r="BG617" s="146"/>
      <c r="BH617" s="146"/>
      <c r="BI617" s="146"/>
      <c r="BJ617" s="20"/>
      <c r="BK617" s="20"/>
      <c r="BL617" s="154"/>
      <c r="BP617" s="20"/>
      <c r="BQ617" s="154"/>
      <c r="BR617" s="18"/>
      <c r="BS617" s="16"/>
      <c r="BT617" s="18"/>
      <c r="BU617" s="18"/>
      <c r="BV617" s="18"/>
      <c r="BW617" s="20"/>
      <c r="BX617" s="154"/>
      <c r="BY617" s="18"/>
      <c r="BZ617" s="146"/>
      <c r="CA617" s="18"/>
      <c r="CB617" s="18"/>
      <c r="CC617" s="20"/>
      <c r="CD617" s="154"/>
    </row>
    <row r="618" spans="35:82">
      <c r="AI618" s="19"/>
      <c r="AO618" s="19"/>
      <c r="AY618" s="145"/>
      <c r="AZ618" s="16"/>
      <c r="BC618" s="16"/>
      <c r="BD618" s="20"/>
      <c r="BE618" s="17"/>
      <c r="BF618" s="20"/>
      <c r="BG618" s="146"/>
      <c r="BH618" s="146"/>
      <c r="BI618" s="146"/>
      <c r="BJ618" s="20"/>
      <c r="BK618" s="20"/>
      <c r="BL618" s="154"/>
      <c r="BP618" s="20"/>
      <c r="BQ618" s="154"/>
      <c r="BR618" s="18"/>
      <c r="BS618" s="16"/>
      <c r="BT618" s="18"/>
      <c r="BU618" s="18"/>
      <c r="BV618" s="18"/>
      <c r="BW618" s="20"/>
      <c r="BX618" s="154"/>
      <c r="BY618" s="18"/>
      <c r="BZ618" s="146"/>
      <c r="CA618" s="18"/>
      <c r="CB618" s="18"/>
      <c r="CC618" s="20"/>
      <c r="CD618" s="154"/>
    </row>
    <row r="619" spans="35:82">
      <c r="AI619" s="19"/>
      <c r="AO619" s="19"/>
      <c r="AY619" s="145"/>
      <c r="AZ619" s="16"/>
      <c r="BC619" s="16"/>
      <c r="BD619" s="20"/>
      <c r="BE619" s="17"/>
      <c r="BF619" s="20"/>
      <c r="BG619" s="146"/>
      <c r="BH619" s="146"/>
      <c r="BI619" s="146"/>
      <c r="BJ619" s="20"/>
      <c r="BK619" s="20"/>
      <c r="BL619" s="154"/>
      <c r="BP619" s="20"/>
      <c r="BQ619" s="154"/>
      <c r="BR619" s="18"/>
      <c r="BS619" s="16"/>
      <c r="BT619" s="18"/>
      <c r="BU619" s="18"/>
      <c r="BV619" s="18"/>
      <c r="BW619" s="20"/>
      <c r="BX619" s="154"/>
      <c r="BY619" s="18"/>
      <c r="BZ619" s="146"/>
      <c r="CA619" s="18"/>
      <c r="CB619" s="18"/>
      <c r="CC619" s="20"/>
      <c r="CD619" s="154"/>
    </row>
    <row r="620" spans="35:82">
      <c r="AI620" s="19"/>
      <c r="AO620" s="19"/>
      <c r="AY620" s="145"/>
      <c r="AZ620" s="16"/>
      <c r="BC620" s="16"/>
      <c r="BD620" s="20"/>
      <c r="BE620" s="17"/>
      <c r="BF620" s="20"/>
      <c r="BG620" s="146"/>
      <c r="BH620" s="146"/>
      <c r="BI620" s="146"/>
      <c r="BJ620" s="20"/>
      <c r="BK620" s="20"/>
      <c r="BL620" s="154"/>
      <c r="BP620" s="20"/>
      <c r="BQ620" s="154"/>
      <c r="BR620" s="18"/>
      <c r="BS620" s="16"/>
      <c r="BT620" s="18"/>
      <c r="BU620" s="18"/>
      <c r="BV620" s="18"/>
      <c r="BW620" s="20"/>
      <c r="BX620" s="154"/>
      <c r="BY620" s="18"/>
      <c r="BZ620" s="146"/>
      <c r="CA620" s="18"/>
      <c r="CB620" s="18"/>
      <c r="CC620" s="20"/>
      <c r="CD620" s="154"/>
    </row>
    <row r="621" spans="35:82">
      <c r="AI621" s="19"/>
      <c r="AO621" s="19"/>
      <c r="AY621" s="145"/>
      <c r="AZ621" s="16"/>
      <c r="BC621" s="16"/>
      <c r="BD621" s="20"/>
      <c r="BE621" s="17"/>
      <c r="BF621" s="20"/>
      <c r="BG621" s="146"/>
      <c r="BH621" s="146"/>
      <c r="BI621" s="146"/>
      <c r="BJ621" s="20"/>
      <c r="BK621" s="20"/>
      <c r="BL621" s="154"/>
      <c r="BP621" s="20"/>
      <c r="BQ621" s="154"/>
      <c r="BR621" s="18"/>
      <c r="BS621" s="16"/>
      <c r="BT621" s="18"/>
      <c r="BU621" s="18"/>
      <c r="BV621" s="18"/>
      <c r="BW621" s="20"/>
      <c r="BX621" s="154"/>
      <c r="BY621" s="18"/>
      <c r="BZ621" s="146"/>
      <c r="CA621" s="18"/>
      <c r="CB621" s="18"/>
      <c r="CC621" s="20"/>
      <c r="CD621" s="154"/>
    </row>
    <row r="622" spans="35:82">
      <c r="AI622" s="19"/>
      <c r="AO622" s="19"/>
      <c r="AY622" s="145"/>
      <c r="AZ622" s="16"/>
      <c r="BC622" s="16"/>
      <c r="BD622" s="20"/>
      <c r="BE622" s="17"/>
      <c r="BF622" s="20"/>
      <c r="BG622" s="146"/>
      <c r="BH622" s="146"/>
      <c r="BI622" s="146"/>
      <c r="BJ622" s="20"/>
      <c r="BK622" s="20"/>
      <c r="BL622" s="154"/>
      <c r="BP622" s="20"/>
      <c r="BQ622" s="154"/>
      <c r="BR622" s="18"/>
      <c r="BS622" s="16"/>
      <c r="BT622" s="18"/>
      <c r="BU622" s="18"/>
      <c r="BV622" s="18"/>
      <c r="BW622" s="20"/>
      <c r="BX622" s="154"/>
      <c r="BY622" s="18"/>
      <c r="BZ622" s="146"/>
      <c r="CA622" s="18"/>
      <c r="CB622" s="18"/>
      <c r="CC622" s="20"/>
      <c r="CD622" s="154"/>
    </row>
    <row r="623" spans="35:82">
      <c r="AI623" s="19"/>
      <c r="AO623" s="19"/>
      <c r="AY623" s="145"/>
      <c r="AZ623" s="16"/>
      <c r="BC623" s="16"/>
      <c r="BD623" s="20"/>
      <c r="BE623" s="17"/>
      <c r="BF623" s="20"/>
      <c r="BG623" s="146"/>
      <c r="BH623" s="146"/>
      <c r="BI623" s="146"/>
      <c r="BJ623" s="20"/>
      <c r="BK623" s="20"/>
      <c r="BL623" s="154"/>
      <c r="BP623" s="20"/>
      <c r="BQ623" s="154"/>
      <c r="BR623" s="18"/>
      <c r="BS623" s="16"/>
      <c r="BT623" s="18"/>
      <c r="BU623" s="18"/>
      <c r="BV623" s="18"/>
      <c r="BW623" s="20"/>
      <c r="BX623" s="154"/>
      <c r="BY623" s="18"/>
      <c r="BZ623" s="146"/>
      <c r="CA623" s="18"/>
      <c r="CB623" s="18"/>
      <c r="CC623" s="20"/>
      <c r="CD623" s="154"/>
    </row>
    <row r="624" spans="35:82">
      <c r="AI624" s="19"/>
      <c r="AO624" s="19"/>
      <c r="AY624" s="145"/>
      <c r="AZ624" s="16"/>
      <c r="BC624" s="16"/>
      <c r="BD624" s="20"/>
      <c r="BE624" s="17"/>
      <c r="BF624" s="20"/>
      <c r="BG624" s="146"/>
      <c r="BH624" s="146"/>
      <c r="BI624" s="146"/>
      <c r="BJ624" s="20"/>
      <c r="BK624" s="20"/>
      <c r="BL624" s="154"/>
      <c r="BP624" s="20"/>
      <c r="BQ624" s="154"/>
      <c r="BR624" s="18"/>
      <c r="BS624" s="16"/>
      <c r="BT624" s="18"/>
      <c r="BU624" s="18"/>
      <c r="BV624" s="18"/>
      <c r="BW624" s="20"/>
      <c r="BX624" s="154"/>
      <c r="BY624" s="18"/>
      <c r="BZ624" s="146"/>
      <c r="CA624" s="18"/>
      <c r="CB624" s="18"/>
      <c r="CC624" s="20"/>
      <c r="CD624" s="154"/>
    </row>
    <row r="625" spans="35:82">
      <c r="AI625" s="19"/>
      <c r="AO625" s="19"/>
      <c r="AY625" s="145"/>
      <c r="AZ625" s="16"/>
      <c r="BC625" s="16"/>
      <c r="BD625" s="20"/>
      <c r="BE625" s="17"/>
      <c r="BF625" s="20"/>
      <c r="BG625" s="146"/>
      <c r="BH625" s="146"/>
      <c r="BI625" s="146"/>
      <c r="BJ625" s="20"/>
      <c r="BK625" s="20"/>
      <c r="BL625" s="154"/>
      <c r="BP625" s="20"/>
      <c r="BQ625" s="154"/>
      <c r="BR625" s="18"/>
      <c r="BS625" s="16"/>
      <c r="BT625" s="18"/>
      <c r="BU625" s="18"/>
      <c r="BV625" s="18"/>
      <c r="BW625" s="20"/>
      <c r="BX625" s="154"/>
      <c r="BY625" s="18"/>
      <c r="BZ625" s="146"/>
      <c r="CA625" s="18"/>
      <c r="CB625" s="18"/>
      <c r="CC625" s="20"/>
      <c r="CD625" s="154"/>
    </row>
    <row r="626" spans="35:82">
      <c r="AI626" s="19"/>
      <c r="AO626" s="19"/>
      <c r="AY626" s="145"/>
      <c r="AZ626" s="16"/>
      <c r="BC626" s="16"/>
      <c r="BD626" s="20"/>
      <c r="BE626" s="17"/>
      <c r="BF626" s="20"/>
      <c r="BG626" s="146"/>
      <c r="BH626" s="146"/>
      <c r="BI626" s="146"/>
      <c r="BJ626" s="20"/>
      <c r="BK626" s="20"/>
      <c r="BL626" s="154"/>
      <c r="BP626" s="20"/>
      <c r="BQ626" s="154"/>
      <c r="BR626" s="18"/>
      <c r="BS626" s="16"/>
      <c r="BT626" s="18"/>
      <c r="BU626" s="18"/>
      <c r="BV626" s="18"/>
      <c r="BW626" s="20"/>
      <c r="BX626" s="154"/>
      <c r="BY626" s="18"/>
      <c r="BZ626" s="146"/>
      <c r="CA626" s="18"/>
      <c r="CB626" s="18"/>
      <c r="CC626" s="20"/>
      <c r="CD626" s="154"/>
    </row>
    <row r="627" spans="35:82">
      <c r="AI627" s="19"/>
      <c r="AO627" s="19"/>
      <c r="AY627" s="145"/>
      <c r="AZ627" s="16"/>
      <c r="BC627" s="16"/>
      <c r="BD627" s="20"/>
      <c r="BE627" s="17"/>
      <c r="BF627" s="20"/>
      <c r="BG627" s="146"/>
      <c r="BH627" s="146"/>
      <c r="BI627" s="146"/>
      <c r="BJ627" s="20"/>
      <c r="BK627" s="20"/>
      <c r="BL627" s="154"/>
      <c r="BP627" s="20"/>
      <c r="BQ627" s="154"/>
      <c r="BR627" s="18"/>
      <c r="BS627" s="16"/>
      <c r="BT627" s="18"/>
      <c r="BU627" s="18"/>
      <c r="BV627" s="18"/>
      <c r="BW627" s="20"/>
      <c r="BX627" s="154"/>
      <c r="BY627" s="18"/>
      <c r="BZ627" s="146"/>
      <c r="CA627" s="18"/>
      <c r="CB627" s="18"/>
      <c r="CC627" s="20"/>
      <c r="CD627" s="154"/>
    </row>
    <row r="628" spans="35:82">
      <c r="AI628" s="19"/>
      <c r="AO628" s="19"/>
      <c r="AY628" s="145"/>
      <c r="AZ628" s="16"/>
      <c r="BC628" s="16"/>
      <c r="BD628" s="20"/>
      <c r="BE628" s="17"/>
      <c r="BF628" s="20"/>
      <c r="BG628" s="146"/>
      <c r="BH628" s="146"/>
      <c r="BI628" s="146"/>
      <c r="BJ628" s="20"/>
      <c r="BK628" s="20"/>
      <c r="BL628" s="154"/>
      <c r="BP628" s="20"/>
      <c r="BQ628" s="154"/>
      <c r="BR628" s="18"/>
      <c r="BS628" s="16"/>
      <c r="BT628" s="18"/>
      <c r="BU628" s="18"/>
      <c r="BV628" s="18"/>
      <c r="BW628" s="20"/>
      <c r="BX628" s="154"/>
      <c r="BY628" s="18"/>
      <c r="BZ628" s="146"/>
      <c r="CA628" s="18"/>
      <c r="CB628" s="18"/>
      <c r="CC628" s="20"/>
      <c r="CD628" s="154"/>
    </row>
    <row r="629" spans="35:82">
      <c r="AI629" s="19"/>
      <c r="AO629" s="19"/>
      <c r="AY629" s="145"/>
      <c r="AZ629" s="16"/>
      <c r="BC629" s="16"/>
      <c r="BD629" s="20"/>
      <c r="BE629" s="17"/>
      <c r="BF629" s="20"/>
      <c r="BG629" s="146"/>
      <c r="BH629" s="146"/>
      <c r="BI629" s="146"/>
      <c r="BJ629" s="20"/>
      <c r="BK629" s="20"/>
      <c r="BL629" s="154"/>
      <c r="BP629" s="20"/>
      <c r="BQ629" s="154"/>
      <c r="BR629" s="18"/>
      <c r="BS629" s="16"/>
      <c r="BT629" s="18"/>
      <c r="BU629" s="18"/>
      <c r="BV629" s="18"/>
      <c r="BW629" s="20"/>
      <c r="BX629" s="154"/>
      <c r="BY629" s="18"/>
      <c r="BZ629" s="146"/>
      <c r="CA629" s="18"/>
      <c r="CB629" s="18"/>
      <c r="CC629" s="20"/>
      <c r="CD629" s="154"/>
    </row>
    <row r="630" spans="35:82">
      <c r="AI630" s="19"/>
      <c r="AO630" s="19"/>
      <c r="AY630" s="145"/>
      <c r="AZ630" s="16"/>
      <c r="BC630" s="16"/>
      <c r="BD630" s="20"/>
      <c r="BE630" s="17"/>
      <c r="BF630" s="20"/>
      <c r="BG630" s="146"/>
      <c r="BH630" s="146"/>
      <c r="BI630" s="146"/>
      <c r="BJ630" s="20"/>
      <c r="BK630" s="20"/>
      <c r="BL630" s="154"/>
      <c r="BP630" s="20"/>
      <c r="BQ630" s="154"/>
      <c r="BR630" s="18"/>
      <c r="BS630" s="16"/>
      <c r="BT630" s="18"/>
      <c r="BU630" s="18"/>
      <c r="BV630" s="18"/>
      <c r="BW630" s="20"/>
      <c r="BX630" s="154"/>
      <c r="BY630" s="18"/>
      <c r="BZ630" s="146"/>
      <c r="CA630" s="18"/>
      <c r="CB630" s="18"/>
      <c r="CC630" s="20"/>
      <c r="CD630" s="154"/>
    </row>
    <row r="631" spans="35:82">
      <c r="AI631" s="19"/>
      <c r="AO631" s="19"/>
      <c r="AY631" s="145"/>
      <c r="AZ631" s="16"/>
      <c r="BC631" s="16"/>
      <c r="BD631" s="20"/>
      <c r="BE631" s="17"/>
      <c r="BF631" s="20"/>
      <c r="BG631" s="146"/>
      <c r="BH631" s="146"/>
      <c r="BI631" s="146"/>
      <c r="BJ631" s="20"/>
      <c r="BK631" s="20"/>
      <c r="BL631" s="154"/>
      <c r="BP631" s="20"/>
      <c r="BQ631" s="154"/>
      <c r="BR631" s="18"/>
      <c r="BS631" s="16"/>
      <c r="BT631" s="18"/>
      <c r="BU631" s="18"/>
      <c r="BV631" s="18"/>
      <c r="BW631" s="20"/>
      <c r="BX631" s="154"/>
      <c r="BY631" s="18"/>
      <c r="BZ631" s="146"/>
      <c r="CA631" s="18"/>
      <c r="CB631" s="18"/>
      <c r="CC631" s="20"/>
      <c r="CD631" s="154"/>
    </row>
    <row r="632" spans="35:82">
      <c r="AI632" s="19"/>
      <c r="AO632" s="19"/>
      <c r="AY632" s="145"/>
      <c r="AZ632" s="16"/>
      <c r="BC632" s="16"/>
      <c r="BD632" s="20"/>
      <c r="BE632" s="17"/>
      <c r="BF632" s="20"/>
      <c r="BG632" s="146"/>
      <c r="BH632" s="146"/>
      <c r="BI632" s="146"/>
      <c r="BJ632" s="20"/>
      <c r="BK632" s="20"/>
      <c r="BL632" s="154"/>
      <c r="BP632" s="20"/>
      <c r="BQ632" s="154"/>
      <c r="BR632" s="18"/>
      <c r="BS632" s="16"/>
      <c r="BT632" s="18"/>
      <c r="BU632" s="18"/>
      <c r="BV632" s="18"/>
      <c r="BW632" s="20"/>
      <c r="BX632" s="154"/>
      <c r="BY632" s="18"/>
      <c r="BZ632" s="146"/>
      <c r="CA632" s="18"/>
      <c r="CB632" s="18"/>
      <c r="CC632" s="20"/>
      <c r="CD632" s="154"/>
    </row>
    <row r="633" spans="35:82">
      <c r="AI633" s="19"/>
      <c r="AO633" s="19"/>
      <c r="AY633" s="145"/>
      <c r="AZ633" s="16"/>
      <c r="BC633" s="16"/>
      <c r="BD633" s="20"/>
      <c r="BE633" s="17"/>
      <c r="BF633" s="20"/>
      <c r="BG633" s="146"/>
      <c r="BH633" s="146"/>
      <c r="BI633" s="146"/>
      <c r="BJ633" s="20"/>
      <c r="BK633" s="20"/>
      <c r="BL633" s="154"/>
      <c r="BP633" s="20"/>
      <c r="BQ633" s="154"/>
      <c r="BR633" s="18"/>
      <c r="BS633" s="16"/>
      <c r="BT633" s="18"/>
      <c r="BU633" s="18"/>
      <c r="BV633" s="18"/>
      <c r="BW633" s="20"/>
      <c r="BX633" s="154"/>
      <c r="BY633" s="18"/>
      <c r="BZ633" s="146"/>
      <c r="CA633" s="18"/>
      <c r="CB633" s="18"/>
      <c r="CC633" s="20"/>
      <c r="CD633" s="154"/>
    </row>
    <row r="634" spans="35:82">
      <c r="AI634" s="19"/>
      <c r="AO634" s="19"/>
      <c r="AY634" s="145"/>
      <c r="AZ634" s="16"/>
      <c r="BC634" s="16"/>
      <c r="BD634" s="20"/>
      <c r="BE634" s="17"/>
      <c r="BF634" s="20"/>
      <c r="BG634" s="146"/>
      <c r="BH634" s="146"/>
      <c r="BI634" s="146"/>
      <c r="BJ634" s="20"/>
      <c r="BK634" s="20"/>
      <c r="BL634" s="154"/>
      <c r="BP634" s="20"/>
      <c r="BQ634" s="154"/>
      <c r="BR634" s="18"/>
      <c r="BS634" s="16"/>
      <c r="BT634" s="18"/>
      <c r="BU634" s="18"/>
      <c r="BV634" s="18"/>
      <c r="BW634" s="20"/>
      <c r="BX634" s="154"/>
      <c r="BY634" s="18"/>
      <c r="BZ634" s="146"/>
      <c r="CA634" s="18"/>
      <c r="CB634" s="18"/>
      <c r="CC634" s="20"/>
      <c r="CD634" s="154"/>
    </row>
    <row r="635" spans="35:82">
      <c r="AI635" s="19"/>
      <c r="AO635" s="19"/>
      <c r="AY635" s="145"/>
      <c r="AZ635" s="16"/>
      <c r="BC635" s="16"/>
      <c r="BD635" s="20"/>
      <c r="BE635" s="17"/>
      <c r="BF635" s="20"/>
      <c r="BG635" s="146"/>
      <c r="BH635" s="146"/>
      <c r="BI635" s="146"/>
      <c r="BJ635" s="20"/>
      <c r="BK635" s="20"/>
      <c r="BL635" s="154"/>
      <c r="BP635" s="20"/>
      <c r="BQ635" s="154"/>
      <c r="BR635" s="18"/>
      <c r="BS635" s="16"/>
      <c r="BT635" s="18"/>
      <c r="BU635" s="18"/>
      <c r="BV635" s="18"/>
      <c r="BW635" s="20"/>
      <c r="BX635" s="154"/>
      <c r="BY635" s="18"/>
      <c r="BZ635" s="146"/>
      <c r="CA635" s="18"/>
      <c r="CB635" s="18"/>
      <c r="CC635" s="20"/>
      <c r="CD635" s="154"/>
    </row>
    <row r="636" spans="35:82">
      <c r="AI636" s="19"/>
      <c r="AO636" s="19"/>
      <c r="AY636" s="145"/>
      <c r="AZ636" s="16"/>
      <c r="BC636" s="16"/>
      <c r="BD636" s="20"/>
      <c r="BE636" s="17"/>
      <c r="BF636" s="20"/>
      <c r="BG636" s="146"/>
      <c r="BH636" s="146"/>
      <c r="BI636" s="146"/>
      <c r="BJ636" s="20"/>
      <c r="BK636" s="20"/>
      <c r="BL636" s="154"/>
      <c r="BP636" s="20"/>
      <c r="BQ636" s="154"/>
      <c r="BR636" s="18"/>
      <c r="BS636" s="16"/>
      <c r="BT636" s="18"/>
      <c r="BU636" s="18"/>
      <c r="BV636" s="18"/>
      <c r="BW636" s="20"/>
      <c r="BX636" s="154"/>
      <c r="BY636" s="18"/>
      <c r="BZ636" s="146"/>
      <c r="CA636" s="18"/>
      <c r="CB636" s="18"/>
      <c r="CC636" s="20"/>
      <c r="CD636" s="154"/>
    </row>
    <row r="637" spans="35:82">
      <c r="AI637" s="19"/>
      <c r="AO637" s="19"/>
      <c r="AY637" s="145"/>
      <c r="AZ637" s="16"/>
      <c r="BC637" s="16"/>
      <c r="BD637" s="20"/>
      <c r="BE637" s="17"/>
      <c r="BF637" s="20"/>
      <c r="BG637" s="146"/>
      <c r="BH637" s="146"/>
      <c r="BI637" s="146"/>
      <c r="BJ637" s="20"/>
      <c r="BK637" s="20"/>
      <c r="BL637" s="154"/>
      <c r="BP637" s="20"/>
      <c r="BQ637" s="154"/>
      <c r="BR637" s="18"/>
      <c r="BS637" s="16"/>
      <c r="BT637" s="18"/>
      <c r="BU637" s="18"/>
      <c r="BV637" s="18"/>
      <c r="BW637" s="20"/>
      <c r="BX637" s="154"/>
      <c r="BY637" s="18"/>
      <c r="BZ637" s="146"/>
      <c r="CA637" s="18"/>
      <c r="CB637" s="18"/>
      <c r="CC637" s="20"/>
      <c r="CD637" s="154"/>
    </row>
    <row r="638" spans="35:82">
      <c r="AI638" s="19"/>
      <c r="AO638" s="19"/>
      <c r="AY638" s="145"/>
      <c r="AZ638" s="16"/>
      <c r="BC638" s="16"/>
      <c r="BD638" s="20"/>
      <c r="BE638" s="17"/>
      <c r="BF638" s="20"/>
      <c r="BG638" s="146"/>
      <c r="BH638" s="146"/>
      <c r="BI638" s="146"/>
      <c r="BJ638" s="20"/>
      <c r="BK638" s="20"/>
      <c r="BL638" s="154"/>
      <c r="BP638" s="20"/>
      <c r="BQ638" s="154"/>
      <c r="BR638" s="18"/>
      <c r="BS638" s="16"/>
      <c r="BT638" s="18"/>
      <c r="BU638" s="18"/>
      <c r="BV638" s="18"/>
      <c r="BW638" s="20"/>
      <c r="BX638" s="154"/>
      <c r="BY638" s="18"/>
      <c r="BZ638" s="146"/>
      <c r="CA638" s="18"/>
      <c r="CB638" s="18"/>
      <c r="CC638" s="20"/>
      <c r="CD638" s="154"/>
    </row>
    <row r="639" spans="35:82">
      <c r="AI639" s="19"/>
      <c r="AO639" s="19"/>
      <c r="AY639" s="145"/>
      <c r="AZ639" s="16"/>
      <c r="BC639" s="16"/>
      <c r="BD639" s="20"/>
      <c r="BE639" s="17"/>
      <c r="BF639" s="20"/>
      <c r="BG639" s="146"/>
      <c r="BH639" s="146"/>
      <c r="BI639" s="146"/>
      <c r="BJ639" s="20"/>
      <c r="BK639" s="20"/>
      <c r="BL639" s="154"/>
      <c r="BP639" s="20"/>
      <c r="BQ639" s="154"/>
      <c r="BR639" s="18"/>
      <c r="BS639" s="16"/>
      <c r="BT639" s="18"/>
      <c r="BU639" s="18"/>
      <c r="BV639" s="18"/>
      <c r="BW639" s="20"/>
      <c r="BX639" s="154"/>
      <c r="BY639" s="18"/>
      <c r="BZ639" s="146"/>
      <c r="CA639" s="18"/>
      <c r="CB639" s="18"/>
      <c r="CC639" s="20"/>
      <c r="CD639" s="154"/>
    </row>
    <row r="640" spans="35:82">
      <c r="AI640" s="19"/>
      <c r="AO640" s="19"/>
      <c r="AY640" s="145"/>
      <c r="AZ640" s="16"/>
      <c r="BC640" s="16"/>
      <c r="BD640" s="20"/>
      <c r="BE640" s="17"/>
      <c r="BF640" s="20"/>
      <c r="BG640" s="146"/>
      <c r="BH640" s="146"/>
      <c r="BI640" s="146"/>
      <c r="BJ640" s="20"/>
      <c r="BK640" s="20"/>
      <c r="BL640" s="154"/>
      <c r="BP640" s="20"/>
      <c r="BQ640" s="154"/>
      <c r="BR640" s="18"/>
      <c r="BS640" s="16"/>
      <c r="BT640" s="18"/>
      <c r="BU640" s="18"/>
      <c r="BV640" s="18"/>
      <c r="BW640" s="20"/>
      <c r="BX640" s="154"/>
      <c r="BY640" s="18"/>
      <c r="BZ640" s="146"/>
      <c r="CA640" s="18"/>
      <c r="CB640" s="18"/>
      <c r="CC640" s="20"/>
      <c r="CD640" s="154"/>
    </row>
    <row r="641" spans="35:82">
      <c r="AI641" s="19"/>
      <c r="AO641" s="19"/>
      <c r="AY641" s="145"/>
      <c r="AZ641" s="16"/>
      <c r="BC641" s="16"/>
      <c r="BD641" s="20"/>
      <c r="BE641" s="17"/>
      <c r="BF641" s="20"/>
      <c r="BG641" s="146"/>
      <c r="BH641" s="146"/>
      <c r="BI641" s="146"/>
      <c r="BJ641" s="20"/>
      <c r="BK641" s="20"/>
      <c r="BL641" s="154"/>
      <c r="BP641" s="20"/>
      <c r="BQ641" s="154"/>
      <c r="BR641" s="18"/>
      <c r="BS641" s="16"/>
      <c r="BT641" s="18"/>
      <c r="BU641" s="18"/>
      <c r="BV641" s="18"/>
      <c r="BW641" s="20"/>
      <c r="BX641" s="154"/>
      <c r="BY641" s="18"/>
      <c r="BZ641" s="146"/>
      <c r="CA641" s="18"/>
      <c r="CB641" s="18"/>
      <c r="CC641" s="20"/>
      <c r="CD641" s="154"/>
    </row>
    <row r="642" spans="35:82">
      <c r="AI642" s="19"/>
      <c r="AO642" s="19"/>
      <c r="AY642" s="145"/>
      <c r="AZ642" s="16"/>
      <c r="BC642" s="16"/>
      <c r="BD642" s="20"/>
      <c r="BE642" s="17"/>
      <c r="BF642" s="20"/>
      <c r="BG642" s="146"/>
      <c r="BH642" s="146"/>
      <c r="BI642" s="146"/>
      <c r="BJ642" s="20"/>
      <c r="BK642" s="20"/>
      <c r="BL642" s="154"/>
      <c r="BP642" s="20"/>
      <c r="BQ642" s="154"/>
      <c r="BR642" s="18"/>
      <c r="BS642" s="16"/>
      <c r="BT642" s="18"/>
      <c r="BU642" s="18"/>
      <c r="BV642" s="18"/>
      <c r="BW642" s="20"/>
      <c r="BX642" s="154"/>
      <c r="BY642" s="18"/>
      <c r="BZ642" s="146"/>
      <c r="CA642" s="18"/>
      <c r="CB642" s="18"/>
      <c r="CC642" s="20"/>
      <c r="CD642" s="154"/>
    </row>
    <row r="643" spans="35:82">
      <c r="AI643" s="19"/>
      <c r="AO643" s="19"/>
      <c r="AY643" s="145"/>
      <c r="AZ643" s="16"/>
      <c r="BC643" s="16"/>
      <c r="BD643" s="20"/>
      <c r="BE643" s="17"/>
      <c r="BF643" s="20"/>
      <c r="BG643" s="146"/>
      <c r="BH643" s="146"/>
      <c r="BI643" s="146"/>
      <c r="BJ643" s="20"/>
      <c r="BK643" s="20"/>
      <c r="BL643" s="154"/>
      <c r="BP643" s="20"/>
      <c r="BQ643" s="154"/>
      <c r="BR643" s="18"/>
      <c r="BS643" s="16"/>
      <c r="BT643" s="18"/>
      <c r="BU643" s="18"/>
      <c r="BV643" s="18"/>
      <c r="BW643" s="20"/>
      <c r="BX643" s="154"/>
      <c r="BY643" s="18"/>
      <c r="BZ643" s="146"/>
      <c r="CA643" s="18"/>
      <c r="CB643" s="18"/>
      <c r="CC643" s="20"/>
      <c r="CD643" s="154"/>
    </row>
    <row r="644" spans="35:82">
      <c r="AI644" s="19"/>
      <c r="AO644" s="19"/>
      <c r="AY644" s="145"/>
      <c r="AZ644" s="16"/>
      <c r="BC644" s="16"/>
      <c r="BD644" s="20"/>
      <c r="BE644" s="17"/>
      <c r="BF644" s="20"/>
      <c r="BG644" s="146"/>
      <c r="BH644" s="146"/>
      <c r="BI644" s="146"/>
      <c r="BJ644" s="20"/>
      <c r="BK644" s="20"/>
      <c r="BL644" s="154"/>
      <c r="BP644" s="20"/>
      <c r="BQ644" s="154"/>
      <c r="BR644" s="18"/>
      <c r="BS644" s="16"/>
      <c r="BT644" s="18"/>
      <c r="BU644" s="18"/>
      <c r="BV644" s="18"/>
      <c r="BW644" s="20"/>
      <c r="BX644" s="154"/>
      <c r="BY644" s="18"/>
      <c r="BZ644" s="146"/>
      <c r="CA644" s="18"/>
      <c r="CB644" s="18"/>
      <c r="CC644" s="20"/>
      <c r="CD644" s="154"/>
    </row>
    <row r="645" spans="35:82">
      <c r="AI645" s="19"/>
      <c r="AO645" s="19"/>
      <c r="AY645" s="145"/>
      <c r="AZ645" s="16"/>
      <c r="BC645" s="16"/>
      <c r="BD645" s="20"/>
      <c r="BE645" s="17"/>
      <c r="BF645" s="20"/>
      <c r="BG645" s="146"/>
      <c r="BH645" s="146"/>
      <c r="BI645" s="146"/>
      <c r="BJ645" s="20"/>
      <c r="BK645" s="20"/>
      <c r="BL645" s="154"/>
      <c r="BP645" s="20"/>
      <c r="BQ645" s="154"/>
      <c r="BR645" s="18"/>
      <c r="BS645" s="16"/>
      <c r="BT645" s="18"/>
      <c r="BU645" s="18"/>
      <c r="BV645" s="18"/>
      <c r="BW645" s="20"/>
      <c r="BX645" s="154"/>
      <c r="BY645" s="18"/>
      <c r="BZ645" s="146"/>
      <c r="CA645" s="18"/>
      <c r="CB645" s="18"/>
      <c r="CC645" s="20"/>
      <c r="CD645" s="154"/>
    </row>
    <row r="646" spans="35:82">
      <c r="AI646" s="19"/>
      <c r="AO646" s="19"/>
      <c r="AY646" s="145"/>
      <c r="AZ646" s="16"/>
      <c r="BC646" s="16"/>
      <c r="BD646" s="20"/>
      <c r="BE646" s="17"/>
      <c r="BF646" s="20"/>
      <c r="BG646" s="146"/>
      <c r="BH646" s="146"/>
      <c r="BI646" s="146"/>
      <c r="BJ646" s="20"/>
      <c r="BK646" s="20"/>
      <c r="BL646" s="154"/>
      <c r="BP646" s="20"/>
      <c r="BQ646" s="154"/>
      <c r="BR646" s="18"/>
      <c r="BS646" s="16"/>
      <c r="BT646" s="18"/>
      <c r="BU646" s="18"/>
      <c r="BV646" s="18"/>
      <c r="BW646" s="20"/>
      <c r="BX646" s="154"/>
      <c r="BY646" s="18"/>
      <c r="BZ646" s="146"/>
      <c r="CA646" s="18"/>
      <c r="CB646" s="18"/>
      <c r="CC646" s="20"/>
      <c r="CD646" s="154"/>
    </row>
    <row r="647" spans="35:82">
      <c r="AI647" s="19"/>
      <c r="AO647" s="19"/>
      <c r="AY647" s="145"/>
      <c r="AZ647" s="16"/>
      <c r="BC647" s="16"/>
      <c r="BD647" s="20"/>
      <c r="BE647" s="17"/>
      <c r="BF647" s="20"/>
      <c r="BG647" s="146"/>
      <c r="BH647" s="146"/>
      <c r="BI647" s="146"/>
      <c r="BJ647" s="20"/>
      <c r="BK647" s="20"/>
      <c r="BL647" s="154"/>
      <c r="BP647" s="20"/>
      <c r="BQ647" s="154"/>
      <c r="BR647" s="18"/>
      <c r="BS647" s="16"/>
      <c r="BT647" s="18"/>
      <c r="BU647" s="18"/>
      <c r="BV647" s="18"/>
      <c r="BW647" s="20"/>
      <c r="BX647" s="154"/>
      <c r="BY647" s="18"/>
      <c r="BZ647" s="146"/>
      <c r="CA647" s="18"/>
      <c r="CB647" s="18"/>
      <c r="CC647" s="20"/>
      <c r="CD647" s="154"/>
    </row>
    <row r="648" spans="35:82">
      <c r="AI648" s="19"/>
      <c r="AO648" s="19"/>
      <c r="AY648" s="145"/>
      <c r="AZ648" s="16"/>
      <c r="BC648" s="16"/>
      <c r="BD648" s="20"/>
      <c r="BE648" s="17"/>
      <c r="BF648" s="20"/>
      <c r="BG648" s="146"/>
      <c r="BH648" s="146"/>
      <c r="BI648" s="146"/>
      <c r="BJ648" s="20"/>
      <c r="BK648" s="20"/>
      <c r="BL648" s="154"/>
      <c r="BP648" s="20"/>
      <c r="BQ648" s="154"/>
      <c r="BR648" s="18"/>
      <c r="BS648" s="16"/>
      <c r="BT648" s="18"/>
      <c r="BU648" s="18"/>
      <c r="BV648" s="18"/>
      <c r="BW648" s="20"/>
      <c r="BX648" s="154"/>
      <c r="BY648" s="18"/>
      <c r="BZ648" s="146"/>
      <c r="CA648" s="18"/>
      <c r="CB648" s="18"/>
      <c r="CC648" s="20"/>
      <c r="CD648" s="154"/>
    </row>
    <row r="649" spans="35:82">
      <c r="AI649" s="19"/>
      <c r="AO649" s="19"/>
      <c r="AY649" s="145"/>
      <c r="AZ649" s="16"/>
      <c r="BC649" s="16"/>
      <c r="BD649" s="20"/>
      <c r="BE649" s="17"/>
      <c r="BF649" s="20"/>
      <c r="BG649" s="146"/>
      <c r="BH649" s="146"/>
      <c r="BI649" s="146"/>
      <c r="BJ649" s="20"/>
      <c r="BK649" s="20"/>
      <c r="BL649" s="154"/>
      <c r="BP649" s="20"/>
      <c r="BQ649" s="154"/>
      <c r="BR649" s="18"/>
      <c r="BS649" s="16"/>
      <c r="BT649" s="18"/>
      <c r="BU649" s="18"/>
      <c r="BV649" s="18"/>
      <c r="BW649" s="20"/>
      <c r="BX649" s="154"/>
      <c r="BY649" s="18"/>
      <c r="BZ649" s="146"/>
      <c r="CA649" s="18"/>
      <c r="CB649" s="18"/>
      <c r="CC649" s="20"/>
      <c r="CD649" s="154"/>
    </row>
    <row r="650" spans="35:82">
      <c r="AI650" s="19"/>
      <c r="AO650" s="19"/>
      <c r="AY650" s="145"/>
      <c r="AZ650" s="16"/>
      <c r="BC650" s="16"/>
      <c r="BD650" s="20"/>
      <c r="BE650" s="17"/>
      <c r="BF650" s="20"/>
      <c r="BG650" s="146"/>
      <c r="BH650" s="146"/>
      <c r="BI650" s="146"/>
      <c r="BJ650" s="20"/>
      <c r="BK650" s="20"/>
      <c r="BL650" s="154"/>
      <c r="BP650" s="20"/>
      <c r="BQ650" s="154"/>
      <c r="BR650" s="18"/>
      <c r="BS650" s="16"/>
      <c r="BT650" s="18"/>
      <c r="BU650" s="18"/>
      <c r="BV650" s="18"/>
      <c r="BW650" s="20"/>
      <c r="BX650" s="154"/>
      <c r="BY650" s="18"/>
      <c r="BZ650" s="146"/>
      <c r="CA650" s="18"/>
      <c r="CB650" s="18"/>
      <c r="CC650" s="20"/>
      <c r="CD650" s="154"/>
    </row>
    <row r="651" spans="35:82">
      <c r="AI651" s="19"/>
      <c r="AO651" s="19"/>
      <c r="AY651" s="145"/>
      <c r="AZ651" s="16"/>
      <c r="BC651" s="16"/>
      <c r="BD651" s="20"/>
      <c r="BE651" s="17"/>
      <c r="BF651" s="20"/>
      <c r="BG651" s="146"/>
      <c r="BH651" s="146"/>
      <c r="BI651" s="146"/>
      <c r="BJ651" s="20"/>
      <c r="BK651" s="20"/>
      <c r="BL651" s="154"/>
      <c r="BP651" s="20"/>
      <c r="BQ651" s="154"/>
      <c r="BR651" s="18"/>
      <c r="BS651" s="16"/>
      <c r="BT651" s="18"/>
      <c r="BU651" s="18"/>
      <c r="BV651" s="18"/>
      <c r="BW651" s="20"/>
      <c r="BX651" s="154"/>
      <c r="BY651" s="18"/>
      <c r="BZ651" s="146"/>
      <c r="CA651" s="18"/>
      <c r="CB651" s="18"/>
      <c r="CC651" s="20"/>
      <c r="CD651" s="154"/>
    </row>
    <row r="652" spans="35:82">
      <c r="AI652" s="19"/>
      <c r="AO652" s="19"/>
      <c r="AY652" s="145"/>
      <c r="AZ652" s="16"/>
      <c r="BC652" s="16"/>
      <c r="BD652" s="20"/>
      <c r="BE652" s="17"/>
      <c r="BF652" s="20"/>
      <c r="BG652" s="146"/>
      <c r="BH652" s="146"/>
      <c r="BI652" s="146"/>
      <c r="BJ652" s="20"/>
      <c r="BK652" s="20"/>
      <c r="BL652" s="154"/>
      <c r="BP652" s="20"/>
      <c r="BQ652" s="154"/>
      <c r="BR652" s="18"/>
      <c r="BS652" s="16"/>
      <c r="BT652" s="18"/>
      <c r="BU652" s="18"/>
      <c r="BV652" s="18"/>
      <c r="BW652" s="20"/>
      <c r="BX652" s="154"/>
      <c r="BY652" s="18"/>
      <c r="BZ652" s="146"/>
      <c r="CA652" s="18"/>
      <c r="CB652" s="18"/>
      <c r="CC652" s="20"/>
      <c r="CD652" s="154"/>
    </row>
    <row r="653" spans="35:82">
      <c r="AI653" s="19"/>
      <c r="AO653" s="19"/>
      <c r="AY653" s="145"/>
      <c r="AZ653" s="16"/>
      <c r="BC653" s="16"/>
      <c r="BD653" s="20"/>
      <c r="BE653" s="17"/>
      <c r="BF653" s="20"/>
      <c r="BG653" s="146"/>
      <c r="BH653" s="146"/>
      <c r="BI653" s="146"/>
      <c r="BJ653" s="20"/>
      <c r="BK653" s="20"/>
      <c r="BL653" s="154"/>
      <c r="BP653" s="20"/>
      <c r="BQ653" s="154"/>
      <c r="BR653" s="18"/>
      <c r="BS653" s="16"/>
      <c r="BT653" s="18"/>
      <c r="BU653" s="18"/>
      <c r="BV653" s="18"/>
      <c r="BW653" s="20"/>
      <c r="BX653" s="154"/>
      <c r="BY653" s="18"/>
      <c r="BZ653" s="146"/>
      <c r="CA653" s="18"/>
      <c r="CB653" s="18"/>
      <c r="CC653" s="20"/>
      <c r="CD653" s="154"/>
    </row>
    <row r="654" spans="35:82">
      <c r="AI654" s="19"/>
      <c r="AO654" s="19"/>
      <c r="AY654" s="145"/>
      <c r="AZ654" s="16"/>
      <c r="BC654" s="16"/>
      <c r="BD654" s="20"/>
      <c r="BE654" s="17"/>
      <c r="BF654" s="20"/>
      <c r="BG654" s="146"/>
      <c r="BH654" s="146"/>
      <c r="BI654" s="146"/>
      <c r="BJ654" s="20"/>
      <c r="BK654" s="20"/>
      <c r="BL654" s="154"/>
      <c r="BP654" s="20"/>
      <c r="BQ654" s="154"/>
      <c r="BR654" s="18"/>
      <c r="BS654" s="16"/>
      <c r="BT654" s="18"/>
      <c r="BU654" s="18"/>
      <c r="BV654" s="18"/>
      <c r="BW654" s="20"/>
      <c r="BX654" s="154"/>
      <c r="BY654" s="18"/>
      <c r="BZ654" s="146"/>
      <c r="CA654" s="18"/>
      <c r="CB654" s="18"/>
      <c r="CC654" s="20"/>
      <c r="CD654" s="154"/>
    </row>
    <row r="655" spans="35:82">
      <c r="AI655" s="19"/>
      <c r="AO655" s="19"/>
      <c r="AY655" s="145"/>
      <c r="AZ655" s="16"/>
      <c r="BC655" s="16"/>
      <c r="BD655" s="20"/>
      <c r="BE655" s="17"/>
      <c r="BF655" s="20"/>
      <c r="BG655" s="146"/>
      <c r="BH655" s="146"/>
      <c r="BI655" s="146"/>
      <c r="BJ655" s="20"/>
      <c r="BK655" s="20"/>
      <c r="BL655" s="154"/>
      <c r="BP655" s="20"/>
      <c r="BQ655" s="154"/>
      <c r="BR655" s="18"/>
      <c r="BS655" s="16"/>
      <c r="BT655" s="18"/>
      <c r="BU655" s="18"/>
      <c r="BV655" s="18"/>
      <c r="BW655" s="20"/>
      <c r="BX655" s="154"/>
      <c r="BY655" s="18"/>
      <c r="BZ655" s="146"/>
      <c r="CA655" s="18"/>
      <c r="CB655" s="18"/>
      <c r="CC655" s="20"/>
      <c r="CD655" s="154"/>
    </row>
    <row r="656" spans="35:82">
      <c r="AI656" s="19"/>
      <c r="AO656" s="19"/>
      <c r="AY656" s="145"/>
      <c r="AZ656" s="16"/>
      <c r="BC656" s="16"/>
      <c r="BD656" s="20"/>
      <c r="BE656" s="17"/>
      <c r="BF656" s="20"/>
      <c r="BG656" s="146"/>
      <c r="BH656" s="146"/>
      <c r="BI656" s="146"/>
      <c r="BJ656" s="20"/>
      <c r="BK656" s="20"/>
      <c r="BL656" s="154"/>
      <c r="BP656" s="20"/>
      <c r="BQ656" s="154"/>
      <c r="BR656" s="18"/>
      <c r="BS656" s="16"/>
      <c r="BT656" s="18"/>
      <c r="BU656" s="18"/>
      <c r="BV656" s="18"/>
      <c r="BW656" s="20"/>
      <c r="BX656" s="154"/>
      <c r="BY656" s="18"/>
      <c r="BZ656" s="146"/>
      <c r="CA656" s="18"/>
      <c r="CB656" s="18"/>
      <c r="CC656" s="20"/>
      <c r="CD656" s="154"/>
    </row>
    <row r="657" spans="35:82">
      <c r="AI657" s="19"/>
      <c r="AO657" s="19"/>
      <c r="AY657" s="145"/>
      <c r="AZ657" s="16"/>
      <c r="BC657" s="16"/>
      <c r="BD657" s="20"/>
      <c r="BE657" s="17"/>
      <c r="BF657" s="20"/>
      <c r="BG657" s="146"/>
      <c r="BH657" s="146"/>
      <c r="BI657" s="146"/>
      <c r="BJ657" s="20"/>
      <c r="BK657" s="20"/>
      <c r="BL657" s="154"/>
      <c r="BP657" s="20"/>
      <c r="BQ657" s="154"/>
      <c r="BR657" s="18"/>
      <c r="BS657" s="16"/>
      <c r="BT657" s="18"/>
      <c r="BU657" s="18"/>
      <c r="BV657" s="18"/>
      <c r="BW657" s="20"/>
      <c r="BX657" s="154"/>
      <c r="BY657" s="18"/>
      <c r="BZ657" s="146"/>
      <c r="CA657" s="18"/>
      <c r="CB657" s="18"/>
      <c r="CC657" s="20"/>
      <c r="CD657" s="154"/>
    </row>
    <row r="658" spans="35:82">
      <c r="AI658" s="19"/>
      <c r="AO658" s="19"/>
      <c r="AY658" s="145"/>
      <c r="AZ658" s="16"/>
      <c r="BC658" s="16"/>
      <c r="BD658" s="20"/>
      <c r="BE658" s="17"/>
      <c r="BF658" s="20"/>
      <c r="BG658" s="146"/>
      <c r="BH658" s="146"/>
      <c r="BI658" s="146"/>
      <c r="BJ658" s="20"/>
      <c r="BK658" s="20"/>
      <c r="BL658" s="154"/>
      <c r="BP658" s="20"/>
      <c r="BQ658" s="154"/>
      <c r="BR658" s="18"/>
      <c r="BS658" s="16"/>
      <c r="BT658" s="18"/>
      <c r="BU658" s="18"/>
      <c r="BV658" s="18"/>
      <c r="BW658" s="20"/>
      <c r="BX658" s="154"/>
      <c r="BY658" s="18"/>
      <c r="BZ658" s="146"/>
      <c r="CA658" s="18"/>
      <c r="CB658" s="18"/>
      <c r="CC658" s="20"/>
      <c r="CD658" s="154"/>
    </row>
    <row r="659" spans="35:82">
      <c r="AI659" s="19"/>
      <c r="AO659" s="19"/>
      <c r="AY659" s="145"/>
      <c r="AZ659" s="16"/>
      <c r="BC659" s="16"/>
      <c r="BD659" s="20"/>
      <c r="BE659" s="17"/>
      <c r="BF659" s="20"/>
      <c r="BG659" s="146"/>
      <c r="BH659" s="146"/>
      <c r="BI659" s="146"/>
      <c r="BJ659" s="20"/>
      <c r="BK659" s="20"/>
      <c r="BL659" s="154"/>
      <c r="BP659" s="20"/>
      <c r="BQ659" s="154"/>
      <c r="BR659" s="18"/>
      <c r="BS659" s="16"/>
      <c r="BT659" s="18"/>
      <c r="BU659" s="18"/>
      <c r="BV659" s="18"/>
      <c r="BW659" s="20"/>
      <c r="BX659" s="154"/>
      <c r="BY659" s="18"/>
      <c r="BZ659" s="146"/>
      <c r="CA659" s="18"/>
      <c r="CB659" s="18"/>
      <c r="CC659" s="20"/>
      <c r="CD659" s="154"/>
    </row>
    <row r="660" spans="35:82">
      <c r="AI660" s="19"/>
      <c r="AO660" s="19"/>
      <c r="AY660" s="145"/>
      <c r="AZ660" s="16"/>
      <c r="BC660" s="16"/>
      <c r="BD660" s="20"/>
      <c r="BE660" s="17"/>
      <c r="BF660" s="20"/>
      <c r="BG660" s="146"/>
      <c r="BH660" s="146"/>
      <c r="BI660" s="146"/>
      <c r="BJ660" s="20"/>
      <c r="BK660" s="20"/>
      <c r="BL660" s="154"/>
      <c r="BP660" s="20"/>
      <c r="BQ660" s="154"/>
      <c r="BR660" s="18"/>
      <c r="BS660" s="16"/>
      <c r="BT660" s="18"/>
      <c r="BU660" s="18"/>
      <c r="BV660" s="18"/>
      <c r="BW660" s="20"/>
      <c r="BX660" s="154"/>
      <c r="BY660" s="18"/>
      <c r="BZ660" s="146"/>
      <c r="CA660" s="18"/>
      <c r="CB660" s="18"/>
      <c r="CC660" s="20"/>
      <c r="CD660" s="154"/>
    </row>
    <row r="661" spans="35:82">
      <c r="AI661" s="19"/>
      <c r="AO661" s="19"/>
      <c r="AY661" s="145"/>
      <c r="AZ661" s="16"/>
      <c r="BC661" s="16"/>
      <c r="BD661" s="20"/>
      <c r="BE661" s="17"/>
      <c r="BF661" s="20"/>
      <c r="BG661" s="146"/>
      <c r="BH661" s="146"/>
      <c r="BI661" s="146"/>
      <c r="BJ661" s="20"/>
      <c r="BK661" s="20"/>
      <c r="BL661" s="154"/>
      <c r="BP661" s="20"/>
      <c r="BQ661" s="154"/>
      <c r="BR661" s="18"/>
      <c r="BS661" s="16"/>
      <c r="BT661" s="18"/>
      <c r="BU661" s="18"/>
      <c r="BV661" s="18"/>
      <c r="BW661" s="20"/>
      <c r="BX661" s="154"/>
      <c r="BY661" s="18"/>
      <c r="BZ661" s="146"/>
      <c r="CA661" s="18"/>
      <c r="CB661" s="18"/>
      <c r="CC661" s="20"/>
      <c r="CD661" s="154"/>
    </row>
    <row r="662" spans="35:82">
      <c r="AI662" s="19"/>
      <c r="AO662" s="19"/>
      <c r="AY662" s="145"/>
      <c r="AZ662" s="16"/>
      <c r="BC662" s="16"/>
      <c r="BD662" s="20"/>
      <c r="BE662" s="17"/>
      <c r="BF662" s="20"/>
      <c r="BG662" s="146"/>
      <c r="BH662" s="146"/>
      <c r="BI662" s="146"/>
      <c r="BJ662" s="20"/>
      <c r="BK662" s="20"/>
      <c r="BL662" s="154"/>
      <c r="BP662" s="20"/>
      <c r="BQ662" s="154"/>
      <c r="BR662" s="18"/>
      <c r="BS662" s="16"/>
      <c r="BT662" s="18"/>
      <c r="BU662" s="18"/>
      <c r="BV662" s="18"/>
      <c r="BW662" s="20"/>
      <c r="BX662" s="154"/>
      <c r="BY662" s="18"/>
      <c r="BZ662" s="146"/>
      <c r="CA662" s="18"/>
      <c r="CB662" s="18"/>
      <c r="CC662" s="20"/>
      <c r="CD662" s="154"/>
    </row>
    <row r="663" spans="35:82">
      <c r="AI663" s="19"/>
      <c r="AO663" s="19"/>
      <c r="AY663" s="145"/>
      <c r="AZ663" s="16"/>
      <c r="BC663" s="16"/>
      <c r="BD663" s="20"/>
      <c r="BE663" s="17"/>
      <c r="BF663" s="20"/>
      <c r="BG663" s="146"/>
      <c r="BH663" s="146"/>
      <c r="BI663" s="146"/>
      <c r="BJ663" s="20"/>
      <c r="BK663" s="20"/>
      <c r="BL663" s="154"/>
      <c r="BP663" s="20"/>
      <c r="BQ663" s="154"/>
      <c r="BR663" s="18"/>
      <c r="BS663" s="16"/>
      <c r="BT663" s="18"/>
      <c r="BU663" s="18"/>
      <c r="BV663" s="18"/>
      <c r="BW663" s="20"/>
      <c r="BX663" s="154"/>
      <c r="BY663" s="18"/>
      <c r="BZ663" s="146"/>
      <c r="CA663" s="18"/>
      <c r="CB663" s="18"/>
      <c r="CC663" s="20"/>
      <c r="CD663" s="154"/>
    </row>
    <row r="664" spans="35:82">
      <c r="AI664" s="19"/>
      <c r="AO664" s="19"/>
      <c r="AY664" s="145"/>
      <c r="AZ664" s="16"/>
      <c r="BC664" s="16"/>
      <c r="BD664" s="20"/>
      <c r="BE664" s="17"/>
      <c r="BF664" s="20"/>
      <c r="BG664" s="146"/>
      <c r="BH664" s="146"/>
      <c r="BI664" s="146"/>
      <c r="BJ664" s="20"/>
      <c r="BK664" s="20"/>
      <c r="BL664" s="154"/>
      <c r="BP664" s="20"/>
      <c r="BQ664" s="154"/>
      <c r="BR664" s="18"/>
      <c r="BS664" s="16"/>
      <c r="BT664" s="18"/>
      <c r="BU664" s="18"/>
      <c r="BV664" s="18"/>
      <c r="BW664" s="20"/>
      <c r="BX664" s="154"/>
      <c r="BY664" s="18"/>
      <c r="BZ664" s="146"/>
      <c r="CA664" s="18"/>
      <c r="CB664" s="18"/>
      <c r="CC664" s="20"/>
      <c r="CD664" s="154"/>
    </row>
    <row r="665" spans="35:82">
      <c r="AI665" s="19"/>
      <c r="AO665" s="19"/>
      <c r="AY665" s="145"/>
      <c r="AZ665" s="16"/>
      <c r="BC665" s="16"/>
      <c r="BD665" s="20"/>
      <c r="BE665" s="17"/>
      <c r="BF665" s="20"/>
      <c r="BG665" s="146"/>
      <c r="BH665" s="146"/>
      <c r="BI665" s="146"/>
      <c r="BJ665" s="20"/>
      <c r="BK665" s="20"/>
      <c r="BL665" s="154"/>
      <c r="BP665" s="20"/>
      <c r="BQ665" s="154"/>
      <c r="BR665" s="18"/>
      <c r="BS665" s="16"/>
      <c r="BT665" s="18"/>
      <c r="BU665" s="18"/>
      <c r="BV665" s="18"/>
      <c r="BW665" s="20"/>
      <c r="BX665" s="154"/>
      <c r="BY665" s="18"/>
      <c r="BZ665" s="146"/>
      <c r="CA665" s="18"/>
      <c r="CB665" s="18"/>
      <c r="CC665" s="20"/>
      <c r="CD665" s="154"/>
    </row>
    <row r="666" spans="35:82">
      <c r="AI666" s="19"/>
      <c r="AO666" s="19"/>
      <c r="AY666" s="145"/>
      <c r="AZ666" s="16"/>
      <c r="BC666" s="16"/>
      <c r="BD666" s="20"/>
      <c r="BE666" s="17"/>
      <c r="BF666" s="20"/>
      <c r="BG666" s="146"/>
      <c r="BH666" s="146"/>
      <c r="BI666" s="146"/>
      <c r="BJ666" s="20"/>
      <c r="BK666" s="20"/>
      <c r="BL666" s="154"/>
      <c r="BP666" s="20"/>
      <c r="BQ666" s="154"/>
      <c r="BR666" s="18"/>
      <c r="BS666" s="16"/>
      <c r="BT666" s="18"/>
      <c r="BU666" s="18"/>
      <c r="BV666" s="18"/>
      <c r="BW666" s="20"/>
      <c r="BX666" s="154"/>
      <c r="BY666" s="18"/>
      <c r="BZ666" s="146"/>
      <c r="CA666" s="18"/>
      <c r="CB666" s="18"/>
      <c r="CC666" s="20"/>
      <c r="CD666" s="154"/>
    </row>
    <row r="667" spans="35:82">
      <c r="AI667" s="19"/>
      <c r="AO667" s="19"/>
      <c r="AY667" s="145"/>
      <c r="AZ667" s="16"/>
      <c r="BC667" s="16"/>
      <c r="BD667" s="20"/>
      <c r="BE667" s="17"/>
      <c r="BF667" s="20"/>
      <c r="BG667" s="146"/>
      <c r="BH667" s="146"/>
      <c r="BI667" s="146"/>
      <c r="BJ667" s="20"/>
      <c r="BK667" s="20"/>
      <c r="BL667" s="154"/>
      <c r="BP667" s="20"/>
      <c r="BQ667" s="154"/>
      <c r="BR667" s="18"/>
      <c r="BS667" s="16"/>
      <c r="BT667" s="18"/>
      <c r="BU667" s="18"/>
      <c r="BV667" s="18"/>
      <c r="BW667" s="20"/>
      <c r="BX667" s="154"/>
      <c r="BY667" s="18"/>
      <c r="BZ667" s="146"/>
      <c r="CA667" s="18"/>
      <c r="CB667" s="18"/>
      <c r="CC667" s="20"/>
      <c r="CD667" s="154"/>
    </row>
    <row r="668" spans="35:82">
      <c r="AI668" s="19"/>
      <c r="AO668" s="19"/>
      <c r="AY668" s="145"/>
      <c r="AZ668" s="16"/>
      <c r="BC668" s="16"/>
      <c r="BD668" s="20"/>
      <c r="BE668" s="17"/>
      <c r="BF668" s="20"/>
      <c r="BG668" s="146"/>
      <c r="BH668" s="146"/>
      <c r="BI668" s="146"/>
      <c r="BJ668" s="20"/>
      <c r="BK668" s="20"/>
      <c r="BL668" s="154"/>
      <c r="BP668" s="20"/>
      <c r="BQ668" s="154"/>
      <c r="BR668" s="18"/>
      <c r="BS668" s="16"/>
      <c r="BT668" s="18"/>
      <c r="BU668" s="18"/>
      <c r="BV668" s="18"/>
      <c r="BW668" s="20"/>
      <c r="BX668" s="154"/>
      <c r="BY668" s="18"/>
      <c r="BZ668" s="146"/>
      <c r="CA668" s="18"/>
      <c r="CB668" s="18"/>
      <c r="CC668" s="20"/>
      <c r="CD668" s="154"/>
    </row>
    <row r="669" spans="35:82">
      <c r="AI669" s="19"/>
      <c r="AO669" s="19"/>
      <c r="AY669" s="145"/>
      <c r="AZ669" s="16"/>
      <c r="BC669" s="16"/>
      <c r="BD669" s="20"/>
      <c r="BE669" s="17"/>
      <c r="BF669" s="20"/>
      <c r="BG669" s="146"/>
      <c r="BH669" s="146"/>
      <c r="BI669" s="146"/>
      <c r="BJ669" s="20"/>
      <c r="BK669" s="20"/>
      <c r="BL669" s="154"/>
      <c r="BP669" s="20"/>
      <c r="BQ669" s="154"/>
      <c r="BR669" s="18"/>
      <c r="BS669" s="16"/>
      <c r="BT669" s="18"/>
      <c r="BU669" s="18"/>
      <c r="BV669" s="18"/>
      <c r="BW669" s="20"/>
      <c r="BX669" s="154"/>
      <c r="BY669" s="18"/>
      <c r="BZ669" s="146"/>
      <c r="CA669" s="18"/>
      <c r="CB669" s="18"/>
      <c r="CC669" s="20"/>
      <c r="CD669" s="154"/>
    </row>
    <row r="670" spans="35:82">
      <c r="AI670" s="19"/>
      <c r="AO670" s="19"/>
      <c r="AY670" s="145"/>
      <c r="AZ670" s="16"/>
      <c r="BC670" s="16"/>
      <c r="BD670" s="20"/>
      <c r="BE670" s="17"/>
      <c r="BF670" s="20"/>
      <c r="BG670" s="146"/>
      <c r="BH670" s="146"/>
      <c r="BI670" s="146"/>
      <c r="BJ670" s="20"/>
      <c r="BK670" s="20"/>
      <c r="BL670" s="154"/>
      <c r="BP670" s="20"/>
      <c r="BQ670" s="154"/>
      <c r="BR670" s="18"/>
      <c r="BS670" s="16"/>
      <c r="BT670" s="18"/>
      <c r="BU670" s="18"/>
      <c r="BV670" s="18"/>
      <c r="BW670" s="20"/>
      <c r="BX670" s="154"/>
      <c r="BY670" s="18"/>
      <c r="BZ670" s="146"/>
      <c r="CA670" s="18"/>
      <c r="CB670" s="18"/>
      <c r="CC670" s="20"/>
      <c r="CD670" s="154"/>
    </row>
    <row r="671" spans="35:82">
      <c r="AI671" s="19"/>
      <c r="AO671" s="19"/>
      <c r="AY671" s="145"/>
      <c r="AZ671" s="16"/>
      <c r="BC671" s="16"/>
      <c r="BD671" s="20"/>
      <c r="BE671" s="17"/>
      <c r="BF671" s="20"/>
      <c r="BG671" s="146"/>
      <c r="BH671" s="146"/>
      <c r="BI671" s="146"/>
      <c r="BJ671" s="20"/>
      <c r="BK671" s="20"/>
      <c r="BL671" s="154"/>
      <c r="BP671" s="20"/>
      <c r="BQ671" s="154"/>
      <c r="BR671" s="18"/>
      <c r="BS671" s="16"/>
      <c r="BT671" s="18"/>
      <c r="BU671" s="18"/>
      <c r="BV671" s="18"/>
      <c r="BW671" s="20"/>
      <c r="BX671" s="154"/>
      <c r="BY671" s="18"/>
      <c r="BZ671" s="146"/>
      <c r="CA671" s="18"/>
      <c r="CB671" s="18"/>
      <c r="CC671" s="20"/>
      <c r="CD671" s="154"/>
    </row>
    <row r="672" spans="35:82">
      <c r="AI672" s="19"/>
      <c r="AO672" s="19"/>
      <c r="AY672" s="145"/>
      <c r="AZ672" s="16"/>
      <c r="BC672" s="16"/>
      <c r="BD672" s="20"/>
      <c r="BE672" s="17"/>
      <c r="BF672" s="20"/>
      <c r="BG672" s="146"/>
      <c r="BH672" s="146"/>
      <c r="BI672" s="146"/>
      <c r="BJ672" s="20"/>
      <c r="BK672" s="20"/>
      <c r="BL672" s="154"/>
      <c r="BP672" s="20"/>
      <c r="BQ672" s="154"/>
      <c r="BR672" s="18"/>
      <c r="BS672" s="16"/>
      <c r="BT672" s="18"/>
      <c r="BU672" s="18"/>
      <c r="BV672" s="18"/>
      <c r="BW672" s="20"/>
      <c r="BX672" s="154"/>
      <c r="BY672" s="18"/>
      <c r="BZ672" s="146"/>
      <c r="CA672" s="18"/>
      <c r="CB672" s="18"/>
      <c r="CC672" s="20"/>
      <c r="CD672" s="154"/>
    </row>
    <row r="673" spans="35:82">
      <c r="AI673" s="19"/>
      <c r="AO673" s="19"/>
      <c r="AY673" s="145"/>
      <c r="AZ673" s="16"/>
      <c r="BC673" s="16"/>
      <c r="BD673" s="20"/>
      <c r="BE673" s="17"/>
      <c r="BF673" s="20"/>
      <c r="BG673" s="146"/>
      <c r="BH673" s="146"/>
      <c r="BI673" s="146"/>
      <c r="BJ673" s="20"/>
      <c r="BK673" s="20"/>
      <c r="BL673" s="154"/>
      <c r="BP673" s="20"/>
      <c r="BQ673" s="154"/>
      <c r="BR673" s="18"/>
      <c r="BS673" s="16"/>
      <c r="BT673" s="18"/>
      <c r="BU673" s="18"/>
      <c r="BV673" s="18"/>
      <c r="BW673" s="20"/>
      <c r="BX673" s="154"/>
      <c r="BY673" s="18"/>
      <c r="BZ673" s="146"/>
      <c r="CA673" s="18"/>
      <c r="CB673" s="18"/>
      <c r="CC673" s="20"/>
      <c r="CD673" s="154"/>
    </row>
    <row r="674" spans="35:82">
      <c r="AI674" s="19"/>
      <c r="AO674" s="19"/>
      <c r="AY674" s="145"/>
      <c r="AZ674" s="16"/>
      <c r="BC674" s="16"/>
      <c r="BD674" s="20"/>
      <c r="BE674" s="17"/>
      <c r="BF674" s="20"/>
      <c r="BG674" s="146"/>
      <c r="BH674" s="146"/>
      <c r="BI674" s="146"/>
      <c r="BJ674" s="20"/>
      <c r="BK674" s="20"/>
      <c r="BL674" s="154"/>
      <c r="BP674" s="20"/>
      <c r="BQ674" s="154"/>
      <c r="BR674" s="18"/>
      <c r="BS674" s="16"/>
      <c r="BT674" s="18"/>
      <c r="BU674" s="18"/>
      <c r="BV674" s="18"/>
      <c r="BW674" s="20"/>
      <c r="BX674" s="154"/>
      <c r="BY674" s="18"/>
      <c r="BZ674" s="146"/>
      <c r="CA674" s="18"/>
      <c r="CB674" s="18"/>
      <c r="CC674" s="20"/>
      <c r="CD674" s="154"/>
    </row>
    <row r="675" spans="35:82">
      <c r="AI675" s="19"/>
      <c r="AO675" s="19"/>
      <c r="AY675" s="145"/>
      <c r="AZ675" s="16"/>
      <c r="BC675" s="16"/>
      <c r="BD675" s="20"/>
      <c r="BE675" s="17"/>
      <c r="BF675" s="20"/>
      <c r="BG675" s="146"/>
      <c r="BH675" s="146"/>
      <c r="BI675" s="146"/>
      <c r="BJ675" s="20"/>
      <c r="BK675" s="20"/>
      <c r="BL675" s="154"/>
      <c r="BP675" s="20"/>
      <c r="BQ675" s="154"/>
      <c r="BR675" s="18"/>
      <c r="BS675" s="16"/>
      <c r="BT675" s="18"/>
      <c r="BU675" s="18"/>
      <c r="BV675" s="18"/>
      <c r="BW675" s="20"/>
      <c r="BX675" s="154"/>
      <c r="BY675" s="18"/>
      <c r="BZ675" s="146"/>
      <c r="CA675" s="18"/>
      <c r="CB675" s="18"/>
      <c r="CC675" s="20"/>
      <c r="CD675" s="154"/>
    </row>
    <row r="676" spans="35:82">
      <c r="AI676" s="19"/>
      <c r="AO676" s="19"/>
      <c r="AY676" s="145"/>
      <c r="AZ676" s="16"/>
      <c r="BC676" s="16"/>
      <c r="BD676" s="20"/>
      <c r="BE676" s="17"/>
      <c r="BF676" s="20"/>
      <c r="BG676" s="146"/>
      <c r="BH676" s="146"/>
      <c r="BI676" s="146"/>
      <c r="BJ676" s="20"/>
      <c r="BK676" s="20"/>
      <c r="BL676" s="154"/>
      <c r="BP676" s="20"/>
      <c r="BQ676" s="154"/>
      <c r="BR676" s="18"/>
      <c r="BS676" s="16"/>
      <c r="BT676" s="18"/>
      <c r="BU676" s="18"/>
      <c r="BV676" s="18"/>
      <c r="BW676" s="20"/>
      <c r="BX676" s="154"/>
      <c r="BY676" s="18"/>
      <c r="BZ676" s="146"/>
      <c r="CA676" s="18"/>
      <c r="CB676" s="18"/>
      <c r="CC676" s="20"/>
      <c r="CD676" s="154"/>
    </row>
    <row r="677" spans="35:82">
      <c r="AI677" s="19"/>
      <c r="AO677" s="19"/>
      <c r="AY677" s="145"/>
      <c r="AZ677" s="16"/>
      <c r="BC677" s="16"/>
      <c r="BD677" s="20"/>
      <c r="BE677" s="17"/>
      <c r="BF677" s="20"/>
      <c r="BG677" s="146"/>
      <c r="BH677" s="146"/>
      <c r="BI677" s="146"/>
      <c r="BJ677" s="20"/>
      <c r="BK677" s="20"/>
      <c r="BL677" s="154"/>
      <c r="BP677" s="20"/>
      <c r="BQ677" s="154"/>
      <c r="BR677" s="18"/>
      <c r="BS677" s="16"/>
      <c r="BT677" s="18"/>
      <c r="BU677" s="18"/>
      <c r="BV677" s="18"/>
      <c r="BW677" s="20"/>
      <c r="BX677" s="154"/>
      <c r="BY677" s="18"/>
      <c r="BZ677" s="146"/>
      <c r="CA677" s="18"/>
      <c r="CB677" s="18"/>
      <c r="CC677" s="20"/>
      <c r="CD677" s="154"/>
    </row>
    <row r="678" spans="35:82">
      <c r="AI678" s="19"/>
      <c r="AO678" s="19"/>
      <c r="AY678" s="145"/>
      <c r="AZ678" s="16"/>
      <c r="BC678" s="16"/>
      <c r="BD678" s="20"/>
      <c r="BE678" s="17"/>
      <c r="BF678" s="20"/>
      <c r="BG678" s="146"/>
      <c r="BH678" s="146"/>
      <c r="BI678" s="146"/>
      <c r="BJ678" s="20"/>
      <c r="BK678" s="20"/>
      <c r="BL678" s="154"/>
      <c r="BP678" s="20"/>
      <c r="BQ678" s="154"/>
      <c r="BR678" s="18"/>
      <c r="BS678" s="16"/>
      <c r="BT678" s="18"/>
      <c r="BU678" s="18"/>
      <c r="BV678" s="18"/>
      <c r="BW678" s="20"/>
      <c r="BX678" s="154"/>
      <c r="BY678" s="18"/>
      <c r="BZ678" s="146"/>
      <c r="CA678" s="18"/>
      <c r="CB678" s="18"/>
      <c r="CC678" s="20"/>
      <c r="CD678" s="154"/>
    </row>
    <row r="679" spans="35:82">
      <c r="AI679" s="19"/>
      <c r="AO679" s="19"/>
      <c r="AY679" s="145"/>
      <c r="AZ679" s="16"/>
      <c r="BC679" s="16"/>
      <c r="BD679" s="20"/>
      <c r="BE679" s="17"/>
      <c r="BF679" s="20"/>
      <c r="BG679" s="146"/>
      <c r="BH679" s="146"/>
      <c r="BI679" s="146"/>
      <c r="BJ679" s="20"/>
      <c r="BK679" s="20"/>
      <c r="BL679" s="154"/>
      <c r="BP679" s="20"/>
      <c r="BQ679" s="154"/>
      <c r="BR679" s="18"/>
      <c r="BS679" s="16"/>
      <c r="BT679" s="18"/>
      <c r="BU679" s="18"/>
      <c r="BV679" s="18"/>
      <c r="BW679" s="20"/>
      <c r="BX679" s="154"/>
      <c r="BY679" s="18"/>
      <c r="BZ679" s="146"/>
      <c r="CA679" s="18"/>
      <c r="CB679" s="18"/>
      <c r="CC679" s="20"/>
      <c r="CD679" s="154"/>
    </row>
    <row r="680" spans="35:82">
      <c r="AI680" s="19"/>
      <c r="AO680" s="19"/>
      <c r="AY680" s="145"/>
      <c r="AZ680" s="16"/>
      <c r="BC680" s="16"/>
      <c r="BD680" s="20"/>
      <c r="BE680" s="17"/>
      <c r="BF680" s="20"/>
      <c r="BG680" s="146"/>
      <c r="BH680" s="146"/>
      <c r="BI680" s="146"/>
      <c r="BJ680" s="20"/>
      <c r="BK680" s="20"/>
      <c r="BL680" s="154"/>
      <c r="BP680" s="20"/>
      <c r="BQ680" s="154"/>
      <c r="BR680" s="18"/>
      <c r="BS680" s="16"/>
      <c r="BT680" s="18"/>
      <c r="BU680" s="18"/>
      <c r="BV680" s="18"/>
      <c r="BW680" s="20"/>
      <c r="BX680" s="154"/>
      <c r="BY680" s="18"/>
      <c r="BZ680" s="146"/>
      <c r="CA680" s="18"/>
      <c r="CB680" s="18"/>
      <c r="CC680" s="20"/>
      <c r="CD680" s="154"/>
    </row>
    <row r="681" spans="35:82">
      <c r="AI681" s="19"/>
      <c r="AO681" s="19"/>
      <c r="AY681" s="145"/>
      <c r="AZ681" s="16"/>
      <c r="BC681" s="16"/>
      <c r="BD681" s="20"/>
      <c r="BE681" s="17"/>
      <c r="BF681" s="20"/>
      <c r="BG681" s="146"/>
      <c r="BH681" s="146"/>
      <c r="BI681" s="146"/>
      <c r="BJ681" s="20"/>
      <c r="BK681" s="20"/>
      <c r="BL681" s="154"/>
      <c r="BP681" s="20"/>
      <c r="BQ681" s="154"/>
      <c r="BR681" s="18"/>
      <c r="BS681" s="16"/>
      <c r="BT681" s="18"/>
      <c r="BU681" s="18"/>
      <c r="BV681" s="18"/>
      <c r="BW681" s="20"/>
      <c r="BX681" s="154"/>
      <c r="BY681" s="18"/>
      <c r="BZ681" s="146"/>
      <c r="CA681" s="18"/>
      <c r="CB681" s="18"/>
      <c r="CC681" s="20"/>
      <c r="CD681" s="154"/>
    </row>
    <row r="682" spans="35:82">
      <c r="AI682" s="19"/>
      <c r="AO682" s="19"/>
      <c r="AY682" s="145"/>
      <c r="AZ682" s="16"/>
      <c r="BC682" s="16"/>
      <c r="BD682" s="20"/>
      <c r="BE682" s="17"/>
      <c r="BF682" s="20"/>
      <c r="BG682" s="146"/>
      <c r="BH682" s="146"/>
      <c r="BI682" s="146"/>
      <c r="BJ682" s="20"/>
      <c r="BK682" s="20"/>
      <c r="BL682" s="154"/>
      <c r="BP682" s="20"/>
      <c r="BQ682" s="154"/>
      <c r="BR682" s="18"/>
      <c r="BS682" s="16"/>
      <c r="BT682" s="18"/>
      <c r="BU682" s="18"/>
      <c r="BV682" s="18"/>
      <c r="BW682" s="20"/>
      <c r="BX682" s="154"/>
      <c r="BY682" s="18"/>
      <c r="BZ682" s="146"/>
      <c r="CA682" s="18"/>
      <c r="CB682" s="18"/>
      <c r="CC682" s="20"/>
      <c r="CD682" s="154"/>
    </row>
    <row r="683" spans="35:82">
      <c r="AI683" s="19"/>
      <c r="AO683" s="19"/>
      <c r="AY683" s="145"/>
      <c r="AZ683" s="16"/>
      <c r="BC683" s="16"/>
      <c r="BD683" s="20"/>
      <c r="BE683" s="17"/>
      <c r="BF683" s="20"/>
      <c r="BG683" s="146"/>
      <c r="BH683" s="146"/>
      <c r="BI683" s="146"/>
      <c r="BJ683" s="20"/>
      <c r="BK683" s="20"/>
      <c r="BL683" s="154"/>
      <c r="BP683" s="20"/>
      <c r="BQ683" s="154"/>
      <c r="BR683" s="18"/>
      <c r="BS683" s="16"/>
      <c r="BT683" s="18"/>
      <c r="BU683" s="18"/>
      <c r="BV683" s="18"/>
      <c r="BW683" s="20"/>
      <c r="BX683" s="154"/>
      <c r="BY683" s="18"/>
      <c r="BZ683" s="146"/>
      <c r="CA683" s="18"/>
      <c r="CB683" s="18"/>
      <c r="CC683" s="20"/>
      <c r="CD683" s="154"/>
    </row>
    <row r="684" spans="35:82">
      <c r="AI684" s="19"/>
      <c r="AO684" s="19"/>
      <c r="AY684" s="145"/>
      <c r="AZ684" s="16"/>
      <c r="BC684" s="16"/>
      <c r="BD684" s="20"/>
      <c r="BE684" s="17"/>
      <c r="BF684" s="20"/>
      <c r="BG684" s="146"/>
      <c r="BH684" s="146"/>
      <c r="BI684" s="146"/>
      <c r="BJ684" s="20"/>
      <c r="BK684" s="20"/>
      <c r="BL684" s="154"/>
      <c r="BP684" s="20"/>
      <c r="BQ684" s="154"/>
      <c r="BR684" s="18"/>
      <c r="BS684" s="16"/>
      <c r="BT684" s="18"/>
      <c r="BU684" s="18"/>
      <c r="BV684" s="18"/>
      <c r="BW684" s="20"/>
      <c r="BX684" s="154"/>
      <c r="BY684" s="18"/>
      <c r="BZ684" s="146"/>
      <c r="CA684" s="18"/>
      <c r="CB684" s="18"/>
      <c r="CC684" s="20"/>
      <c r="CD684" s="154"/>
    </row>
    <row r="685" spans="35:82">
      <c r="AI685" s="19"/>
      <c r="AO685" s="19"/>
      <c r="AY685" s="145"/>
      <c r="AZ685" s="16"/>
      <c r="BC685" s="16"/>
      <c r="BD685" s="20"/>
      <c r="BE685" s="17"/>
      <c r="BF685" s="20"/>
      <c r="BG685" s="146"/>
      <c r="BH685" s="146"/>
      <c r="BI685" s="146"/>
      <c r="BJ685" s="20"/>
      <c r="BK685" s="20"/>
      <c r="BL685" s="154"/>
      <c r="BP685" s="20"/>
      <c r="BQ685" s="154"/>
      <c r="BR685" s="18"/>
      <c r="BS685" s="16"/>
      <c r="BT685" s="18"/>
      <c r="BU685" s="18"/>
      <c r="BV685" s="18"/>
      <c r="BW685" s="20"/>
      <c r="BX685" s="154"/>
      <c r="BY685" s="18"/>
      <c r="BZ685" s="146"/>
      <c r="CA685" s="18"/>
      <c r="CB685" s="18"/>
      <c r="CC685" s="20"/>
      <c r="CD685" s="154"/>
    </row>
    <row r="686" spans="35:82">
      <c r="AI686" s="19"/>
      <c r="AO686" s="19"/>
      <c r="AY686" s="145"/>
      <c r="AZ686" s="16"/>
      <c r="BC686" s="16"/>
      <c r="BD686" s="20"/>
      <c r="BE686" s="17"/>
      <c r="BF686" s="20"/>
      <c r="BG686" s="146"/>
      <c r="BH686" s="146"/>
      <c r="BI686" s="146"/>
      <c r="BJ686" s="20"/>
      <c r="BK686" s="20"/>
      <c r="BL686" s="154"/>
      <c r="BP686" s="20"/>
      <c r="BQ686" s="154"/>
      <c r="BR686" s="18"/>
      <c r="BS686" s="16"/>
      <c r="BT686" s="18"/>
      <c r="BU686" s="18"/>
      <c r="BV686" s="18"/>
      <c r="BW686" s="20"/>
      <c r="BX686" s="154"/>
      <c r="BY686" s="18"/>
      <c r="BZ686" s="146"/>
      <c r="CA686" s="18"/>
      <c r="CB686" s="18"/>
      <c r="CC686" s="20"/>
      <c r="CD686" s="154"/>
    </row>
    <row r="687" spans="35:82">
      <c r="AI687" s="19"/>
      <c r="AO687" s="19"/>
      <c r="AY687" s="145"/>
      <c r="AZ687" s="16"/>
      <c r="BC687" s="16"/>
      <c r="BD687" s="20"/>
      <c r="BE687" s="17"/>
      <c r="BF687" s="20"/>
      <c r="BG687" s="146"/>
      <c r="BH687" s="146"/>
      <c r="BI687" s="146"/>
      <c r="BJ687" s="20"/>
      <c r="BK687" s="20"/>
      <c r="BL687" s="154"/>
      <c r="BP687" s="20"/>
      <c r="BQ687" s="154"/>
      <c r="BR687" s="18"/>
      <c r="BS687" s="16"/>
      <c r="BT687" s="18"/>
      <c r="BU687" s="18"/>
      <c r="BV687" s="18"/>
      <c r="BW687" s="20"/>
      <c r="BX687" s="154"/>
      <c r="BY687" s="18"/>
      <c r="BZ687" s="146"/>
      <c r="CA687" s="18"/>
      <c r="CB687" s="18"/>
      <c r="CC687" s="20"/>
      <c r="CD687" s="154"/>
    </row>
    <row r="688" spans="35:82">
      <c r="AI688" s="19"/>
      <c r="AO688" s="19"/>
      <c r="AY688" s="145"/>
      <c r="AZ688" s="16"/>
      <c r="BC688" s="16"/>
      <c r="BD688" s="20"/>
      <c r="BE688" s="17"/>
      <c r="BF688" s="20"/>
      <c r="BG688" s="146"/>
      <c r="BH688" s="146"/>
      <c r="BI688" s="146"/>
      <c r="BJ688" s="20"/>
      <c r="BK688" s="20"/>
      <c r="BL688" s="154"/>
      <c r="BP688" s="20"/>
      <c r="BQ688" s="154"/>
      <c r="BR688" s="18"/>
      <c r="BS688" s="16"/>
      <c r="BT688" s="18"/>
      <c r="BU688" s="18"/>
      <c r="BV688" s="18"/>
      <c r="BW688" s="20"/>
      <c r="BX688" s="154"/>
      <c r="BY688" s="18"/>
      <c r="BZ688" s="146"/>
      <c r="CA688" s="18"/>
      <c r="CB688" s="18"/>
      <c r="CC688" s="20"/>
      <c r="CD688" s="154"/>
    </row>
    <row r="689" spans="35:82">
      <c r="AI689" s="19"/>
      <c r="AO689" s="19"/>
      <c r="AY689" s="145"/>
      <c r="AZ689" s="16"/>
      <c r="BC689" s="16"/>
      <c r="BD689" s="20"/>
      <c r="BE689" s="17"/>
      <c r="BF689" s="20"/>
      <c r="BG689" s="146"/>
      <c r="BH689" s="146"/>
      <c r="BI689" s="146"/>
      <c r="BJ689" s="20"/>
      <c r="BK689" s="20"/>
      <c r="BL689" s="154"/>
      <c r="BP689" s="20"/>
      <c r="BQ689" s="154"/>
      <c r="BR689" s="18"/>
      <c r="BS689" s="16"/>
      <c r="BT689" s="18"/>
      <c r="BU689" s="18"/>
      <c r="BV689" s="18"/>
      <c r="BW689" s="20"/>
      <c r="BX689" s="154"/>
      <c r="BY689" s="18"/>
      <c r="BZ689" s="146"/>
      <c r="CA689" s="18"/>
      <c r="CB689" s="18"/>
      <c r="CC689" s="20"/>
      <c r="CD689" s="154"/>
    </row>
    <row r="690" spans="35:82">
      <c r="AI690" s="19"/>
      <c r="AO690" s="19"/>
      <c r="AY690" s="145"/>
      <c r="AZ690" s="16"/>
      <c r="BC690" s="16"/>
      <c r="BD690" s="20"/>
      <c r="BE690" s="17"/>
      <c r="BF690" s="20"/>
      <c r="BG690" s="146"/>
      <c r="BH690" s="146"/>
      <c r="BI690" s="146"/>
      <c r="BJ690" s="20"/>
      <c r="BK690" s="20"/>
      <c r="BL690" s="154"/>
      <c r="BP690" s="20"/>
      <c r="BQ690" s="154"/>
      <c r="BR690" s="18"/>
      <c r="BS690" s="16"/>
      <c r="BT690" s="18"/>
      <c r="BU690" s="18"/>
      <c r="BV690" s="18"/>
      <c r="BW690" s="20"/>
      <c r="BX690" s="154"/>
      <c r="BY690" s="18"/>
      <c r="BZ690" s="146"/>
      <c r="CA690" s="18"/>
      <c r="CB690" s="18"/>
      <c r="CC690" s="20"/>
      <c r="CD690" s="154"/>
    </row>
    <row r="691" spans="35:82">
      <c r="AI691" s="19"/>
      <c r="AO691" s="19"/>
      <c r="AY691" s="145"/>
      <c r="AZ691" s="16"/>
      <c r="BC691" s="16"/>
      <c r="BD691" s="20"/>
      <c r="BE691" s="17"/>
      <c r="BF691" s="20"/>
      <c r="BG691" s="146"/>
      <c r="BH691" s="146"/>
      <c r="BI691" s="146"/>
      <c r="BJ691" s="20"/>
      <c r="BK691" s="20"/>
      <c r="BL691" s="154"/>
      <c r="BP691" s="20"/>
      <c r="BQ691" s="154"/>
      <c r="BR691" s="18"/>
      <c r="BS691" s="16"/>
      <c r="BT691" s="18"/>
      <c r="BU691" s="18"/>
      <c r="BV691" s="18"/>
      <c r="BW691" s="20"/>
      <c r="BX691" s="154"/>
      <c r="BY691" s="18"/>
      <c r="BZ691" s="146"/>
      <c r="CA691" s="18"/>
      <c r="CB691" s="18"/>
      <c r="CC691" s="20"/>
      <c r="CD691" s="154"/>
    </row>
    <row r="692" spans="35:82">
      <c r="AI692" s="19"/>
      <c r="AO692" s="19"/>
      <c r="AY692" s="145"/>
      <c r="AZ692" s="16"/>
      <c r="BC692" s="16"/>
      <c r="BD692" s="20"/>
      <c r="BE692" s="17"/>
      <c r="BF692" s="20"/>
      <c r="BG692" s="146"/>
      <c r="BH692" s="146"/>
      <c r="BI692" s="146"/>
      <c r="BJ692" s="20"/>
      <c r="BK692" s="20"/>
      <c r="BL692" s="154"/>
      <c r="BP692" s="20"/>
      <c r="BQ692" s="154"/>
      <c r="BR692" s="18"/>
      <c r="BS692" s="16"/>
      <c r="BT692" s="18"/>
      <c r="BU692" s="18"/>
      <c r="BV692" s="18"/>
      <c r="BW692" s="20"/>
      <c r="BX692" s="154"/>
      <c r="BY692" s="18"/>
      <c r="BZ692" s="146"/>
      <c r="CA692" s="18"/>
      <c r="CB692" s="18"/>
      <c r="CC692" s="20"/>
      <c r="CD692" s="154"/>
    </row>
    <row r="693" spans="35:82">
      <c r="AI693" s="19"/>
      <c r="AO693" s="19"/>
      <c r="AY693" s="145"/>
      <c r="AZ693" s="16"/>
      <c r="BC693" s="16"/>
      <c r="BD693" s="20"/>
      <c r="BE693" s="17"/>
      <c r="BF693" s="20"/>
      <c r="BG693" s="146"/>
      <c r="BH693" s="146"/>
      <c r="BI693" s="146"/>
      <c r="BJ693" s="20"/>
      <c r="BK693" s="20"/>
      <c r="BL693" s="154"/>
      <c r="BP693" s="20"/>
      <c r="BQ693" s="154"/>
      <c r="BR693" s="18"/>
      <c r="BS693" s="16"/>
      <c r="BT693" s="18"/>
      <c r="BU693" s="18"/>
      <c r="BV693" s="18"/>
      <c r="BW693" s="20"/>
      <c r="BX693" s="154"/>
      <c r="BY693" s="18"/>
      <c r="BZ693" s="146"/>
      <c r="CA693" s="18"/>
      <c r="CB693" s="18"/>
      <c r="CC693" s="20"/>
      <c r="CD693" s="154"/>
    </row>
    <row r="694" spans="35:82">
      <c r="AI694" s="19"/>
      <c r="AO694" s="19"/>
      <c r="AY694" s="145"/>
      <c r="AZ694" s="16"/>
      <c r="BC694" s="16"/>
      <c r="BD694" s="20"/>
      <c r="BE694" s="17"/>
      <c r="BF694" s="20"/>
      <c r="BG694" s="146"/>
      <c r="BH694" s="146"/>
      <c r="BI694" s="146"/>
      <c r="BJ694" s="20"/>
      <c r="BK694" s="20"/>
      <c r="BL694" s="154"/>
      <c r="BP694" s="20"/>
      <c r="BQ694" s="154"/>
      <c r="BR694" s="18"/>
      <c r="BS694" s="16"/>
      <c r="BT694" s="18"/>
      <c r="BU694" s="18"/>
      <c r="BV694" s="18"/>
      <c r="BW694" s="20"/>
      <c r="BX694" s="154"/>
      <c r="BY694" s="18"/>
      <c r="BZ694" s="146"/>
      <c r="CA694" s="18"/>
      <c r="CB694" s="18"/>
      <c r="CC694" s="20"/>
      <c r="CD694" s="154"/>
    </row>
    <row r="695" spans="35:82">
      <c r="AI695" s="19"/>
      <c r="AO695" s="19"/>
      <c r="AY695" s="145"/>
      <c r="AZ695" s="16"/>
      <c r="BC695" s="16"/>
      <c r="BD695" s="20"/>
      <c r="BE695" s="17"/>
      <c r="BF695" s="20"/>
      <c r="BG695" s="146"/>
      <c r="BH695" s="146"/>
      <c r="BI695" s="146"/>
      <c r="BJ695" s="20"/>
      <c r="BK695" s="20"/>
      <c r="BL695" s="154"/>
      <c r="BP695" s="20"/>
      <c r="BQ695" s="154"/>
      <c r="BR695" s="18"/>
      <c r="BS695" s="16"/>
      <c r="BT695" s="18"/>
      <c r="BU695" s="18"/>
      <c r="BV695" s="18"/>
      <c r="BW695" s="20"/>
      <c r="BX695" s="154"/>
      <c r="BY695" s="18"/>
      <c r="BZ695" s="146"/>
      <c r="CA695" s="18"/>
      <c r="CB695" s="18"/>
      <c r="CC695" s="20"/>
      <c r="CD695" s="154"/>
    </row>
    <row r="696" spans="35:82">
      <c r="AI696" s="19"/>
      <c r="AO696" s="19"/>
      <c r="AY696" s="145"/>
      <c r="AZ696" s="16"/>
      <c r="BC696" s="16"/>
      <c r="BD696" s="20"/>
      <c r="BE696" s="17"/>
      <c r="BF696" s="20"/>
      <c r="BG696" s="146"/>
      <c r="BH696" s="146"/>
      <c r="BI696" s="146"/>
      <c r="BJ696" s="20"/>
      <c r="BK696" s="20"/>
      <c r="BL696" s="154"/>
      <c r="BP696" s="20"/>
      <c r="BQ696" s="154"/>
      <c r="BR696" s="18"/>
      <c r="BS696" s="16"/>
      <c r="BT696" s="18"/>
      <c r="BU696" s="18"/>
      <c r="BV696" s="18"/>
      <c r="BW696" s="20"/>
      <c r="BX696" s="154"/>
      <c r="BY696" s="18"/>
      <c r="BZ696" s="146"/>
      <c r="CA696" s="18"/>
      <c r="CB696" s="18"/>
      <c r="CC696" s="20"/>
      <c r="CD696" s="154"/>
    </row>
    <row r="697" spans="35:82">
      <c r="AI697" s="19"/>
      <c r="AO697" s="19"/>
      <c r="AY697" s="145"/>
      <c r="AZ697" s="16"/>
      <c r="BC697" s="16"/>
      <c r="BD697" s="20"/>
      <c r="BE697" s="17"/>
      <c r="BF697" s="20"/>
      <c r="BG697" s="146"/>
      <c r="BH697" s="146"/>
      <c r="BI697" s="146"/>
      <c r="BJ697" s="20"/>
      <c r="BK697" s="20"/>
      <c r="BL697" s="154"/>
      <c r="BP697" s="20"/>
      <c r="BQ697" s="154"/>
      <c r="BR697" s="18"/>
      <c r="BS697" s="16"/>
      <c r="BT697" s="18"/>
      <c r="BU697" s="18"/>
      <c r="BV697" s="18"/>
      <c r="BW697" s="20"/>
      <c r="BX697" s="154"/>
      <c r="BY697" s="18"/>
      <c r="BZ697" s="146"/>
      <c r="CA697" s="18"/>
      <c r="CB697" s="18"/>
      <c r="CC697" s="20"/>
      <c r="CD697" s="154"/>
    </row>
    <row r="698" spans="35:82">
      <c r="AI698" s="19"/>
      <c r="AO698" s="19"/>
      <c r="AY698" s="145"/>
      <c r="AZ698" s="16"/>
      <c r="BC698" s="16"/>
      <c r="BD698" s="20"/>
      <c r="BE698" s="17"/>
      <c r="BF698" s="20"/>
      <c r="BG698" s="146"/>
      <c r="BH698" s="146"/>
      <c r="BI698" s="146"/>
      <c r="BJ698" s="20"/>
      <c r="BK698" s="20"/>
      <c r="BL698" s="154"/>
      <c r="BP698" s="20"/>
      <c r="BQ698" s="154"/>
      <c r="BR698" s="18"/>
      <c r="BS698" s="16"/>
      <c r="BT698" s="18"/>
      <c r="BU698" s="18"/>
      <c r="BV698" s="18"/>
      <c r="BW698" s="20"/>
      <c r="BX698" s="154"/>
      <c r="BY698" s="18"/>
      <c r="BZ698" s="146"/>
      <c r="CA698" s="18"/>
      <c r="CB698" s="18"/>
      <c r="CC698" s="20"/>
      <c r="CD698" s="154"/>
    </row>
    <row r="699" spans="35:82">
      <c r="AI699" s="19"/>
      <c r="AO699" s="19"/>
      <c r="AY699" s="145"/>
      <c r="AZ699" s="16"/>
      <c r="BC699" s="16"/>
      <c r="BD699" s="20"/>
      <c r="BE699" s="17"/>
      <c r="BF699" s="20"/>
      <c r="BG699" s="146"/>
      <c r="BH699" s="146"/>
      <c r="BI699" s="146"/>
      <c r="BJ699" s="20"/>
      <c r="BK699" s="20"/>
      <c r="BL699" s="154"/>
      <c r="BP699" s="20"/>
      <c r="BQ699" s="154"/>
      <c r="BR699" s="18"/>
      <c r="BS699" s="16"/>
      <c r="BT699" s="18"/>
      <c r="BU699" s="18"/>
      <c r="BV699" s="18"/>
      <c r="BW699" s="20"/>
      <c r="BX699" s="154"/>
      <c r="BY699" s="18"/>
      <c r="BZ699" s="146"/>
      <c r="CA699" s="18"/>
      <c r="CB699" s="18"/>
      <c r="CC699" s="20"/>
      <c r="CD699" s="154"/>
    </row>
    <row r="700" spans="35:82">
      <c r="AI700" s="19"/>
      <c r="AO700" s="19"/>
      <c r="AY700" s="145"/>
      <c r="AZ700" s="16"/>
      <c r="BC700" s="16"/>
      <c r="BD700" s="20"/>
      <c r="BE700" s="17"/>
      <c r="BF700" s="20"/>
      <c r="BG700" s="146"/>
      <c r="BH700" s="146"/>
      <c r="BI700" s="146"/>
      <c r="BJ700" s="20"/>
      <c r="BK700" s="20"/>
      <c r="BL700" s="154"/>
      <c r="BP700" s="20"/>
      <c r="BQ700" s="154"/>
      <c r="BR700" s="18"/>
      <c r="BS700" s="16"/>
      <c r="BT700" s="18"/>
      <c r="BU700" s="18"/>
      <c r="BV700" s="18"/>
      <c r="BW700" s="20"/>
      <c r="BX700" s="154"/>
      <c r="BY700" s="18"/>
      <c r="BZ700" s="146"/>
      <c r="CA700" s="18"/>
      <c r="CB700" s="18"/>
      <c r="CC700" s="20"/>
      <c r="CD700" s="154"/>
    </row>
    <row r="701" spans="35:82">
      <c r="AI701" s="19"/>
      <c r="AO701" s="19"/>
      <c r="AY701" s="145"/>
      <c r="AZ701" s="16"/>
      <c r="BC701" s="16"/>
      <c r="BD701" s="20"/>
      <c r="BE701" s="17"/>
      <c r="BF701" s="20"/>
      <c r="BG701" s="146"/>
      <c r="BH701" s="146"/>
      <c r="BI701" s="146"/>
      <c r="BJ701" s="20"/>
      <c r="BK701" s="20"/>
      <c r="BL701" s="154"/>
      <c r="BP701" s="20"/>
      <c r="BQ701" s="154"/>
      <c r="BR701" s="18"/>
      <c r="BS701" s="16"/>
      <c r="BT701" s="18"/>
      <c r="BU701" s="18"/>
      <c r="BV701" s="18"/>
      <c r="BW701" s="20"/>
      <c r="BX701" s="154"/>
      <c r="BY701" s="18"/>
      <c r="BZ701" s="146"/>
      <c r="CA701" s="18"/>
      <c r="CB701" s="18"/>
      <c r="CC701" s="20"/>
      <c r="CD701" s="154"/>
    </row>
    <row r="702" spans="35:82">
      <c r="AI702" s="19"/>
      <c r="AO702" s="19"/>
      <c r="AY702" s="145"/>
      <c r="AZ702" s="16"/>
      <c r="BC702" s="16"/>
      <c r="BD702" s="20"/>
      <c r="BE702" s="17"/>
      <c r="BF702" s="20"/>
      <c r="BG702" s="146"/>
      <c r="BH702" s="146"/>
      <c r="BI702" s="146"/>
      <c r="BJ702" s="20"/>
      <c r="BK702" s="20"/>
      <c r="BL702" s="154"/>
      <c r="BP702" s="20"/>
      <c r="BQ702" s="154"/>
      <c r="BR702" s="18"/>
      <c r="BS702" s="16"/>
      <c r="BT702" s="18"/>
      <c r="BU702" s="18"/>
      <c r="BV702" s="18"/>
      <c r="BW702" s="20"/>
      <c r="BX702" s="154"/>
      <c r="BY702" s="18"/>
      <c r="BZ702" s="146"/>
      <c r="CA702" s="18"/>
      <c r="CB702" s="18"/>
      <c r="CC702" s="20"/>
      <c r="CD702" s="154"/>
    </row>
    <row r="703" spans="35:82">
      <c r="AI703" s="19"/>
      <c r="AO703" s="19"/>
      <c r="AY703" s="145"/>
      <c r="AZ703" s="16"/>
      <c r="BC703" s="16"/>
      <c r="BD703" s="20"/>
      <c r="BE703" s="17"/>
      <c r="BF703" s="20"/>
      <c r="BG703" s="146"/>
      <c r="BH703" s="146"/>
      <c r="BI703" s="146"/>
      <c r="BJ703" s="20"/>
      <c r="BK703" s="20"/>
      <c r="BL703" s="154"/>
      <c r="BP703" s="20"/>
      <c r="BQ703" s="154"/>
      <c r="BR703" s="18"/>
      <c r="BS703" s="16"/>
      <c r="BT703" s="18"/>
      <c r="BU703" s="18"/>
      <c r="BV703" s="18"/>
      <c r="BW703" s="20"/>
      <c r="BX703" s="154"/>
      <c r="BY703" s="18"/>
      <c r="BZ703" s="146"/>
      <c r="CA703" s="18"/>
      <c r="CB703" s="18"/>
      <c r="CC703" s="20"/>
      <c r="CD703" s="154"/>
    </row>
    <row r="704" spans="35:82">
      <c r="AI704" s="19"/>
      <c r="AO704" s="19"/>
      <c r="AY704" s="145"/>
      <c r="AZ704" s="16"/>
      <c r="BC704" s="16"/>
      <c r="BD704" s="20"/>
      <c r="BE704" s="17"/>
      <c r="BF704" s="20"/>
      <c r="BG704" s="146"/>
      <c r="BH704" s="146"/>
      <c r="BI704" s="146"/>
      <c r="BJ704" s="20"/>
      <c r="BK704" s="20"/>
      <c r="BL704" s="154"/>
      <c r="BP704" s="20"/>
      <c r="BQ704" s="154"/>
      <c r="BR704" s="18"/>
      <c r="BS704" s="16"/>
      <c r="BT704" s="18"/>
      <c r="BU704" s="18"/>
      <c r="BV704" s="18"/>
      <c r="BW704" s="20"/>
      <c r="BX704" s="154"/>
      <c r="BY704" s="18"/>
      <c r="BZ704" s="146"/>
      <c r="CA704" s="18"/>
      <c r="CB704" s="18"/>
      <c r="CC704" s="20"/>
      <c r="CD704" s="154"/>
    </row>
    <row r="705" spans="35:82">
      <c r="AI705" s="19"/>
      <c r="AO705" s="19"/>
      <c r="AY705" s="145"/>
      <c r="AZ705" s="16"/>
      <c r="BC705" s="16"/>
      <c r="BD705" s="20"/>
      <c r="BE705" s="17"/>
      <c r="BF705" s="20"/>
      <c r="BG705" s="146"/>
      <c r="BH705" s="146"/>
      <c r="BI705" s="146"/>
      <c r="BJ705" s="20"/>
      <c r="BK705" s="20"/>
      <c r="BL705" s="154"/>
      <c r="BP705" s="20"/>
      <c r="BQ705" s="154"/>
      <c r="BR705" s="18"/>
      <c r="BS705" s="16"/>
      <c r="BT705" s="18"/>
      <c r="BU705" s="18"/>
      <c r="BV705" s="18"/>
      <c r="BW705" s="20"/>
      <c r="BX705" s="154"/>
      <c r="BY705" s="18"/>
      <c r="BZ705" s="146"/>
      <c r="CA705" s="18"/>
      <c r="CB705" s="18"/>
      <c r="CC705" s="20"/>
      <c r="CD705" s="154"/>
    </row>
    <row r="706" spans="35:82">
      <c r="AI706" s="19"/>
      <c r="AO706" s="19"/>
      <c r="AY706" s="145"/>
      <c r="AZ706" s="16"/>
      <c r="BC706" s="16"/>
      <c r="BD706" s="20"/>
      <c r="BE706" s="17"/>
      <c r="BF706" s="20"/>
      <c r="BG706" s="146"/>
      <c r="BH706" s="146"/>
      <c r="BI706" s="146"/>
      <c r="BJ706" s="20"/>
      <c r="BK706" s="20"/>
      <c r="BL706" s="154"/>
      <c r="BP706" s="20"/>
      <c r="BQ706" s="154"/>
      <c r="BR706" s="18"/>
      <c r="BS706" s="16"/>
      <c r="BT706" s="18"/>
      <c r="BU706" s="18"/>
      <c r="BV706" s="18"/>
      <c r="BW706" s="20"/>
      <c r="BX706" s="154"/>
      <c r="BY706" s="18"/>
      <c r="BZ706" s="146"/>
      <c r="CA706" s="18"/>
      <c r="CB706" s="18"/>
      <c r="CC706" s="20"/>
      <c r="CD706" s="154"/>
    </row>
    <row r="707" spans="35:82">
      <c r="AI707" s="19"/>
      <c r="AO707" s="19"/>
      <c r="AY707" s="145"/>
      <c r="AZ707" s="16"/>
      <c r="BC707" s="16"/>
      <c r="BD707" s="20"/>
      <c r="BE707" s="17"/>
      <c r="BF707" s="20"/>
      <c r="BG707" s="146"/>
      <c r="BH707" s="146"/>
      <c r="BI707" s="146"/>
      <c r="BJ707" s="20"/>
      <c r="BK707" s="20"/>
      <c r="BL707" s="154"/>
      <c r="BP707" s="20"/>
      <c r="BQ707" s="154"/>
      <c r="BR707" s="18"/>
      <c r="BS707" s="16"/>
      <c r="BT707" s="18"/>
      <c r="BU707" s="18"/>
      <c r="BV707" s="18"/>
      <c r="BW707" s="20"/>
      <c r="BX707" s="154"/>
      <c r="BY707" s="18"/>
      <c r="BZ707" s="146"/>
      <c r="CA707" s="18"/>
      <c r="CB707" s="18"/>
      <c r="CC707" s="20"/>
      <c r="CD707" s="154"/>
    </row>
    <row r="708" spans="35:82">
      <c r="AI708" s="19"/>
      <c r="AO708" s="19"/>
      <c r="AY708" s="145"/>
      <c r="AZ708" s="16"/>
      <c r="BC708" s="16"/>
      <c r="BD708" s="20"/>
      <c r="BE708" s="17"/>
      <c r="BF708" s="20"/>
      <c r="BG708" s="146"/>
      <c r="BH708" s="146"/>
      <c r="BI708" s="146"/>
      <c r="BJ708" s="20"/>
      <c r="BK708" s="20"/>
      <c r="BL708" s="154"/>
      <c r="BP708" s="20"/>
      <c r="BQ708" s="154"/>
      <c r="BR708" s="18"/>
      <c r="BS708" s="16"/>
      <c r="BT708" s="18"/>
      <c r="BU708" s="18"/>
      <c r="BV708" s="18"/>
      <c r="BW708" s="20"/>
      <c r="BX708" s="154"/>
      <c r="BY708" s="18"/>
      <c r="BZ708" s="146"/>
      <c r="CA708" s="18"/>
      <c r="CB708" s="18"/>
      <c r="CC708" s="20"/>
      <c r="CD708" s="154"/>
    </row>
    <row r="709" spans="35:82">
      <c r="AI709" s="19"/>
      <c r="AO709" s="19"/>
      <c r="AY709" s="145"/>
      <c r="AZ709" s="16"/>
      <c r="BC709" s="16"/>
      <c r="BD709" s="20"/>
      <c r="BE709" s="17"/>
      <c r="BF709" s="20"/>
      <c r="BG709" s="146"/>
      <c r="BH709" s="146"/>
      <c r="BI709" s="146"/>
      <c r="BJ709" s="20"/>
      <c r="BK709" s="20"/>
      <c r="BL709" s="154"/>
      <c r="BP709" s="20"/>
      <c r="BQ709" s="154"/>
      <c r="BR709" s="18"/>
      <c r="BS709" s="16"/>
      <c r="BT709" s="18"/>
      <c r="BU709" s="18"/>
      <c r="BV709" s="18"/>
      <c r="BW709" s="20"/>
      <c r="BX709" s="154"/>
      <c r="BY709" s="18"/>
      <c r="BZ709" s="146"/>
      <c r="CA709" s="18"/>
      <c r="CB709" s="18"/>
      <c r="CC709" s="20"/>
      <c r="CD709" s="154"/>
    </row>
    <row r="710" spans="35:82">
      <c r="AI710" s="19"/>
      <c r="AO710" s="19"/>
      <c r="AY710" s="145"/>
      <c r="AZ710" s="16"/>
      <c r="BC710" s="16"/>
      <c r="BD710" s="20"/>
      <c r="BE710" s="17"/>
      <c r="BF710" s="20"/>
      <c r="BG710" s="146"/>
      <c r="BH710" s="146"/>
      <c r="BI710" s="146"/>
      <c r="BJ710" s="20"/>
      <c r="BK710" s="20"/>
      <c r="BL710" s="154"/>
      <c r="BP710" s="20"/>
      <c r="BQ710" s="154"/>
      <c r="BR710" s="18"/>
      <c r="BS710" s="16"/>
      <c r="BT710" s="18"/>
      <c r="BU710" s="18"/>
      <c r="BV710" s="18"/>
      <c r="BW710" s="20"/>
      <c r="BX710" s="154"/>
      <c r="BY710" s="18"/>
      <c r="BZ710" s="146"/>
      <c r="CA710" s="18"/>
      <c r="CB710" s="18"/>
      <c r="CC710" s="20"/>
      <c r="CD710" s="154"/>
    </row>
    <row r="711" spans="35:82">
      <c r="AI711" s="19"/>
      <c r="AO711" s="19"/>
      <c r="AY711" s="145"/>
      <c r="AZ711" s="16"/>
      <c r="BC711" s="16"/>
      <c r="BD711" s="20"/>
      <c r="BE711" s="17"/>
      <c r="BF711" s="20"/>
      <c r="BG711" s="146"/>
      <c r="BH711" s="146"/>
      <c r="BI711" s="146"/>
      <c r="BJ711" s="20"/>
      <c r="BK711" s="20"/>
      <c r="BL711" s="154"/>
      <c r="BP711" s="20"/>
      <c r="BQ711" s="154"/>
      <c r="BR711" s="18"/>
      <c r="BS711" s="16"/>
      <c r="BT711" s="18"/>
      <c r="BU711" s="18"/>
      <c r="BV711" s="18"/>
      <c r="BW711" s="20"/>
      <c r="BX711" s="154"/>
      <c r="BY711" s="18"/>
      <c r="BZ711" s="146"/>
      <c r="CA711" s="18"/>
      <c r="CB711" s="18"/>
      <c r="CC711" s="20"/>
      <c r="CD711" s="154"/>
    </row>
    <row r="712" spans="35:82">
      <c r="AI712" s="19"/>
      <c r="AO712" s="19"/>
      <c r="AY712" s="145"/>
      <c r="AZ712" s="16"/>
      <c r="BC712" s="16"/>
      <c r="BD712" s="20"/>
      <c r="BE712" s="17"/>
      <c r="BF712" s="20"/>
      <c r="BG712" s="146"/>
      <c r="BH712" s="146"/>
      <c r="BI712" s="146"/>
      <c r="BJ712" s="20"/>
      <c r="BK712" s="20"/>
      <c r="BL712" s="154"/>
      <c r="BP712" s="20"/>
      <c r="BQ712" s="154"/>
      <c r="BR712" s="18"/>
      <c r="BS712" s="16"/>
      <c r="BT712" s="18"/>
      <c r="BU712" s="18"/>
      <c r="BV712" s="18"/>
      <c r="BW712" s="20"/>
      <c r="BX712" s="154"/>
      <c r="BY712" s="18"/>
      <c r="BZ712" s="146"/>
      <c r="CA712" s="18"/>
      <c r="CB712" s="18"/>
      <c r="CC712" s="20"/>
      <c r="CD712" s="154"/>
    </row>
    <row r="713" spans="35:82">
      <c r="AI713" s="19"/>
      <c r="AO713" s="19"/>
      <c r="AY713" s="145"/>
      <c r="AZ713" s="16"/>
      <c r="BC713" s="16"/>
      <c r="BD713" s="20"/>
      <c r="BE713" s="17"/>
      <c r="BF713" s="20"/>
      <c r="BG713" s="146"/>
      <c r="BH713" s="146"/>
      <c r="BI713" s="146"/>
      <c r="BJ713" s="20"/>
      <c r="BK713" s="20"/>
      <c r="BL713" s="154"/>
      <c r="BP713" s="20"/>
      <c r="BQ713" s="154"/>
      <c r="BR713" s="18"/>
      <c r="BS713" s="16"/>
      <c r="BT713" s="18"/>
      <c r="BU713" s="18"/>
      <c r="BV713" s="18"/>
      <c r="BW713" s="20"/>
      <c r="BX713" s="154"/>
      <c r="BY713" s="18"/>
      <c r="BZ713" s="146"/>
      <c r="CA713" s="18"/>
      <c r="CB713" s="18"/>
      <c r="CC713" s="20"/>
      <c r="CD713" s="154"/>
    </row>
    <row r="714" spans="35:82">
      <c r="AI714" s="19"/>
      <c r="AO714" s="19"/>
      <c r="AY714" s="145"/>
      <c r="AZ714" s="16"/>
      <c r="BC714" s="16"/>
      <c r="BD714" s="20"/>
      <c r="BE714" s="17"/>
      <c r="BF714" s="20"/>
      <c r="BG714" s="146"/>
      <c r="BH714" s="146"/>
      <c r="BI714" s="146"/>
      <c r="BJ714" s="20"/>
      <c r="BK714" s="20"/>
      <c r="BL714" s="154"/>
      <c r="BP714" s="20"/>
      <c r="BQ714" s="154"/>
      <c r="BR714" s="18"/>
      <c r="BS714" s="16"/>
      <c r="BT714" s="18"/>
      <c r="BU714" s="18"/>
      <c r="BV714" s="18"/>
      <c r="BW714" s="20"/>
      <c r="BX714" s="154"/>
      <c r="BY714" s="18"/>
      <c r="BZ714" s="146"/>
      <c r="CA714" s="18"/>
      <c r="CB714" s="18"/>
      <c r="CC714" s="20"/>
      <c r="CD714" s="154"/>
    </row>
    <row r="715" spans="35:82">
      <c r="AI715" s="19"/>
      <c r="AO715" s="19"/>
      <c r="AY715" s="145"/>
      <c r="AZ715" s="16"/>
      <c r="BC715" s="16"/>
      <c r="BD715" s="20"/>
      <c r="BE715" s="17"/>
      <c r="BF715" s="20"/>
      <c r="BG715" s="146"/>
      <c r="BH715" s="146"/>
      <c r="BI715" s="146"/>
      <c r="BJ715" s="20"/>
      <c r="BK715" s="20"/>
      <c r="BL715" s="154"/>
      <c r="BP715" s="20"/>
      <c r="BQ715" s="154"/>
      <c r="BR715" s="18"/>
      <c r="BS715" s="16"/>
      <c r="BT715" s="18"/>
      <c r="BU715" s="18"/>
      <c r="BV715" s="18"/>
      <c r="BW715" s="20"/>
      <c r="BX715" s="154"/>
      <c r="BY715" s="18"/>
      <c r="BZ715" s="146"/>
      <c r="CA715" s="18"/>
      <c r="CB715" s="18"/>
      <c r="CC715" s="20"/>
      <c r="CD715" s="154"/>
    </row>
    <row r="716" spans="35:82">
      <c r="AI716" s="19"/>
      <c r="AO716" s="19"/>
      <c r="AY716" s="145"/>
      <c r="AZ716" s="16"/>
      <c r="BC716" s="16"/>
      <c r="BD716" s="20"/>
      <c r="BE716" s="17"/>
      <c r="BF716" s="20"/>
      <c r="BG716" s="146"/>
      <c r="BH716" s="146"/>
      <c r="BI716" s="146"/>
      <c r="BJ716" s="20"/>
      <c r="BK716" s="20"/>
      <c r="BL716" s="154"/>
      <c r="BP716" s="20"/>
      <c r="BQ716" s="154"/>
      <c r="BR716" s="18"/>
      <c r="BS716" s="16"/>
      <c r="BT716" s="18"/>
      <c r="BU716" s="18"/>
      <c r="BV716" s="18"/>
      <c r="BW716" s="20"/>
      <c r="BX716" s="154"/>
      <c r="BY716" s="18"/>
      <c r="BZ716" s="146"/>
      <c r="CA716" s="18"/>
      <c r="CB716" s="18"/>
      <c r="CC716" s="20"/>
      <c r="CD716" s="154"/>
    </row>
    <row r="717" spans="35:82">
      <c r="AI717" s="19"/>
      <c r="AO717" s="19"/>
      <c r="AY717" s="145"/>
      <c r="AZ717" s="16"/>
      <c r="BC717" s="16"/>
      <c r="BD717" s="20"/>
      <c r="BE717" s="17"/>
      <c r="BF717" s="20"/>
      <c r="BG717" s="146"/>
      <c r="BH717" s="146"/>
      <c r="BI717" s="146"/>
      <c r="BJ717" s="20"/>
      <c r="BK717" s="20"/>
      <c r="BL717" s="154"/>
      <c r="BP717" s="20"/>
      <c r="BQ717" s="154"/>
      <c r="BR717" s="18"/>
      <c r="BS717" s="16"/>
      <c r="BT717" s="18"/>
      <c r="BU717" s="18"/>
      <c r="BV717" s="18"/>
      <c r="BW717" s="20"/>
      <c r="BX717" s="154"/>
      <c r="BY717" s="18"/>
      <c r="BZ717" s="146"/>
      <c r="CA717" s="18"/>
      <c r="CB717" s="18"/>
      <c r="CC717" s="20"/>
      <c r="CD717" s="154"/>
    </row>
    <row r="718" spans="35:82">
      <c r="AI718" s="19"/>
      <c r="AO718" s="19"/>
      <c r="AY718" s="145"/>
      <c r="AZ718" s="16"/>
      <c r="BC718" s="16"/>
      <c r="BD718" s="20"/>
      <c r="BE718" s="17"/>
      <c r="BF718" s="20"/>
      <c r="BG718" s="146"/>
      <c r="BH718" s="146"/>
      <c r="BI718" s="146"/>
      <c r="BJ718" s="20"/>
      <c r="BK718" s="20"/>
      <c r="BL718" s="154"/>
      <c r="BP718" s="20"/>
      <c r="BQ718" s="154"/>
      <c r="BR718" s="18"/>
      <c r="BS718" s="16"/>
      <c r="BT718" s="18"/>
      <c r="BU718" s="18"/>
      <c r="BV718" s="18"/>
      <c r="BW718" s="20"/>
      <c r="BX718" s="154"/>
      <c r="BY718" s="18"/>
      <c r="BZ718" s="146"/>
      <c r="CA718" s="18"/>
      <c r="CB718" s="18"/>
      <c r="CC718" s="20"/>
      <c r="CD718" s="154"/>
    </row>
    <row r="719" spans="35:82">
      <c r="AI719" s="19"/>
      <c r="AO719" s="19"/>
      <c r="AY719" s="145"/>
      <c r="AZ719" s="16"/>
      <c r="BC719" s="16"/>
      <c r="BD719" s="20"/>
      <c r="BE719" s="17"/>
      <c r="BF719" s="20"/>
      <c r="BG719" s="146"/>
      <c r="BH719" s="146"/>
      <c r="BI719" s="146"/>
      <c r="BJ719" s="20"/>
      <c r="BK719" s="20"/>
      <c r="BL719" s="154"/>
      <c r="BP719" s="20"/>
      <c r="BQ719" s="154"/>
      <c r="BR719" s="18"/>
      <c r="BS719" s="16"/>
      <c r="BT719" s="18"/>
      <c r="BU719" s="18"/>
      <c r="BV719" s="18"/>
      <c r="BW719" s="20"/>
      <c r="BX719" s="154"/>
      <c r="BY719" s="18"/>
      <c r="BZ719" s="146"/>
      <c r="CA719" s="18"/>
      <c r="CB719" s="18"/>
      <c r="CC719" s="20"/>
      <c r="CD719" s="154"/>
    </row>
    <row r="720" spans="35:82">
      <c r="AI720" s="19"/>
      <c r="AO720" s="19"/>
      <c r="AY720" s="145"/>
      <c r="AZ720" s="16"/>
      <c r="BC720" s="16"/>
      <c r="BD720" s="20"/>
      <c r="BE720" s="17"/>
      <c r="BF720" s="20"/>
      <c r="BG720" s="146"/>
      <c r="BH720" s="146"/>
      <c r="BI720" s="146"/>
      <c r="BJ720" s="20"/>
      <c r="BK720" s="20"/>
      <c r="BL720" s="154"/>
      <c r="BP720" s="20"/>
      <c r="BQ720" s="154"/>
      <c r="BR720" s="18"/>
      <c r="BS720" s="16"/>
      <c r="BT720" s="18"/>
      <c r="BU720" s="18"/>
      <c r="BV720" s="18"/>
      <c r="BW720" s="20"/>
      <c r="BX720" s="154"/>
      <c r="BY720" s="18"/>
      <c r="BZ720" s="146"/>
      <c r="CA720" s="18"/>
      <c r="CB720" s="18"/>
      <c r="CC720" s="20"/>
      <c r="CD720" s="154"/>
    </row>
    <row r="721" spans="35:82">
      <c r="AI721" s="19"/>
      <c r="AO721" s="19"/>
      <c r="AY721" s="145"/>
      <c r="AZ721" s="16"/>
      <c r="BC721" s="16"/>
      <c r="BD721" s="20"/>
      <c r="BE721" s="17"/>
      <c r="BF721" s="20"/>
      <c r="BG721" s="146"/>
      <c r="BH721" s="146"/>
      <c r="BI721" s="146"/>
      <c r="BJ721" s="20"/>
      <c r="BK721" s="20"/>
      <c r="BL721" s="154"/>
      <c r="BP721" s="20"/>
      <c r="BQ721" s="154"/>
      <c r="BR721" s="18"/>
      <c r="BS721" s="16"/>
      <c r="BT721" s="18"/>
      <c r="BU721" s="18"/>
      <c r="BV721" s="18"/>
      <c r="BW721" s="20"/>
      <c r="BX721" s="154"/>
      <c r="BY721" s="18"/>
      <c r="BZ721" s="146"/>
      <c r="CA721" s="18"/>
      <c r="CB721" s="18"/>
      <c r="CC721" s="20"/>
      <c r="CD721" s="154"/>
    </row>
    <row r="722" spans="35:82">
      <c r="AI722" s="19"/>
      <c r="AO722" s="19"/>
      <c r="AY722" s="145"/>
      <c r="AZ722" s="16"/>
      <c r="BC722" s="16"/>
      <c r="BD722" s="20"/>
      <c r="BE722" s="17"/>
      <c r="BF722" s="20"/>
      <c r="BG722" s="146"/>
      <c r="BH722" s="146"/>
      <c r="BI722" s="146"/>
      <c r="BJ722" s="20"/>
      <c r="BK722" s="20"/>
      <c r="BL722" s="154"/>
      <c r="BP722" s="20"/>
      <c r="BQ722" s="154"/>
      <c r="BR722" s="18"/>
      <c r="BS722" s="16"/>
      <c r="BT722" s="18"/>
      <c r="BU722" s="18"/>
      <c r="BV722" s="18"/>
      <c r="BW722" s="20"/>
      <c r="BX722" s="154"/>
      <c r="BY722" s="18"/>
      <c r="BZ722" s="146"/>
      <c r="CA722" s="18"/>
      <c r="CB722" s="18"/>
      <c r="CC722" s="20"/>
      <c r="CD722" s="154"/>
    </row>
    <row r="723" spans="35:82">
      <c r="AI723" s="19"/>
      <c r="AO723" s="19"/>
      <c r="AY723" s="145"/>
      <c r="AZ723" s="16"/>
      <c r="BC723" s="16"/>
      <c r="BD723" s="20"/>
      <c r="BE723" s="17"/>
      <c r="BF723" s="20"/>
      <c r="BG723" s="146"/>
      <c r="BH723" s="146"/>
      <c r="BI723" s="146"/>
      <c r="BJ723" s="20"/>
      <c r="BK723" s="20"/>
      <c r="BL723" s="154"/>
      <c r="BP723" s="20"/>
      <c r="BQ723" s="154"/>
      <c r="BR723" s="18"/>
      <c r="BS723" s="16"/>
      <c r="BT723" s="18"/>
      <c r="BU723" s="18"/>
      <c r="BV723" s="18"/>
      <c r="BW723" s="20"/>
      <c r="BX723" s="154"/>
      <c r="BY723" s="18"/>
      <c r="BZ723" s="146"/>
      <c r="CA723" s="18"/>
      <c r="CB723" s="18"/>
      <c r="CC723" s="20"/>
      <c r="CD723" s="154"/>
    </row>
    <row r="724" spans="35:82">
      <c r="AI724" s="19"/>
      <c r="AO724" s="19"/>
      <c r="AY724" s="145"/>
      <c r="AZ724" s="16"/>
      <c r="BC724" s="16"/>
      <c r="BD724" s="20"/>
      <c r="BE724" s="17"/>
      <c r="BF724" s="20"/>
      <c r="BG724" s="146"/>
      <c r="BH724" s="146"/>
      <c r="BI724" s="146"/>
      <c r="BJ724" s="20"/>
      <c r="BK724" s="20"/>
      <c r="BL724" s="154"/>
      <c r="BP724" s="20"/>
      <c r="BQ724" s="154"/>
      <c r="BR724" s="18"/>
      <c r="BS724" s="16"/>
      <c r="BT724" s="18"/>
      <c r="BU724" s="18"/>
      <c r="BV724" s="18"/>
      <c r="BW724" s="20"/>
      <c r="BX724" s="154"/>
      <c r="BY724" s="18"/>
      <c r="BZ724" s="146"/>
      <c r="CA724" s="18"/>
      <c r="CB724" s="18"/>
      <c r="CC724" s="20"/>
      <c r="CD724" s="154"/>
    </row>
    <row r="725" spans="35:82">
      <c r="AI725" s="19"/>
      <c r="AO725" s="19"/>
      <c r="AY725" s="145"/>
      <c r="AZ725" s="16"/>
      <c r="BC725" s="16"/>
      <c r="BD725" s="20"/>
      <c r="BE725" s="17"/>
      <c r="BF725" s="20"/>
      <c r="BG725" s="146"/>
      <c r="BH725" s="146"/>
      <c r="BI725" s="146"/>
      <c r="BJ725" s="20"/>
      <c r="BK725" s="20"/>
      <c r="BL725" s="154"/>
      <c r="BP725" s="20"/>
      <c r="BQ725" s="154"/>
      <c r="BR725" s="18"/>
      <c r="BS725" s="16"/>
      <c r="BT725" s="18"/>
      <c r="BU725" s="18"/>
      <c r="BV725" s="18"/>
      <c r="BW725" s="20"/>
      <c r="BX725" s="154"/>
      <c r="BY725" s="18"/>
      <c r="BZ725" s="146"/>
      <c r="CA725" s="18"/>
      <c r="CB725" s="18"/>
      <c r="CC725" s="20"/>
      <c r="CD725" s="154"/>
    </row>
    <row r="726" spans="35:82">
      <c r="AI726" s="19"/>
      <c r="AO726" s="19"/>
      <c r="AY726" s="145"/>
      <c r="AZ726" s="16"/>
      <c r="BC726" s="16"/>
      <c r="BD726" s="20"/>
      <c r="BE726" s="17"/>
      <c r="BF726" s="20"/>
      <c r="BG726" s="146"/>
      <c r="BH726" s="146"/>
      <c r="BI726" s="146"/>
      <c r="BJ726" s="20"/>
      <c r="BK726" s="20"/>
      <c r="BL726" s="154"/>
      <c r="BP726" s="20"/>
      <c r="BQ726" s="154"/>
      <c r="BR726" s="18"/>
      <c r="BS726" s="16"/>
      <c r="BT726" s="18"/>
      <c r="BU726" s="18"/>
      <c r="BV726" s="18"/>
      <c r="BW726" s="20"/>
      <c r="BX726" s="154"/>
      <c r="BY726" s="18"/>
      <c r="BZ726" s="146"/>
      <c r="CA726" s="18"/>
      <c r="CB726" s="18"/>
      <c r="CC726" s="20"/>
      <c r="CD726" s="154"/>
    </row>
    <row r="727" spans="35:82">
      <c r="AI727" s="19"/>
      <c r="AO727" s="19"/>
      <c r="AY727" s="145"/>
      <c r="AZ727" s="16"/>
      <c r="BC727" s="16"/>
      <c r="BD727" s="20"/>
      <c r="BE727" s="17"/>
      <c r="BF727" s="20"/>
      <c r="BG727" s="146"/>
      <c r="BH727" s="146"/>
      <c r="BI727" s="146"/>
      <c r="BJ727" s="20"/>
      <c r="BK727" s="20"/>
      <c r="BL727" s="154"/>
      <c r="BP727" s="20"/>
      <c r="BQ727" s="154"/>
      <c r="BR727" s="18"/>
      <c r="BS727" s="16"/>
      <c r="BT727" s="18"/>
      <c r="BU727" s="18"/>
      <c r="BV727" s="18"/>
      <c r="BW727" s="20"/>
      <c r="BX727" s="154"/>
      <c r="BY727" s="18"/>
      <c r="BZ727" s="146"/>
      <c r="CA727" s="18"/>
      <c r="CB727" s="18"/>
      <c r="CC727" s="20"/>
      <c r="CD727" s="154"/>
    </row>
    <row r="728" spans="35:82">
      <c r="AI728" s="19"/>
      <c r="AO728" s="19"/>
      <c r="AY728" s="145"/>
      <c r="AZ728" s="16"/>
      <c r="BC728" s="16"/>
      <c r="BD728" s="20"/>
      <c r="BE728" s="17"/>
      <c r="BF728" s="20"/>
      <c r="BG728" s="146"/>
      <c r="BH728" s="146"/>
      <c r="BI728" s="146"/>
      <c r="BJ728" s="20"/>
      <c r="BK728" s="20"/>
      <c r="BL728" s="154"/>
      <c r="BP728" s="20"/>
      <c r="BQ728" s="154"/>
      <c r="BR728" s="18"/>
      <c r="BS728" s="16"/>
      <c r="BT728" s="18"/>
      <c r="BU728" s="18"/>
      <c r="BV728" s="18"/>
      <c r="BW728" s="20"/>
      <c r="BX728" s="154"/>
      <c r="BY728" s="18"/>
      <c r="BZ728" s="146"/>
      <c r="CA728" s="18"/>
      <c r="CB728" s="18"/>
      <c r="CC728" s="20"/>
      <c r="CD728" s="154"/>
    </row>
    <row r="729" spans="35:82">
      <c r="AI729" s="19"/>
      <c r="AO729" s="19"/>
      <c r="AY729" s="145"/>
      <c r="AZ729" s="16"/>
      <c r="BC729" s="16"/>
      <c r="BD729" s="20"/>
      <c r="BE729" s="17"/>
      <c r="BF729" s="20"/>
      <c r="BG729" s="146"/>
      <c r="BH729" s="146"/>
      <c r="BI729" s="146"/>
      <c r="BJ729" s="20"/>
      <c r="BK729" s="20"/>
      <c r="BL729" s="154"/>
      <c r="BP729" s="20"/>
      <c r="BQ729" s="154"/>
      <c r="BR729" s="18"/>
      <c r="BS729" s="16"/>
      <c r="BT729" s="18"/>
      <c r="BU729" s="18"/>
      <c r="BV729" s="18"/>
      <c r="BW729" s="20"/>
      <c r="BX729" s="154"/>
      <c r="BY729" s="18"/>
      <c r="BZ729" s="146"/>
      <c r="CA729" s="18"/>
      <c r="CB729" s="18"/>
      <c r="CC729" s="20"/>
      <c r="CD729" s="154"/>
    </row>
    <row r="730" spans="35:82">
      <c r="AI730" s="19"/>
      <c r="AO730" s="19"/>
      <c r="AY730" s="145"/>
      <c r="AZ730" s="16"/>
      <c r="BC730" s="16"/>
      <c r="BD730" s="20"/>
      <c r="BE730" s="17"/>
      <c r="BF730" s="20"/>
      <c r="BG730" s="146"/>
      <c r="BH730" s="146"/>
      <c r="BI730" s="146"/>
      <c r="BJ730" s="20"/>
      <c r="BK730" s="20"/>
      <c r="BL730" s="154"/>
      <c r="BP730" s="20"/>
      <c r="BQ730" s="154"/>
      <c r="BR730" s="18"/>
      <c r="BS730" s="16"/>
      <c r="BT730" s="18"/>
      <c r="BU730" s="18"/>
      <c r="BV730" s="18"/>
      <c r="BW730" s="20"/>
      <c r="BX730" s="154"/>
      <c r="BY730" s="18"/>
      <c r="BZ730" s="146"/>
      <c r="CA730" s="18"/>
      <c r="CB730" s="18"/>
      <c r="CC730" s="20"/>
      <c r="CD730" s="154"/>
    </row>
    <row r="731" spans="35:82">
      <c r="AI731" s="19"/>
      <c r="AO731" s="19"/>
      <c r="AY731" s="145"/>
      <c r="AZ731" s="16"/>
      <c r="BC731" s="16"/>
      <c r="BD731" s="20"/>
      <c r="BE731" s="17"/>
      <c r="BF731" s="20"/>
      <c r="BG731" s="146"/>
      <c r="BH731" s="146"/>
      <c r="BI731" s="146"/>
      <c r="BJ731" s="20"/>
      <c r="BK731" s="20"/>
      <c r="BL731" s="154"/>
      <c r="BP731" s="20"/>
      <c r="BQ731" s="154"/>
      <c r="BR731" s="18"/>
      <c r="BS731" s="16"/>
      <c r="BT731" s="18"/>
      <c r="BU731" s="18"/>
      <c r="BV731" s="18"/>
      <c r="BW731" s="20"/>
      <c r="BX731" s="154"/>
      <c r="BY731" s="18"/>
      <c r="BZ731" s="146"/>
      <c r="CA731" s="18"/>
      <c r="CB731" s="18"/>
      <c r="CC731" s="20"/>
      <c r="CD731" s="154"/>
    </row>
    <row r="732" spans="35:82">
      <c r="AI732" s="19"/>
      <c r="AO732" s="19"/>
      <c r="AY732" s="145"/>
      <c r="AZ732" s="16"/>
      <c r="BC732" s="16"/>
      <c r="BD732" s="20"/>
      <c r="BE732" s="17"/>
      <c r="BF732" s="20"/>
      <c r="BG732" s="146"/>
      <c r="BH732" s="146"/>
      <c r="BI732" s="146"/>
      <c r="BJ732" s="20"/>
      <c r="BK732" s="20"/>
      <c r="BL732" s="154"/>
      <c r="BP732" s="20"/>
      <c r="BQ732" s="154"/>
      <c r="BR732" s="18"/>
      <c r="BS732" s="16"/>
      <c r="BT732" s="18"/>
      <c r="BU732" s="18"/>
      <c r="BV732" s="18"/>
      <c r="BW732" s="20"/>
      <c r="BX732" s="154"/>
      <c r="BY732" s="18"/>
      <c r="BZ732" s="146"/>
      <c r="CA732" s="18"/>
      <c r="CB732" s="18"/>
      <c r="CC732" s="20"/>
      <c r="CD732" s="154"/>
    </row>
    <row r="733" spans="35:82">
      <c r="AI733" s="19"/>
      <c r="AO733" s="19"/>
      <c r="AY733" s="145"/>
      <c r="AZ733" s="16"/>
      <c r="BC733" s="16"/>
      <c r="BD733" s="20"/>
      <c r="BE733" s="17"/>
      <c r="BF733" s="20"/>
      <c r="BG733" s="146"/>
      <c r="BH733" s="146"/>
      <c r="BI733" s="146"/>
      <c r="BJ733" s="20"/>
      <c r="BK733" s="20"/>
      <c r="BL733" s="154"/>
      <c r="BP733" s="20"/>
      <c r="BQ733" s="154"/>
      <c r="BR733" s="18"/>
      <c r="BS733" s="16"/>
      <c r="BT733" s="18"/>
      <c r="BU733" s="18"/>
      <c r="BV733" s="18"/>
      <c r="BW733" s="20"/>
      <c r="BX733" s="154"/>
      <c r="BY733" s="18"/>
      <c r="BZ733" s="146"/>
      <c r="CA733" s="18"/>
      <c r="CB733" s="18"/>
      <c r="CC733" s="20"/>
      <c r="CD733" s="154"/>
    </row>
    <row r="734" spans="35:82">
      <c r="AI734" s="19"/>
      <c r="AO734" s="19"/>
      <c r="AY734" s="145"/>
      <c r="AZ734" s="16"/>
      <c r="BC734" s="16"/>
      <c r="BD734" s="20"/>
      <c r="BE734" s="17"/>
      <c r="BF734" s="20"/>
      <c r="BG734" s="146"/>
      <c r="BH734" s="146"/>
      <c r="BI734" s="146"/>
      <c r="BJ734" s="20"/>
      <c r="BK734" s="20"/>
      <c r="BL734" s="154"/>
      <c r="BP734" s="20"/>
      <c r="BQ734" s="154"/>
      <c r="BR734" s="18"/>
      <c r="BS734" s="16"/>
      <c r="BT734" s="18"/>
      <c r="BU734" s="18"/>
      <c r="BV734" s="18"/>
      <c r="BW734" s="20"/>
      <c r="BX734" s="154"/>
      <c r="BY734" s="18"/>
      <c r="BZ734" s="146"/>
      <c r="CA734" s="18"/>
      <c r="CB734" s="18"/>
      <c r="CC734" s="20"/>
      <c r="CD734" s="154"/>
    </row>
    <row r="735" spans="35:82">
      <c r="AI735" s="19"/>
      <c r="AO735" s="19"/>
      <c r="AY735" s="145"/>
      <c r="AZ735" s="16"/>
      <c r="BC735" s="16"/>
      <c r="BD735" s="20"/>
      <c r="BE735" s="17"/>
      <c r="BF735" s="20"/>
      <c r="BG735" s="146"/>
      <c r="BH735" s="146"/>
      <c r="BI735" s="146"/>
      <c r="BJ735" s="20"/>
      <c r="BK735" s="20"/>
      <c r="BL735" s="154"/>
      <c r="BP735" s="20"/>
      <c r="BQ735" s="154"/>
      <c r="BR735" s="18"/>
      <c r="BS735" s="16"/>
      <c r="BT735" s="18"/>
      <c r="BU735" s="18"/>
      <c r="BV735" s="18"/>
      <c r="BW735" s="20"/>
      <c r="BX735" s="154"/>
      <c r="BY735" s="18"/>
      <c r="BZ735" s="146"/>
      <c r="CA735" s="18"/>
      <c r="CB735" s="18"/>
      <c r="CC735" s="20"/>
      <c r="CD735" s="154"/>
    </row>
    <row r="736" spans="35:82">
      <c r="AI736" s="19"/>
      <c r="AO736" s="19"/>
      <c r="AY736" s="145"/>
      <c r="AZ736" s="16"/>
      <c r="BC736" s="16"/>
      <c r="BD736" s="20"/>
      <c r="BE736" s="17"/>
      <c r="BF736" s="20"/>
      <c r="BG736" s="146"/>
      <c r="BH736" s="146"/>
      <c r="BI736" s="146"/>
      <c r="BJ736" s="20"/>
      <c r="BK736" s="20"/>
      <c r="BL736" s="154"/>
      <c r="BP736" s="20"/>
      <c r="BQ736" s="154"/>
      <c r="BR736" s="18"/>
      <c r="BS736" s="16"/>
      <c r="BT736" s="18"/>
      <c r="BU736" s="18"/>
      <c r="BV736" s="18"/>
      <c r="BW736" s="20"/>
      <c r="BX736" s="154"/>
      <c r="BY736" s="18"/>
      <c r="BZ736" s="146"/>
      <c r="CA736" s="18"/>
      <c r="CB736" s="18"/>
      <c r="CC736" s="20"/>
      <c r="CD736" s="154"/>
    </row>
    <row r="737" spans="35:82">
      <c r="AI737" s="19"/>
      <c r="AO737" s="19"/>
      <c r="AY737" s="145"/>
      <c r="AZ737" s="16"/>
      <c r="BC737" s="16"/>
      <c r="BD737" s="20"/>
      <c r="BE737" s="17"/>
      <c r="BF737" s="20"/>
      <c r="BG737" s="146"/>
      <c r="BH737" s="146"/>
      <c r="BI737" s="146"/>
      <c r="BJ737" s="20"/>
      <c r="BK737" s="20"/>
      <c r="BL737" s="154"/>
      <c r="BP737" s="20"/>
      <c r="BQ737" s="154"/>
      <c r="BR737" s="18"/>
      <c r="BS737" s="16"/>
      <c r="BT737" s="18"/>
      <c r="BU737" s="18"/>
      <c r="BV737" s="18"/>
      <c r="BW737" s="20"/>
      <c r="BX737" s="154"/>
      <c r="BY737" s="18"/>
      <c r="BZ737" s="146"/>
      <c r="CA737" s="18"/>
      <c r="CB737" s="18"/>
      <c r="CC737" s="20"/>
      <c r="CD737" s="154"/>
    </row>
    <row r="738" spans="35:82">
      <c r="AI738" s="19"/>
      <c r="AO738" s="19"/>
      <c r="AY738" s="145"/>
      <c r="AZ738" s="16"/>
      <c r="BC738" s="16"/>
      <c r="BD738" s="20"/>
      <c r="BE738" s="17"/>
      <c r="BF738" s="20"/>
      <c r="BG738" s="146"/>
      <c r="BH738" s="146"/>
      <c r="BI738" s="146"/>
      <c r="BJ738" s="20"/>
      <c r="BK738" s="20"/>
      <c r="BL738" s="154"/>
      <c r="BP738" s="20"/>
      <c r="BQ738" s="154"/>
      <c r="BR738" s="18"/>
      <c r="BS738" s="16"/>
      <c r="BT738" s="18"/>
      <c r="BU738" s="18"/>
      <c r="BV738" s="18"/>
      <c r="BW738" s="20"/>
      <c r="BX738" s="154"/>
      <c r="BY738" s="18"/>
      <c r="BZ738" s="146"/>
      <c r="CA738" s="18"/>
      <c r="CB738" s="18"/>
      <c r="CC738" s="20"/>
      <c r="CD738" s="154"/>
    </row>
    <row r="739" spans="35:82">
      <c r="AI739" s="19"/>
      <c r="AO739" s="19"/>
      <c r="AY739" s="145"/>
      <c r="AZ739" s="16"/>
      <c r="BC739" s="16"/>
      <c r="BD739" s="20"/>
      <c r="BE739" s="17"/>
      <c r="BF739" s="20"/>
      <c r="BG739" s="146"/>
      <c r="BH739" s="146"/>
      <c r="BI739" s="146"/>
      <c r="BJ739" s="20"/>
      <c r="BK739" s="20"/>
      <c r="BL739" s="154"/>
      <c r="BP739" s="20"/>
      <c r="BQ739" s="154"/>
      <c r="BR739" s="18"/>
      <c r="BS739" s="16"/>
      <c r="BT739" s="18"/>
      <c r="BU739" s="18"/>
      <c r="BV739" s="18"/>
      <c r="BW739" s="20"/>
      <c r="BX739" s="154"/>
      <c r="BY739" s="18"/>
      <c r="BZ739" s="146"/>
      <c r="CA739" s="18"/>
      <c r="CB739" s="18"/>
      <c r="CC739" s="20"/>
      <c r="CD739" s="154"/>
    </row>
    <row r="740" spans="35:82">
      <c r="AI740" s="19"/>
      <c r="AO740" s="19"/>
      <c r="AY740" s="145"/>
      <c r="AZ740" s="16"/>
      <c r="BC740" s="16"/>
      <c r="BD740" s="20"/>
      <c r="BE740" s="17"/>
      <c r="BF740" s="20"/>
      <c r="BG740" s="146"/>
      <c r="BH740" s="146"/>
      <c r="BI740" s="146"/>
      <c r="BJ740" s="20"/>
      <c r="BK740" s="20"/>
      <c r="BL740" s="154"/>
      <c r="BP740" s="20"/>
      <c r="BQ740" s="154"/>
      <c r="BR740" s="18"/>
      <c r="BS740" s="16"/>
      <c r="BT740" s="18"/>
      <c r="BU740" s="18"/>
      <c r="BV740" s="18"/>
      <c r="BW740" s="20"/>
      <c r="BX740" s="154"/>
      <c r="BY740" s="18"/>
      <c r="BZ740" s="146"/>
      <c r="CA740" s="18"/>
      <c r="CB740" s="18"/>
      <c r="CC740" s="20"/>
      <c r="CD740" s="154"/>
    </row>
    <row r="741" spans="35:82">
      <c r="AI741" s="19"/>
      <c r="AO741" s="19"/>
      <c r="AY741" s="145"/>
      <c r="AZ741" s="16"/>
      <c r="BC741" s="16"/>
      <c r="BD741" s="20"/>
      <c r="BE741" s="17"/>
      <c r="BF741" s="20"/>
      <c r="BG741" s="146"/>
      <c r="BH741" s="146"/>
      <c r="BI741" s="146"/>
      <c r="BJ741" s="20"/>
      <c r="BK741" s="20"/>
      <c r="BL741" s="154"/>
      <c r="BP741" s="20"/>
      <c r="BQ741" s="154"/>
      <c r="BR741" s="18"/>
      <c r="BS741" s="16"/>
      <c r="BT741" s="18"/>
      <c r="BU741" s="18"/>
      <c r="BV741" s="18"/>
      <c r="BW741" s="20"/>
      <c r="BX741" s="154"/>
      <c r="BY741" s="18"/>
      <c r="BZ741" s="146"/>
      <c r="CA741" s="18"/>
      <c r="CB741" s="18"/>
      <c r="CC741" s="20"/>
      <c r="CD741" s="154"/>
    </row>
    <row r="742" spans="35:82">
      <c r="AI742" s="19"/>
      <c r="AO742" s="19"/>
      <c r="AY742" s="145"/>
      <c r="AZ742" s="16"/>
      <c r="BC742" s="16"/>
      <c r="BD742" s="20"/>
      <c r="BE742" s="17"/>
      <c r="BF742" s="20"/>
      <c r="BG742" s="146"/>
      <c r="BH742" s="146"/>
      <c r="BI742" s="146"/>
      <c r="BJ742" s="20"/>
      <c r="BK742" s="20"/>
      <c r="BL742" s="154"/>
      <c r="BP742" s="20"/>
      <c r="BQ742" s="154"/>
      <c r="BR742" s="18"/>
      <c r="BS742" s="16"/>
      <c r="BT742" s="18"/>
      <c r="BU742" s="18"/>
      <c r="BV742" s="18"/>
      <c r="BW742" s="20"/>
      <c r="BX742" s="154"/>
      <c r="BY742" s="18"/>
      <c r="BZ742" s="146"/>
      <c r="CA742" s="18"/>
      <c r="CB742" s="18"/>
      <c r="CC742" s="20"/>
      <c r="CD742" s="154"/>
    </row>
    <row r="743" spans="35:82">
      <c r="AI743" s="19"/>
      <c r="AO743" s="19"/>
      <c r="AY743" s="145"/>
      <c r="AZ743" s="16"/>
      <c r="BC743" s="16"/>
      <c r="BD743" s="20"/>
      <c r="BE743" s="17"/>
      <c r="BF743" s="20"/>
      <c r="BG743" s="146"/>
      <c r="BH743" s="146"/>
      <c r="BI743" s="146"/>
      <c r="BJ743" s="20"/>
      <c r="BK743" s="20"/>
      <c r="BL743" s="154"/>
      <c r="BP743" s="20"/>
      <c r="BQ743" s="154"/>
      <c r="BR743" s="18"/>
      <c r="BS743" s="16"/>
      <c r="BT743" s="18"/>
      <c r="BU743" s="18"/>
      <c r="BV743" s="18"/>
      <c r="BW743" s="20"/>
      <c r="BX743" s="154"/>
      <c r="BY743" s="18"/>
      <c r="BZ743" s="146"/>
      <c r="CA743" s="18"/>
      <c r="CB743" s="18"/>
      <c r="CC743" s="20"/>
      <c r="CD743" s="154"/>
    </row>
    <row r="744" spans="35:82">
      <c r="AI744" s="19"/>
      <c r="AO744" s="19"/>
      <c r="AY744" s="145"/>
      <c r="AZ744" s="16"/>
      <c r="BC744" s="16"/>
      <c r="BD744" s="20"/>
      <c r="BE744" s="17"/>
      <c r="BF744" s="20"/>
      <c r="BG744" s="146"/>
      <c r="BH744" s="146"/>
      <c r="BI744" s="146"/>
      <c r="BJ744" s="20"/>
      <c r="BK744" s="20"/>
      <c r="BL744" s="154"/>
      <c r="BP744" s="20"/>
      <c r="BQ744" s="154"/>
      <c r="BR744" s="18"/>
      <c r="BS744" s="16"/>
      <c r="BT744" s="18"/>
      <c r="BU744" s="18"/>
      <c r="BV744" s="18"/>
      <c r="BW744" s="20"/>
      <c r="BX744" s="154"/>
      <c r="BY744" s="18"/>
      <c r="BZ744" s="146"/>
      <c r="CA744" s="18"/>
      <c r="CB744" s="18"/>
      <c r="CC744" s="20"/>
      <c r="CD744" s="154"/>
    </row>
    <row r="745" spans="35:82">
      <c r="AI745" s="19"/>
      <c r="AO745" s="19"/>
      <c r="AY745" s="145"/>
      <c r="AZ745" s="16"/>
      <c r="BC745" s="16"/>
      <c r="BD745" s="20"/>
      <c r="BE745" s="17"/>
      <c r="BF745" s="20"/>
      <c r="BG745" s="146"/>
      <c r="BH745" s="146"/>
      <c r="BI745" s="146"/>
      <c r="BJ745" s="20"/>
      <c r="BK745" s="20"/>
      <c r="BL745" s="154"/>
      <c r="BP745" s="20"/>
      <c r="BQ745" s="154"/>
      <c r="BR745" s="18"/>
      <c r="BS745" s="16"/>
      <c r="BT745" s="18"/>
      <c r="BU745" s="18"/>
      <c r="BV745" s="18"/>
      <c r="BW745" s="20"/>
      <c r="BX745" s="154"/>
      <c r="BY745" s="18"/>
      <c r="BZ745" s="146"/>
      <c r="CA745" s="18"/>
      <c r="CB745" s="18"/>
      <c r="CC745" s="20"/>
      <c r="CD745" s="154"/>
    </row>
    <row r="746" spans="35:82">
      <c r="AI746" s="19"/>
      <c r="AO746" s="19"/>
      <c r="AY746" s="145"/>
      <c r="AZ746" s="16"/>
      <c r="BC746" s="16"/>
      <c r="BD746" s="20"/>
      <c r="BE746" s="17"/>
      <c r="BF746" s="20"/>
      <c r="BG746" s="146"/>
      <c r="BH746" s="146"/>
      <c r="BI746" s="146"/>
      <c r="BJ746" s="20"/>
      <c r="BK746" s="20"/>
      <c r="BL746" s="154"/>
      <c r="BP746" s="20"/>
      <c r="BQ746" s="154"/>
      <c r="BR746" s="18"/>
      <c r="BS746" s="16"/>
      <c r="BT746" s="18"/>
      <c r="BU746" s="18"/>
      <c r="BV746" s="18"/>
      <c r="BW746" s="20"/>
      <c r="BX746" s="154"/>
      <c r="BY746" s="18"/>
      <c r="BZ746" s="146"/>
      <c r="CA746" s="18"/>
      <c r="CB746" s="18"/>
      <c r="CC746" s="20"/>
      <c r="CD746" s="154"/>
    </row>
    <row r="747" spans="35:82">
      <c r="AI747" s="19"/>
      <c r="AO747" s="19"/>
      <c r="AY747" s="145"/>
      <c r="AZ747" s="16"/>
      <c r="BC747" s="16"/>
      <c r="BD747" s="20"/>
      <c r="BE747" s="17"/>
      <c r="BF747" s="20"/>
      <c r="BG747" s="146"/>
      <c r="BH747" s="146"/>
      <c r="BI747" s="146"/>
      <c r="BJ747" s="20"/>
      <c r="BK747" s="20"/>
      <c r="BL747" s="154"/>
      <c r="BP747" s="20"/>
      <c r="BQ747" s="154"/>
      <c r="BR747" s="18"/>
      <c r="BS747" s="16"/>
      <c r="BT747" s="18"/>
      <c r="BU747" s="18"/>
      <c r="BV747" s="18"/>
      <c r="BW747" s="20"/>
      <c r="BX747" s="154"/>
      <c r="BY747" s="18"/>
      <c r="BZ747" s="146"/>
      <c r="CA747" s="18"/>
      <c r="CB747" s="18"/>
      <c r="CC747" s="20"/>
      <c r="CD747" s="154"/>
    </row>
    <row r="748" spans="35:82">
      <c r="AI748" s="19"/>
      <c r="AO748" s="19"/>
      <c r="AY748" s="145"/>
      <c r="AZ748" s="16"/>
      <c r="BC748" s="16"/>
      <c r="BD748" s="20"/>
      <c r="BE748" s="17"/>
      <c r="BF748" s="20"/>
      <c r="BG748" s="146"/>
      <c r="BH748" s="146"/>
      <c r="BI748" s="146"/>
      <c r="BJ748" s="20"/>
      <c r="BK748" s="20"/>
      <c r="BL748" s="154"/>
      <c r="BP748" s="20"/>
      <c r="BQ748" s="154"/>
      <c r="BR748" s="18"/>
      <c r="BS748" s="16"/>
      <c r="BT748" s="18"/>
      <c r="BU748" s="18"/>
      <c r="BV748" s="18"/>
      <c r="BW748" s="20"/>
      <c r="BX748" s="154"/>
      <c r="BY748" s="18"/>
      <c r="BZ748" s="146"/>
      <c r="CA748" s="18"/>
      <c r="CB748" s="18"/>
      <c r="CC748" s="20"/>
      <c r="CD748" s="154"/>
    </row>
    <row r="749" spans="35:82">
      <c r="AI749" s="19"/>
      <c r="AO749" s="19"/>
      <c r="AY749" s="145"/>
      <c r="AZ749" s="16"/>
      <c r="BC749" s="16"/>
      <c r="BD749" s="20"/>
      <c r="BE749" s="17"/>
      <c r="BF749" s="20"/>
      <c r="BG749" s="146"/>
      <c r="BH749" s="146"/>
      <c r="BI749" s="146"/>
      <c r="BJ749" s="20"/>
      <c r="BK749" s="20"/>
      <c r="BL749" s="154"/>
      <c r="BP749" s="20"/>
      <c r="BQ749" s="154"/>
      <c r="BR749" s="18"/>
      <c r="BS749" s="16"/>
      <c r="BT749" s="18"/>
      <c r="BU749" s="18"/>
      <c r="BV749" s="18"/>
      <c r="BW749" s="20"/>
      <c r="BX749" s="154"/>
      <c r="BY749" s="18"/>
      <c r="BZ749" s="146"/>
      <c r="CA749" s="18"/>
      <c r="CB749" s="18"/>
      <c r="CC749" s="20"/>
      <c r="CD749" s="154"/>
    </row>
    <row r="750" spans="35:82">
      <c r="AI750" s="19"/>
      <c r="AO750" s="19"/>
      <c r="AY750" s="145"/>
      <c r="AZ750" s="16"/>
      <c r="BC750" s="16"/>
      <c r="BD750" s="20"/>
      <c r="BE750" s="17"/>
      <c r="BF750" s="20"/>
      <c r="BG750" s="146"/>
      <c r="BH750" s="146"/>
      <c r="BI750" s="146"/>
      <c r="BJ750" s="20"/>
      <c r="BK750" s="20"/>
      <c r="BL750" s="154"/>
      <c r="BP750" s="20"/>
      <c r="BQ750" s="154"/>
      <c r="BR750" s="18"/>
      <c r="BS750" s="16"/>
      <c r="BT750" s="18"/>
      <c r="BU750" s="18"/>
      <c r="BV750" s="18"/>
      <c r="BW750" s="20"/>
      <c r="BX750" s="154"/>
      <c r="BY750" s="18"/>
      <c r="BZ750" s="146"/>
      <c r="CA750" s="18"/>
      <c r="CB750" s="18"/>
      <c r="CC750" s="20"/>
      <c r="CD750" s="154"/>
    </row>
    <row r="751" spans="35:82">
      <c r="AI751" s="19"/>
      <c r="AO751" s="19"/>
      <c r="AY751" s="145"/>
      <c r="AZ751" s="16"/>
      <c r="BC751" s="16"/>
      <c r="BD751" s="20"/>
      <c r="BE751" s="17"/>
      <c r="BF751" s="20"/>
      <c r="BG751" s="146"/>
      <c r="BH751" s="146"/>
      <c r="BI751" s="146"/>
      <c r="BJ751" s="20"/>
      <c r="BK751" s="20"/>
      <c r="BL751" s="154"/>
      <c r="BP751" s="20"/>
      <c r="BQ751" s="154"/>
      <c r="BR751" s="18"/>
      <c r="BS751" s="16"/>
      <c r="BT751" s="18"/>
      <c r="BU751" s="18"/>
      <c r="BV751" s="18"/>
      <c r="BW751" s="20"/>
      <c r="BX751" s="154"/>
      <c r="BY751" s="18"/>
      <c r="BZ751" s="146"/>
      <c r="CA751" s="18"/>
      <c r="CB751" s="18"/>
      <c r="CC751" s="20"/>
      <c r="CD751" s="154"/>
    </row>
    <row r="752" spans="35:82">
      <c r="AI752" s="19"/>
      <c r="AO752" s="19"/>
      <c r="AY752" s="145"/>
      <c r="AZ752" s="16"/>
      <c r="BC752" s="16"/>
      <c r="BD752" s="20"/>
      <c r="BE752" s="17"/>
      <c r="BF752" s="20"/>
      <c r="BG752" s="146"/>
      <c r="BH752" s="146"/>
      <c r="BI752" s="146"/>
      <c r="BJ752" s="20"/>
      <c r="BK752" s="20"/>
      <c r="BL752" s="154"/>
      <c r="BP752" s="20"/>
      <c r="BQ752" s="154"/>
      <c r="BR752" s="18"/>
      <c r="BS752" s="16"/>
      <c r="BT752" s="18"/>
      <c r="BU752" s="18"/>
      <c r="BV752" s="18"/>
      <c r="BW752" s="20"/>
      <c r="BX752" s="154"/>
      <c r="BY752" s="18"/>
      <c r="BZ752" s="146"/>
      <c r="CA752" s="18"/>
      <c r="CB752" s="18"/>
      <c r="CC752" s="20"/>
      <c r="CD752" s="154"/>
    </row>
    <row r="753" spans="35:82">
      <c r="AI753" s="19"/>
      <c r="AO753" s="19"/>
      <c r="AY753" s="145"/>
      <c r="AZ753" s="16"/>
      <c r="BC753" s="16"/>
      <c r="BD753" s="20"/>
      <c r="BE753" s="17"/>
      <c r="BF753" s="20"/>
      <c r="BG753" s="146"/>
      <c r="BH753" s="146"/>
      <c r="BI753" s="146"/>
      <c r="BJ753" s="20"/>
      <c r="BK753" s="20"/>
      <c r="BL753" s="154"/>
      <c r="BP753" s="20"/>
      <c r="BQ753" s="154"/>
      <c r="BR753" s="18"/>
      <c r="BS753" s="16"/>
      <c r="BT753" s="18"/>
      <c r="BU753" s="18"/>
      <c r="BV753" s="18"/>
      <c r="BW753" s="20"/>
      <c r="BX753" s="154"/>
      <c r="BY753" s="18"/>
      <c r="BZ753" s="146"/>
      <c r="CA753" s="18"/>
      <c r="CB753" s="18"/>
      <c r="CC753" s="20"/>
      <c r="CD753" s="154"/>
    </row>
    <row r="754" spans="35:82">
      <c r="AI754" s="19"/>
      <c r="AO754" s="19"/>
      <c r="AY754" s="145"/>
      <c r="AZ754" s="16"/>
      <c r="BC754" s="16"/>
      <c r="BD754" s="20"/>
      <c r="BE754" s="17"/>
      <c r="BF754" s="20"/>
      <c r="BG754" s="146"/>
      <c r="BH754" s="146"/>
      <c r="BI754" s="146"/>
      <c r="BJ754" s="20"/>
      <c r="BK754" s="20"/>
      <c r="BL754" s="154"/>
      <c r="BP754" s="20"/>
      <c r="BQ754" s="154"/>
      <c r="BR754" s="18"/>
      <c r="BS754" s="16"/>
      <c r="BT754" s="18"/>
      <c r="BU754" s="18"/>
      <c r="BV754" s="18"/>
      <c r="BW754" s="20"/>
      <c r="BX754" s="154"/>
      <c r="BY754" s="18"/>
      <c r="BZ754" s="146"/>
      <c r="CA754" s="18"/>
      <c r="CB754" s="18"/>
      <c r="CC754" s="20"/>
      <c r="CD754" s="154"/>
    </row>
    <row r="755" spans="35:82">
      <c r="AI755" s="19"/>
      <c r="AO755" s="19"/>
      <c r="AY755" s="145"/>
      <c r="AZ755" s="16"/>
      <c r="BC755" s="16"/>
      <c r="BD755" s="20"/>
      <c r="BE755" s="17"/>
      <c r="BF755" s="20"/>
      <c r="BG755" s="146"/>
      <c r="BH755" s="146"/>
      <c r="BI755" s="146"/>
      <c r="BJ755" s="20"/>
      <c r="BK755" s="20"/>
      <c r="BL755" s="154"/>
      <c r="BP755" s="20"/>
      <c r="BQ755" s="154"/>
      <c r="BR755" s="18"/>
      <c r="BS755" s="16"/>
      <c r="BT755" s="18"/>
      <c r="BU755" s="18"/>
      <c r="BV755" s="18"/>
      <c r="BW755" s="20"/>
      <c r="BX755" s="154"/>
      <c r="BY755" s="18"/>
      <c r="BZ755" s="146"/>
      <c r="CA755" s="18"/>
      <c r="CB755" s="18"/>
      <c r="CC755" s="20"/>
      <c r="CD755" s="154"/>
    </row>
    <row r="756" spans="35:82">
      <c r="AI756" s="19"/>
      <c r="AO756" s="19"/>
      <c r="AY756" s="145"/>
      <c r="AZ756" s="16"/>
      <c r="BC756" s="16"/>
      <c r="BD756" s="20"/>
      <c r="BE756" s="17"/>
      <c r="BF756" s="20"/>
      <c r="BG756" s="146"/>
      <c r="BH756" s="146"/>
      <c r="BI756" s="146"/>
      <c r="BJ756" s="20"/>
      <c r="BK756" s="20"/>
      <c r="BL756" s="154"/>
      <c r="BP756" s="20"/>
      <c r="BQ756" s="154"/>
      <c r="BR756" s="18"/>
      <c r="BS756" s="16"/>
      <c r="BT756" s="18"/>
      <c r="BU756" s="18"/>
      <c r="BV756" s="18"/>
      <c r="BW756" s="20"/>
      <c r="BX756" s="154"/>
      <c r="BY756" s="18"/>
      <c r="BZ756" s="146"/>
      <c r="CA756" s="18"/>
      <c r="CB756" s="18"/>
      <c r="CC756" s="20"/>
      <c r="CD756" s="154"/>
    </row>
    <row r="757" spans="35:82">
      <c r="AI757" s="19"/>
      <c r="AO757" s="19"/>
      <c r="AY757" s="145"/>
      <c r="AZ757" s="16"/>
      <c r="BC757" s="16"/>
      <c r="BD757" s="20"/>
      <c r="BE757" s="17"/>
      <c r="BF757" s="20"/>
      <c r="BG757" s="146"/>
      <c r="BH757" s="146"/>
      <c r="BI757" s="146"/>
      <c r="BJ757" s="20"/>
      <c r="BK757" s="20"/>
      <c r="BL757" s="154"/>
      <c r="BP757" s="20"/>
      <c r="BQ757" s="154"/>
      <c r="BR757" s="18"/>
      <c r="BS757" s="16"/>
      <c r="BT757" s="18"/>
      <c r="BU757" s="18"/>
      <c r="BV757" s="18"/>
      <c r="BW757" s="20"/>
      <c r="BX757" s="154"/>
      <c r="BY757" s="18"/>
      <c r="BZ757" s="146"/>
      <c r="CA757" s="18"/>
      <c r="CB757" s="18"/>
      <c r="CC757" s="20"/>
      <c r="CD757" s="154"/>
    </row>
    <row r="758" spans="35:82">
      <c r="AI758" s="19"/>
      <c r="AO758" s="19"/>
      <c r="AY758" s="145"/>
      <c r="AZ758" s="16"/>
      <c r="BC758" s="16"/>
      <c r="BD758" s="20"/>
      <c r="BE758" s="17"/>
      <c r="BF758" s="20"/>
      <c r="BG758" s="146"/>
      <c r="BH758" s="146"/>
      <c r="BI758" s="146"/>
      <c r="BJ758" s="20"/>
      <c r="BK758" s="20"/>
      <c r="BL758" s="154"/>
      <c r="BP758" s="20"/>
      <c r="BQ758" s="154"/>
      <c r="BR758" s="18"/>
      <c r="BS758" s="16"/>
      <c r="BT758" s="18"/>
      <c r="BU758" s="18"/>
      <c r="BV758" s="18"/>
      <c r="BW758" s="20"/>
      <c r="BX758" s="154"/>
      <c r="BY758" s="18"/>
      <c r="BZ758" s="146"/>
      <c r="CA758" s="18"/>
      <c r="CB758" s="18"/>
      <c r="CC758" s="20"/>
      <c r="CD758" s="154"/>
    </row>
    <row r="759" spans="35:82">
      <c r="AI759" s="19"/>
      <c r="AO759" s="19"/>
      <c r="AY759" s="145"/>
      <c r="AZ759" s="16"/>
      <c r="BC759" s="16"/>
      <c r="BD759" s="20"/>
      <c r="BE759" s="17"/>
      <c r="BF759" s="20"/>
      <c r="BG759" s="146"/>
      <c r="BH759" s="146"/>
      <c r="BI759" s="146"/>
      <c r="BJ759" s="20"/>
      <c r="BK759" s="20"/>
      <c r="BL759" s="154"/>
      <c r="BP759" s="20"/>
      <c r="BQ759" s="154"/>
      <c r="BR759" s="18"/>
      <c r="BS759" s="16"/>
      <c r="BT759" s="18"/>
      <c r="BU759" s="18"/>
      <c r="BV759" s="18"/>
      <c r="BW759" s="20"/>
      <c r="BX759" s="154"/>
      <c r="BY759" s="18"/>
      <c r="BZ759" s="146"/>
      <c r="CA759" s="18"/>
      <c r="CB759" s="18"/>
      <c r="CC759" s="20"/>
      <c r="CD759" s="154"/>
    </row>
    <row r="760" spans="35:82">
      <c r="AI760" s="19"/>
      <c r="AO760" s="19"/>
      <c r="AY760" s="145"/>
      <c r="AZ760" s="16"/>
      <c r="BC760" s="16"/>
      <c r="BD760" s="20"/>
      <c r="BE760" s="17"/>
      <c r="BF760" s="20"/>
      <c r="BG760" s="146"/>
      <c r="BH760" s="146"/>
      <c r="BI760" s="146"/>
      <c r="BJ760" s="20"/>
      <c r="BK760" s="20"/>
      <c r="BL760" s="154"/>
      <c r="BP760" s="20"/>
      <c r="BQ760" s="154"/>
      <c r="BR760" s="18"/>
      <c r="BS760" s="16"/>
      <c r="BT760" s="18"/>
      <c r="BU760" s="18"/>
      <c r="BV760" s="18"/>
      <c r="BW760" s="20"/>
      <c r="BX760" s="154"/>
      <c r="BY760" s="18"/>
      <c r="BZ760" s="146"/>
      <c r="CA760" s="18"/>
      <c r="CB760" s="18"/>
      <c r="CC760" s="20"/>
      <c r="CD760" s="154"/>
    </row>
    <row r="761" spans="35:82">
      <c r="AI761" s="19"/>
      <c r="AO761" s="19"/>
      <c r="AY761" s="145"/>
      <c r="AZ761" s="16"/>
      <c r="BC761" s="16"/>
      <c r="BD761" s="20"/>
      <c r="BE761" s="17"/>
      <c r="BF761" s="20"/>
      <c r="BG761" s="146"/>
      <c r="BH761" s="146"/>
      <c r="BI761" s="146"/>
      <c r="BJ761" s="20"/>
      <c r="BK761" s="20"/>
      <c r="BL761" s="154"/>
      <c r="BP761" s="20"/>
      <c r="BQ761" s="154"/>
      <c r="BR761" s="18"/>
      <c r="BS761" s="16"/>
      <c r="BT761" s="18"/>
      <c r="BU761" s="18"/>
      <c r="BV761" s="18"/>
      <c r="BW761" s="20"/>
      <c r="BX761" s="154"/>
      <c r="BY761" s="18"/>
      <c r="BZ761" s="146"/>
      <c r="CA761" s="18"/>
      <c r="CB761" s="18"/>
      <c r="CC761" s="20"/>
      <c r="CD761" s="154"/>
    </row>
    <row r="762" spans="35:82">
      <c r="AI762" s="19"/>
      <c r="AO762" s="19"/>
      <c r="AY762" s="145"/>
      <c r="AZ762" s="16"/>
      <c r="BC762" s="16"/>
      <c r="BD762" s="20"/>
      <c r="BE762" s="17"/>
      <c r="BF762" s="20"/>
      <c r="BG762" s="146"/>
      <c r="BH762" s="146"/>
      <c r="BI762" s="146"/>
      <c r="BJ762" s="20"/>
      <c r="BK762" s="20"/>
      <c r="BL762" s="154"/>
      <c r="BP762" s="20"/>
      <c r="BQ762" s="154"/>
      <c r="BR762" s="18"/>
      <c r="BS762" s="16"/>
      <c r="BT762" s="18"/>
      <c r="BU762" s="18"/>
      <c r="BV762" s="18"/>
      <c r="BW762" s="20"/>
      <c r="BX762" s="154"/>
      <c r="BY762" s="18"/>
      <c r="BZ762" s="146"/>
      <c r="CA762" s="18"/>
      <c r="CB762" s="18"/>
      <c r="CC762" s="20"/>
      <c r="CD762" s="154"/>
    </row>
    <row r="763" spans="35:82">
      <c r="AI763" s="19"/>
      <c r="AO763" s="19"/>
      <c r="AY763" s="145"/>
      <c r="AZ763" s="16"/>
      <c r="BC763" s="16"/>
      <c r="BD763" s="20"/>
      <c r="BE763" s="17"/>
      <c r="BF763" s="20"/>
      <c r="BG763" s="146"/>
      <c r="BH763" s="146"/>
      <c r="BI763" s="146"/>
      <c r="BJ763" s="20"/>
      <c r="BK763" s="20"/>
      <c r="BL763" s="154"/>
      <c r="BP763" s="20"/>
      <c r="BQ763" s="154"/>
      <c r="BR763" s="18"/>
      <c r="BS763" s="16"/>
      <c r="BT763" s="18"/>
      <c r="BU763" s="18"/>
      <c r="BV763" s="18"/>
      <c r="BW763" s="20"/>
      <c r="BX763" s="154"/>
      <c r="BY763" s="18"/>
      <c r="BZ763" s="146"/>
      <c r="CA763" s="18"/>
      <c r="CB763" s="18"/>
      <c r="CC763" s="20"/>
      <c r="CD763" s="154"/>
    </row>
    <row r="764" spans="35:82">
      <c r="AI764" s="19"/>
      <c r="AO764" s="19"/>
      <c r="AY764" s="145"/>
      <c r="AZ764" s="16"/>
      <c r="BC764" s="16"/>
      <c r="BD764" s="20"/>
      <c r="BE764" s="17"/>
      <c r="BF764" s="20"/>
      <c r="BG764" s="146"/>
      <c r="BH764" s="146"/>
      <c r="BI764" s="146"/>
      <c r="BJ764" s="20"/>
      <c r="BK764" s="20"/>
      <c r="BL764" s="154"/>
      <c r="BP764" s="20"/>
      <c r="BQ764" s="154"/>
      <c r="BR764" s="18"/>
      <c r="BS764" s="16"/>
      <c r="BT764" s="18"/>
      <c r="BU764" s="18"/>
      <c r="BV764" s="18"/>
      <c r="BW764" s="20"/>
      <c r="BX764" s="154"/>
      <c r="BY764" s="18"/>
      <c r="BZ764" s="146"/>
      <c r="CA764" s="18"/>
      <c r="CB764" s="18"/>
      <c r="CC764" s="20"/>
      <c r="CD764" s="154"/>
    </row>
    <row r="765" spans="35:82">
      <c r="AI765" s="19"/>
      <c r="AO765" s="19"/>
      <c r="AY765" s="145"/>
      <c r="AZ765" s="16"/>
      <c r="BC765" s="16"/>
      <c r="BD765" s="20"/>
      <c r="BE765" s="17"/>
      <c r="BF765" s="20"/>
      <c r="BG765" s="146"/>
      <c r="BH765" s="146"/>
      <c r="BI765" s="146"/>
      <c r="BJ765" s="20"/>
      <c r="BK765" s="20"/>
      <c r="BL765" s="154"/>
      <c r="BP765" s="20"/>
      <c r="BQ765" s="154"/>
      <c r="BR765" s="18"/>
      <c r="BS765" s="16"/>
      <c r="BT765" s="18"/>
      <c r="BU765" s="18"/>
      <c r="BV765" s="18"/>
      <c r="BW765" s="20"/>
      <c r="BX765" s="154"/>
      <c r="BY765" s="18"/>
      <c r="BZ765" s="146"/>
      <c r="CA765" s="18"/>
      <c r="CB765" s="18"/>
      <c r="CC765" s="20"/>
      <c r="CD765" s="154"/>
    </row>
    <row r="766" spans="35:82">
      <c r="AI766" s="19"/>
      <c r="AO766" s="19"/>
      <c r="AY766" s="145"/>
      <c r="AZ766" s="16"/>
      <c r="BC766" s="16"/>
      <c r="BD766" s="20"/>
      <c r="BE766" s="17"/>
      <c r="BF766" s="20"/>
      <c r="BG766" s="146"/>
      <c r="BH766" s="146"/>
      <c r="BI766" s="146"/>
      <c r="BJ766" s="20"/>
      <c r="BK766" s="20"/>
      <c r="BL766" s="154"/>
      <c r="BP766" s="20"/>
      <c r="BQ766" s="154"/>
      <c r="BR766" s="18"/>
      <c r="BS766" s="16"/>
      <c r="BT766" s="18"/>
      <c r="BU766" s="18"/>
      <c r="BV766" s="18"/>
      <c r="BW766" s="20"/>
      <c r="BX766" s="154"/>
      <c r="BY766" s="18"/>
      <c r="BZ766" s="146"/>
      <c r="CA766" s="18"/>
      <c r="CB766" s="18"/>
      <c r="CC766" s="20"/>
      <c r="CD766" s="154"/>
    </row>
    <row r="767" spans="35:82">
      <c r="AI767" s="19"/>
      <c r="AO767" s="19"/>
      <c r="AY767" s="145"/>
      <c r="AZ767" s="16"/>
      <c r="BC767" s="16"/>
      <c r="BD767" s="20"/>
      <c r="BE767" s="17"/>
      <c r="BF767" s="20"/>
      <c r="BG767" s="146"/>
      <c r="BH767" s="146"/>
      <c r="BI767" s="146"/>
      <c r="BJ767" s="20"/>
      <c r="BK767" s="20"/>
      <c r="BL767" s="154"/>
      <c r="BP767" s="20"/>
      <c r="BQ767" s="154"/>
      <c r="BR767" s="18"/>
      <c r="BS767" s="16"/>
      <c r="BT767" s="18"/>
      <c r="BU767" s="18"/>
      <c r="BV767" s="18"/>
      <c r="BW767" s="20"/>
      <c r="BX767" s="154"/>
      <c r="BY767" s="18"/>
      <c r="BZ767" s="146"/>
      <c r="CA767" s="18"/>
      <c r="CB767" s="18"/>
      <c r="CC767" s="20"/>
      <c r="CD767" s="154"/>
    </row>
    <row r="768" spans="35:82">
      <c r="AI768" s="19"/>
      <c r="AO768" s="19"/>
      <c r="AY768" s="145"/>
      <c r="AZ768" s="16"/>
      <c r="BC768" s="16"/>
      <c r="BD768" s="20"/>
      <c r="BE768" s="17"/>
      <c r="BF768" s="20"/>
      <c r="BG768" s="146"/>
      <c r="BH768" s="146"/>
      <c r="BI768" s="146"/>
      <c r="BJ768" s="20"/>
      <c r="BK768" s="20"/>
      <c r="BL768" s="154"/>
      <c r="BP768" s="20"/>
      <c r="BQ768" s="154"/>
      <c r="BR768" s="18"/>
      <c r="BS768" s="16"/>
      <c r="BT768" s="18"/>
      <c r="BU768" s="18"/>
      <c r="BV768" s="18"/>
      <c r="BW768" s="20"/>
      <c r="BX768" s="154"/>
      <c r="BY768" s="18"/>
      <c r="BZ768" s="146"/>
      <c r="CA768" s="18"/>
      <c r="CB768" s="18"/>
      <c r="CC768" s="20"/>
      <c r="CD768" s="154"/>
    </row>
    <row r="769" spans="35:82">
      <c r="AI769" s="19"/>
      <c r="AO769" s="19"/>
      <c r="AY769" s="145"/>
      <c r="AZ769" s="16"/>
      <c r="BC769" s="16"/>
      <c r="BD769" s="20"/>
      <c r="BE769" s="17"/>
      <c r="BF769" s="20"/>
      <c r="BG769" s="146"/>
      <c r="BH769" s="146"/>
      <c r="BI769" s="146"/>
      <c r="BJ769" s="20"/>
      <c r="BK769" s="20"/>
      <c r="BL769" s="154"/>
      <c r="BP769" s="20"/>
      <c r="BQ769" s="154"/>
      <c r="BR769" s="18"/>
      <c r="BS769" s="16"/>
      <c r="BT769" s="18"/>
      <c r="BU769" s="18"/>
      <c r="BV769" s="18"/>
      <c r="BW769" s="20"/>
      <c r="BX769" s="154"/>
      <c r="BY769" s="18"/>
      <c r="BZ769" s="146"/>
      <c r="CA769" s="18"/>
      <c r="CB769" s="18"/>
      <c r="CC769" s="20"/>
      <c r="CD769" s="154"/>
    </row>
    <row r="770" spans="35:82">
      <c r="AI770" s="19"/>
      <c r="AO770" s="19"/>
      <c r="AY770" s="145"/>
      <c r="AZ770" s="16"/>
      <c r="BC770" s="16"/>
      <c r="BD770" s="20"/>
      <c r="BE770" s="17"/>
      <c r="BF770" s="20"/>
      <c r="BG770" s="146"/>
      <c r="BH770" s="146"/>
      <c r="BI770" s="146"/>
      <c r="BJ770" s="20"/>
      <c r="BK770" s="20"/>
      <c r="BL770" s="154"/>
      <c r="BP770" s="20"/>
      <c r="BQ770" s="154"/>
      <c r="BR770" s="18"/>
      <c r="BS770" s="16"/>
      <c r="BT770" s="18"/>
      <c r="BU770" s="18"/>
      <c r="BV770" s="18"/>
      <c r="BW770" s="20"/>
      <c r="BX770" s="154"/>
      <c r="BY770" s="18"/>
      <c r="BZ770" s="146"/>
      <c r="CA770" s="18"/>
      <c r="CB770" s="18"/>
      <c r="CC770" s="20"/>
      <c r="CD770" s="154"/>
    </row>
    <row r="771" spans="35:82">
      <c r="AI771" s="19"/>
      <c r="AO771" s="19"/>
      <c r="AY771" s="145"/>
      <c r="AZ771" s="16"/>
      <c r="BC771" s="16"/>
      <c r="BD771" s="20"/>
      <c r="BE771" s="17"/>
      <c r="BF771" s="20"/>
      <c r="BG771" s="146"/>
      <c r="BH771" s="146"/>
      <c r="BI771" s="146"/>
      <c r="BJ771" s="20"/>
      <c r="BK771" s="20"/>
      <c r="BL771" s="154"/>
      <c r="BP771" s="20"/>
      <c r="BQ771" s="154"/>
      <c r="BR771" s="18"/>
      <c r="BS771" s="16"/>
      <c r="BT771" s="18"/>
      <c r="BU771" s="18"/>
      <c r="BV771" s="18"/>
      <c r="BW771" s="20"/>
      <c r="BX771" s="154"/>
      <c r="BY771" s="18"/>
      <c r="BZ771" s="146"/>
      <c r="CA771" s="18"/>
      <c r="CB771" s="18"/>
      <c r="CC771" s="20"/>
      <c r="CD771" s="154"/>
    </row>
    <row r="772" spans="35:82">
      <c r="AI772" s="19"/>
      <c r="AO772" s="19"/>
      <c r="AY772" s="145"/>
      <c r="AZ772" s="16"/>
      <c r="BC772" s="16"/>
      <c r="BD772" s="20"/>
      <c r="BE772" s="17"/>
      <c r="BF772" s="20"/>
      <c r="BG772" s="146"/>
      <c r="BH772" s="146"/>
      <c r="BI772" s="146"/>
      <c r="BJ772" s="20"/>
      <c r="BK772" s="20"/>
      <c r="BL772" s="154"/>
      <c r="BP772" s="20"/>
      <c r="BQ772" s="154"/>
      <c r="BR772" s="18"/>
      <c r="BS772" s="16"/>
      <c r="BT772" s="18"/>
      <c r="BU772" s="18"/>
      <c r="BV772" s="18"/>
      <c r="BW772" s="20"/>
      <c r="BX772" s="154"/>
      <c r="BY772" s="18"/>
      <c r="BZ772" s="146"/>
      <c r="CA772" s="18"/>
      <c r="CB772" s="18"/>
      <c r="CC772" s="20"/>
      <c r="CD772" s="154"/>
    </row>
    <row r="773" spans="35:82">
      <c r="AI773" s="19"/>
      <c r="AO773" s="19"/>
      <c r="AY773" s="145"/>
      <c r="AZ773" s="16"/>
      <c r="BC773" s="16"/>
      <c r="BD773" s="20"/>
      <c r="BE773" s="17"/>
      <c r="BF773" s="20"/>
      <c r="BG773" s="146"/>
      <c r="BH773" s="146"/>
      <c r="BI773" s="146"/>
      <c r="BJ773" s="20"/>
      <c r="BK773" s="20"/>
      <c r="BL773" s="154"/>
      <c r="BP773" s="20"/>
      <c r="BQ773" s="154"/>
      <c r="BR773" s="18"/>
      <c r="BS773" s="16"/>
      <c r="BT773" s="18"/>
      <c r="BU773" s="18"/>
      <c r="BV773" s="18"/>
      <c r="BW773" s="20"/>
      <c r="BX773" s="154"/>
      <c r="BY773" s="18"/>
      <c r="BZ773" s="146"/>
      <c r="CA773" s="18"/>
      <c r="CB773" s="18"/>
      <c r="CC773" s="20"/>
      <c r="CD773" s="154"/>
    </row>
    <row r="774" spans="35:82">
      <c r="AI774" s="19"/>
      <c r="AO774" s="19"/>
      <c r="AY774" s="145"/>
      <c r="AZ774" s="16"/>
      <c r="BC774" s="16"/>
      <c r="BD774" s="20"/>
      <c r="BE774" s="17"/>
      <c r="BF774" s="20"/>
      <c r="BG774" s="146"/>
      <c r="BH774" s="146"/>
      <c r="BI774" s="146"/>
      <c r="BJ774" s="20"/>
      <c r="BK774" s="20"/>
      <c r="BL774" s="154"/>
      <c r="BP774" s="20"/>
      <c r="BQ774" s="154"/>
      <c r="BR774" s="18"/>
      <c r="BS774" s="16"/>
      <c r="BT774" s="18"/>
      <c r="BU774" s="18"/>
      <c r="BV774" s="18"/>
      <c r="BW774" s="20"/>
      <c r="BX774" s="154"/>
      <c r="BY774" s="18"/>
      <c r="BZ774" s="146"/>
      <c r="CA774" s="18"/>
      <c r="CB774" s="18"/>
      <c r="CC774" s="20"/>
      <c r="CD774" s="154"/>
    </row>
    <row r="775" spans="35:82">
      <c r="AI775" s="19"/>
      <c r="AO775" s="19"/>
      <c r="AY775" s="145"/>
      <c r="AZ775" s="16"/>
      <c r="BC775" s="16"/>
      <c r="BD775" s="20"/>
      <c r="BE775" s="17"/>
      <c r="BF775" s="20"/>
      <c r="BG775" s="146"/>
      <c r="BH775" s="146"/>
      <c r="BI775" s="146"/>
      <c r="BJ775" s="20"/>
      <c r="BK775" s="20"/>
      <c r="BL775" s="154"/>
      <c r="BP775" s="20"/>
      <c r="BQ775" s="154"/>
      <c r="BR775" s="18"/>
      <c r="BS775" s="16"/>
      <c r="BT775" s="18"/>
      <c r="BU775" s="18"/>
      <c r="BV775" s="18"/>
      <c r="BW775" s="20"/>
      <c r="BX775" s="154"/>
      <c r="BY775" s="18"/>
      <c r="BZ775" s="146"/>
      <c r="CA775" s="18"/>
      <c r="CB775" s="18"/>
      <c r="CC775" s="20"/>
      <c r="CD775" s="154"/>
    </row>
    <row r="776" spans="35:82">
      <c r="AI776" s="19"/>
      <c r="AO776" s="19"/>
      <c r="AY776" s="145"/>
      <c r="AZ776" s="16"/>
      <c r="BC776" s="16"/>
      <c r="BD776" s="20"/>
      <c r="BE776" s="17"/>
      <c r="BF776" s="20"/>
      <c r="BG776" s="146"/>
      <c r="BH776" s="146"/>
      <c r="BI776" s="146"/>
      <c r="BJ776" s="20"/>
      <c r="BK776" s="20"/>
      <c r="BL776" s="154"/>
      <c r="BP776" s="20"/>
      <c r="BQ776" s="154"/>
      <c r="BR776" s="18"/>
      <c r="BS776" s="16"/>
      <c r="BT776" s="18"/>
      <c r="BU776" s="18"/>
      <c r="BV776" s="18"/>
      <c r="BW776" s="20"/>
      <c r="BX776" s="154"/>
      <c r="BY776" s="18"/>
      <c r="BZ776" s="146"/>
      <c r="CA776" s="18"/>
      <c r="CB776" s="18"/>
      <c r="CC776" s="20"/>
      <c r="CD776" s="154"/>
    </row>
    <row r="777" spans="35:82">
      <c r="AI777" s="19"/>
      <c r="AO777" s="19"/>
      <c r="AY777" s="145"/>
      <c r="AZ777" s="16"/>
      <c r="BC777" s="16"/>
      <c r="BD777" s="20"/>
      <c r="BE777" s="17"/>
      <c r="BF777" s="20"/>
      <c r="BG777" s="146"/>
      <c r="BH777" s="146"/>
      <c r="BI777" s="146"/>
      <c r="BJ777" s="20"/>
      <c r="BK777" s="20"/>
      <c r="BL777" s="154"/>
      <c r="BP777" s="20"/>
      <c r="BQ777" s="154"/>
      <c r="BR777" s="18"/>
      <c r="BS777" s="16"/>
      <c r="BT777" s="18"/>
      <c r="BU777" s="18"/>
      <c r="BV777" s="18"/>
      <c r="BW777" s="20"/>
      <c r="BX777" s="154"/>
      <c r="BY777" s="18"/>
      <c r="BZ777" s="146"/>
      <c r="CA777" s="18"/>
      <c r="CB777" s="18"/>
      <c r="CC777" s="20"/>
      <c r="CD777" s="154"/>
    </row>
    <row r="778" spans="35:82">
      <c r="AI778" s="19"/>
      <c r="AO778" s="19"/>
      <c r="AY778" s="145"/>
      <c r="AZ778" s="16"/>
      <c r="BC778" s="16"/>
      <c r="BD778" s="20"/>
      <c r="BE778" s="17"/>
      <c r="BF778" s="20"/>
      <c r="BG778" s="146"/>
      <c r="BH778" s="146"/>
      <c r="BI778" s="146"/>
      <c r="BJ778" s="20"/>
      <c r="BK778" s="20"/>
      <c r="BL778" s="154"/>
      <c r="BP778" s="20"/>
      <c r="BQ778" s="154"/>
      <c r="BR778" s="18"/>
      <c r="BS778" s="16"/>
      <c r="BT778" s="18"/>
      <c r="BU778" s="18"/>
      <c r="BV778" s="18"/>
      <c r="BW778" s="20"/>
      <c r="BX778" s="154"/>
      <c r="BY778" s="18"/>
      <c r="BZ778" s="146"/>
      <c r="CA778" s="18"/>
      <c r="CB778" s="18"/>
      <c r="CC778" s="20"/>
      <c r="CD778" s="154"/>
    </row>
    <row r="779" spans="35:82">
      <c r="AI779" s="19"/>
      <c r="AO779" s="19"/>
      <c r="AY779" s="145"/>
      <c r="AZ779" s="16"/>
      <c r="BC779" s="16"/>
      <c r="BD779" s="20"/>
      <c r="BE779" s="17"/>
      <c r="BF779" s="20"/>
      <c r="BG779" s="146"/>
      <c r="BH779" s="146"/>
      <c r="BI779" s="146"/>
      <c r="BJ779" s="20"/>
      <c r="BK779" s="20"/>
      <c r="BL779" s="154"/>
      <c r="BP779" s="20"/>
      <c r="BQ779" s="154"/>
      <c r="BR779" s="18"/>
      <c r="BS779" s="16"/>
      <c r="BT779" s="18"/>
      <c r="BU779" s="18"/>
      <c r="BV779" s="18"/>
      <c r="BW779" s="20"/>
      <c r="BX779" s="154"/>
      <c r="BY779" s="18"/>
      <c r="BZ779" s="146"/>
      <c r="CA779" s="18"/>
      <c r="CB779" s="18"/>
      <c r="CC779" s="20"/>
      <c r="CD779" s="154"/>
    </row>
    <row r="780" spans="35:82">
      <c r="AI780" s="19"/>
      <c r="AO780" s="19"/>
      <c r="AY780" s="145"/>
      <c r="AZ780" s="16"/>
      <c r="BC780" s="16"/>
      <c r="BD780" s="20"/>
      <c r="BE780" s="17"/>
      <c r="BF780" s="20"/>
      <c r="BG780" s="146"/>
      <c r="BH780" s="146"/>
      <c r="BI780" s="146"/>
      <c r="BJ780" s="20"/>
      <c r="BK780" s="20"/>
      <c r="BL780" s="154"/>
      <c r="BP780" s="20"/>
      <c r="BQ780" s="154"/>
      <c r="BR780" s="18"/>
      <c r="BS780" s="16"/>
      <c r="BT780" s="18"/>
      <c r="BU780" s="18"/>
      <c r="BV780" s="18"/>
      <c r="BW780" s="20"/>
      <c r="BX780" s="154"/>
      <c r="BY780" s="18"/>
      <c r="BZ780" s="146"/>
      <c r="CA780" s="18"/>
      <c r="CB780" s="18"/>
      <c r="CC780" s="20"/>
      <c r="CD780" s="154"/>
    </row>
    <row r="781" spans="35:82">
      <c r="AI781" s="19"/>
      <c r="AO781" s="19"/>
      <c r="AY781" s="145"/>
      <c r="AZ781" s="16"/>
      <c r="BC781" s="16"/>
      <c r="BD781" s="20"/>
      <c r="BE781" s="17"/>
      <c r="BF781" s="20"/>
      <c r="BG781" s="146"/>
      <c r="BH781" s="146"/>
      <c r="BI781" s="146"/>
      <c r="BJ781" s="20"/>
      <c r="BK781" s="20"/>
      <c r="BL781" s="154"/>
      <c r="BP781" s="20"/>
      <c r="BQ781" s="154"/>
      <c r="BR781" s="18"/>
      <c r="BS781" s="16"/>
      <c r="BT781" s="18"/>
      <c r="BU781" s="18"/>
      <c r="BV781" s="18"/>
      <c r="BW781" s="20"/>
      <c r="BX781" s="154"/>
      <c r="BY781" s="18"/>
      <c r="BZ781" s="146"/>
      <c r="CA781" s="18"/>
      <c r="CB781" s="18"/>
      <c r="CC781" s="20"/>
      <c r="CD781" s="154"/>
    </row>
    <row r="782" spans="35:82">
      <c r="AI782" s="19"/>
      <c r="AO782" s="19"/>
      <c r="AY782" s="145"/>
      <c r="AZ782" s="16"/>
      <c r="BC782" s="16"/>
      <c r="BD782" s="20"/>
      <c r="BE782" s="17"/>
      <c r="BF782" s="20"/>
      <c r="BG782" s="146"/>
      <c r="BH782" s="146"/>
      <c r="BI782" s="146"/>
      <c r="BJ782" s="20"/>
      <c r="BK782" s="20"/>
      <c r="BL782" s="154"/>
      <c r="BP782" s="20"/>
      <c r="BQ782" s="154"/>
      <c r="BR782" s="18"/>
      <c r="BS782" s="16"/>
      <c r="BT782" s="18"/>
      <c r="BU782" s="18"/>
      <c r="BV782" s="18"/>
      <c r="BW782" s="20"/>
      <c r="BX782" s="154"/>
      <c r="BY782" s="18"/>
      <c r="BZ782" s="146"/>
      <c r="CA782" s="18"/>
      <c r="CB782" s="18"/>
      <c r="CC782" s="20"/>
      <c r="CD782" s="154"/>
    </row>
    <row r="783" spans="35:82">
      <c r="AI783" s="19"/>
      <c r="AO783" s="19"/>
      <c r="AY783" s="145"/>
      <c r="AZ783" s="16"/>
      <c r="BC783" s="16"/>
      <c r="BD783" s="20"/>
      <c r="BE783" s="17"/>
      <c r="BF783" s="20"/>
      <c r="BG783" s="146"/>
      <c r="BH783" s="146"/>
      <c r="BI783" s="146"/>
      <c r="BJ783" s="20"/>
      <c r="BK783" s="20"/>
      <c r="BL783" s="154"/>
      <c r="BP783" s="20"/>
      <c r="BQ783" s="154"/>
      <c r="BR783" s="18"/>
      <c r="BS783" s="16"/>
      <c r="BT783" s="18"/>
      <c r="BU783" s="18"/>
      <c r="BV783" s="18"/>
      <c r="BW783" s="20"/>
      <c r="BX783" s="154"/>
      <c r="BY783" s="18"/>
      <c r="BZ783" s="146"/>
      <c r="CA783" s="18"/>
      <c r="CB783" s="18"/>
      <c r="CC783" s="20"/>
      <c r="CD783" s="154"/>
    </row>
    <row r="784" spans="35:82">
      <c r="AI784" s="19"/>
      <c r="AO784" s="19"/>
      <c r="AY784" s="145"/>
      <c r="AZ784" s="16"/>
      <c r="BC784" s="16"/>
      <c r="BD784" s="20"/>
      <c r="BE784" s="17"/>
      <c r="BF784" s="20"/>
      <c r="BG784" s="146"/>
      <c r="BH784" s="146"/>
      <c r="BI784" s="146"/>
      <c r="BJ784" s="20"/>
      <c r="BK784" s="20"/>
      <c r="BL784" s="154"/>
      <c r="BP784" s="20"/>
      <c r="BQ784" s="154"/>
      <c r="BR784" s="18"/>
      <c r="BS784" s="16"/>
      <c r="BT784" s="18"/>
      <c r="BU784" s="18"/>
      <c r="BV784" s="18"/>
      <c r="BW784" s="20"/>
      <c r="BX784" s="154"/>
      <c r="BY784" s="18"/>
      <c r="BZ784" s="146"/>
      <c r="CA784" s="18"/>
      <c r="CB784" s="18"/>
      <c r="CC784" s="20"/>
      <c r="CD784" s="154"/>
    </row>
    <row r="785" spans="35:82">
      <c r="AI785" s="19"/>
      <c r="AO785" s="19"/>
      <c r="AY785" s="145"/>
      <c r="AZ785" s="16"/>
      <c r="BC785" s="16"/>
      <c r="BD785" s="20"/>
      <c r="BE785" s="17"/>
      <c r="BF785" s="20"/>
      <c r="BG785" s="146"/>
      <c r="BH785" s="146"/>
      <c r="BI785" s="146"/>
      <c r="BJ785" s="20"/>
      <c r="BK785" s="20"/>
      <c r="BL785" s="154"/>
      <c r="BP785" s="20"/>
      <c r="BQ785" s="154"/>
      <c r="BR785" s="18"/>
      <c r="BS785" s="16"/>
      <c r="BT785" s="18"/>
      <c r="BU785" s="18"/>
      <c r="BV785" s="18"/>
      <c r="BW785" s="20"/>
      <c r="BX785" s="154"/>
      <c r="BY785" s="18"/>
      <c r="BZ785" s="146"/>
      <c r="CA785" s="18"/>
      <c r="CB785" s="18"/>
      <c r="CC785" s="20"/>
      <c r="CD785" s="154"/>
    </row>
    <row r="786" spans="35:82">
      <c r="AI786" s="19"/>
      <c r="AO786" s="19"/>
      <c r="AY786" s="145"/>
      <c r="AZ786" s="16"/>
      <c r="BC786" s="16"/>
      <c r="BD786" s="20"/>
      <c r="BE786" s="17"/>
      <c r="BF786" s="20"/>
      <c r="BG786" s="146"/>
      <c r="BH786" s="146"/>
      <c r="BI786" s="146"/>
      <c r="BJ786" s="20"/>
      <c r="BK786" s="20"/>
      <c r="BL786" s="154"/>
      <c r="BP786" s="20"/>
      <c r="BQ786" s="154"/>
      <c r="BR786" s="18"/>
      <c r="BS786" s="16"/>
      <c r="BT786" s="18"/>
      <c r="BU786" s="18"/>
      <c r="BV786" s="18"/>
      <c r="BW786" s="20"/>
      <c r="BX786" s="154"/>
      <c r="BY786" s="18"/>
      <c r="BZ786" s="146"/>
      <c r="CA786" s="18"/>
      <c r="CB786" s="18"/>
      <c r="CC786" s="20"/>
      <c r="CD786" s="154"/>
    </row>
    <row r="787" spans="35:82">
      <c r="AI787" s="19"/>
      <c r="AO787" s="19"/>
      <c r="AY787" s="145"/>
      <c r="AZ787" s="16"/>
      <c r="BC787" s="16"/>
      <c r="BD787" s="20"/>
      <c r="BE787" s="17"/>
      <c r="BF787" s="20"/>
      <c r="BG787" s="146"/>
      <c r="BH787" s="146"/>
      <c r="BI787" s="146"/>
      <c r="BJ787" s="20"/>
      <c r="BK787" s="20"/>
      <c r="BL787" s="154"/>
      <c r="BP787" s="20"/>
      <c r="BQ787" s="154"/>
      <c r="BR787" s="18"/>
      <c r="BS787" s="16"/>
      <c r="BT787" s="18"/>
      <c r="BU787" s="18"/>
      <c r="BV787" s="18"/>
      <c r="BW787" s="20"/>
      <c r="BX787" s="154"/>
      <c r="BY787" s="18"/>
      <c r="BZ787" s="146"/>
      <c r="CA787" s="18"/>
      <c r="CB787" s="18"/>
      <c r="CC787" s="20"/>
      <c r="CD787" s="154"/>
    </row>
    <row r="788" spans="35:82">
      <c r="AI788" s="19"/>
      <c r="AO788" s="19"/>
      <c r="AY788" s="145"/>
      <c r="AZ788" s="16"/>
      <c r="BC788" s="16"/>
      <c r="BD788" s="20"/>
      <c r="BE788" s="17"/>
      <c r="BF788" s="20"/>
      <c r="BG788" s="146"/>
      <c r="BH788" s="146"/>
      <c r="BI788" s="146"/>
      <c r="BJ788" s="20"/>
      <c r="BK788" s="20"/>
      <c r="BL788" s="154"/>
      <c r="BP788" s="20"/>
      <c r="BQ788" s="154"/>
      <c r="BR788" s="18"/>
      <c r="BS788" s="16"/>
      <c r="BT788" s="18"/>
      <c r="BU788" s="18"/>
      <c r="BV788" s="18"/>
      <c r="BW788" s="20"/>
      <c r="BX788" s="154"/>
      <c r="BY788" s="18"/>
      <c r="BZ788" s="146"/>
      <c r="CA788" s="18"/>
      <c r="CB788" s="18"/>
      <c r="CC788" s="20"/>
      <c r="CD788" s="154"/>
    </row>
    <row r="789" spans="35:82">
      <c r="AI789" s="19"/>
      <c r="AO789" s="19"/>
      <c r="AY789" s="145"/>
      <c r="AZ789" s="16"/>
      <c r="BC789" s="16"/>
      <c r="BD789" s="20"/>
      <c r="BE789" s="17"/>
      <c r="BF789" s="20"/>
      <c r="BG789" s="146"/>
      <c r="BH789" s="146"/>
      <c r="BI789" s="146"/>
      <c r="BJ789" s="20"/>
      <c r="BK789" s="20"/>
      <c r="BL789" s="154"/>
      <c r="BP789" s="20"/>
      <c r="BQ789" s="154"/>
      <c r="BR789" s="18"/>
      <c r="BS789" s="16"/>
      <c r="BT789" s="18"/>
      <c r="BU789" s="18"/>
      <c r="BV789" s="18"/>
      <c r="BW789" s="20"/>
      <c r="BX789" s="154"/>
      <c r="BY789" s="18"/>
      <c r="BZ789" s="146"/>
      <c r="CA789" s="18"/>
      <c r="CB789" s="18"/>
      <c r="CC789" s="20"/>
      <c r="CD789" s="154"/>
    </row>
    <row r="790" spans="35:82">
      <c r="AI790" s="19"/>
      <c r="AO790" s="19"/>
      <c r="AY790" s="145"/>
      <c r="AZ790" s="16"/>
      <c r="BC790" s="16"/>
      <c r="BD790" s="20"/>
      <c r="BE790" s="17"/>
      <c r="BF790" s="20"/>
      <c r="BG790" s="146"/>
      <c r="BH790" s="146"/>
      <c r="BI790" s="146"/>
      <c r="BJ790" s="20"/>
      <c r="BK790" s="20"/>
      <c r="BL790" s="154"/>
      <c r="BP790" s="20"/>
      <c r="BQ790" s="154"/>
      <c r="BR790" s="18"/>
      <c r="BS790" s="16"/>
      <c r="BT790" s="18"/>
      <c r="BU790" s="18"/>
      <c r="BV790" s="18"/>
      <c r="BW790" s="20"/>
      <c r="BX790" s="154"/>
      <c r="BY790" s="18"/>
      <c r="BZ790" s="146"/>
      <c r="CA790" s="18"/>
      <c r="CB790" s="18"/>
      <c r="CC790" s="20"/>
      <c r="CD790" s="154"/>
    </row>
    <row r="791" spans="35:82">
      <c r="AI791" s="19"/>
      <c r="AO791" s="19"/>
      <c r="AY791" s="145"/>
      <c r="AZ791" s="16"/>
      <c r="BC791" s="16"/>
      <c r="BD791" s="20"/>
      <c r="BE791" s="17"/>
      <c r="BF791" s="20"/>
      <c r="BG791" s="146"/>
      <c r="BH791" s="146"/>
      <c r="BI791" s="146"/>
      <c r="BJ791" s="20"/>
      <c r="BK791" s="20"/>
      <c r="BL791" s="154"/>
      <c r="BP791" s="20"/>
      <c r="BQ791" s="154"/>
      <c r="BR791" s="18"/>
      <c r="BS791" s="16"/>
      <c r="BT791" s="18"/>
      <c r="BU791" s="18"/>
      <c r="BV791" s="18"/>
      <c r="BW791" s="20"/>
      <c r="BX791" s="154"/>
      <c r="BY791" s="18"/>
      <c r="BZ791" s="146"/>
      <c r="CA791" s="18"/>
      <c r="CB791" s="18"/>
      <c r="CC791" s="20"/>
      <c r="CD791" s="154"/>
    </row>
    <row r="792" spans="35:82">
      <c r="AI792" s="19"/>
      <c r="AO792" s="19"/>
      <c r="AY792" s="145"/>
      <c r="AZ792" s="16"/>
      <c r="BC792" s="16"/>
      <c r="BD792" s="20"/>
      <c r="BE792" s="17"/>
      <c r="BF792" s="20"/>
      <c r="BG792" s="146"/>
      <c r="BH792" s="146"/>
      <c r="BI792" s="146"/>
      <c r="BJ792" s="20"/>
      <c r="BK792" s="20"/>
      <c r="BL792" s="154"/>
      <c r="BP792" s="20"/>
      <c r="BQ792" s="154"/>
      <c r="BR792" s="18"/>
      <c r="BS792" s="16"/>
      <c r="BT792" s="18"/>
      <c r="BU792" s="18"/>
      <c r="BV792" s="18"/>
      <c r="BW792" s="20"/>
      <c r="BX792" s="154"/>
      <c r="BY792" s="18"/>
      <c r="BZ792" s="146"/>
      <c r="CA792" s="18"/>
      <c r="CB792" s="18"/>
      <c r="CC792" s="20"/>
      <c r="CD792" s="154"/>
    </row>
    <row r="793" spans="35:82">
      <c r="AI793" s="19"/>
      <c r="AO793" s="19"/>
      <c r="AY793" s="145"/>
      <c r="AZ793" s="16"/>
      <c r="BC793" s="16"/>
      <c r="BD793" s="20"/>
      <c r="BE793" s="17"/>
      <c r="BF793" s="20"/>
      <c r="BG793" s="146"/>
      <c r="BH793" s="146"/>
      <c r="BI793" s="146"/>
      <c r="BJ793" s="20"/>
      <c r="BK793" s="20"/>
      <c r="BL793" s="154"/>
      <c r="BP793" s="20"/>
      <c r="BQ793" s="154"/>
      <c r="BR793" s="18"/>
      <c r="BS793" s="16"/>
      <c r="BT793" s="18"/>
      <c r="BU793" s="18"/>
      <c r="BV793" s="18"/>
      <c r="BW793" s="20"/>
      <c r="BX793" s="154"/>
      <c r="BY793" s="18"/>
      <c r="BZ793" s="146"/>
      <c r="CA793" s="18"/>
      <c r="CB793" s="18"/>
      <c r="CC793" s="20"/>
      <c r="CD793" s="154"/>
    </row>
    <row r="794" spans="35:82">
      <c r="AI794" s="19"/>
      <c r="AO794" s="19"/>
      <c r="AY794" s="145"/>
      <c r="AZ794" s="16"/>
      <c r="BC794" s="16"/>
      <c r="BD794" s="20"/>
      <c r="BE794" s="17"/>
      <c r="BF794" s="20"/>
      <c r="BG794" s="146"/>
      <c r="BH794" s="146"/>
      <c r="BI794" s="146"/>
      <c r="BJ794" s="20"/>
      <c r="BK794" s="20"/>
      <c r="BL794" s="154"/>
      <c r="BP794" s="20"/>
      <c r="BQ794" s="154"/>
      <c r="BR794" s="18"/>
      <c r="BS794" s="16"/>
      <c r="BT794" s="18"/>
      <c r="BU794" s="18"/>
      <c r="BV794" s="18"/>
      <c r="BW794" s="20"/>
      <c r="BX794" s="154"/>
      <c r="BY794" s="18"/>
      <c r="BZ794" s="146"/>
      <c r="CA794" s="18"/>
      <c r="CB794" s="18"/>
      <c r="CC794" s="20"/>
      <c r="CD794" s="154"/>
    </row>
    <row r="795" spans="35:82">
      <c r="AI795" s="19"/>
      <c r="AO795" s="19"/>
      <c r="AY795" s="145"/>
      <c r="AZ795" s="16"/>
      <c r="BC795" s="16"/>
      <c r="BD795" s="20"/>
      <c r="BE795" s="17"/>
      <c r="BF795" s="20"/>
      <c r="BG795" s="146"/>
      <c r="BH795" s="146"/>
      <c r="BI795" s="146"/>
      <c r="BJ795" s="20"/>
      <c r="BK795" s="20"/>
      <c r="BL795" s="154"/>
      <c r="BP795" s="20"/>
      <c r="BQ795" s="154"/>
      <c r="BR795" s="18"/>
      <c r="BS795" s="16"/>
      <c r="BT795" s="18"/>
      <c r="BU795" s="18"/>
      <c r="BV795" s="18"/>
      <c r="BW795" s="20"/>
      <c r="BX795" s="154"/>
      <c r="BY795" s="18"/>
      <c r="BZ795" s="146"/>
      <c r="CA795" s="18"/>
      <c r="CB795" s="18"/>
      <c r="CC795" s="20"/>
      <c r="CD795" s="154"/>
    </row>
    <row r="796" spans="35:82">
      <c r="AI796" s="19"/>
      <c r="AO796" s="19"/>
      <c r="AY796" s="145"/>
      <c r="AZ796" s="16"/>
      <c r="BC796" s="16"/>
      <c r="BD796" s="20"/>
      <c r="BE796" s="17"/>
      <c r="BF796" s="20"/>
      <c r="BG796" s="146"/>
      <c r="BH796" s="146"/>
      <c r="BI796" s="146"/>
      <c r="BJ796" s="20"/>
      <c r="BK796" s="20"/>
      <c r="BL796" s="154"/>
      <c r="BP796" s="20"/>
      <c r="BQ796" s="154"/>
      <c r="BR796" s="18"/>
      <c r="BS796" s="16"/>
      <c r="BT796" s="18"/>
      <c r="BU796" s="18"/>
      <c r="BV796" s="18"/>
      <c r="BW796" s="20"/>
      <c r="BX796" s="154"/>
      <c r="BY796" s="18"/>
      <c r="BZ796" s="146"/>
      <c r="CA796" s="18"/>
      <c r="CB796" s="18"/>
      <c r="CC796" s="20"/>
      <c r="CD796" s="154"/>
    </row>
    <row r="797" spans="35:82">
      <c r="AI797" s="19"/>
      <c r="AO797" s="19"/>
      <c r="AY797" s="145"/>
      <c r="AZ797" s="16"/>
      <c r="BC797" s="16"/>
      <c r="BD797" s="20"/>
      <c r="BE797" s="17"/>
      <c r="BF797" s="20"/>
      <c r="BG797" s="146"/>
      <c r="BH797" s="146"/>
      <c r="BI797" s="146"/>
      <c r="BJ797" s="20"/>
      <c r="BK797" s="20"/>
      <c r="BL797" s="154"/>
      <c r="BP797" s="20"/>
      <c r="BQ797" s="154"/>
      <c r="BR797" s="18"/>
      <c r="BS797" s="16"/>
      <c r="BT797" s="18"/>
      <c r="BU797" s="18"/>
      <c r="BV797" s="18"/>
      <c r="BW797" s="20"/>
      <c r="BX797" s="154"/>
      <c r="BY797" s="18"/>
      <c r="BZ797" s="146"/>
      <c r="CA797" s="18"/>
      <c r="CB797" s="18"/>
      <c r="CC797" s="20"/>
      <c r="CD797" s="154"/>
    </row>
    <row r="798" spans="35:82">
      <c r="AI798" s="19"/>
      <c r="AO798" s="19"/>
      <c r="AY798" s="145"/>
      <c r="AZ798" s="16"/>
      <c r="BC798" s="16"/>
      <c r="BD798" s="20"/>
      <c r="BE798" s="17"/>
      <c r="BF798" s="20"/>
      <c r="BG798" s="146"/>
      <c r="BH798" s="146"/>
      <c r="BI798" s="146"/>
      <c r="BJ798" s="20"/>
      <c r="BK798" s="20"/>
      <c r="BL798" s="154"/>
      <c r="BP798" s="20"/>
      <c r="BQ798" s="154"/>
      <c r="BR798" s="18"/>
      <c r="BS798" s="16"/>
      <c r="BT798" s="18"/>
      <c r="BU798" s="18"/>
      <c r="BV798" s="18"/>
      <c r="BW798" s="20"/>
      <c r="BX798" s="154"/>
      <c r="BY798" s="18"/>
      <c r="BZ798" s="146"/>
      <c r="CA798" s="18"/>
      <c r="CB798" s="18"/>
      <c r="CC798" s="20"/>
      <c r="CD798" s="154"/>
    </row>
    <row r="799" spans="35:82">
      <c r="AI799" s="19"/>
      <c r="AO799" s="19"/>
      <c r="AY799" s="145"/>
      <c r="AZ799" s="16"/>
      <c r="BC799" s="16"/>
      <c r="BD799" s="20"/>
      <c r="BE799" s="17"/>
      <c r="BF799" s="20"/>
      <c r="BG799" s="146"/>
      <c r="BH799" s="146"/>
      <c r="BI799" s="146"/>
      <c r="BJ799" s="20"/>
      <c r="BK799" s="20"/>
      <c r="BL799" s="154"/>
      <c r="BP799" s="20"/>
      <c r="BQ799" s="154"/>
      <c r="BR799" s="18"/>
      <c r="BS799" s="16"/>
      <c r="BT799" s="18"/>
      <c r="BU799" s="18"/>
      <c r="BV799" s="18"/>
      <c r="BW799" s="20"/>
      <c r="BX799" s="154"/>
      <c r="BY799" s="18"/>
      <c r="BZ799" s="146"/>
      <c r="CA799" s="18"/>
      <c r="CB799" s="18"/>
      <c r="CC799" s="20"/>
      <c r="CD799" s="154"/>
    </row>
    <row r="800" spans="35:82">
      <c r="AI800" s="19"/>
      <c r="AO800" s="19"/>
      <c r="AY800" s="145"/>
      <c r="AZ800" s="16"/>
      <c r="BC800" s="16"/>
      <c r="BD800" s="20"/>
      <c r="BE800" s="17"/>
      <c r="BF800" s="20"/>
      <c r="BG800" s="146"/>
      <c r="BH800" s="146"/>
      <c r="BI800" s="146"/>
      <c r="BJ800" s="20"/>
      <c r="BK800" s="20"/>
      <c r="BL800" s="154"/>
      <c r="BP800" s="20"/>
      <c r="BQ800" s="154"/>
      <c r="BR800" s="18"/>
      <c r="BS800" s="16"/>
      <c r="BT800" s="18"/>
      <c r="BU800" s="18"/>
      <c r="BV800" s="18"/>
      <c r="BW800" s="20"/>
      <c r="BX800" s="154"/>
      <c r="BY800" s="18"/>
      <c r="BZ800" s="146"/>
      <c r="CA800" s="18"/>
      <c r="CB800" s="18"/>
      <c r="CC800" s="20"/>
      <c r="CD800" s="154"/>
    </row>
    <row r="801" spans="35:82">
      <c r="AI801" s="19"/>
      <c r="AO801" s="19"/>
      <c r="AY801" s="145"/>
      <c r="AZ801" s="16"/>
      <c r="BC801" s="16"/>
      <c r="BD801" s="20"/>
      <c r="BE801" s="17"/>
      <c r="BF801" s="20"/>
      <c r="BG801" s="146"/>
      <c r="BH801" s="146"/>
      <c r="BI801" s="146"/>
      <c r="BJ801" s="20"/>
      <c r="BK801" s="20"/>
      <c r="BL801" s="154"/>
      <c r="BP801" s="20"/>
      <c r="BQ801" s="154"/>
      <c r="BR801" s="18"/>
      <c r="BS801" s="16"/>
      <c r="BT801" s="18"/>
      <c r="BU801" s="18"/>
      <c r="BV801" s="18"/>
      <c r="BW801" s="20"/>
      <c r="BX801" s="154"/>
      <c r="BY801" s="18"/>
      <c r="BZ801" s="146"/>
      <c r="CA801" s="18"/>
      <c r="CB801" s="18"/>
      <c r="CC801" s="20"/>
      <c r="CD801" s="154"/>
    </row>
    <row r="802" spans="35:82">
      <c r="AI802" s="19"/>
      <c r="AO802" s="19"/>
      <c r="AY802" s="145"/>
      <c r="AZ802" s="16"/>
      <c r="BC802" s="16"/>
      <c r="BD802" s="20"/>
      <c r="BE802" s="17"/>
      <c r="BF802" s="20"/>
      <c r="BG802" s="146"/>
      <c r="BH802" s="146"/>
      <c r="BI802" s="146"/>
      <c r="BJ802" s="20"/>
      <c r="BK802" s="20"/>
      <c r="BL802" s="154"/>
      <c r="BP802" s="20"/>
      <c r="BQ802" s="154"/>
      <c r="BR802" s="18"/>
      <c r="BS802" s="16"/>
      <c r="BT802" s="18"/>
      <c r="BU802" s="18"/>
      <c r="BV802" s="18"/>
      <c r="BW802" s="20"/>
      <c r="BX802" s="154"/>
      <c r="BY802" s="18"/>
      <c r="BZ802" s="146"/>
      <c r="CA802" s="18"/>
      <c r="CB802" s="18"/>
      <c r="CC802" s="20"/>
      <c r="CD802" s="154"/>
    </row>
    <row r="803" spans="35:82">
      <c r="AI803" s="19"/>
      <c r="AO803" s="19"/>
      <c r="AY803" s="145"/>
      <c r="AZ803" s="16"/>
      <c r="BC803" s="16"/>
      <c r="BD803" s="20"/>
      <c r="BE803" s="17"/>
      <c r="BF803" s="20"/>
      <c r="BG803" s="146"/>
      <c r="BH803" s="146"/>
      <c r="BI803" s="146"/>
      <c r="BJ803" s="20"/>
      <c r="BK803" s="20"/>
      <c r="BL803" s="154"/>
      <c r="BP803" s="20"/>
      <c r="BQ803" s="154"/>
      <c r="BR803" s="18"/>
      <c r="BS803" s="16"/>
      <c r="BT803" s="18"/>
      <c r="BU803" s="18"/>
      <c r="BV803" s="18"/>
      <c r="BW803" s="20"/>
      <c r="BX803" s="154"/>
      <c r="BY803" s="18"/>
      <c r="BZ803" s="146"/>
      <c r="CA803" s="18"/>
      <c r="CB803" s="18"/>
      <c r="CC803" s="20"/>
      <c r="CD803" s="154"/>
    </row>
    <row r="804" spans="35:82">
      <c r="AI804" s="19"/>
      <c r="AO804" s="19"/>
      <c r="AY804" s="145"/>
      <c r="AZ804" s="16"/>
      <c r="BC804" s="16"/>
      <c r="BD804" s="20"/>
      <c r="BE804" s="17"/>
      <c r="BF804" s="20"/>
      <c r="BG804" s="146"/>
      <c r="BH804" s="146"/>
      <c r="BI804" s="146"/>
      <c r="BJ804" s="20"/>
      <c r="BK804" s="20"/>
      <c r="BL804" s="154"/>
      <c r="BP804" s="20"/>
      <c r="BQ804" s="154"/>
      <c r="BR804" s="18"/>
      <c r="BS804" s="16"/>
      <c r="BT804" s="18"/>
      <c r="BU804" s="18"/>
      <c r="BV804" s="18"/>
      <c r="BW804" s="20"/>
      <c r="BX804" s="154"/>
      <c r="BY804" s="18"/>
      <c r="BZ804" s="146"/>
      <c r="CA804" s="18"/>
      <c r="CB804" s="18"/>
      <c r="CC804" s="20"/>
      <c r="CD804" s="154"/>
    </row>
    <row r="805" spans="35:82">
      <c r="AI805" s="19"/>
      <c r="AO805" s="19"/>
      <c r="AY805" s="145"/>
      <c r="AZ805" s="16"/>
      <c r="BC805" s="16"/>
      <c r="BD805" s="20"/>
      <c r="BE805" s="17"/>
      <c r="BF805" s="20"/>
      <c r="BG805" s="146"/>
      <c r="BH805" s="146"/>
      <c r="BI805" s="146"/>
      <c r="BJ805" s="20"/>
      <c r="BK805" s="20"/>
      <c r="BL805" s="154"/>
      <c r="BP805" s="20"/>
      <c r="BQ805" s="154"/>
      <c r="BR805" s="18"/>
      <c r="BS805" s="16"/>
      <c r="BT805" s="18"/>
      <c r="BU805" s="18"/>
      <c r="BV805" s="18"/>
      <c r="BW805" s="20"/>
      <c r="BX805" s="154"/>
      <c r="BY805" s="18"/>
      <c r="BZ805" s="146"/>
      <c r="CA805" s="18"/>
      <c r="CB805" s="18"/>
      <c r="CC805" s="20"/>
      <c r="CD805" s="154"/>
    </row>
    <row r="806" spans="35:82">
      <c r="AI806" s="19"/>
      <c r="AO806" s="19"/>
      <c r="AY806" s="145"/>
      <c r="AZ806" s="16"/>
      <c r="BC806" s="16"/>
      <c r="BD806" s="20"/>
      <c r="BE806" s="17"/>
      <c r="BF806" s="20"/>
      <c r="BG806" s="146"/>
      <c r="BH806" s="146"/>
      <c r="BI806" s="146"/>
      <c r="BJ806" s="20"/>
      <c r="BK806" s="20"/>
      <c r="BL806" s="154"/>
      <c r="BP806" s="20"/>
      <c r="BQ806" s="154"/>
      <c r="BR806" s="18"/>
      <c r="BS806" s="16"/>
      <c r="BT806" s="18"/>
      <c r="BU806" s="18"/>
      <c r="BV806" s="18"/>
      <c r="BW806" s="20"/>
      <c r="BX806" s="154"/>
      <c r="BY806" s="18"/>
      <c r="BZ806" s="146"/>
      <c r="CA806" s="18"/>
      <c r="CB806" s="18"/>
      <c r="CC806" s="20"/>
      <c r="CD806" s="154"/>
    </row>
    <row r="807" spans="35:82">
      <c r="AI807" s="19"/>
      <c r="AO807" s="19"/>
      <c r="AY807" s="145"/>
      <c r="AZ807" s="16"/>
      <c r="BC807" s="16"/>
      <c r="BD807" s="20"/>
      <c r="BE807" s="17"/>
      <c r="BF807" s="20"/>
      <c r="BG807" s="146"/>
      <c r="BH807" s="146"/>
      <c r="BI807" s="146"/>
      <c r="BJ807" s="20"/>
      <c r="BK807" s="20"/>
      <c r="BL807" s="154"/>
      <c r="BP807" s="20"/>
      <c r="BQ807" s="154"/>
      <c r="BR807" s="18"/>
      <c r="BS807" s="16"/>
      <c r="BT807" s="18"/>
      <c r="BU807" s="18"/>
      <c r="BV807" s="18"/>
      <c r="BW807" s="20"/>
      <c r="BX807" s="154"/>
      <c r="BY807" s="18"/>
      <c r="BZ807" s="146"/>
      <c r="CA807" s="18"/>
      <c r="CB807" s="18"/>
      <c r="CC807" s="20"/>
      <c r="CD807" s="154"/>
    </row>
    <row r="808" spans="35:82">
      <c r="AI808" s="19"/>
      <c r="AO808" s="19"/>
      <c r="AY808" s="145"/>
      <c r="AZ808" s="16"/>
      <c r="BC808" s="16"/>
      <c r="BD808" s="20"/>
      <c r="BE808" s="17"/>
      <c r="BF808" s="20"/>
      <c r="BG808" s="146"/>
      <c r="BH808" s="146"/>
      <c r="BI808" s="146"/>
      <c r="BJ808" s="20"/>
      <c r="BK808" s="20"/>
      <c r="BL808" s="154"/>
      <c r="BP808" s="20"/>
      <c r="BQ808" s="154"/>
      <c r="BR808" s="18"/>
      <c r="BS808" s="16"/>
      <c r="BT808" s="18"/>
      <c r="BU808" s="18"/>
      <c r="BV808" s="18"/>
      <c r="BW808" s="20"/>
      <c r="BX808" s="154"/>
      <c r="BY808" s="18"/>
      <c r="BZ808" s="146"/>
      <c r="CA808" s="18"/>
      <c r="CB808" s="18"/>
      <c r="CC808" s="20"/>
      <c r="CD808" s="154"/>
    </row>
    <row r="809" spans="35:82">
      <c r="AI809" s="19"/>
      <c r="AO809" s="19"/>
      <c r="AY809" s="145"/>
      <c r="AZ809" s="16"/>
      <c r="BC809" s="16"/>
      <c r="BD809" s="20"/>
      <c r="BE809" s="17"/>
      <c r="BF809" s="20"/>
      <c r="BG809" s="146"/>
      <c r="BH809" s="146"/>
      <c r="BI809" s="146"/>
      <c r="BJ809" s="20"/>
      <c r="BK809" s="20"/>
      <c r="BL809" s="154"/>
      <c r="BP809" s="20"/>
      <c r="BQ809" s="154"/>
      <c r="BR809" s="18"/>
      <c r="BS809" s="16"/>
      <c r="BT809" s="18"/>
      <c r="BU809" s="18"/>
      <c r="BV809" s="18"/>
      <c r="BW809" s="20"/>
      <c r="BX809" s="154"/>
      <c r="BY809" s="18"/>
      <c r="BZ809" s="146"/>
      <c r="CA809" s="18"/>
      <c r="CB809" s="18"/>
      <c r="CC809" s="20"/>
      <c r="CD809" s="154"/>
    </row>
    <row r="810" spans="35:82">
      <c r="AI810" s="19"/>
      <c r="AO810" s="19"/>
      <c r="AY810" s="145"/>
      <c r="AZ810" s="16"/>
      <c r="BC810" s="16"/>
      <c r="BD810" s="20"/>
      <c r="BE810" s="17"/>
      <c r="BF810" s="20"/>
      <c r="BG810" s="146"/>
      <c r="BH810" s="146"/>
      <c r="BI810" s="146"/>
      <c r="BJ810" s="20"/>
      <c r="BK810" s="20"/>
      <c r="BL810" s="154"/>
      <c r="BP810" s="20"/>
      <c r="BQ810" s="154"/>
      <c r="BR810" s="18"/>
      <c r="BS810" s="16"/>
      <c r="BT810" s="18"/>
      <c r="BU810" s="18"/>
      <c r="BV810" s="18"/>
      <c r="BW810" s="20"/>
      <c r="BX810" s="154"/>
      <c r="BY810" s="18"/>
      <c r="BZ810" s="146"/>
      <c r="CA810" s="18"/>
      <c r="CB810" s="18"/>
      <c r="CC810" s="20"/>
      <c r="CD810" s="154"/>
    </row>
    <row r="811" spans="35:82">
      <c r="AI811" s="19"/>
      <c r="AO811" s="19"/>
      <c r="AY811" s="145"/>
      <c r="AZ811" s="16"/>
      <c r="BC811" s="16"/>
      <c r="BD811" s="20"/>
      <c r="BE811" s="17"/>
      <c r="BF811" s="20"/>
      <c r="BG811" s="146"/>
      <c r="BH811" s="146"/>
      <c r="BI811" s="146"/>
      <c r="BJ811" s="20"/>
      <c r="BK811" s="20"/>
      <c r="BL811" s="154"/>
      <c r="BP811" s="20"/>
      <c r="BQ811" s="154"/>
      <c r="BR811" s="18"/>
      <c r="BS811" s="16"/>
      <c r="BT811" s="18"/>
      <c r="BU811" s="18"/>
      <c r="BV811" s="18"/>
      <c r="BW811" s="20"/>
      <c r="BX811" s="154"/>
      <c r="BY811" s="18"/>
      <c r="BZ811" s="146"/>
      <c r="CA811" s="18"/>
      <c r="CB811" s="18"/>
      <c r="CC811" s="20"/>
      <c r="CD811" s="154"/>
    </row>
    <row r="812" spans="35:82">
      <c r="AI812" s="19"/>
      <c r="AO812" s="19"/>
      <c r="AY812" s="145"/>
      <c r="AZ812" s="16"/>
      <c r="BC812" s="16"/>
      <c r="BD812" s="20"/>
      <c r="BE812" s="17"/>
      <c r="BF812" s="20"/>
      <c r="BG812" s="146"/>
      <c r="BH812" s="146"/>
      <c r="BI812" s="146"/>
      <c r="BJ812" s="20"/>
      <c r="BK812" s="20"/>
      <c r="BL812" s="154"/>
      <c r="BP812" s="20"/>
      <c r="BQ812" s="154"/>
      <c r="BR812" s="18"/>
      <c r="BS812" s="16"/>
      <c r="BT812" s="18"/>
      <c r="BU812" s="18"/>
      <c r="BV812" s="18"/>
      <c r="BW812" s="20"/>
      <c r="BX812" s="154"/>
      <c r="BY812" s="18"/>
      <c r="BZ812" s="146"/>
      <c r="CA812" s="18"/>
      <c r="CB812" s="18"/>
      <c r="CC812" s="20"/>
      <c r="CD812" s="154"/>
    </row>
    <row r="813" spans="35:82">
      <c r="AI813" s="19"/>
      <c r="AO813" s="19"/>
      <c r="AY813" s="145"/>
      <c r="AZ813" s="16"/>
      <c r="BC813" s="16"/>
      <c r="BD813" s="20"/>
      <c r="BE813" s="17"/>
      <c r="BF813" s="20"/>
      <c r="BG813" s="146"/>
      <c r="BH813" s="146"/>
      <c r="BI813" s="146"/>
      <c r="BJ813" s="20"/>
      <c r="BK813" s="20"/>
      <c r="BL813" s="154"/>
      <c r="BP813" s="20"/>
      <c r="BQ813" s="154"/>
      <c r="BR813" s="18"/>
      <c r="BS813" s="16"/>
      <c r="BT813" s="18"/>
      <c r="BU813" s="18"/>
      <c r="BV813" s="18"/>
      <c r="BW813" s="20"/>
      <c r="BX813" s="154"/>
      <c r="BY813" s="18"/>
      <c r="BZ813" s="146"/>
      <c r="CA813" s="18"/>
      <c r="CB813" s="18"/>
      <c r="CC813" s="20"/>
      <c r="CD813" s="154"/>
    </row>
    <row r="814" spans="35:82">
      <c r="AI814" s="19"/>
      <c r="AO814" s="19"/>
      <c r="AY814" s="145"/>
      <c r="AZ814" s="16"/>
      <c r="BC814" s="16"/>
      <c r="BD814" s="20"/>
      <c r="BE814" s="17"/>
      <c r="BF814" s="20"/>
      <c r="BG814" s="146"/>
      <c r="BH814" s="146"/>
      <c r="BI814" s="146"/>
      <c r="BJ814" s="20"/>
      <c r="BK814" s="20"/>
      <c r="BL814" s="154"/>
      <c r="BP814" s="20"/>
      <c r="BQ814" s="154"/>
      <c r="BR814" s="18"/>
      <c r="BS814" s="16"/>
      <c r="BT814" s="18"/>
      <c r="BU814" s="18"/>
      <c r="BV814" s="18"/>
      <c r="BW814" s="20"/>
      <c r="BX814" s="154"/>
      <c r="BY814" s="18"/>
      <c r="BZ814" s="146"/>
      <c r="CA814" s="18"/>
      <c r="CB814" s="18"/>
      <c r="CC814" s="20"/>
      <c r="CD814" s="154"/>
    </row>
    <row r="815" spans="35:82">
      <c r="AI815" s="19"/>
      <c r="AO815" s="19"/>
      <c r="AY815" s="145"/>
      <c r="AZ815" s="16"/>
      <c r="BC815" s="16"/>
      <c r="BD815" s="20"/>
      <c r="BE815" s="17"/>
      <c r="BF815" s="20"/>
      <c r="BG815" s="146"/>
      <c r="BH815" s="146"/>
      <c r="BI815" s="146"/>
      <c r="BJ815" s="20"/>
      <c r="BK815" s="20"/>
      <c r="BL815" s="154"/>
      <c r="BP815" s="20"/>
      <c r="BQ815" s="154"/>
      <c r="BR815" s="18"/>
      <c r="BS815" s="16"/>
      <c r="BT815" s="18"/>
      <c r="BU815" s="18"/>
      <c r="BV815" s="18"/>
      <c r="BW815" s="20"/>
      <c r="BX815" s="154"/>
      <c r="BY815" s="18"/>
      <c r="BZ815" s="146"/>
      <c r="CA815" s="18"/>
      <c r="CB815" s="18"/>
      <c r="CC815" s="20"/>
      <c r="CD815" s="154"/>
    </row>
    <row r="816" spans="35:82">
      <c r="AI816" s="19"/>
      <c r="AO816" s="19"/>
      <c r="AY816" s="145"/>
      <c r="AZ816" s="16"/>
      <c r="BC816" s="16"/>
      <c r="BD816" s="20"/>
      <c r="BE816" s="17"/>
      <c r="BF816" s="20"/>
      <c r="BG816" s="146"/>
      <c r="BH816" s="146"/>
      <c r="BI816" s="146"/>
      <c r="BJ816" s="20"/>
      <c r="BK816" s="20"/>
      <c r="BL816" s="154"/>
      <c r="BP816" s="20"/>
      <c r="BQ816" s="154"/>
      <c r="BR816" s="18"/>
      <c r="BS816" s="16"/>
      <c r="BT816" s="18"/>
      <c r="BU816" s="18"/>
      <c r="BV816" s="18"/>
      <c r="BW816" s="20"/>
      <c r="BX816" s="154"/>
      <c r="BY816" s="18"/>
      <c r="BZ816" s="146"/>
      <c r="CA816" s="18"/>
      <c r="CB816" s="18"/>
      <c r="CC816" s="20"/>
      <c r="CD816" s="154"/>
    </row>
    <row r="817" spans="35:82">
      <c r="AI817" s="19"/>
      <c r="AO817" s="19"/>
      <c r="AY817" s="145"/>
      <c r="AZ817" s="16"/>
      <c r="BC817" s="16"/>
      <c r="BD817" s="20"/>
      <c r="BE817" s="17"/>
      <c r="BF817" s="20"/>
      <c r="BG817" s="146"/>
      <c r="BH817" s="146"/>
      <c r="BI817" s="146"/>
      <c r="BJ817" s="20"/>
      <c r="BK817" s="20"/>
      <c r="BL817" s="154"/>
      <c r="BP817" s="20"/>
      <c r="BQ817" s="154"/>
      <c r="BR817" s="18"/>
      <c r="BS817" s="16"/>
      <c r="BT817" s="18"/>
      <c r="BU817" s="18"/>
      <c r="BV817" s="18"/>
      <c r="BW817" s="20"/>
      <c r="BX817" s="154"/>
      <c r="BY817" s="18"/>
      <c r="BZ817" s="146"/>
      <c r="CA817" s="18"/>
      <c r="CB817" s="18"/>
      <c r="CC817" s="20"/>
      <c r="CD817" s="154"/>
    </row>
    <row r="818" spans="35:82">
      <c r="AI818" s="19"/>
      <c r="AO818" s="19"/>
      <c r="AY818" s="145"/>
      <c r="AZ818" s="16"/>
      <c r="BC818" s="16"/>
      <c r="BD818" s="20"/>
      <c r="BE818" s="17"/>
      <c r="BF818" s="20"/>
      <c r="BG818" s="146"/>
      <c r="BH818" s="146"/>
      <c r="BI818" s="146"/>
      <c r="BJ818" s="20"/>
      <c r="BK818" s="20"/>
      <c r="BL818" s="154"/>
      <c r="BP818" s="20"/>
      <c r="BQ818" s="154"/>
      <c r="BR818" s="18"/>
      <c r="BS818" s="16"/>
      <c r="BT818" s="18"/>
      <c r="BU818" s="18"/>
      <c r="BV818" s="18"/>
      <c r="BW818" s="20"/>
      <c r="BX818" s="154"/>
      <c r="BY818" s="18"/>
      <c r="BZ818" s="146"/>
      <c r="CA818" s="18"/>
      <c r="CB818" s="18"/>
      <c r="CC818" s="20"/>
      <c r="CD818" s="154"/>
    </row>
    <row r="819" spans="35:82">
      <c r="AI819" s="19"/>
      <c r="AO819" s="19"/>
      <c r="AY819" s="145"/>
      <c r="AZ819" s="16"/>
      <c r="BC819" s="16"/>
      <c r="BD819" s="20"/>
      <c r="BE819" s="17"/>
      <c r="BF819" s="20"/>
      <c r="BG819" s="146"/>
      <c r="BH819" s="146"/>
      <c r="BI819" s="146"/>
      <c r="BJ819" s="20"/>
      <c r="BK819" s="20"/>
      <c r="BL819" s="154"/>
      <c r="BP819" s="20"/>
      <c r="BQ819" s="154"/>
      <c r="BR819" s="18"/>
      <c r="BS819" s="16"/>
      <c r="BT819" s="18"/>
      <c r="BU819" s="18"/>
      <c r="BV819" s="18"/>
      <c r="BW819" s="20"/>
      <c r="BX819" s="154"/>
      <c r="BY819" s="18"/>
      <c r="BZ819" s="146"/>
      <c r="CA819" s="18"/>
      <c r="CB819" s="18"/>
      <c r="CC819" s="20"/>
      <c r="CD819" s="154"/>
    </row>
    <row r="820" spans="35:82">
      <c r="AI820" s="19"/>
      <c r="AO820" s="19"/>
      <c r="AY820" s="145"/>
      <c r="AZ820" s="16"/>
      <c r="BC820" s="16"/>
      <c r="BD820" s="20"/>
      <c r="BE820" s="17"/>
      <c r="BF820" s="20"/>
      <c r="BG820" s="146"/>
      <c r="BH820" s="146"/>
      <c r="BI820" s="146"/>
      <c r="BJ820" s="20"/>
      <c r="BK820" s="20"/>
      <c r="BL820" s="154"/>
      <c r="BP820" s="20"/>
      <c r="BQ820" s="154"/>
      <c r="BR820" s="18"/>
      <c r="BS820" s="16"/>
      <c r="BT820" s="18"/>
      <c r="BU820" s="18"/>
      <c r="BV820" s="18"/>
      <c r="BW820" s="20"/>
      <c r="BX820" s="154"/>
      <c r="BY820" s="18"/>
      <c r="BZ820" s="146"/>
      <c r="CA820" s="18"/>
      <c r="CB820" s="18"/>
      <c r="CC820" s="20"/>
      <c r="CD820" s="154"/>
    </row>
    <row r="821" spans="35:82">
      <c r="AI821" s="19"/>
      <c r="AO821" s="19"/>
      <c r="AY821" s="145"/>
      <c r="AZ821" s="16"/>
      <c r="BC821" s="16"/>
      <c r="BD821" s="20"/>
      <c r="BE821" s="17"/>
      <c r="BF821" s="20"/>
      <c r="BG821" s="146"/>
      <c r="BH821" s="146"/>
      <c r="BI821" s="146"/>
      <c r="BJ821" s="20"/>
      <c r="BK821" s="20"/>
      <c r="BL821" s="154"/>
      <c r="BP821" s="20"/>
      <c r="BQ821" s="154"/>
      <c r="BR821" s="18"/>
      <c r="BS821" s="16"/>
      <c r="BT821" s="18"/>
      <c r="BU821" s="18"/>
      <c r="BV821" s="18"/>
      <c r="BW821" s="20"/>
      <c r="BX821" s="154"/>
      <c r="BY821" s="18"/>
      <c r="BZ821" s="146"/>
      <c r="CA821" s="18"/>
      <c r="CB821" s="18"/>
      <c r="CC821" s="20"/>
      <c r="CD821" s="154"/>
    </row>
    <row r="822" spans="35:82">
      <c r="AI822" s="19"/>
      <c r="AO822" s="19"/>
      <c r="AY822" s="145"/>
      <c r="AZ822" s="16"/>
      <c r="BC822" s="16"/>
      <c r="BD822" s="20"/>
      <c r="BE822" s="17"/>
      <c r="BF822" s="20"/>
      <c r="BG822" s="146"/>
      <c r="BH822" s="146"/>
      <c r="BI822" s="146"/>
      <c r="BJ822" s="20"/>
      <c r="BK822" s="20"/>
      <c r="BL822" s="154"/>
      <c r="BP822" s="20"/>
      <c r="BQ822" s="154"/>
      <c r="BR822" s="18"/>
      <c r="BS822" s="16"/>
      <c r="BT822" s="18"/>
      <c r="BU822" s="18"/>
      <c r="BV822" s="18"/>
      <c r="BW822" s="20"/>
      <c r="BX822" s="154"/>
      <c r="BY822" s="18"/>
      <c r="BZ822" s="146"/>
      <c r="CA822" s="18"/>
      <c r="CB822" s="18"/>
      <c r="CC822" s="20"/>
      <c r="CD822" s="154"/>
    </row>
    <row r="823" spans="35:82">
      <c r="AI823" s="19"/>
      <c r="AO823" s="19"/>
      <c r="AY823" s="145"/>
      <c r="AZ823" s="16"/>
      <c r="BC823" s="16"/>
      <c r="BD823" s="20"/>
      <c r="BE823" s="17"/>
      <c r="BF823" s="20"/>
      <c r="BG823" s="146"/>
      <c r="BH823" s="146"/>
      <c r="BI823" s="146"/>
      <c r="BJ823" s="20"/>
      <c r="BK823" s="20"/>
      <c r="BL823" s="154"/>
      <c r="BP823" s="20"/>
      <c r="BQ823" s="154"/>
      <c r="BR823" s="18"/>
      <c r="BS823" s="16"/>
      <c r="BT823" s="18"/>
      <c r="BU823" s="18"/>
      <c r="BV823" s="18"/>
      <c r="BW823" s="20"/>
      <c r="BX823" s="154"/>
      <c r="BY823" s="18"/>
      <c r="BZ823" s="146"/>
      <c r="CA823" s="18"/>
      <c r="CB823" s="18"/>
      <c r="CC823" s="20"/>
      <c r="CD823" s="154"/>
    </row>
    <row r="824" spans="35:82">
      <c r="AI824" s="19"/>
      <c r="AO824" s="19"/>
      <c r="AY824" s="145"/>
      <c r="AZ824" s="16"/>
      <c r="BC824" s="16"/>
      <c r="BD824" s="20"/>
      <c r="BE824" s="17"/>
      <c r="BF824" s="20"/>
      <c r="BG824" s="146"/>
      <c r="BH824" s="146"/>
      <c r="BI824" s="146"/>
      <c r="BJ824" s="20"/>
      <c r="BK824" s="20"/>
      <c r="BL824" s="154"/>
      <c r="BP824" s="20"/>
      <c r="BQ824" s="154"/>
      <c r="BR824" s="18"/>
      <c r="BS824" s="16"/>
      <c r="BT824" s="18"/>
      <c r="BU824" s="18"/>
      <c r="BV824" s="18"/>
      <c r="BW824" s="20"/>
      <c r="BX824" s="154"/>
      <c r="BY824" s="18"/>
      <c r="BZ824" s="146"/>
      <c r="CA824" s="18"/>
      <c r="CB824" s="18"/>
      <c r="CC824" s="20"/>
      <c r="CD824" s="154"/>
    </row>
    <row r="825" spans="35:82">
      <c r="AI825" s="19"/>
      <c r="AO825" s="19"/>
      <c r="AY825" s="145"/>
      <c r="AZ825" s="16"/>
      <c r="BC825" s="16"/>
      <c r="BD825" s="20"/>
      <c r="BE825" s="17"/>
      <c r="BF825" s="20"/>
      <c r="BG825" s="146"/>
      <c r="BH825" s="146"/>
      <c r="BI825" s="146"/>
      <c r="BJ825" s="20"/>
      <c r="BK825" s="20"/>
      <c r="BL825" s="154"/>
      <c r="BP825" s="20"/>
      <c r="BQ825" s="154"/>
      <c r="BR825" s="18"/>
      <c r="BS825" s="16"/>
      <c r="BT825" s="18"/>
      <c r="BU825" s="18"/>
      <c r="BV825" s="18"/>
      <c r="BW825" s="20"/>
      <c r="BX825" s="154"/>
      <c r="BY825" s="18"/>
      <c r="BZ825" s="146"/>
      <c r="CA825" s="18"/>
      <c r="CB825" s="18"/>
      <c r="CC825" s="20"/>
      <c r="CD825" s="154"/>
    </row>
    <row r="826" spans="35:82">
      <c r="AI826" s="19"/>
      <c r="AO826" s="19"/>
      <c r="AY826" s="145"/>
      <c r="AZ826" s="16"/>
      <c r="BC826" s="16"/>
      <c r="BD826" s="20"/>
      <c r="BE826" s="17"/>
      <c r="BF826" s="20"/>
      <c r="BG826" s="146"/>
      <c r="BH826" s="146"/>
      <c r="BI826" s="146"/>
      <c r="BJ826" s="20"/>
      <c r="BK826" s="20"/>
      <c r="BL826" s="154"/>
      <c r="BP826" s="20"/>
      <c r="BQ826" s="154"/>
      <c r="BR826" s="18"/>
      <c r="BS826" s="16"/>
      <c r="BT826" s="18"/>
      <c r="BU826" s="18"/>
      <c r="BV826" s="18"/>
      <c r="BW826" s="20"/>
      <c r="BX826" s="154"/>
      <c r="BY826" s="18"/>
      <c r="BZ826" s="146"/>
      <c r="CA826" s="18"/>
      <c r="CB826" s="18"/>
      <c r="CC826" s="20"/>
      <c r="CD826" s="154"/>
    </row>
    <row r="827" spans="35:82">
      <c r="AI827" s="19"/>
      <c r="AO827" s="19"/>
      <c r="AY827" s="145"/>
      <c r="AZ827" s="16"/>
      <c r="BC827" s="16"/>
      <c r="BD827" s="20"/>
      <c r="BE827" s="17"/>
      <c r="BF827" s="20"/>
      <c r="BG827" s="146"/>
      <c r="BH827" s="146"/>
      <c r="BI827" s="146"/>
      <c r="BJ827" s="20"/>
      <c r="BK827" s="20"/>
      <c r="BL827" s="154"/>
      <c r="BP827" s="20"/>
      <c r="BQ827" s="154"/>
      <c r="BR827" s="18"/>
      <c r="BS827" s="16"/>
      <c r="BT827" s="18"/>
      <c r="BU827" s="18"/>
      <c r="BV827" s="18"/>
      <c r="BW827" s="20"/>
      <c r="BX827" s="154"/>
      <c r="BY827" s="18"/>
      <c r="BZ827" s="146"/>
      <c r="CA827" s="18"/>
      <c r="CB827" s="18"/>
      <c r="CC827" s="20"/>
      <c r="CD827" s="154"/>
    </row>
    <row r="828" spans="35:82">
      <c r="AI828" s="19"/>
      <c r="AO828" s="19"/>
      <c r="AY828" s="145"/>
      <c r="AZ828" s="16"/>
      <c r="BC828" s="16"/>
      <c r="BD828" s="20"/>
      <c r="BE828" s="17"/>
      <c r="BF828" s="20"/>
      <c r="BG828" s="146"/>
      <c r="BH828" s="146"/>
      <c r="BI828" s="146"/>
      <c r="BJ828" s="20"/>
      <c r="BK828" s="20"/>
      <c r="BL828" s="154"/>
      <c r="BP828" s="20"/>
      <c r="BQ828" s="154"/>
      <c r="BR828" s="18"/>
      <c r="BS828" s="16"/>
      <c r="BT828" s="18"/>
      <c r="BU828" s="18"/>
      <c r="BV828" s="18"/>
      <c r="BW828" s="20"/>
      <c r="BX828" s="154"/>
      <c r="BY828" s="18"/>
      <c r="BZ828" s="146"/>
      <c r="CA828" s="18"/>
      <c r="CB828" s="18"/>
      <c r="CC828" s="20"/>
      <c r="CD828" s="154"/>
    </row>
    <row r="829" spans="35:82">
      <c r="AI829" s="19"/>
      <c r="AO829" s="19"/>
      <c r="AY829" s="145"/>
      <c r="AZ829" s="16"/>
      <c r="BC829" s="16"/>
      <c r="BD829" s="20"/>
      <c r="BE829" s="17"/>
      <c r="BF829" s="20"/>
      <c r="BG829" s="146"/>
      <c r="BH829" s="146"/>
      <c r="BI829" s="146"/>
      <c r="BJ829" s="20"/>
      <c r="BK829" s="20"/>
      <c r="BL829" s="154"/>
      <c r="BP829" s="20"/>
      <c r="BQ829" s="154"/>
      <c r="BR829" s="18"/>
      <c r="BS829" s="16"/>
      <c r="BT829" s="18"/>
      <c r="BU829" s="18"/>
      <c r="BV829" s="18"/>
      <c r="BW829" s="20"/>
      <c r="BX829" s="154"/>
      <c r="BY829" s="18"/>
      <c r="BZ829" s="146"/>
      <c r="CA829" s="18"/>
      <c r="CB829" s="18"/>
      <c r="CC829" s="20"/>
      <c r="CD829" s="154"/>
    </row>
    <row r="830" spans="35:82">
      <c r="AI830" s="19"/>
      <c r="AO830" s="19"/>
      <c r="AY830" s="145"/>
      <c r="AZ830" s="16"/>
      <c r="BC830" s="16"/>
      <c r="BD830" s="20"/>
      <c r="BE830" s="17"/>
      <c r="BF830" s="20"/>
      <c r="BG830" s="146"/>
      <c r="BH830" s="146"/>
      <c r="BI830" s="146"/>
      <c r="BJ830" s="20"/>
      <c r="BK830" s="20"/>
      <c r="BL830" s="154"/>
      <c r="BP830" s="20"/>
      <c r="BQ830" s="154"/>
      <c r="BR830" s="18"/>
      <c r="BS830" s="16"/>
      <c r="BT830" s="18"/>
      <c r="BU830" s="18"/>
      <c r="BV830" s="18"/>
      <c r="BW830" s="20"/>
      <c r="BX830" s="154"/>
      <c r="BY830" s="18"/>
      <c r="BZ830" s="146"/>
      <c r="CA830" s="18"/>
      <c r="CB830" s="18"/>
      <c r="CC830" s="20"/>
      <c r="CD830" s="154"/>
    </row>
    <row r="831" spans="35:82">
      <c r="AI831" s="19"/>
      <c r="AO831" s="19"/>
      <c r="AY831" s="145"/>
      <c r="AZ831" s="16"/>
      <c r="BC831" s="16"/>
      <c r="BD831" s="20"/>
      <c r="BE831" s="17"/>
      <c r="BF831" s="20"/>
      <c r="BG831" s="146"/>
      <c r="BH831" s="146"/>
      <c r="BI831" s="146"/>
      <c r="BJ831" s="20"/>
      <c r="BK831" s="20"/>
      <c r="BL831" s="154"/>
      <c r="BP831" s="20"/>
      <c r="BQ831" s="154"/>
      <c r="BR831" s="18"/>
      <c r="BS831" s="16"/>
      <c r="BT831" s="18"/>
      <c r="BU831" s="18"/>
      <c r="BV831" s="18"/>
      <c r="BW831" s="20"/>
      <c r="BX831" s="154"/>
      <c r="BY831" s="18"/>
      <c r="BZ831" s="146"/>
      <c r="CA831" s="18"/>
      <c r="CB831" s="18"/>
      <c r="CC831" s="20"/>
      <c r="CD831" s="154"/>
    </row>
    <row r="832" spans="35:82">
      <c r="AI832" s="19"/>
      <c r="AO832" s="19"/>
      <c r="AY832" s="145"/>
      <c r="AZ832" s="16"/>
      <c r="BC832" s="16"/>
      <c r="BD832" s="20"/>
      <c r="BE832" s="17"/>
      <c r="BF832" s="20"/>
      <c r="BG832" s="146"/>
      <c r="BH832" s="146"/>
      <c r="BI832" s="146"/>
      <c r="BJ832" s="20"/>
      <c r="BK832" s="20"/>
      <c r="BL832" s="154"/>
      <c r="BP832" s="20"/>
      <c r="BQ832" s="154"/>
      <c r="BR832" s="18"/>
      <c r="BS832" s="16"/>
      <c r="BT832" s="18"/>
      <c r="BU832" s="18"/>
      <c r="BV832" s="18"/>
      <c r="BW832" s="20"/>
      <c r="BX832" s="154"/>
      <c r="BY832" s="18"/>
      <c r="BZ832" s="146"/>
      <c r="CA832" s="18"/>
      <c r="CB832" s="18"/>
      <c r="CC832" s="20"/>
      <c r="CD832" s="154"/>
    </row>
    <row r="833" spans="35:82">
      <c r="AI833" s="19"/>
      <c r="AO833" s="19"/>
      <c r="AY833" s="145"/>
      <c r="AZ833" s="16"/>
      <c r="BC833" s="16"/>
      <c r="BD833" s="20"/>
      <c r="BE833" s="17"/>
      <c r="BF833" s="20"/>
      <c r="BG833" s="146"/>
      <c r="BH833" s="146"/>
      <c r="BI833" s="146"/>
      <c r="BJ833" s="20"/>
      <c r="BK833" s="20"/>
      <c r="BL833" s="154"/>
      <c r="BP833" s="20"/>
      <c r="BQ833" s="154"/>
      <c r="BR833" s="18"/>
      <c r="BS833" s="16"/>
      <c r="BT833" s="18"/>
      <c r="BU833" s="18"/>
      <c r="BV833" s="18"/>
      <c r="BW833" s="20"/>
      <c r="BX833" s="154"/>
      <c r="BY833" s="18"/>
      <c r="BZ833" s="146"/>
      <c r="CA833" s="18"/>
      <c r="CB833" s="18"/>
      <c r="CC833" s="20"/>
      <c r="CD833" s="154"/>
    </row>
    <row r="834" spans="35:82">
      <c r="AI834" s="19"/>
      <c r="AO834" s="19"/>
      <c r="AY834" s="145"/>
      <c r="AZ834" s="16"/>
      <c r="BC834" s="16"/>
      <c r="BD834" s="20"/>
      <c r="BE834" s="17"/>
      <c r="BF834" s="20"/>
      <c r="BG834" s="146"/>
      <c r="BH834" s="146"/>
      <c r="BI834" s="146"/>
      <c r="BJ834" s="20"/>
      <c r="BK834" s="20"/>
      <c r="BL834" s="154"/>
      <c r="BP834" s="20"/>
      <c r="BQ834" s="154"/>
      <c r="BR834" s="18"/>
      <c r="BS834" s="16"/>
      <c r="BT834" s="18"/>
      <c r="BU834" s="18"/>
      <c r="BV834" s="18"/>
      <c r="BW834" s="20"/>
      <c r="BX834" s="154"/>
      <c r="BY834" s="18"/>
      <c r="BZ834" s="146"/>
      <c r="CA834" s="18"/>
      <c r="CB834" s="18"/>
      <c r="CC834" s="20"/>
      <c r="CD834" s="154"/>
    </row>
    <row r="835" spans="35:82">
      <c r="AI835" s="19"/>
      <c r="AO835" s="19"/>
      <c r="AY835" s="145"/>
      <c r="AZ835" s="16"/>
      <c r="BC835" s="16"/>
      <c r="BD835" s="20"/>
      <c r="BE835" s="17"/>
      <c r="BF835" s="20"/>
      <c r="BG835" s="146"/>
      <c r="BH835" s="146"/>
      <c r="BI835" s="146"/>
      <c r="BJ835" s="20"/>
      <c r="BK835" s="20"/>
      <c r="BL835" s="154"/>
      <c r="BP835" s="20"/>
      <c r="BQ835" s="154"/>
      <c r="BR835" s="18"/>
      <c r="BS835" s="16"/>
      <c r="BT835" s="18"/>
      <c r="BU835" s="18"/>
      <c r="BV835" s="18"/>
      <c r="BW835" s="20"/>
      <c r="BX835" s="154"/>
      <c r="BY835" s="18"/>
      <c r="BZ835" s="146"/>
      <c r="CA835" s="18"/>
      <c r="CB835" s="18"/>
      <c r="CC835" s="20"/>
      <c r="CD835" s="154"/>
    </row>
    <row r="836" spans="35:82">
      <c r="AI836" s="19"/>
      <c r="AO836" s="19"/>
      <c r="AY836" s="145"/>
      <c r="AZ836" s="16"/>
      <c r="BC836" s="16"/>
      <c r="BD836" s="20"/>
      <c r="BE836" s="17"/>
      <c r="BF836" s="20"/>
      <c r="BG836" s="146"/>
      <c r="BH836" s="146"/>
      <c r="BI836" s="146"/>
      <c r="BJ836" s="20"/>
      <c r="BK836" s="20"/>
      <c r="BL836" s="154"/>
      <c r="BP836" s="20"/>
      <c r="BQ836" s="154"/>
      <c r="BR836" s="18"/>
      <c r="BS836" s="16"/>
      <c r="BT836" s="18"/>
      <c r="BU836" s="18"/>
      <c r="BV836" s="18"/>
      <c r="BW836" s="20"/>
      <c r="BX836" s="154"/>
      <c r="BY836" s="18"/>
      <c r="BZ836" s="146"/>
      <c r="CA836" s="18"/>
      <c r="CB836" s="18"/>
      <c r="CC836" s="20"/>
      <c r="CD836" s="154"/>
    </row>
    <row r="837" spans="35:82">
      <c r="AI837" s="19"/>
      <c r="AO837" s="19"/>
      <c r="AY837" s="145"/>
      <c r="AZ837" s="16"/>
      <c r="BC837" s="16"/>
      <c r="BD837" s="20"/>
      <c r="BE837" s="17"/>
      <c r="BF837" s="20"/>
      <c r="BG837" s="146"/>
      <c r="BH837" s="146"/>
      <c r="BI837" s="146"/>
      <c r="BJ837" s="20"/>
      <c r="BK837" s="20"/>
      <c r="BL837" s="154"/>
      <c r="BP837" s="20"/>
      <c r="BQ837" s="154"/>
      <c r="BR837" s="18"/>
      <c r="BS837" s="16"/>
      <c r="BT837" s="18"/>
      <c r="BU837" s="18"/>
      <c r="BV837" s="18"/>
      <c r="BW837" s="20"/>
      <c r="BX837" s="154"/>
      <c r="BY837" s="18"/>
      <c r="BZ837" s="146"/>
      <c r="CA837" s="18"/>
      <c r="CB837" s="18"/>
      <c r="CC837" s="20"/>
      <c r="CD837" s="154"/>
    </row>
    <row r="838" spans="35:82">
      <c r="AI838" s="19"/>
      <c r="AO838" s="19"/>
      <c r="AY838" s="145"/>
      <c r="AZ838" s="16"/>
      <c r="BC838" s="16"/>
      <c r="BD838" s="20"/>
      <c r="BE838" s="17"/>
      <c r="BF838" s="20"/>
      <c r="BG838" s="146"/>
      <c r="BH838" s="146"/>
      <c r="BI838" s="146"/>
      <c r="BJ838" s="20"/>
      <c r="BK838" s="20"/>
      <c r="BL838" s="154"/>
      <c r="BP838" s="20"/>
      <c r="BQ838" s="154"/>
      <c r="BR838" s="18"/>
      <c r="BS838" s="16"/>
      <c r="BT838" s="18"/>
      <c r="BU838" s="18"/>
      <c r="BV838" s="18"/>
      <c r="BW838" s="20"/>
      <c r="BX838" s="154"/>
      <c r="BY838" s="18"/>
      <c r="BZ838" s="146"/>
      <c r="CA838" s="18"/>
      <c r="CB838" s="18"/>
      <c r="CC838" s="20"/>
      <c r="CD838" s="154"/>
    </row>
    <row r="839" spans="35:82">
      <c r="AI839" s="19"/>
      <c r="AO839" s="19"/>
      <c r="AY839" s="145"/>
      <c r="AZ839" s="16"/>
      <c r="BC839" s="16"/>
      <c r="BD839" s="20"/>
      <c r="BE839" s="17"/>
      <c r="BF839" s="20"/>
      <c r="BG839" s="146"/>
      <c r="BH839" s="146"/>
      <c r="BI839" s="146"/>
      <c r="BJ839" s="20"/>
      <c r="BK839" s="20"/>
      <c r="BL839" s="154"/>
      <c r="BP839" s="20"/>
      <c r="BQ839" s="154"/>
      <c r="BR839" s="18"/>
      <c r="BS839" s="16"/>
      <c r="BT839" s="18"/>
      <c r="BU839" s="18"/>
      <c r="BV839" s="18"/>
      <c r="BW839" s="20"/>
      <c r="BX839" s="154"/>
      <c r="BY839" s="18"/>
      <c r="BZ839" s="146"/>
      <c r="CA839" s="18"/>
      <c r="CB839" s="18"/>
      <c r="CC839" s="20"/>
      <c r="CD839" s="154"/>
    </row>
    <row r="840" spans="35:82">
      <c r="AI840" s="19"/>
      <c r="AO840" s="19"/>
      <c r="AY840" s="145"/>
      <c r="AZ840" s="16"/>
      <c r="BC840" s="16"/>
      <c r="BD840" s="20"/>
      <c r="BE840" s="17"/>
      <c r="BF840" s="20"/>
      <c r="BG840" s="146"/>
      <c r="BH840" s="146"/>
      <c r="BI840" s="146"/>
      <c r="BJ840" s="20"/>
      <c r="BK840" s="20"/>
      <c r="BL840" s="154"/>
      <c r="BP840" s="20"/>
      <c r="BQ840" s="154"/>
      <c r="BR840" s="18"/>
      <c r="BS840" s="16"/>
      <c r="BT840" s="18"/>
      <c r="BU840" s="18"/>
      <c r="BV840" s="18"/>
      <c r="BW840" s="20"/>
      <c r="BX840" s="154"/>
      <c r="BY840" s="18"/>
      <c r="BZ840" s="146"/>
      <c r="CA840" s="18"/>
      <c r="CB840" s="18"/>
      <c r="CC840" s="20"/>
      <c r="CD840" s="154"/>
    </row>
    <row r="841" spans="35:82">
      <c r="AI841" s="19"/>
      <c r="AO841" s="19"/>
      <c r="AY841" s="145"/>
      <c r="AZ841" s="16"/>
      <c r="BC841" s="16"/>
      <c r="BD841" s="20"/>
      <c r="BE841" s="17"/>
      <c r="BF841" s="20"/>
      <c r="BG841" s="146"/>
      <c r="BH841" s="146"/>
      <c r="BI841" s="146"/>
      <c r="BJ841" s="20"/>
      <c r="BK841" s="20"/>
      <c r="BL841" s="154"/>
      <c r="BP841" s="20"/>
      <c r="BQ841" s="154"/>
      <c r="BR841" s="18"/>
      <c r="BS841" s="16"/>
      <c r="BT841" s="18"/>
      <c r="BU841" s="18"/>
      <c r="BV841" s="18"/>
      <c r="BW841" s="20"/>
      <c r="BX841" s="154"/>
      <c r="BY841" s="18"/>
      <c r="BZ841" s="146"/>
      <c r="CA841" s="18"/>
      <c r="CB841" s="18"/>
      <c r="CC841" s="20"/>
      <c r="CD841" s="154"/>
    </row>
    <row r="842" spans="35:82">
      <c r="AI842" s="19"/>
      <c r="AO842" s="19"/>
      <c r="AY842" s="145"/>
      <c r="AZ842" s="16"/>
      <c r="BC842" s="16"/>
      <c r="BD842" s="20"/>
      <c r="BE842" s="17"/>
      <c r="BF842" s="20"/>
      <c r="BG842" s="146"/>
      <c r="BH842" s="146"/>
      <c r="BI842" s="146"/>
      <c r="BJ842" s="20"/>
      <c r="BK842" s="20"/>
      <c r="BL842" s="154"/>
      <c r="BP842" s="20"/>
      <c r="BQ842" s="154"/>
      <c r="BR842" s="18"/>
      <c r="BS842" s="16"/>
      <c r="BT842" s="18"/>
      <c r="BU842" s="18"/>
      <c r="BV842" s="18"/>
      <c r="BW842" s="20"/>
      <c r="BX842" s="154"/>
      <c r="BY842" s="18"/>
      <c r="BZ842" s="146"/>
      <c r="CA842" s="18"/>
      <c r="CB842" s="18"/>
      <c r="CC842" s="20"/>
      <c r="CD842" s="154"/>
    </row>
    <row r="843" spans="35:82">
      <c r="AI843" s="19"/>
      <c r="AO843" s="19"/>
      <c r="AY843" s="145"/>
      <c r="AZ843" s="16"/>
      <c r="BC843" s="16"/>
      <c r="BD843" s="20"/>
      <c r="BE843" s="17"/>
      <c r="BF843" s="20"/>
      <c r="BG843" s="146"/>
      <c r="BH843" s="146"/>
      <c r="BI843" s="146"/>
      <c r="BJ843" s="20"/>
      <c r="BK843" s="20"/>
      <c r="BL843" s="154"/>
      <c r="BP843" s="20"/>
      <c r="BQ843" s="154"/>
      <c r="BR843" s="18"/>
      <c r="BS843" s="16"/>
      <c r="BT843" s="18"/>
      <c r="BU843" s="18"/>
      <c r="BV843" s="18"/>
      <c r="BW843" s="20"/>
      <c r="BX843" s="154"/>
      <c r="BY843" s="18"/>
      <c r="BZ843" s="146"/>
      <c r="CA843" s="18"/>
      <c r="CB843" s="18"/>
      <c r="CC843" s="20"/>
      <c r="CD843" s="154"/>
    </row>
    <row r="844" spans="35:82">
      <c r="AI844" s="19"/>
      <c r="AO844" s="19"/>
      <c r="AY844" s="145"/>
      <c r="AZ844" s="16"/>
      <c r="BC844" s="16"/>
      <c r="BD844" s="20"/>
      <c r="BE844" s="17"/>
      <c r="BF844" s="20"/>
      <c r="BG844" s="146"/>
      <c r="BH844" s="146"/>
      <c r="BI844" s="146"/>
      <c r="BJ844" s="20"/>
      <c r="BK844" s="20"/>
      <c r="BL844" s="154"/>
      <c r="BP844" s="20"/>
      <c r="BQ844" s="154"/>
      <c r="BR844" s="18"/>
      <c r="BS844" s="16"/>
      <c r="BT844" s="18"/>
      <c r="BU844" s="18"/>
      <c r="BV844" s="18"/>
      <c r="BW844" s="20"/>
      <c r="BX844" s="154"/>
      <c r="BY844" s="18"/>
      <c r="BZ844" s="146"/>
      <c r="CA844" s="18"/>
      <c r="CB844" s="18"/>
      <c r="CC844" s="20"/>
      <c r="CD844" s="154"/>
    </row>
    <row r="845" spans="35:82">
      <c r="AI845" s="19"/>
      <c r="AO845" s="19"/>
      <c r="AY845" s="145"/>
      <c r="AZ845" s="16"/>
      <c r="BC845" s="16"/>
      <c r="BD845" s="20"/>
      <c r="BE845" s="17"/>
      <c r="BF845" s="20"/>
      <c r="BG845" s="146"/>
      <c r="BH845" s="146"/>
      <c r="BI845" s="146"/>
      <c r="BJ845" s="20"/>
      <c r="BK845" s="20"/>
      <c r="BL845" s="154"/>
      <c r="BP845" s="20"/>
      <c r="BQ845" s="154"/>
      <c r="BR845" s="18"/>
      <c r="BS845" s="16"/>
      <c r="BT845" s="18"/>
      <c r="BU845" s="18"/>
      <c r="BV845" s="18"/>
      <c r="BW845" s="20"/>
      <c r="BX845" s="154"/>
      <c r="BY845" s="18"/>
      <c r="BZ845" s="146"/>
      <c r="CA845" s="18"/>
      <c r="CB845" s="18"/>
      <c r="CC845" s="20"/>
      <c r="CD845" s="154"/>
    </row>
    <row r="846" spans="35:82">
      <c r="AI846" s="19"/>
      <c r="AO846" s="19"/>
      <c r="AY846" s="145"/>
      <c r="AZ846" s="16"/>
      <c r="BC846" s="16"/>
      <c r="BD846" s="20"/>
      <c r="BE846" s="17"/>
      <c r="BF846" s="20"/>
      <c r="BG846" s="146"/>
      <c r="BH846" s="146"/>
      <c r="BI846" s="146"/>
      <c r="BJ846" s="20"/>
      <c r="BK846" s="20"/>
      <c r="BL846" s="154"/>
      <c r="BP846" s="20"/>
      <c r="BQ846" s="154"/>
      <c r="BR846" s="18"/>
      <c r="BS846" s="16"/>
      <c r="BT846" s="18"/>
      <c r="BU846" s="18"/>
      <c r="BV846" s="18"/>
      <c r="BW846" s="20"/>
      <c r="BX846" s="154"/>
      <c r="BY846" s="18"/>
      <c r="BZ846" s="146"/>
      <c r="CA846" s="18"/>
      <c r="CB846" s="18"/>
      <c r="CC846" s="20"/>
      <c r="CD846" s="154"/>
    </row>
    <row r="847" spans="35:82">
      <c r="AI847" s="19"/>
      <c r="AO847" s="19"/>
      <c r="AY847" s="145"/>
      <c r="AZ847" s="16"/>
      <c r="BC847" s="16"/>
      <c r="BD847" s="20"/>
      <c r="BE847" s="17"/>
      <c r="BF847" s="20"/>
      <c r="BG847" s="146"/>
      <c r="BH847" s="146"/>
      <c r="BI847" s="146"/>
      <c r="BJ847" s="20"/>
      <c r="BK847" s="20"/>
      <c r="BL847" s="154"/>
      <c r="BP847" s="20"/>
      <c r="BQ847" s="154"/>
      <c r="BR847" s="18"/>
      <c r="BS847" s="16"/>
      <c r="BT847" s="18"/>
      <c r="BU847" s="18"/>
      <c r="BV847" s="18"/>
      <c r="BW847" s="20"/>
      <c r="BX847" s="154"/>
      <c r="BY847" s="18"/>
      <c r="BZ847" s="146"/>
      <c r="CA847" s="18"/>
      <c r="CB847" s="18"/>
      <c r="CC847" s="20"/>
      <c r="CD847" s="154"/>
    </row>
    <row r="848" spans="35:82">
      <c r="AI848" s="19"/>
      <c r="AO848" s="19"/>
      <c r="AY848" s="145"/>
      <c r="AZ848" s="16"/>
      <c r="BC848" s="16"/>
      <c r="BD848" s="20"/>
      <c r="BE848" s="17"/>
      <c r="BF848" s="20"/>
      <c r="BG848" s="146"/>
      <c r="BH848" s="146"/>
      <c r="BI848" s="146"/>
      <c r="BJ848" s="20"/>
      <c r="BK848" s="20"/>
      <c r="BL848" s="154"/>
      <c r="BP848" s="20"/>
      <c r="BQ848" s="154"/>
      <c r="BR848" s="18"/>
      <c r="BS848" s="16"/>
      <c r="BT848" s="18"/>
      <c r="BU848" s="18"/>
      <c r="BV848" s="18"/>
      <c r="BW848" s="20"/>
      <c r="BX848" s="154"/>
      <c r="BY848" s="18"/>
      <c r="BZ848" s="146"/>
      <c r="CA848" s="18"/>
      <c r="CB848" s="18"/>
      <c r="CC848" s="20"/>
      <c r="CD848" s="154"/>
    </row>
    <row r="849" spans="35:82">
      <c r="AI849" s="19"/>
      <c r="AO849" s="19"/>
      <c r="AY849" s="145"/>
      <c r="AZ849" s="16"/>
      <c r="BC849" s="16"/>
      <c r="BD849" s="20"/>
      <c r="BE849" s="17"/>
      <c r="BF849" s="20"/>
      <c r="BG849" s="146"/>
      <c r="BH849" s="146"/>
      <c r="BI849" s="146"/>
      <c r="BJ849" s="20"/>
      <c r="BK849" s="20"/>
      <c r="BL849" s="154"/>
      <c r="BP849" s="20"/>
      <c r="BQ849" s="154"/>
      <c r="BR849" s="18"/>
      <c r="BS849" s="16"/>
      <c r="BT849" s="18"/>
      <c r="BU849" s="18"/>
      <c r="BV849" s="18"/>
      <c r="BW849" s="20"/>
      <c r="BX849" s="154"/>
      <c r="BY849" s="18"/>
      <c r="BZ849" s="146"/>
      <c r="CA849" s="18"/>
      <c r="CB849" s="18"/>
      <c r="CC849" s="20"/>
      <c r="CD849" s="154"/>
    </row>
    <row r="850" spans="35:82">
      <c r="AI850" s="19"/>
      <c r="AO850" s="19"/>
      <c r="AY850" s="145"/>
      <c r="AZ850" s="16"/>
      <c r="BC850" s="16"/>
      <c r="BD850" s="20"/>
      <c r="BE850" s="17"/>
      <c r="BF850" s="20"/>
      <c r="BG850" s="146"/>
      <c r="BH850" s="146"/>
      <c r="BI850" s="146"/>
      <c r="BJ850" s="20"/>
      <c r="BK850" s="20"/>
      <c r="BL850" s="154"/>
      <c r="BP850" s="20"/>
      <c r="BQ850" s="154"/>
      <c r="BR850" s="18"/>
      <c r="BS850" s="16"/>
      <c r="BT850" s="18"/>
      <c r="BU850" s="18"/>
      <c r="BV850" s="18"/>
      <c r="BW850" s="20"/>
      <c r="BX850" s="154"/>
      <c r="BY850" s="18"/>
      <c r="BZ850" s="146"/>
      <c r="CA850" s="18"/>
      <c r="CB850" s="18"/>
      <c r="CC850" s="20"/>
      <c r="CD850" s="154"/>
    </row>
    <row r="851" spans="35:82">
      <c r="AI851" s="19"/>
      <c r="AO851" s="19"/>
      <c r="AY851" s="145"/>
      <c r="AZ851" s="16"/>
      <c r="BC851" s="16"/>
      <c r="BD851" s="20"/>
      <c r="BE851" s="17"/>
      <c r="BF851" s="20"/>
      <c r="BG851" s="146"/>
      <c r="BH851" s="146"/>
      <c r="BI851" s="146"/>
      <c r="BJ851" s="20"/>
      <c r="BK851" s="20"/>
      <c r="BL851" s="154"/>
      <c r="BP851" s="20"/>
      <c r="BQ851" s="154"/>
      <c r="BR851" s="18"/>
      <c r="BS851" s="16"/>
      <c r="BT851" s="18"/>
      <c r="BU851" s="18"/>
      <c r="BV851" s="18"/>
      <c r="BW851" s="20"/>
      <c r="BX851" s="154"/>
      <c r="BY851" s="18"/>
      <c r="BZ851" s="146"/>
      <c r="CA851" s="18"/>
      <c r="CB851" s="18"/>
      <c r="CC851" s="20"/>
      <c r="CD851" s="154"/>
    </row>
    <row r="852" spans="35:82">
      <c r="AI852" s="19"/>
      <c r="AO852" s="19"/>
      <c r="AY852" s="145"/>
      <c r="AZ852" s="16"/>
      <c r="BC852" s="16"/>
      <c r="BD852" s="20"/>
      <c r="BE852" s="17"/>
      <c r="BF852" s="20"/>
      <c r="BG852" s="146"/>
      <c r="BH852" s="146"/>
      <c r="BI852" s="146"/>
      <c r="BJ852" s="20"/>
      <c r="BK852" s="20"/>
      <c r="BL852" s="154"/>
      <c r="BP852" s="20"/>
      <c r="BQ852" s="154"/>
      <c r="BR852" s="18"/>
      <c r="BS852" s="16"/>
      <c r="BT852" s="18"/>
      <c r="BU852" s="18"/>
      <c r="BV852" s="18"/>
      <c r="BW852" s="20"/>
      <c r="BX852" s="154"/>
      <c r="BY852" s="18"/>
      <c r="BZ852" s="146"/>
      <c r="CA852" s="18"/>
      <c r="CB852" s="18"/>
      <c r="CC852" s="20"/>
      <c r="CD852" s="154"/>
    </row>
    <row r="853" spans="35:82">
      <c r="AI853" s="19"/>
      <c r="AO853" s="19"/>
      <c r="AY853" s="145"/>
      <c r="AZ853" s="16"/>
      <c r="BC853" s="16"/>
      <c r="BD853" s="20"/>
      <c r="BE853" s="17"/>
      <c r="BF853" s="20"/>
      <c r="BG853" s="146"/>
      <c r="BH853" s="146"/>
      <c r="BI853" s="146"/>
      <c r="BJ853" s="20"/>
      <c r="BK853" s="20"/>
      <c r="BL853" s="154"/>
      <c r="BP853" s="20"/>
      <c r="BQ853" s="154"/>
      <c r="BR853" s="18"/>
      <c r="BS853" s="16"/>
      <c r="BT853" s="18"/>
      <c r="BU853" s="18"/>
      <c r="BV853" s="18"/>
      <c r="BW853" s="20"/>
      <c r="BX853" s="154"/>
      <c r="BY853" s="18"/>
      <c r="BZ853" s="146"/>
      <c r="CA853" s="18"/>
      <c r="CB853" s="18"/>
      <c r="CC853" s="20"/>
      <c r="CD853" s="154"/>
    </row>
    <row r="854" spans="35:82">
      <c r="AI854" s="19"/>
      <c r="AO854" s="19"/>
      <c r="AY854" s="145"/>
      <c r="AZ854" s="16"/>
      <c r="BC854" s="16"/>
      <c r="BD854" s="20"/>
      <c r="BE854" s="17"/>
      <c r="BF854" s="20"/>
      <c r="BG854" s="146"/>
      <c r="BH854" s="146"/>
      <c r="BI854" s="146"/>
      <c r="BJ854" s="20"/>
      <c r="BK854" s="20"/>
      <c r="BL854" s="154"/>
      <c r="BP854" s="20"/>
      <c r="BQ854" s="154"/>
      <c r="BR854" s="18"/>
      <c r="BS854" s="16"/>
      <c r="BT854" s="18"/>
      <c r="BU854" s="18"/>
      <c r="BV854" s="18"/>
      <c r="BW854" s="20"/>
      <c r="BX854" s="154"/>
      <c r="BY854" s="18"/>
      <c r="BZ854" s="146"/>
      <c r="CA854" s="18"/>
      <c r="CB854" s="18"/>
      <c r="CC854" s="20"/>
      <c r="CD854" s="154"/>
    </row>
    <row r="855" spans="35:82">
      <c r="AI855" s="19"/>
      <c r="AO855" s="19"/>
      <c r="AY855" s="145"/>
      <c r="AZ855" s="16"/>
      <c r="BC855" s="16"/>
      <c r="BD855" s="20"/>
      <c r="BE855" s="17"/>
      <c r="BF855" s="20"/>
      <c r="BG855" s="146"/>
      <c r="BH855" s="146"/>
      <c r="BI855" s="146"/>
      <c r="BJ855" s="20"/>
      <c r="BK855" s="20"/>
      <c r="BL855" s="154"/>
      <c r="BP855" s="20"/>
      <c r="BQ855" s="154"/>
      <c r="BR855" s="18"/>
      <c r="BS855" s="16"/>
      <c r="BT855" s="18"/>
      <c r="BU855" s="18"/>
      <c r="BV855" s="18"/>
      <c r="BW855" s="20"/>
      <c r="BX855" s="154"/>
      <c r="BY855" s="18"/>
      <c r="BZ855" s="146"/>
      <c r="CA855" s="18"/>
      <c r="CB855" s="18"/>
      <c r="CC855" s="20"/>
      <c r="CD855" s="154"/>
    </row>
    <row r="856" spans="35:82">
      <c r="AI856" s="19"/>
      <c r="AO856" s="19"/>
      <c r="AY856" s="145"/>
      <c r="AZ856" s="16"/>
      <c r="BC856" s="16"/>
      <c r="BD856" s="20"/>
      <c r="BE856" s="17"/>
      <c r="BF856" s="20"/>
      <c r="BG856" s="146"/>
      <c r="BH856" s="146"/>
      <c r="BI856" s="146"/>
      <c r="BJ856" s="20"/>
      <c r="BK856" s="20"/>
      <c r="BL856" s="154"/>
      <c r="BP856" s="20"/>
      <c r="BQ856" s="154"/>
      <c r="BR856" s="18"/>
      <c r="BS856" s="16"/>
      <c r="BT856" s="18"/>
      <c r="BU856" s="18"/>
      <c r="BV856" s="18"/>
      <c r="BW856" s="20"/>
      <c r="BX856" s="154"/>
      <c r="BY856" s="18"/>
      <c r="BZ856" s="146"/>
      <c r="CA856" s="18"/>
      <c r="CB856" s="18"/>
      <c r="CC856" s="20"/>
      <c r="CD856" s="154"/>
    </row>
    <row r="857" spans="35:82">
      <c r="AI857" s="19"/>
      <c r="AO857" s="19"/>
      <c r="AY857" s="145"/>
      <c r="AZ857" s="16"/>
      <c r="BC857" s="16"/>
      <c r="BD857" s="20"/>
      <c r="BE857" s="17"/>
      <c r="BF857" s="20"/>
      <c r="BG857" s="146"/>
      <c r="BH857" s="146"/>
      <c r="BI857" s="146"/>
      <c r="BJ857" s="20"/>
      <c r="BK857" s="20"/>
      <c r="BL857" s="154"/>
      <c r="BP857" s="20"/>
      <c r="BQ857" s="154"/>
      <c r="BR857" s="18"/>
      <c r="BS857" s="16"/>
      <c r="BT857" s="18"/>
      <c r="BU857" s="18"/>
      <c r="BV857" s="18"/>
      <c r="BW857" s="20"/>
      <c r="BX857" s="154"/>
      <c r="BY857" s="18"/>
      <c r="BZ857" s="146"/>
      <c r="CA857" s="18"/>
      <c r="CB857" s="18"/>
      <c r="CC857" s="20"/>
      <c r="CD857" s="154"/>
    </row>
    <row r="858" spans="35:82">
      <c r="AI858" s="19"/>
      <c r="AO858" s="19"/>
      <c r="AY858" s="145"/>
      <c r="AZ858" s="16"/>
      <c r="BC858" s="16"/>
      <c r="BD858" s="20"/>
      <c r="BE858" s="17"/>
      <c r="BF858" s="20"/>
      <c r="BG858" s="146"/>
      <c r="BH858" s="146"/>
      <c r="BI858" s="146"/>
      <c r="BJ858" s="20"/>
      <c r="BK858" s="20"/>
      <c r="BL858" s="154"/>
      <c r="BP858" s="20"/>
      <c r="BQ858" s="154"/>
      <c r="BR858" s="18"/>
      <c r="BS858" s="16"/>
      <c r="BT858" s="18"/>
      <c r="BU858" s="18"/>
      <c r="BV858" s="18"/>
      <c r="BW858" s="20"/>
      <c r="BX858" s="154"/>
      <c r="BY858" s="18"/>
      <c r="BZ858" s="146"/>
      <c r="CA858" s="18"/>
      <c r="CB858" s="18"/>
      <c r="CC858" s="20"/>
      <c r="CD858" s="154"/>
    </row>
    <row r="859" spans="35:82">
      <c r="AI859" s="19"/>
      <c r="AO859" s="19"/>
      <c r="AY859" s="145"/>
      <c r="AZ859" s="16"/>
      <c r="BC859" s="16"/>
      <c r="BD859" s="20"/>
      <c r="BE859" s="17"/>
      <c r="BF859" s="20"/>
      <c r="BG859" s="146"/>
      <c r="BH859" s="146"/>
      <c r="BI859" s="146"/>
      <c r="BJ859" s="20"/>
      <c r="BK859" s="20"/>
      <c r="BL859" s="154"/>
      <c r="BP859" s="20"/>
      <c r="BQ859" s="154"/>
      <c r="BR859" s="18"/>
      <c r="BS859" s="16"/>
      <c r="BT859" s="18"/>
      <c r="BU859" s="18"/>
      <c r="BV859" s="18"/>
      <c r="BW859" s="20"/>
      <c r="BX859" s="154"/>
      <c r="BY859" s="18"/>
      <c r="BZ859" s="146"/>
      <c r="CA859" s="18"/>
      <c r="CB859" s="18"/>
      <c r="CC859" s="20"/>
      <c r="CD859" s="154"/>
    </row>
    <row r="860" spans="35:82">
      <c r="AI860" s="19"/>
      <c r="AO860" s="19"/>
      <c r="AY860" s="145"/>
      <c r="AZ860" s="16"/>
      <c r="BC860" s="16"/>
      <c r="BD860" s="20"/>
      <c r="BE860" s="17"/>
      <c r="BF860" s="20"/>
      <c r="BG860" s="146"/>
      <c r="BH860" s="146"/>
      <c r="BI860" s="146"/>
      <c r="BJ860" s="20"/>
      <c r="BK860" s="20"/>
      <c r="BL860" s="154"/>
      <c r="BP860" s="20"/>
      <c r="BQ860" s="154"/>
      <c r="BR860" s="18"/>
      <c r="BS860" s="16"/>
      <c r="BT860" s="18"/>
      <c r="BU860" s="18"/>
      <c r="BV860" s="18"/>
      <c r="BW860" s="20"/>
      <c r="BX860" s="154"/>
      <c r="BY860" s="18"/>
      <c r="BZ860" s="146"/>
      <c r="CA860" s="18"/>
      <c r="CB860" s="18"/>
      <c r="CC860" s="20"/>
      <c r="CD860" s="154"/>
    </row>
    <row r="861" spans="35:82">
      <c r="AI861" s="19"/>
      <c r="AO861" s="19"/>
      <c r="AY861" s="145"/>
      <c r="AZ861" s="16"/>
      <c r="BC861" s="16"/>
      <c r="BD861" s="20"/>
      <c r="BE861" s="17"/>
      <c r="BF861" s="20"/>
      <c r="BG861" s="146"/>
      <c r="BH861" s="146"/>
      <c r="BI861" s="146"/>
      <c r="BJ861" s="20"/>
      <c r="BK861" s="20"/>
      <c r="BL861" s="154"/>
      <c r="BP861" s="20"/>
      <c r="BQ861" s="154"/>
      <c r="BR861" s="18"/>
      <c r="BS861" s="16"/>
      <c r="BT861" s="18"/>
      <c r="BU861" s="18"/>
      <c r="BV861" s="18"/>
      <c r="BW861" s="20"/>
      <c r="BX861" s="154"/>
      <c r="BY861" s="18"/>
      <c r="BZ861" s="146"/>
      <c r="CA861" s="18"/>
      <c r="CB861" s="18"/>
      <c r="CC861" s="20"/>
      <c r="CD861" s="154"/>
    </row>
    <row r="862" spans="35:82">
      <c r="AI862" s="19"/>
      <c r="AO862" s="19"/>
      <c r="AY862" s="145"/>
      <c r="AZ862" s="16"/>
      <c r="BC862" s="16"/>
      <c r="BD862" s="20"/>
      <c r="BE862" s="17"/>
      <c r="BF862" s="20"/>
      <c r="BG862" s="146"/>
      <c r="BH862" s="146"/>
      <c r="BI862" s="146"/>
      <c r="BJ862" s="20"/>
      <c r="BK862" s="20"/>
      <c r="BL862" s="154"/>
      <c r="BP862" s="20"/>
      <c r="BQ862" s="154"/>
      <c r="BR862" s="18"/>
      <c r="BS862" s="16"/>
      <c r="BT862" s="18"/>
      <c r="BU862" s="18"/>
      <c r="BV862" s="18"/>
      <c r="BW862" s="20"/>
      <c r="BX862" s="154"/>
      <c r="BY862" s="18"/>
      <c r="BZ862" s="146"/>
      <c r="CA862" s="18"/>
      <c r="CB862" s="18"/>
      <c r="CC862" s="20"/>
      <c r="CD862" s="154"/>
    </row>
    <row r="863" spans="35:82">
      <c r="AI863" s="19"/>
      <c r="AO863" s="19"/>
      <c r="AY863" s="145"/>
      <c r="AZ863" s="16"/>
      <c r="BC863" s="16"/>
      <c r="BD863" s="20"/>
      <c r="BE863" s="17"/>
      <c r="BF863" s="20"/>
      <c r="BG863" s="146"/>
      <c r="BH863" s="146"/>
      <c r="BI863" s="146"/>
      <c r="BJ863" s="20"/>
      <c r="BK863" s="20"/>
      <c r="BL863" s="154"/>
      <c r="BP863" s="20"/>
      <c r="BQ863" s="154"/>
      <c r="BR863" s="18"/>
      <c r="BS863" s="16"/>
      <c r="BT863" s="18"/>
      <c r="BU863" s="18"/>
      <c r="BV863" s="18"/>
      <c r="BW863" s="20"/>
      <c r="BX863" s="154"/>
      <c r="BY863" s="18"/>
      <c r="BZ863" s="146"/>
      <c r="CA863" s="18"/>
      <c r="CB863" s="18"/>
      <c r="CC863" s="20"/>
      <c r="CD863" s="154"/>
    </row>
    <row r="864" spans="35:82">
      <c r="AI864" s="19"/>
      <c r="AO864" s="19"/>
      <c r="AY864" s="145"/>
      <c r="AZ864" s="16"/>
      <c r="BC864" s="16"/>
      <c r="BD864" s="20"/>
      <c r="BE864" s="17"/>
      <c r="BF864" s="20"/>
      <c r="BG864" s="146"/>
      <c r="BH864" s="146"/>
      <c r="BI864" s="146"/>
      <c r="BJ864" s="20"/>
      <c r="BK864" s="20"/>
      <c r="BL864" s="154"/>
      <c r="BP864" s="20"/>
      <c r="BQ864" s="154"/>
      <c r="BR864" s="18"/>
      <c r="BS864" s="16"/>
      <c r="BT864" s="18"/>
      <c r="BU864" s="18"/>
      <c r="BV864" s="18"/>
      <c r="BW864" s="20"/>
      <c r="BX864" s="154"/>
      <c r="BY864" s="18"/>
      <c r="BZ864" s="146"/>
      <c r="CA864" s="18"/>
      <c r="CB864" s="18"/>
      <c r="CC864" s="20"/>
      <c r="CD864" s="154"/>
    </row>
    <row r="865" spans="35:82">
      <c r="AI865" s="19"/>
      <c r="AO865" s="19"/>
      <c r="AY865" s="145"/>
      <c r="AZ865" s="16"/>
      <c r="BC865" s="16"/>
      <c r="BD865" s="20"/>
      <c r="BE865" s="17"/>
      <c r="BF865" s="20"/>
      <c r="BG865" s="146"/>
      <c r="BH865" s="146"/>
      <c r="BI865" s="146"/>
      <c r="BJ865" s="20"/>
      <c r="BK865" s="20"/>
      <c r="BL865" s="154"/>
      <c r="BP865" s="20"/>
      <c r="BQ865" s="154"/>
      <c r="BR865" s="18"/>
      <c r="BS865" s="16"/>
      <c r="BT865" s="18"/>
      <c r="BU865" s="18"/>
      <c r="BV865" s="18"/>
      <c r="BW865" s="20"/>
      <c r="BX865" s="154"/>
      <c r="BY865" s="18"/>
      <c r="BZ865" s="146"/>
      <c r="CA865" s="18"/>
      <c r="CB865" s="18"/>
      <c r="CC865" s="20"/>
      <c r="CD865" s="154"/>
    </row>
    <row r="866" spans="35:82">
      <c r="AI866" s="19"/>
      <c r="AO866" s="19"/>
      <c r="AY866" s="145"/>
      <c r="AZ866" s="16"/>
      <c r="BC866" s="16"/>
      <c r="BD866" s="20"/>
      <c r="BE866" s="17"/>
      <c r="BF866" s="20"/>
      <c r="BG866" s="146"/>
      <c r="BH866" s="146"/>
      <c r="BI866" s="146"/>
      <c r="BJ866" s="20"/>
      <c r="BK866" s="20"/>
      <c r="BL866" s="154"/>
      <c r="BP866" s="20"/>
      <c r="BQ866" s="154"/>
      <c r="BR866" s="18"/>
      <c r="BS866" s="16"/>
      <c r="BT866" s="18"/>
      <c r="BU866" s="18"/>
      <c r="BV866" s="18"/>
      <c r="BW866" s="20"/>
      <c r="BX866" s="154"/>
      <c r="BY866" s="18"/>
      <c r="BZ866" s="146"/>
      <c r="CA866" s="18"/>
      <c r="CB866" s="18"/>
      <c r="CC866" s="20"/>
      <c r="CD866" s="154"/>
    </row>
    <row r="867" spans="35:82">
      <c r="AI867" s="19"/>
      <c r="AO867" s="19"/>
      <c r="AY867" s="145"/>
      <c r="AZ867" s="16"/>
      <c r="BC867" s="16"/>
      <c r="BD867" s="20"/>
      <c r="BE867" s="17"/>
      <c r="BF867" s="20"/>
      <c r="BG867" s="146"/>
      <c r="BH867" s="146"/>
      <c r="BI867" s="146"/>
      <c r="BJ867" s="20"/>
      <c r="BK867" s="20"/>
      <c r="BL867" s="154"/>
      <c r="BP867" s="20"/>
      <c r="BQ867" s="154"/>
      <c r="BR867" s="18"/>
      <c r="BS867" s="16"/>
      <c r="BT867" s="18"/>
      <c r="BU867" s="18"/>
      <c r="BV867" s="18"/>
      <c r="BW867" s="20"/>
      <c r="BX867" s="154"/>
      <c r="BY867" s="18"/>
      <c r="BZ867" s="146"/>
      <c r="CA867" s="18"/>
      <c r="CB867" s="18"/>
      <c r="CC867" s="20"/>
      <c r="CD867" s="154"/>
    </row>
    <row r="868" spans="35:82">
      <c r="AI868" s="19"/>
      <c r="AO868" s="19"/>
      <c r="AY868" s="145"/>
      <c r="AZ868" s="16"/>
      <c r="BC868" s="16"/>
      <c r="BD868" s="20"/>
      <c r="BE868" s="17"/>
      <c r="BF868" s="20"/>
      <c r="BG868" s="146"/>
      <c r="BH868" s="146"/>
      <c r="BI868" s="146"/>
      <c r="BJ868" s="20"/>
      <c r="BK868" s="20"/>
      <c r="BL868" s="154"/>
      <c r="BP868" s="20"/>
      <c r="BQ868" s="154"/>
      <c r="BR868" s="18"/>
      <c r="BS868" s="16"/>
      <c r="BT868" s="18"/>
      <c r="BU868" s="18"/>
      <c r="BV868" s="18"/>
      <c r="BW868" s="20"/>
      <c r="BX868" s="154"/>
      <c r="BY868" s="18"/>
      <c r="BZ868" s="146"/>
      <c r="CA868" s="18"/>
      <c r="CB868" s="18"/>
      <c r="CC868" s="20"/>
      <c r="CD868" s="154"/>
    </row>
    <row r="869" spans="35:82">
      <c r="AI869" s="19"/>
      <c r="AO869" s="19"/>
      <c r="AY869" s="145"/>
      <c r="AZ869" s="16"/>
      <c r="BC869" s="16"/>
      <c r="BD869" s="20"/>
      <c r="BE869" s="17"/>
      <c r="BF869" s="20"/>
      <c r="BG869" s="146"/>
      <c r="BH869" s="146"/>
      <c r="BI869" s="146"/>
      <c r="BJ869" s="20"/>
      <c r="BK869" s="20"/>
      <c r="BL869" s="154"/>
      <c r="BP869" s="20"/>
      <c r="BQ869" s="154"/>
      <c r="BR869" s="18"/>
      <c r="BS869" s="16"/>
      <c r="BT869" s="18"/>
      <c r="BU869" s="18"/>
      <c r="BV869" s="18"/>
      <c r="BW869" s="20"/>
      <c r="BX869" s="154"/>
      <c r="BY869" s="18"/>
      <c r="BZ869" s="146"/>
      <c r="CA869" s="18"/>
      <c r="CB869" s="18"/>
      <c r="CC869" s="20"/>
      <c r="CD869" s="154"/>
    </row>
    <row r="870" spans="35:82">
      <c r="AI870" s="19"/>
      <c r="AO870" s="19"/>
      <c r="AY870" s="145"/>
      <c r="AZ870" s="16"/>
      <c r="BC870" s="16"/>
      <c r="BD870" s="20"/>
      <c r="BE870" s="17"/>
      <c r="BF870" s="20"/>
      <c r="BG870" s="146"/>
      <c r="BH870" s="146"/>
      <c r="BI870" s="146"/>
      <c r="BJ870" s="20"/>
      <c r="BK870" s="20"/>
      <c r="BL870" s="154"/>
      <c r="BP870" s="20"/>
      <c r="BQ870" s="154"/>
      <c r="BR870" s="18"/>
      <c r="BS870" s="16"/>
      <c r="BT870" s="18"/>
      <c r="BU870" s="18"/>
      <c r="BV870" s="18"/>
      <c r="BW870" s="20"/>
      <c r="BX870" s="154"/>
      <c r="BY870" s="18"/>
      <c r="BZ870" s="146"/>
      <c r="CA870" s="18"/>
      <c r="CB870" s="18"/>
      <c r="CC870" s="20"/>
      <c r="CD870" s="154"/>
    </row>
    <row r="871" spans="35:82">
      <c r="AI871" s="19"/>
      <c r="AO871" s="19"/>
      <c r="AY871" s="145"/>
      <c r="AZ871" s="16"/>
      <c r="BC871" s="16"/>
      <c r="BD871" s="20"/>
      <c r="BE871" s="17"/>
      <c r="BF871" s="20"/>
      <c r="BG871" s="146"/>
      <c r="BH871" s="146"/>
      <c r="BI871" s="146"/>
      <c r="BJ871" s="20"/>
      <c r="BK871" s="20"/>
      <c r="BL871" s="154"/>
      <c r="BP871" s="20"/>
      <c r="BQ871" s="154"/>
      <c r="BR871" s="18"/>
      <c r="BS871" s="16"/>
      <c r="BT871" s="18"/>
      <c r="BU871" s="18"/>
      <c r="BV871" s="18"/>
      <c r="BW871" s="20"/>
      <c r="BX871" s="154"/>
      <c r="BY871" s="18"/>
      <c r="BZ871" s="146"/>
      <c r="CA871" s="18"/>
      <c r="CB871" s="18"/>
      <c r="CC871" s="20"/>
      <c r="CD871" s="154"/>
    </row>
    <row r="872" spans="35:82">
      <c r="AI872" s="19"/>
      <c r="AO872" s="19"/>
      <c r="AY872" s="145"/>
      <c r="AZ872" s="16"/>
      <c r="BC872" s="16"/>
      <c r="BD872" s="20"/>
      <c r="BE872" s="17"/>
      <c r="BF872" s="20"/>
      <c r="BG872" s="146"/>
      <c r="BH872" s="146"/>
      <c r="BI872" s="146"/>
      <c r="BJ872" s="20"/>
      <c r="BK872" s="20"/>
      <c r="BL872" s="154"/>
      <c r="BP872" s="20"/>
      <c r="BQ872" s="154"/>
      <c r="BR872" s="18"/>
      <c r="BS872" s="16"/>
      <c r="BT872" s="18"/>
      <c r="BU872" s="18"/>
      <c r="BV872" s="18"/>
      <c r="BW872" s="20"/>
      <c r="BX872" s="154"/>
      <c r="BY872" s="18"/>
      <c r="BZ872" s="146"/>
      <c r="CA872" s="18"/>
      <c r="CB872" s="18"/>
      <c r="CC872" s="20"/>
      <c r="CD872" s="154"/>
    </row>
    <row r="873" spans="35:82">
      <c r="AI873" s="19"/>
      <c r="AO873" s="19"/>
      <c r="AY873" s="145"/>
      <c r="AZ873" s="16"/>
      <c r="BC873" s="16"/>
      <c r="BD873" s="20"/>
      <c r="BE873" s="17"/>
      <c r="BF873" s="20"/>
      <c r="BG873" s="146"/>
      <c r="BH873" s="146"/>
      <c r="BI873" s="146"/>
      <c r="BJ873" s="20"/>
      <c r="BK873" s="20"/>
      <c r="BL873" s="154"/>
      <c r="BP873" s="20"/>
      <c r="BQ873" s="154"/>
      <c r="BR873" s="18"/>
      <c r="BS873" s="16"/>
      <c r="BT873" s="18"/>
      <c r="BU873" s="18"/>
      <c r="BV873" s="18"/>
      <c r="BW873" s="20"/>
      <c r="BX873" s="154"/>
      <c r="BY873" s="18"/>
      <c r="BZ873" s="146"/>
      <c r="CA873" s="18"/>
      <c r="CB873" s="18"/>
      <c r="CC873" s="20"/>
      <c r="CD873" s="154"/>
    </row>
    <row r="874" spans="35:82">
      <c r="AI874" s="19"/>
      <c r="AO874" s="19"/>
      <c r="AY874" s="145"/>
      <c r="AZ874" s="16"/>
      <c r="BC874" s="16"/>
      <c r="BD874" s="20"/>
      <c r="BE874" s="17"/>
      <c r="BF874" s="20"/>
      <c r="BG874" s="146"/>
      <c r="BH874" s="146"/>
      <c r="BI874" s="146"/>
      <c r="BJ874" s="20"/>
      <c r="BK874" s="20"/>
      <c r="BL874" s="154"/>
      <c r="BP874" s="20"/>
      <c r="BQ874" s="154"/>
      <c r="BR874" s="18"/>
      <c r="BS874" s="16"/>
      <c r="BT874" s="18"/>
      <c r="BU874" s="18"/>
      <c r="BV874" s="18"/>
      <c r="BW874" s="20"/>
      <c r="BX874" s="154"/>
      <c r="BY874" s="18"/>
      <c r="BZ874" s="146"/>
      <c r="CA874" s="18"/>
      <c r="CB874" s="18"/>
      <c r="CC874" s="20"/>
      <c r="CD874" s="154"/>
    </row>
    <row r="875" spans="35:82">
      <c r="AI875" s="19"/>
      <c r="AO875" s="19"/>
      <c r="AY875" s="145"/>
      <c r="AZ875" s="16"/>
      <c r="BC875" s="16"/>
      <c r="BD875" s="20"/>
      <c r="BE875" s="17"/>
      <c r="BF875" s="20"/>
      <c r="BG875" s="146"/>
      <c r="BH875" s="146"/>
      <c r="BI875" s="146"/>
      <c r="BJ875" s="20"/>
      <c r="BK875" s="20"/>
      <c r="BL875" s="154"/>
      <c r="BP875" s="20"/>
      <c r="BQ875" s="154"/>
      <c r="BR875" s="18"/>
      <c r="BS875" s="16"/>
      <c r="BT875" s="18"/>
      <c r="BU875" s="18"/>
      <c r="BV875" s="18"/>
      <c r="BW875" s="20"/>
      <c r="BX875" s="154"/>
      <c r="BY875" s="18"/>
      <c r="BZ875" s="146"/>
      <c r="CA875" s="18"/>
      <c r="CB875" s="18"/>
      <c r="CC875" s="20"/>
      <c r="CD875" s="154"/>
    </row>
    <row r="876" spans="35:82">
      <c r="AI876" s="19"/>
      <c r="AO876" s="19"/>
      <c r="AY876" s="145"/>
      <c r="AZ876" s="16"/>
      <c r="BC876" s="16"/>
      <c r="BD876" s="20"/>
      <c r="BE876" s="17"/>
      <c r="BF876" s="20"/>
      <c r="BG876" s="146"/>
      <c r="BH876" s="146"/>
      <c r="BI876" s="146"/>
      <c r="BJ876" s="20"/>
      <c r="BK876" s="20"/>
      <c r="BL876" s="154"/>
      <c r="BP876" s="20"/>
      <c r="BQ876" s="154"/>
      <c r="BR876" s="18"/>
      <c r="BS876" s="16"/>
      <c r="BT876" s="18"/>
      <c r="BU876" s="18"/>
      <c r="BV876" s="18"/>
      <c r="BW876" s="20"/>
      <c r="BX876" s="154"/>
      <c r="BY876" s="18"/>
      <c r="BZ876" s="146"/>
      <c r="CA876" s="18"/>
      <c r="CB876" s="18"/>
      <c r="CC876" s="20"/>
      <c r="CD876" s="154"/>
    </row>
    <row r="877" spans="35:82">
      <c r="AI877" s="19"/>
      <c r="AO877" s="19"/>
      <c r="AY877" s="145"/>
      <c r="AZ877" s="16"/>
      <c r="BC877" s="16"/>
      <c r="BD877" s="20"/>
      <c r="BE877" s="17"/>
      <c r="BF877" s="20"/>
      <c r="BG877" s="146"/>
      <c r="BH877" s="146"/>
      <c r="BI877" s="146"/>
      <c r="BJ877" s="20"/>
      <c r="BK877" s="20"/>
      <c r="BL877" s="154"/>
      <c r="BP877" s="20"/>
      <c r="BQ877" s="154"/>
      <c r="BR877" s="18"/>
      <c r="BS877" s="16"/>
      <c r="BT877" s="18"/>
      <c r="BU877" s="18"/>
      <c r="BV877" s="18"/>
      <c r="BW877" s="20"/>
      <c r="BX877" s="154"/>
      <c r="BY877" s="18"/>
      <c r="BZ877" s="146"/>
      <c r="CA877" s="18"/>
      <c r="CB877" s="18"/>
      <c r="CC877" s="20"/>
      <c r="CD877" s="154"/>
    </row>
    <row r="878" spans="35:82">
      <c r="AI878" s="19"/>
      <c r="AO878" s="19"/>
      <c r="AY878" s="145"/>
      <c r="AZ878" s="16"/>
      <c r="BC878" s="16"/>
      <c r="BD878" s="20"/>
      <c r="BE878" s="17"/>
      <c r="BF878" s="20"/>
      <c r="BG878" s="146"/>
      <c r="BH878" s="146"/>
      <c r="BI878" s="146"/>
      <c r="BJ878" s="20"/>
      <c r="BK878" s="20"/>
      <c r="BL878" s="154"/>
      <c r="BP878" s="20"/>
      <c r="BQ878" s="154"/>
      <c r="BR878" s="18"/>
      <c r="BS878" s="16"/>
      <c r="BT878" s="18"/>
      <c r="BU878" s="18"/>
      <c r="BV878" s="18"/>
      <c r="BW878" s="20"/>
      <c r="BX878" s="154"/>
      <c r="BY878" s="18"/>
      <c r="BZ878" s="146"/>
      <c r="CA878" s="18"/>
      <c r="CB878" s="18"/>
      <c r="CC878" s="20"/>
      <c r="CD878" s="154"/>
    </row>
    <row r="879" spans="35:82">
      <c r="AI879" s="19"/>
      <c r="AO879" s="19"/>
      <c r="AY879" s="145"/>
      <c r="AZ879" s="16"/>
      <c r="BC879" s="16"/>
      <c r="BD879" s="20"/>
      <c r="BE879" s="17"/>
      <c r="BF879" s="20"/>
      <c r="BG879" s="146"/>
      <c r="BH879" s="146"/>
      <c r="BI879" s="146"/>
      <c r="BJ879" s="20"/>
      <c r="BK879" s="20"/>
      <c r="BL879" s="154"/>
      <c r="BP879" s="20"/>
      <c r="BQ879" s="154"/>
      <c r="BR879" s="18"/>
      <c r="BS879" s="16"/>
      <c r="BT879" s="18"/>
      <c r="BU879" s="18"/>
      <c r="BV879" s="18"/>
      <c r="BW879" s="20"/>
      <c r="BX879" s="154"/>
      <c r="BY879" s="18"/>
      <c r="BZ879" s="146"/>
      <c r="CA879" s="18"/>
      <c r="CB879" s="18"/>
      <c r="CC879" s="20"/>
      <c r="CD879" s="154"/>
    </row>
    <row r="880" spans="35:82">
      <c r="AI880" s="19"/>
      <c r="AO880" s="19"/>
      <c r="AY880" s="145"/>
      <c r="AZ880" s="16"/>
      <c r="BC880" s="16"/>
      <c r="BD880" s="20"/>
      <c r="BE880" s="17"/>
      <c r="BF880" s="20"/>
      <c r="BG880" s="146"/>
      <c r="BH880" s="146"/>
      <c r="BI880" s="146"/>
      <c r="BJ880" s="20"/>
      <c r="BK880" s="20"/>
      <c r="BL880" s="154"/>
      <c r="BP880" s="20"/>
      <c r="BQ880" s="154"/>
      <c r="BR880" s="18"/>
      <c r="BS880" s="16"/>
      <c r="BT880" s="18"/>
      <c r="BU880" s="18"/>
      <c r="BV880" s="18"/>
      <c r="BW880" s="20"/>
      <c r="BX880" s="154"/>
      <c r="BY880" s="18"/>
      <c r="BZ880" s="146"/>
      <c r="CA880" s="18"/>
      <c r="CB880" s="18"/>
      <c r="CC880" s="20"/>
      <c r="CD880" s="154"/>
    </row>
    <row r="881" spans="35:82">
      <c r="AI881" s="19"/>
      <c r="AO881" s="19"/>
      <c r="AY881" s="145"/>
      <c r="AZ881" s="16"/>
      <c r="BC881" s="16"/>
      <c r="BD881" s="20"/>
      <c r="BE881" s="17"/>
      <c r="BF881" s="20"/>
      <c r="BG881" s="146"/>
      <c r="BH881" s="146"/>
      <c r="BI881" s="146"/>
      <c r="BJ881" s="20"/>
      <c r="BK881" s="20"/>
      <c r="BL881" s="154"/>
      <c r="BP881" s="20"/>
      <c r="BQ881" s="154"/>
      <c r="BR881" s="18"/>
      <c r="BS881" s="16"/>
      <c r="BT881" s="18"/>
      <c r="BU881" s="18"/>
      <c r="BV881" s="18"/>
      <c r="BW881" s="20"/>
      <c r="BX881" s="154"/>
      <c r="BY881" s="18"/>
      <c r="BZ881" s="146"/>
      <c r="CA881" s="18"/>
      <c r="CB881" s="18"/>
      <c r="CC881" s="20"/>
      <c r="CD881" s="154"/>
    </row>
    <row r="882" spans="35:82">
      <c r="AI882" s="19"/>
      <c r="AO882" s="19"/>
      <c r="AY882" s="145"/>
      <c r="AZ882" s="16"/>
      <c r="BC882" s="16"/>
      <c r="BD882" s="20"/>
      <c r="BE882" s="17"/>
      <c r="BF882" s="20"/>
      <c r="BG882" s="146"/>
      <c r="BH882" s="146"/>
      <c r="BI882" s="146"/>
      <c r="BJ882" s="20"/>
      <c r="BK882" s="20"/>
      <c r="BL882" s="154"/>
      <c r="BP882" s="20"/>
      <c r="BQ882" s="154"/>
      <c r="BR882" s="18"/>
      <c r="BS882" s="16"/>
      <c r="BT882" s="18"/>
      <c r="BU882" s="18"/>
      <c r="BV882" s="18"/>
      <c r="BW882" s="20"/>
      <c r="BX882" s="154"/>
      <c r="BY882" s="18"/>
      <c r="BZ882" s="146"/>
      <c r="CA882" s="18"/>
      <c r="CB882" s="18"/>
      <c r="CC882" s="20"/>
      <c r="CD882" s="154"/>
    </row>
    <row r="883" spans="35:82">
      <c r="AI883" s="19"/>
      <c r="AO883" s="19"/>
      <c r="AY883" s="145"/>
      <c r="AZ883" s="16"/>
      <c r="BC883" s="16"/>
      <c r="BD883" s="20"/>
      <c r="BE883" s="17"/>
      <c r="BF883" s="20"/>
      <c r="BG883" s="146"/>
      <c r="BH883" s="146"/>
      <c r="BI883" s="146"/>
      <c r="BJ883" s="20"/>
      <c r="BK883" s="20"/>
      <c r="BL883" s="154"/>
      <c r="BP883" s="20"/>
      <c r="BQ883" s="154"/>
      <c r="BR883" s="18"/>
      <c r="BS883" s="16"/>
      <c r="BT883" s="18"/>
      <c r="BU883" s="18"/>
      <c r="BV883" s="18"/>
      <c r="BW883" s="20"/>
      <c r="BX883" s="154"/>
      <c r="BY883" s="18"/>
      <c r="BZ883" s="146"/>
      <c r="CA883" s="18"/>
      <c r="CB883" s="18"/>
      <c r="CC883" s="20"/>
      <c r="CD883" s="154"/>
    </row>
    <row r="884" spans="35:82">
      <c r="AI884" s="19"/>
      <c r="AO884" s="19"/>
      <c r="AY884" s="145"/>
      <c r="AZ884" s="16"/>
      <c r="BC884" s="16"/>
      <c r="BD884" s="20"/>
      <c r="BE884" s="17"/>
      <c r="BF884" s="20"/>
      <c r="BG884" s="146"/>
      <c r="BH884" s="146"/>
      <c r="BI884" s="146"/>
      <c r="BJ884" s="20"/>
      <c r="BK884" s="20"/>
      <c r="BL884" s="154"/>
      <c r="BP884" s="20"/>
      <c r="BQ884" s="154"/>
      <c r="BR884" s="18"/>
      <c r="BS884" s="16"/>
      <c r="BT884" s="18"/>
      <c r="BU884" s="18"/>
      <c r="BV884" s="18"/>
      <c r="BW884" s="20"/>
      <c r="BX884" s="154"/>
      <c r="BY884" s="18"/>
      <c r="BZ884" s="146"/>
      <c r="CA884" s="18"/>
      <c r="CB884" s="18"/>
      <c r="CC884" s="20"/>
      <c r="CD884" s="154"/>
    </row>
    <row r="885" spans="35:82">
      <c r="AI885" s="19"/>
      <c r="AO885" s="19"/>
      <c r="AY885" s="145"/>
      <c r="AZ885" s="16"/>
      <c r="BC885" s="16"/>
      <c r="BD885" s="20"/>
      <c r="BE885" s="17"/>
      <c r="BF885" s="20"/>
      <c r="BG885" s="146"/>
      <c r="BH885" s="146"/>
      <c r="BI885" s="146"/>
      <c r="BJ885" s="20"/>
      <c r="BK885" s="20"/>
      <c r="BL885" s="154"/>
      <c r="BP885" s="20"/>
      <c r="BQ885" s="154"/>
      <c r="BR885" s="18"/>
      <c r="BS885" s="16"/>
      <c r="BT885" s="18"/>
      <c r="BU885" s="18"/>
      <c r="BV885" s="18"/>
      <c r="BW885" s="20"/>
      <c r="BX885" s="154"/>
      <c r="BY885" s="18"/>
      <c r="BZ885" s="146"/>
      <c r="CA885" s="18"/>
      <c r="CB885" s="18"/>
      <c r="CC885" s="20"/>
      <c r="CD885" s="154"/>
    </row>
    <row r="886" spans="35:82">
      <c r="AI886" s="19"/>
      <c r="AO886" s="19"/>
      <c r="AY886" s="145"/>
      <c r="AZ886" s="16"/>
      <c r="BC886" s="16"/>
      <c r="BD886" s="20"/>
      <c r="BE886" s="17"/>
      <c r="BF886" s="20"/>
      <c r="BG886" s="146"/>
      <c r="BH886" s="146"/>
      <c r="BI886" s="146"/>
      <c r="BJ886" s="20"/>
      <c r="BK886" s="20"/>
      <c r="BL886" s="154"/>
      <c r="BP886" s="20"/>
      <c r="BQ886" s="154"/>
      <c r="BR886" s="18"/>
      <c r="BS886" s="16"/>
      <c r="BT886" s="18"/>
      <c r="BU886" s="18"/>
      <c r="BV886" s="18"/>
      <c r="BW886" s="20"/>
      <c r="BX886" s="154"/>
      <c r="BY886" s="18"/>
      <c r="BZ886" s="146"/>
      <c r="CA886" s="18"/>
      <c r="CB886" s="18"/>
      <c r="CC886" s="20"/>
      <c r="CD886" s="154"/>
    </row>
    <row r="887" spans="35:82">
      <c r="AI887" s="19"/>
      <c r="AO887" s="19"/>
      <c r="AY887" s="145"/>
      <c r="AZ887" s="16"/>
      <c r="BC887" s="16"/>
      <c r="BD887" s="20"/>
      <c r="BE887" s="17"/>
      <c r="BF887" s="20"/>
      <c r="BG887" s="146"/>
      <c r="BH887" s="146"/>
      <c r="BI887" s="146"/>
      <c r="BJ887" s="20"/>
      <c r="BK887" s="20"/>
      <c r="BL887" s="154"/>
      <c r="BP887" s="20"/>
      <c r="BQ887" s="154"/>
      <c r="BR887" s="18"/>
      <c r="BS887" s="16"/>
      <c r="BT887" s="18"/>
      <c r="BU887" s="18"/>
      <c r="BV887" s="18"/>
      <c r="BW887" s="20"/>
      <c r="BX887" s="154"/>
      <c r="BY887" s="18"/>
      <c r="BZ887" s="146"/>
      <c r="CA887" s="18"/>
      <c r="CB887" s="18"/>
      <c r="CC887" s="20"/>
      <c r="CD887" s="154"/>
    </row>
    <row r="888" spans="35:82">
      <c r="AI888" s="19"/>
      <c r="AO888" s="19"/>
      <c r="AY888" s="145"/>
      <c r="AZ888" s="16"/>
      <c r="BC888" s="16"/>
      <c r="BD888" s="20"/>
      <c r="BE888" s="17"/>
      <c r="BF888" s="20"/>
      <c r="BG888" s="146"/>
      <c r="BH888" s="146"/>
      <c r="BI888" s="146"/>
      <c r="BJ888" s="20"/>
      <c r="BK888" s="20"/>
      <c r="BL888" s="154"/>
      <c r="BP888" s="20"/>
      <c r="BQ888" s="154"/>
      <c r="BR888" s="18"/>
      <c r="BS888" s="16"/>
      <c r="BT888" s="18"/>
      <c r="BU888" s="18"/>
      <c r="BV888" s="18"/>
      <c r="BW888" s="20"/>
      <c r="BX888" s="154"/>
      <c r="BY888" s="18"/>
      <c r="BZ888" s="146"/>
      <c r="CA888" s="18"/>
      <c r="CB888" s="18"/>
      <c r="CC888" s="20"/>
      <c r="CD888" s="154"/>
    </row>
    <row r="889" spans="35:82">
      <c r="AI889" s="19"/>
      <c r="AO889" s="19"/>
      <c r="AY889" s="145"/>
      <c r="AZ889" s="16"/>
      <c r="BC889" s="16"/>
      <c r="BD889" s="20"/>
      <c r="BE889" s="17"/>
      <c r="BF889" s="20"/>
      <c r="BG889" s="146"/>
      <c r="BH889" s="146"/>
      <c r="BI889" s="146"/>
      <c r="BJ889" s="20"/>
      <c r="BK889" s="20"/>
      <c r="BL889" s="154"/>
      <c r="BP889" s="20"/>
      <c r="BQ889" s="154"/>
      <c r="BR889" s="18"/>
      <c r="BS889" s="16"/>
      <c r="BT889" s="18"/>
      <c r="BU889" s="18"/>
      <c r="BV889" s="18"/>
      <c r="BW889" s="20"/>
      <c r="BX889" s="154"/>
      <c r="BY889" s="18"/>
      <c r="BZ889" s="146"/>
      <c r="CA889" s="18"/>
      <c r="CB889" s="18"/>
      <c r="CC889" s="20"/>
      <c r="CD889" s="154"/>
    </row>
    <row r="890" spans="35:82">
      <c r="AI890" s="19"/>
      <c r="AO890" s="19"/>
      <c r="AY890" s="145"/>
      <c r="AZ890" s="16"/>
      <c r="BC890" s="16"/>
      <c r="BD890" s="20"/>
      <c r="BE890" s="17"/>
      <c r="BF890" s="20"/>
      <c r="BG890" s="146"/>
      <c r="BH890" s="146"/>
      <c r="BI890" s="146"/>
      <c r="BJ890" s="20"/>
      <c r="BK890" s="20"/>
      <c r="BL890" s="154"/>
      <c r="BP890" s="20"/>
      <c r="BQ890" s="154"/>
      <c r="BR890" s="18"/>
      <c r="BS890" s="16"/>
      <c r="BT890" s="18"/>
      <c r="BU890" s="18"/>
      <c r="BV890" s="18"/>
      <c r="BW890" s="20"/>
      <c r="BX890" s="154"/>
      <c r="BY890" s="18"/>
      <c r="BZ890" s="146"/>
      <c r="CA890" s="18"/>
      <c r="CB890" s="18"/>
      <c r="CC890" s="20"/>
      <c r="CD890" s="154"/>
    </row>
    <row r="891" spans="35:82">
      <c r="AI891" s="19"/>
      <c r="AO891" s="19"/>
      <c r="AY891" s="145"/>
      <c r="AZ891" s="16"/>
      <c r="BC891" s="16"/>
      <c r="BD891" s="20"/>
      <c r="BE891" s="17"/>
      <c r="BF891" s="20"/>
      <c r="BG891" s="146"/>
      <c r="BH891" s="146"/>
      <c r="BI891" s="146"/>
      <c r="BJ891" s="20"/>
      <c r="BK891" s="20"/>
      <c r="BL891" s="154"/>
      <c r="BP891" s="20"/>
      <c r="BQ891" s="154"/>
      <c r="BR891" s="18"/>
      <c r="BS891" s="16"/>
      <c r="BT891" s="18"/>
      <c r="BU891" s="18"/>
      <c r="BV891" s="18"/>
      <c r="BW891" s="20"/>
      <c r="BX891" s="154"/>
      <c r="BY891" s="18"/>
      <c r="BZ891" s="146"/>
      <c r="CA891" s="18"/>
      <c r="CB891" s="18"/>
      <c r="CC891" s="20"/>
      <c r="CD891" s="154"/>
    </row>
    <row r="892" spans="35:82">
      <c r="AI892" s="19"/>
      <c r="AO892" s="19"/>
      <c r="AY892" s="145"/>
      <c r="AZ892" s="16"/>
      <c r="BC892" s="16"/>
      <c r="BD892" s="20"/>
      <c r="BE892" s="17"/>
      <c r="BF892" s="20"/>
      <c r="BG892" s="146"/>
      <c r="BH892" s="146"/>
      <c r="BI892" s="146"/>
      <c r="BJ892" s="20"/>
      <c r="BK892" s="20"/>
      <c r="BL892" s="154"/>
      <c r="BP892" s="20"/>
      <c r="BQ892" s="154"/>
      <c r="BR892" s="18"/>
      <c r="BS892" s="16"/>
      <c r="BT892" s="18"/>
      <c r="BU892" s="18"/>
      <c r="BV892" s="18"/>
      <c r="BW892" s="20"/>
      <c r="BX892" s="154"/>
      <c r="BY892" s="18"/>
      <c r="BZ892" s="146"/>
      <c r="CA892" s="18"/>
      <c r="CB892" s="18"/>
      <c r="CC892" s="20"/>
      <c r="CD892" s="154"/>
    </row>
    <row r="893" spans="35:82">
      <c r="AI893" s="19"/>
      <c r="AO893" s="19"/>
      <c r="AY893" s="145"/>
      <c r="AZ893" s="16"/>
      <c r="BC893" s="16"/>
      <c r="BD893" s="20"/>
      <c r="BE893" s="17"/>
      <c r="BF893" s="20"/>
      <c r="BG893" s="146"/>
      <c r="BH893" s="146"/>
      <c r="BI893" s="146"/>
      <c r="BJ893" s="20"/>
      <c r="BK893" s="20"/>
      <c r="BL893" s="154"/>
      <c r="BP893" s="20"/>
      <c r="BQ893" s="154"/>
      <c r="BR893" s="18"/>
      <c r="BS893" s="16"/>
      <c r="BT893" s="18"/>
      <c r="BU893" s="18"/>
      <c r="BV893" s="18"/>
      <c r="BW893" s="20"/>
      <c r="BX893" s="154"/>
      <c r="BY893" s="18"/>
      <c r="BZ893" s="146"/>
      <c r="CA893" s="18"/>
      <c r="CB893" s="18"/>
      <c r="CC893" s="20"/>
      <c r="CD893" s="154"/>
    </row>
    <row r="894" spans="35:82">
      <c r="AI894" s="19"/>
      <c r="AO894" s="19"/>
      <c r="AY894" s="145"/>
      <c r="AZ894" s="16"/>
      <c r="BC894" s="16"/>
      <c r="BD894" s="20"/>
      <c r="BE894" s="17"/>
      <c r="BF894" s="20"/>
      <c r="BG894" s="146"/>
      <c r="BH894" s="146"/>
      <c r="BI894" s="146"/>
      <c r="BJ894" s="20"/>
      <c r="BK894" s="20"/>
      <c r="BL894" s="154"/>
      <c r="BP894" s="20"/>
      <c r="BQ894" s="154"/>
      <c r="BR894" s="18"/>
      <c r="BS894" s="16"/>
      <c r="BT894" s="18"/>
      <c r="BU894" s="18"/>
      <c r="BV894" s="18"/>
      <c r="BW894" s="20"/>
      <c r="BX894" s="154"/>
      <c r="BY894" s="18"/>
      <c r="BZ894" s="146"/>
      <c r="CA894" s="18"/>
      <c r="CB894" s="18"/>
      <c r="CC894" s="20"/>
      <c r="CD894" s="154"/>
    </row>
    <row r="895" spans="35:82">
      <c r="AI895" s="19"/>
      <c r="AO895" s="19"/>
      <c r="AY895" s="145"/>
      <c r="AZ895" s="16"/>
      <c r="BC895" s="16"/>
      <c r="BD895" s="20"/>
      <c r="BE895" s="17"/>
      <c r="BF895" s="20"/>
      <c r="BG895" s="146"/>
      <c r="BH895" s="146"/>
      <c r="BI895" s="146"/>
      <c r="BJ895" s="20"/>
      <c r="BK895" s="20"/>
      <c r="BL895" s="154"/>
      <c r="BP895" s="20"/>
      <c r="BQ895" s="154"/>
      <c r="BR895" s="18"/>
      <c r="BS895" s="16"/>
      <c r="BT895" s="18"/>
      <c r="BU895" s="18"/>
      <c r="BV895" s="18"/>
      <c r="BW895" s="20"/>
      <c r="BX895" s="154"/>
      <c r="BY895" s="18"/>
      <c r="BZ895" s="146"/>
      <c r="CA895" s="18"/>
      <c r="CB895" s="18"/>
      <c r="CC895" s="20"/>
      <c r="CD895" s="154"/>
    </row>
    <row r="896" spans="35:82">
      <c r="AI896" s="19"/>
      <c r="AO896" s="19"/>
      <c r="AY896" s="145"/>
      <c r="AZ896" s="16"/>
      <c r="BC896" s="16"/>
      <c r="BD896" s="20"/>
      <c r="BE896" s="17"/>
      <c r="BF896" s="20"/>
      <c r="BG896" s="146"/>
      <c r="BH896" s="146"/>
      <c r="BI896" s="146"/>
      <c r="BJ896" s="20"/>
      <c r="BK896" s="20"/>
      <c r="BL896" s="154"/>
      <c r="BP896" s="20"/>
      <c r="BQ896" s="154"/>
      <c r="BR896" s="18"/>
      <c r="BS896" s="16"/>
      <c r="BT896" s="18"/>
      <c r="BU896" s="18"/>
      <c r="BV896" s="18"/>
      <c r="BW896" s="20"/>
      <c r="BX896" s="154"/>
      <c r="BY896" s="18"/>
      <c r="BZ896" s="146"/>
      <c r="CA896" s="18"/>
      <c r="CB896" s="18"/>
      <c r="CC896" s="20"/>
      <c r="CD896" s="154"/>
    </row>
    <row r="897" spans="35:82">
      <c r="AI897" s="19"/>
      <c r="AO897" s="19"/>
      <c r="AY897" s="145"/>
      <c r="AZ897" s="16"/>
      <c r="BC897" s="16"/>
      <c r="BD897" s="20"/>
      <c r="BE897" s="17"/>
      <c r="BF897" s="20"/>
      <c r="BG897" s="146"/>
      <c r="BH897" s="146"/>
      <c r="BI897" s="146"/>
      <c r="BJ897" s="20"/>
      <c r="BK897" s="20"/>
      <c r="BL897" s="154"/>
      <c r="BP897" s="20"/>
      <c r="BQ897" s="154"/>
      <c r="BR897" s="18"/>
      <c r="BS897" s="16"/>
      <c r="BT897" s="18"/>
      <c r="BU897" s="18"/>
      <c r="BV897" s="18"/>
      <c r="BW897" s="20"/>
      <c r="BX897" s="154"/>
      <c r="BY897" s="18"/>
      <c r="BZ897" s="146"/>
      <c r="CA897" s="18"/>
      <c r="CB897" s="18"/>
      <c r="CC897" s="20"/>
      <c r="CD897" s="154"/>
    </row>
    <row r="898" spans="35:82">
      <c r="AI898" s="19"/>
      <c r="AO898" s="19"/>
      <c r="AY898" s="145"/>
      <c r="AZ898" s="16"/>
      <c r="BC898" s="16"/>
      <c r="BD898" s="20"/>
      <c r="BE898" s="17"/>
      <c r="BF898" s="20"/>
      <c r="BG898" s="146"/>
      <c r="BH898" s="146"/>
      <c r="BI898" s="146"/>
      <c r="BJ898" s="20"/>
      <c r="BK898" s="20"/>
      <c r="BL898" s="154"/>
      <c r="BP898" s="20"/>
      <c r="BQ898" s="154"/>
      <c r="BR898" s="18"/>
      <c r="BS898" s="16"/>
      <c r="BT898" s="18"/>
      <c r="BU898" s="18"/>
      <c r="BV898" s="18"/>
      <c r="BW898" s="20"/>
      <c r="BX898" s="154"/>
      <c r="BY898" s="18"/>
      <c r="BZ898" s="146"/>
      <c r="CA898" s="18"/>
      <c r="CB898" s="18"/>
      <c r="CC898" s="20"/>
      <c r="CD898" s="154"/>
    </row>
    <row r="899" spans="35:82">
      <c r="AI899" s="19"/>
      <c r="AO899" s="19"/>
      <c r="AY899" s="145"/>
      <c r="AZ899" s="16"/>
      <c r="BC899" s="16"/>
      <c r="BD899" s="20"/>
      <c r="BE899" s="17"/>
      <c r="BF899" s="20"/>
      <c r="BG899" s="146"/>
      <c r="BH899" s="146"/>
      <c r="BI899" s="146"/>
      <c r="BJ899" s="20"/>
      <c r="BK899" s="20"/>
      <c r="BL899" s="154"/>
      <c r="BP899" s="20"/>
      <c r="BQ899" s="154"/>
      <c r="BR899" s="18"/>
      <c r="BS899" s="16"/>
      <c r="BT899" s="18"/>
      <c r="BU899" s="18"/>
      <c r="BV899" s="18"/>
      <c r="BW899" s="20"/>
      <c r="BX899" s="154"/>
      <c r="BY899" s="18"/>
      <c r="BZ899" s="146"/>
      <c r="CA899" s="18"/>
      <c r="CB899" s="18"/>
      <c r="CC899" s="20"/>
      <c r="CD899" s="154"/>
    </row>
    <row r="900" spans="35:82">
      <c r="AI900" s="19"/>
      <c r="AO900" s="19"/>
      <c r="AY900" s="145"/>
      <c r="AZ900" s="16"/>
      <c r="BC900" s="16"/>
      <c r="BD900" s="20"/>
      <c r="BE900" s="17"/>
      <c r="BF900" s="20"/>
      <c r="BG900" s="146"/>
      <c r="BH900" s="146"/>
      <c r="BI900" s="146"/>
      <c r="BJ900" s="20"/>
      <c r="BK900" s="20"/>
      <c r="BL900" s="154"/>
      <c r="BP900" s="20"/>
      <c r="BQ900" s="154"/>
      <c r="BR900" s="18"/>
      <c r="BS900" s="16"/>
      <c r="BT900" s="18"/>
      <c r="BU900" s="18"/>
      <c r="BV900" s="18"/>
      <c r="BW900" s="20"/>
      <c r="BX900" s="154"/>
      <c r="BY900" s="18"/>
      <c r="BZ900" s="146"/>
      <c r="CA900" s="18"/>
      <c r="CB900" s="18"/>
      <c r="CC900" s="20"/>
      <c r="CD900" s="154"/>
    </row>
    <row r="901" spans="35:82">
      <c r="AI901" s="19"/>
      <c r="AO901" s="19"/>
      <c r="AY901" s="145"/>
      <c r="AZ901" s="16"/>
      <c r="BC901" s="16"/>
      <c r="BD901" s="20"/>
      <c r="BE901" s="17"/>
      <c r="BF901" s="20"/>
      <c r="BG901" s="146"/>
      <c r="BH901" s="146"/>
      <c r="BI901" s="146"/>
      <c r="BJ901" s="20"/>
      <c r="BK901" s="20"/>
      <c r="BL901" s="154"/>
      <c r="BP901" s="20"/>
      <c r="BQ901" s="154"/>
      <c r="BR901" s="18"/>
      <c r="BS901" s="16"/>
      <c r="BT901" s="18"/>
      <c r="BU901" s="18"/>
      <c r="BV901" s="18"/>
      <c r="BW901" s="20"/>
      <c r="BX901" s="154"/>
      <c r="BY901" s="18"/>
      <c r="BZ901" s="146"/>
      <c r="CA901" s="18"/>
      <c r="CB901" s="18"/>
      <c r="CC901" s="20"/>
      <c r="CD901" s="154"/>
    </row>
    <row r="902" spans="35:82">
      <c r="AI902" s="19"/>
      <c r="AO902" s="19"/>
      <c r="AY902" s="145"/>
      <c r="AZ902" s="16"/>
      <c r="BC902" s="16"/>
      <c r="BD902" s="20"/>
      <c r="BE902" s="17"/>
      <c r="BF902" s="20"/>
      <c r="BG902" s="146"/>
      <c r="BH902" s="146"/>
      <c r="BI902" s="146"/>
      <c r="BJ902" s="20"/>
      <c r="BK902" s="20"/>
      <c r="BL902" s="154"/>
      <c r="BP902" s="20"/>
      <c r="BQ902" s="154"/>
      <c r="BR902" s="18"/>
      <c r="BS902" s="16"/>
      <c r="BT902" s="18"/>
      <c r="BU902" s="18"/>
      <c r="BV902" s="18"/>
      <c r="BW902" s="20"/>
      <c r="BX902" s="154"/>
      <c r="BY902" s="18"/>
      <c r="BZ902" s="146"/>
      <c r="CA902" s="18"/>
      <c r="CB902" s="18"/>
      <c r="CC902" s="20"/>
      <c r="CD902" s="154"/>
    </row>
    <row r="903" spans="35:82">
      <c r="AI903" s="19"/>
      <c r="AO903" s="19"/>
      <c r="AY903" s="145"/>
      <c r="AZ903" s="16"/>
      <c r="BC903" s="16"/>
      <c r="BD903" s="20"/>
      <c r="BE903" s="17"/>
      <c r="BF903" s="20"/>
      <c r="BG903" s="146"/>
      <c r="BH903" s="146"/>
      <c r="BI903" s="146"/>
      <c r="BJ903" s="20"/>
      <c r="BK903" s="20"/>
      <c r="BL903" s="154"/>
      <c r="BP903" s="20"/>
      <c r="BQ903" s="154"/>
      <c r="BR903" s="18"/>
      <c r="BS903" s="16"/>
      <c r="BT903" s="18"/>
      <c r="BU903" s="18"/>
      <c r="BV903" s="18"/>
      <c r="BW903" s="20"/>
      <c r="BX903" s="154"/>
      <c r="BY903" s="18"/>
      <c r="BZ903" s="146"/>
      <c r="CA903" s="18"/>
      <c r="CB903" s="18"/>
      <c r="CC903" s="20"/>
      <c r="CD903" s="154"/>
    </row>
    <row r="904" spans="35:82">
      <c r="AI904" s="19"/>
      <c r="AO904" s="19"/>
      <c r="AY904" s="145"/>
      <c r="AZ904" s="16"/>
      <c r="BC904" s="16"/>
      <c r="BD904" s="20"/>
      <c r="BE904" s="17"/>
      <c r="BF904" s="20"/>
      <c r="BG904" s="146"/>
      <c r="BH904" s="146"/>
      <c r="BI904" s="146"/>
      <c r="BJ904" s="20"/>
      <c r="BK904" s="20"/>
      <c r="BL904" s="154"/>
      <c r="BP904" s="20"/>
      <c r="BQ904" s="154"/>
      <c r="BR904" s="18"/>
      <c r="BS904" s="16"/>
      <c r="BT904" s="18"/>
      <c r="BU904" s="18"/>
      <c r="BV904" s="18"/>
      <c r="BW904" s="20"/>
      <c r="BX904" s="154"/>
      <c r="BY904" s="18"/>
      <c r="BZ904" s="146"/>
      <c r="CA904" s="18"/>
      <c r="CB904" s="18"/>
      <c r="CC904" s="20"/>
      <c r="CD904" s="154"/>
    </row>
    <row r="905" spans="35:82">
      <c r="AI905" s="19"/>
      <c r="AO905" s="19"/>
      <c r="AY905" s="145"/>
      <c r="AZ905" s="16"/>
      <c r="BC905" s="16"/>
      <c r="BD905" s="20"/>
      <c r="BE905" s="17"/>
      <c r="BF905" s="20"/>
      <c r="BG905" s="146"/>
      <c r="BH905" s="146"/>
      <c r="BI905" s="146"/>
      <c r="BJ905" s="20"/>
      <c r="BK905" s="20"/>
      <c r="BL905" s="154"/>
      <c r="BP905" s="20"/>
      <c r="BQ905" s="154"/>
      <c r="BR905" s="18"/>
      <c r="BS905" s="16"/>
      <c r="BT905" s="18"/>
      <c r="BU905" s="18"/>
      <c r="BV905" s="18"/>
      <c r="BW905" s="20"/>
      <c r="BX905" s="154"/>
      <c r="BY905" s="18"/>
      <c r="BZ905" s="146"/>
      <c r="CA905" s="18"/>
      <c r="CB905" s="18"/>
      <c r="CC905" s="20"/>
      <c r="CD905" s="154"/>
    </row>
    <row r="906" spans="35:82">
      <c r="AI906" s="19"/>
      <c r="AO906" s="19"/>
      <c r="AY906" s="145"/>
      <c r="AZ906" s="16"/>
      <c r="BC906" s="16"/>
      <c r="BD906" s="20"/>
      <c r="BE906" s="17"/>
      <c r="BF906" s="20"/>
      <c r="BG906" s="146"/>
      <c r="BH906" s="146"/>
      <c r="BI906" s="146"/>
      <c r="BJ906" s="20"/>
      <c r="BK906" s="20"/>
      <c r="BL906" s="154"/>
      <c r="BP906" s="20"/>
      <c r="BQ906" s="154"/>
      <c r="BR906" s="18"/>
      <c r="BS906" s="16"/>
      <c r="BT906" s="18"/>
      <c r="BU906" s="18"/>
      <c r="BV906" s="18"/>
      <c r="BW906" s="20"/>
      <c r="BX906" s="154"/>
      <c r="BY906" s="18"/>
      <c r="BZ906" s="146"/>
      <c r="CA906" s="18"/>
      <c r="CB906" s="18"/>
      <c r="CC906" s="20"/>
      <c r="CD906" s="154"/>
    </row>
    <row r="907" spans="35:82">
      <c r="AI907" s="19"/>
      <c r="AO907" s="19"/>
      <c r="AY907" s="145"/>
      <c r="AZ907" s="16"/>
      <c r="BC907" s="16"/>
      <c r="BD907" s="20"/>
      <c r="BE907" s="17"/>
      <c r="BF907" s="20"/>
      <c r="BG907" s="146"/>
      <c r="BH907" s="146"/>
      <c r="BI907" s="146"/>
      <c r="BJ907" s="20"/>
      <c r="BK907" s="20"/>
      <c r="BL907" s="154"/>
      <c r="BP907" s="20"/>
      <c r="BQ907" s="154"/>
      <c r="BR907" s="18"/>
      <c r="BS907" s="16"/>
      <c r="BT907" s="18"/>
      <c r="BU907" s="18"/>
      <c r="BV907" s="18"/>
      <c r="BW907" s="20"/>
      <c r="BX907" s="154"/>
      <c r="BY907" s="18"/>
      <c r="BZ907" s="146"/>
      <c r="CA907" s="18"/>
      <c r="CB907" s="18"/>
      <c r="CC907" s="20"/>
      <c r="CD907" s="154"/>
    </row>
    <row r="908" spans="35:82">
      <c r="AI908" s="19"/>
      <c r="AO908" s="19"/>
      <c r="AY908" s="145"/>
      <c r="AZ908" s="16"/>
      <c r="BC908" s="16"/>
      <c r="BD908" s="20"/>
      <c r="BE908" s="17"/>
      <c r="BF908" s="20"/>
      <c r="BG908" s="146"/>
      <c r="BH908" s="146"/>
      <c r="BI908" s="146"/>
      <c r="BJ908" s="20"/>
      <c r="BK908" s="20"/>
      <c r="BL908" s="154"/>
      <c r="BP908" s="20"/>
      <c r="BQ908" s="154"/>
      <c r="BR908" s="18"/>
      <c r="BS908" s="16"/>
      <c r="BT908" s="18"/>
      <c r="BU908" s="18"/>
      <c r="BV908" s="18"/>
      <c r="BW908" s="20"/>
      <c r="BX908" s="154"/>
      <c r="BY908" s="18"/>
      <c r="BZ908" s="146"/>
      <c r="CA908" s="18"/>
      <c r="CB908" s="18"/>
      <c r="CC908" s="20"/>
      <c r="CD908" s="154"/>
    </row>
    <row r="909" spans="35:82">
      <c r="AI909" s="19"/>
      <c r="AO909" s="19"/>
      <c r="AY909" s="145"/>
      <c r="AZ909" s="16"/>
      <c r="BC909" s="16"/>
      <c r="BD909" s="20"/>
      <c r="BE909" s="17"/>
      <c r="BF909" s="20"/>
      <c r="BG909" s="146"/>
      <c r="BH909" s="146"/>
      <c r="BI909" s="146"/>
      <c r="BJ909" s="20"/>
      <c r="BK909" s="20"/>
      <c r="BL909" s="154"/>
      <c r="BP909" s="20"/>
      <c r="BQ909" s="154"/>
      <c r="BR909" s="18"/>
      <c r="BS909" s="16"/>
      <c r="BT909" s="18"/>
      <c r="BU909" s="18"/>
      <c r="BV909" s="18"/>
      <c r="BW909" s="20"/>
      <c r="BX909" s="154"/>
      <c r="BY909" s="18"/>
      <c r="BZ909" s="146"/>
      <c r="CA909" s="18"/>
      <c r="CB909" s="18"/>
      <c r="CC909" s="20"/>
      <c r="CD909" s="154"/>
    </row>
    <row r="910" spans="35:82">
      <c r="AI910" s="19"/>
      <c r="AO910" s="19"/>
      <c r="AY910" s="145"/>
      <c r="AZ910" s="16"/>
      <c r="BC910" s="16"/>
      <c r="BD910" s="20"/>
      <c r="BE910" s="17"/>
      <c r="BF910" s="20"/>
      <c r="BG910" s="146"/>
      <c r="BH910" s="146"/>
      <c r="BI910" s="146"/>
      <c r="BJ910" s="20"/>
      <c r="BK910" s="20"/>
      <c r="BL910" s="154"/>
      <c r="BP910" s="20"/>
      <c r="BQ910" s="154"/>
      <c r="BR910" s="18"/>
      <c r="BS910" s="16"/>
      <c r="BT910" s="18"/>
      <c r="BU910" s="18"/>
      <c r="BV910" s="18"/>
      <c r="BW910" s="20"/>
      <c r="BX910" s="154"/>
      <c r="BY910" s="18"/>
      <c r="BZ910" s="146"/>
      <c r="CA910" s="18"/>
      <c r="CB910" s="18"/>
      <c r="CC910" s="20"/>
      <c r="CD910" s="154"/>
    </row>
    <row r="911" spans="35:82">
      <c r="AI911" s="19"/>
      <c r="AO911" s="19"/>
      <c r="AY911" s="145"/>
      <c r="AZ911" s="16"/>
      <c r="BC911" s="16"/>
      <c r="BD911" s="20"/>
      <c r="BE911" s="17"/>
      <c r="BF911" s="20"/>
      <c r="BG911" s="146"/>
      <c r="BH911" s="146"/>
      <c r="BI911" s="146"/>
      <c r="BJ911" s="20"/>
      <c r="BK911" s="20"/>
      <c r="BL911" s="154"/>
      <c r="BP911" s="20"/>
      <c r="BQ911" s="154"/>
      <c r="BR911" s="18"/>
      <c r="BS911" s="16"/>
      <c r="BT911" s="18"/>
      <c r="BU911" s="18"/>
      <c r="BV911" s="18"/>
      <c r="BW911" s="20"/>
      <c r="BX911" s="154"/>
      <c r="BY911" s="18"/>
      <c r="BZ911" s="146"/>
      <c r="CA911" s="18"/>
      <c r="CB911" s="18"/>
      <c r="CC911" s="20"/>
      <c r="CD911" s="154"/>
    </row>
    <row r="912" spans="35:82">
      <c r="AI912" s="19"/>
      <c r="AO912" s="19"/>
      <c r="AY912" s="145"/>
      <c r="AZ912" s="16"/>
      <c r="BC912" s="16"/>
      <c r="BD912" s="20"/>
      <c r="BE912" s="17"/>
      <c r="BF912" s="20"/>
      <c r="BG912" s="146"/>
      <c r="BH912" s="146"/>
      <c r="BI912" s="146"/>
      <c r="BJ912" s="20"/>
      <c r="BK912" s="20"/>
      <c r="BL912" s="154"/>
      <c r="BP912" s="20"/>
      <c r="BQ912" s="154"/>
      <c r="BR912" s="18"/>
      <c r="BS912" s="16"/>
      <c r="BT912" s="18"/>
      <c r="BU912" s="18"/>
      <c r="BV912" s="18"/>
      <c r="BW912" s="20"/>
      <c r="BX912" s="154"/>
      <c r="BY912" s="18"/>
      <c r="BZ912" s="146"/>
      <c r="CA912" s="18"/>
      <c r="CB912" s="18"/>
      <c r="CC912" s="20"/>
      <c r="CD912" s="154"/>
    </row>
    <row r="913" spans="35:82">
      <c r="AI913" s="19"/>
      <c r="AO913" s="19"/>
      <c r="AY913" s="145"/>
      <c r="AZ913" s="16"/>
      <c r="BC913" s="16"/>
      <c r="BD913" s="20"/>
      <c r="BE913" s="17"/>
      <c r="BF913" s="20"/>
      <c r="BG913" s="146"/>
      <c r="BH913" s="146"/>
      <c r="BI913" s="146"/>
      <c r="BJ913" s="20"/>
      <c r="BK913" s="20"/>
      <c r="BL913" s="154"/>
      <c r="BP913" s="20"/>
      <c r="BQ913" s="154"/>
      <c r="BR913" s="18"/>
      <c r="BS913" s="16"/>
      <c r="BT913" s="18"/>
      <c r="BU913" s="18"/>
      <c r="BV913" s="18"/>
      <c r="BW913" s="20"/>
      <c r="BX913" s="154"/>
      <c r="BY913" s="18"/>
      <c r="BZ913" s="146"/>
      <c r="CA913" s="18"/>
      <c r="CB913" s="18"/>
      <c r="CC913" s="20"/>
      <c r="CD913" s="154"/>
    </row>
    <row r="914" spans="35:82">
      <c r="AI914" s="19"/>
      <c r="AO914" s="19"/>
      <c r="AY914" s="145"/>
      <c r="AZ914" s="16"/>
      <c r="BC914" s="16"/>
      <c r="BD914" s="20"/>
      <c r="BE914" s="17"/>
      <c r="BF914" s="20"/>
      <c r="BG914" s="146"/>
      <c r="BH914" s="146"/>
      <c r="BI914" s="146"/>
      <c r="BJ914" s="20"/>
      <c r="BK914" s="20"/>
      <c r="BL914" s="154"/>
      <c r="BP914" s="20"/>
      <c r="BQ914" s="154"/>
      <c r="BR914" s="18"/>
      <c r="BS914" s="16"/>
      <c r="BT914" s="18"/>
      <c r="BU914" s="18"/>
      <c r="BV914" s="18"/>
      <c r="BW914" s="20"/>
      <c r="BX914" s="154"/>
      <c r="BY914" s="18"/>
      <c r="BZ914" s="146"/>
      <c r="CA914" s="18"/>
      <c r="CB914" s="18"/>
      <c r="CC914" s="20"/>
      <c r="CD914" s="154"/>
    </row>
    <row r="915" spans="35:82">
      <c r="AI915" s="19"/>
      <c r="AO915" s="19"/>
      <c r="AY915" s="145"/>
      <c r="AZ915" s="16"/>
      <c r="BC915" s="16"/>
      <c r="BD915" s="20"/>
      <c r="BE915" s="17"/>
      <c r="BF915" s="20"/>
      <c r="BG915" s="146"/>
      <c r="BH915" s="146"/>
      <c r="BI915" s="146"/>
      <c r="BJ915" s="20"/>
      <c r="BK915" s="20"/>
      <c r="BL915" s="154"/>
      <c r="BP915" s="20"/>
      <c r="BQ915" s="154"/>
      <c r="BR915" s="18"/>
      <c r="BS915" s="16"/>
      <c r="BT915" s="18"/>
      <c r="BU915" s="18"/>
      <c r="BV915" s="18"/>
      <c r="BW915" s="20"/>
      <c r="BX915" s="154"/>
      <c r="BY915" s="18"/>
      <c r="BZ915" s="146"/>
      <c r="CA915" s="18"/>
      <c r="CB915" s="18"/>
      <c r="CC915" s="20"/>
      <c r="CD915" s="154"/>
    </row>
    <row r="916" spans="35:82">
      <c r="AI916" s="19"/>
      <c r="AO916" s="19"/>
      <c r="AY916" s="145"/>
      <c r="AZ916" s="16"/>
      <c r="BC916" s="16"/>
      <c r="BD916" s="20"/>
      <c r="BE916" s="17"/>
      <c r="BF916" s="20"/>
      <c r="BG916" s="146"/>
      <c r="BH916" s="146"/>
      <c r="BI916" s="146"/>
      <c r="BJ916" s="20"/>
      <c r="BK916" s="20"/>
      <c r="BL916" s="154"/>
      <c r="BP916" s="20"/>
      <c r="BQ916" s="154"/>
      <c r="BR916" s="18"/>
      <c r="BS916" s="16"/>
      <c r="BT916" s="18"/>
      <c r="BU916" s="18"/>
      <c r="BV916" s="18"/>
      <c r="BW916" s="20"/>
      <c r="BX916" s="154"/>
      <c r="BY916" s="18"/>
      <c r="BZ916" s="146"/>
      <c r="CA916" s="18"/>
      <c r="CB916" s="18"/>
      <c r="CC916" s="20"/>
      <c r="CD916" s="154"/>
    </row>
    <row r="917" spans="35:82">
      <c r="AI917" s="19"/>
      <c r="AO917" s="19"/>
      <c r="AY917" s="145"/>
      <c r="AZ917" s="16"/>
      <c r="BC917" s="16"/>
      <c r="BD917" s="20"/>
      <c r="BE917" s="17"/>
      <c r="BF917" s="20"/>
      <c r="BG917" s="146"/>
      <c r="BH917" s="146"/>
      <c r="BI917" s="146"/>
      <c r="BJ917" s="20"/>
      <c r="BK917" s="20"/>
      <c r="BL917" s="154"/>
      <c r="BP917" s="20"/>
      <c r="BQ917" s="154"/>
      <c r="BR917" s="18"/>
      <c r="BS917" s="16"/>
      <c r="BT917" s="18"/>
      <c r="BU917" s="18"/>
      <c r="BV917" s="18"/>
      <c r="BW917" s="20"/>
      <c r="BX917" s="154"/>
      <c r="BY917" s="18"/>
      <c r="BZ917" s="146"/>
      <c r="CA917" s="18"/>
      <c r="CB917" s="18"/>
      <c r="CC917" s="20"/>
      <c r="CD917" s="154"/>
    </row>
    <row r="918" spans="35:82">
      <c r="AI918" s="19"/>
      <c r="AO918" s="19"/>
      <c r="AY918" s="145"/>
      <c r="AZ918" s="16"/>
      <c r="BC918" s="16"/>
      <c r="BD918" s="20"/>
      <c r="BE918" s="17"/>
      <c r="BF918" s="20"/>
      <c r="BG918" s="146"/>
      <c r="BH918" s="146"/>
      <c r="BI918" s="146"/>
      <c r="BJ918" s="20"/>
      <c r="BK918" s="20"/>
      <c r="BL918" s="154"/>
      <c r="BP918" s="20"/>
      <c r="BQ918" s="154"/>
      <c r="BR918" s="18"/>
      <c r="BS918" s="16"/>
      <c r="BT918" s="18"/>
      <c r="BU918" s="18"/>
      <c r="BV918" s="18"/>
      <c r="BW918" s="20"/>
      <c r="BX918" s="154"/>
      <c r="BY918" s="18"/>
      <c r="BZ918" s="146"/>
      <c r="CA918" s="18"/>
      <c r="CB918" s="18"/>
      <c r="CC918" s="20"/>
      <c r="CD918" s="154"/>
    </row>
    <row r="919" spans="35:82">
      <c r="AI919" s="19"/>
      <c r="AO919" s="19"/>
      <c r="AY919" s="145"/>
      <c r="AZ919" s="16"/>
      <c r="BC919" s="16"/>
      <c r="BD919" s="20"/>
      <c r="BE919" s="17"/>
      <c r="BF919" s="20"/>
      <c r="BG919" s="146"/>
      <c r="BH919" s="146"/>
      <c r="BI919" s="146"/>
      <c r="BJ919" s="20"/>
      <c r="BK919" s="20"/>
      <c r="BL919" s="154"/>
      <c r="BP919" s="20"/>
      <c r="BQ919" s="154"/>
      <c r="BR919" s="18"/>
      <c r="BS919" s="16"/>
      <c r="BT919" s="18"/>
      <c r="BU919" s="18"/>
      <c r="BV919" s="18"/>
      <c r="BW919" s="20"/>
      <c r="BX919" s="154"/>
      <c r="BY919" s="18"/>
      <c r="BZ919" s="146"/>
      <c r="CA919" s="18"/>
      <c r="CB919" s="18"/>
      <c r="CC919" s="20"/>
      <c r="CD919" s="154"/>
    </row>
    <row r="920" spans="35:82">
      <c r="AI920" s="19"/>
      <c r="AO920" s="19"/>
      <c r="AY920" s="145"/>
      <c r="AZ920" s="16"/>
      <c r="BC920" s="16"/>
      <c r="BD920" s="20"/>
      <c r="BE920" s="17"/>
      <c r="BF920" s="20"/>
      <c r="BG920" s="146"/>
      <c r="BH920" s="146"/>
      <c r="BI920" s="146"/>
      <c r="BJ920" s="20"/>
      <c r="BK920" s="20"/>
      <c r="BL920" s="154"/>
      <c r="BP920" s="20"/>
      <c r="BQ920" s="154"/>
      <c r="BR920" s="18"/>
      <c r="BS920" s="16"/>
      <c r="BT920" s="18"/>
      <c r="BU920" s="18"/>
      <c r="BV920" s="18"/>
      <c r="BW920" s="20"/>
      <c r="BX920" s="154"/>
      <c r="BY920" s="18"/>
      <c r="BZ920" s="146"/>
      <c r="CA920" s="18"/>
      <c r="CB920" s="18"/>
      <c r="CC920" s="20"/>
      <c r="CD920" s="154"/>
    </row>
    <row r="921" spans="35:82">
      <c r="AI921" s="19"/>
      <c r="AO921" s="19"/>
      <c r="AY921" s="145"/>
      <c r="AZ921" s="16"/>
      <c r="BC921" s="16"/>
      <c r="BD921" s="20"/>
      <c r="BE921" s="17"/>
      <c r="BF921" s="20"/>
      <c r="BG921" s="146"/>
      <c r="BH921" s="146"/>
      <c r="BI921" s="146"/>
      <c r="BJ921" s="20"/>
      <c r="BK921" s="20"/>
      <c r="BL921" s="154"/>
      <c r="BP921" s="20"/>
      <c r="BQ921" s="154"/>
      <c r="BR921" s="18"/>
      <c r="BS921" s="16"/>
      <c r="BT921" s="18"/>
      <c r="BU921" s="18"/>
      <c r="BV921" s="18"/>
      <c r="BW921" s="20"/>
      <c r="BX921" s="154"/>
      <c r="BY921" s="18"/>
      <c r="BZ921" s="146"/>
      <c r="CA921" s="18"/>
      <c r="CB921" s="18"/>
      <c r="CC921" s="20"/>
      <c r="CD921" s="154"/>
    </row>
    <row r="922" spans="35:82">
      <c r="AI922" s="19"/>
      <c r="AO922" s="19"/>
      <c r="AY922" s="145"/>
      <c r="AZ922" s="16"/>
      <c r="BC922" s="16"/>
      <c r="BD922" s="20"/>
      <c r="BE922" s="17"/>
      <c r="BF922" s="20"/>
      <c r="BG922" s="146"/>
      <c r="BH922" s="146"/>
      <c r="BI922" s="146"/>
      <c r="BJ922" s="20"/>
      <c r="BK922" s="20"/>
      <c r="BL922" s="154"/>
      <c r="BP922" s="20"/>
      <c r="BQ922" s="154"/>
      <c r="BR922" s="18"/>
      <c r="BS922" s="16"/>
      <c r="BT922" s="18"/>
      <c r="BU922" s="18"/>
      <c r="BV922" s="18"/>
      <c r="BW922" s="20"/>
      <c r="BX922" s="154"/>
      <c r="BY922" s="18"/>
      <c r="BZ922" s="146"/>
      <c r="CA922" s="18"/>
      <c r="CB922" s="18"/>
      <c r="CC922" s="20"/>
      <c r="CD922" s="154"/>
    </row>
    <row r="923" spans="35:82">
      <c r="AI923" s="19"/>
      <c r="AO923" s="19"/>
      <c r="AY923" s="145"/>
      <c r="AZ923" s="16"/>
      <c r="BC923" s="16"/>
      <c r="BD923" s="20"/>
      <c r="BE923" s="17"/>
      <c r="BF923" s="20"/>
      <c r="BG923" s="146"/>
      <c r="BH923" s="146"/>
      <c r="BI923" s="146"/>
      <c r="BJ923" s="20"/>
      <c r="BK923" s="20"/>
      <c r="BL923" s="154"/>
      <c r="BP923" s="20"/>
      <c r="BQ923" s="154"/>
      <c r="BR923" s="18"/>
      <c r="BS923" s="16"/>
      <c r="BT923" s="18"/>
      <c r="BU923" s="18"/>
      <c r="BV923" s="18"/>
      <c r="BW923" s="20"/>
      <c r="BX923" s="154"/>
      <c r="BY923" s="18"/>
      <c r="BZ923" s="146"/>
      <c r="CA923" s="18"/>
      <c r="CB923" s="18"/>
      <c r="CC923" s="20"/>
      <c r="CD923" s="154"/>
    </row>
    <row r="924" spans="35:82">
      <c r="AI924" s="19"/>
      <c r="AO924" s="19"/>
      <c r="AY924" s="145"/>
      <c r="AZ924" s="16"/>
      <c r="BC924" s="16"/>
      <c r="BD924" s="20"/>
      <c r="BE924" s="17"/>
      <c r="BF924" s="20"/>
      <c r="BG924" s="146"/>
      <c r="BH924" s="146"/>
      <c r="BI924" s="146"/>
      <c r="BJ924" s="20"/>
      <c r="BK924" s="20"/>
      <c r="BL924" s="154"/>
      <c r="BP924" s="20"/>
      <c r="BQ924" s="154"/>
      <c r="BR924" s="18"/>
      <c r="BS924" s="16"/>
      <c r="BT924" s="18"/>
      <c r="BU924" s="18"/>
      <c r="BV924" s="18"/>
      <c r="BW924" s="20"/>
      <c r="BX924" s="154"/>
      <c r="BY924" s="18"/>
      <c r="BZ924" s="146"/>
      <c r="CA924" s="18"/>
      <c r="CB924" s="18"/>
      <c r="CC924" s="20"/>
      <c r="CD924" s="154"/>
    </row>
    <row r="925" spans="35:82">
      <c r="AI925" s="19"/>
      <c r="AO925" s="19"/>
      <c r="AY925" s="145"/>
      <c r="AZ925" s="16"/>
      <c r="BC925" s="16"/>
      <c r="BD925" s="20"/>
      <c r="BE925" s="17"/>
      <c r="BF925" s="20"/>
      <c r="BG925" s="146"/>
      <c r="BH925" s="146"/>
      <c r="BI925" s="146"/>
      <c r="BJ925" s="20"/>
      <c r="BK925" s="20"/>
      <c r="BL925" s="154"/>
      <c r="BP925" s="20"/>
      <c r="BQ925" s="154"/>
      <c r="BR925" s="18"/>
      <c r="BS925" s="16"/>
      <c r="BT925" s="18"/>
      <c r="BU925" s="18"/>
      <c r="BV925" s="18"/>
      <c r="BW925" s="20"/>
      <c r="BX925" s="154"/>
      <c r="BY925" s="18"/>
      <c r="BZ925" s="146"/>
      <c r="CA925" s="18"/>
      <c r="CB925" s="18"/>
      <c r="CC925" s="20"/>
      <c r="CD925" s="154"/>
    </row>
    <row r="926" spans="35:82">
      <c r="AI926" s="19"/>
      <c r="AO926" s="19"/>
      <c r="AY926" s="145"/>
      <c r="AZ926" s="16"/>
      <c r="BC926" s="16"/>
      <c r="BD926" s="20"/>
      <c r="BE926" s="17"/>
      <c r="BF926" s="20"/>
      <c r="BG926" s="146"/>
      <c r="BH926" s="146"/>
      <c r="BI926" s="146"/>
      <c r="BJ926" s="20"/>
      <c r="BK926" s="20"/>
      <c r="BL926" s="154"/>
      <c r="BP926" s="20"/>
      <c r="BQ926" s="154"/>
      <c r="BR926" s="18"/>
      <c r="BS926" s="16"/>
      <c r="BT926" s="18"/>
      <c r="BU926" s="18"/>
      <c r="BV926" s="18"/>
      <c r="BW926" s="20"/>
      <c r="BX926" s="154"/>
      <c r="BY926" s="18"/>
      <c r="BZ926" s="146"/>
      <c r="CA926" s="18"/>
      <c r="CB926" s="18"/>
      <c r="CC926" s="20"/>
      <c r="CD926" s="154"/>
    </row>
    <row r="927" spans="35:82">
      <c r="AI927" s="19"/>
      <c r="AO927" s="19"/>
      <c r="AY927" s="145"/>
      <c r="AZ927" s="16"/>
      <c r="BC927" s="16"/>
      <c r="BD927" s="20"/>
      <c r="BE927" s="17"/>
      <c r="BF927" s="20"/>
      <c r="BG927" s="146"/>
      <c r="BH927" s="146"/>
      <c r="BI927" s="146"/>
      <c r="BJ927" s="20"/>
      <c r="BK927" s="20"/>
      <c r="BL927" s="154"/>
      <c r="BP927" s="20"/>
      <c r="BQ927" s="154"/>
      <c r="BR927" s="18"/>
      <c r="BS927" s="16"/>
      <c r="BT927" s="18"/>
      <c r="BU927" s="18"/>
      <c r="BV927" s="18"/>
      <c r="BW927" s="20"/>
      <c r="BX927" s="154"/>
      <c r="BY927" s="18"/>
      <c r="BZ927" s="146"/>
      <c r="CA927" s="18"/>
      <c r="CB927" s="18"/>
      <c r="CC927" s="20"/>
      <c r="CD927" s="154"/>
    </row>
    <row r="928" spans="35:82">
      <c r="AI928" s="19"/>
      <c r="AO928" s="19"/>
      <c r="AY928" s="145"/>
      <c r="AZ928" s="16"/>
      <c r="BC928" s="16"/>
      <c r="BD928" s="20"/>
      <c r="BE928" s="17"/>
      <c r="BF928" s="20"/>
      <c r="BG928" s="146"/>
      <c r="BH928" s="146"/>
      <c r="BI928" s="146"/>
      <c r="BJ928" s="20"/>
      <c r="BK928" s="20"/>
      <c r="BL928" s="154"/>
      <c r="BP928" s="20"/>
      <c r="BQ928" s="154"/>
      <c r="BR928" s="18"/>
      <c r="BS928" s="16"/>
      <c r="BT928" s="18"/>
      <c r="BU928" s="18"/>
      <c r="BV928" s="18"/>
      <c r="BW928" s="20"/>
      <c r="BX928" s="154"/>
      <c r="BY928" s="18"/>
      <c r="BZ928" s="146"/>
      <c r="CA928" s="18"/>
      <c r="CB928" s="18"/>
      <c r="CC928" s="20"/>
      <c r="CD928" s="154"/>
    </row>
    <row r="929" spans="35:82">
      <c r="AI929" s="19"/>
      <c r="AO929" s="19"/>
      <c r="AY929" s="145"/>
      <c r="AZ929" s="16"/>
      <c r="BC929" s="16"/>
      <c r="BD929" s="20"/>
      <c r="BE929" s="17"/>
      <c r="BF929" s="20"/>
      <c r="BG929" s="146"/>
      <c r="BH929" s="146"/>
      <c r="BI929" s="146"/>
      <c r="BJ929" s="20"/>
      <c r="BK929" s="20"/>
      <c r="BL929" s="154"/>
      <c r="BP929" s="20"/>
      <c r="BQ929" s="154"/>
      <c r="BR929" s="18"/>
      <c r="BS929" s="16"/>
      <c r="BT929" s="18"/>
      <c r="BU929" s="18"/>
      <c r="BV929" s="18"/>
      <c r="BW929" s="20"/>
      <c r="BX929" s="154"/>
      <c r="BY929" s="18"/>
      <c r="BZ929" s="146"/>
      <c r="CA929" s="18"/>
      <c r="CB929" s="18"/>
      <c r="CC929" s="20"/>
      <c r="CD929" s="154"/>
    </row>
    <row r="930" spans="35:82">
      <c r="AI930" s="19"/>
      <c r="AO930" s="19"/>
      <c r="AY930" s="145"/>
      <c r="AZ930" s="16"/>
      <c r="BC930" s="16"/>
      <c r="BD930" s="20"/>
      <c r="BE930" s="17"/>
      <c r="BF930" s="20"/>
      <c r="BG930" s="146"/>
      <c r="BH930" s="146"/>
      <c r="BI930" s="146"/>
      <c r="BJ930" s="20"/>
      <c r="BK930" s="20"/>
      <c r="BL930" s="154"/>
      <c r="BP930" s="20"/>
      <c r="BQ930" s="154"/>
      <c r="BR930" s="18"/>
      <c r="BS930" s="16"/>
      <c r="BT930" s="18"/>
      <c r="BU930" s="18"/>
      <c r="BV930" s="18"/>
      <c r="BW930" s="20"/>
      <c r="BX930" s="154"/>
      <c r="BY930" s="18"/>
      <c r="BZ930" s="146"/>
      <c r="CA930" s="18"/>
      <c r="CB930" s="18"/>
      <c r="CC930" s="20"/>
      <c r="CD930" s="154"/>
    </row>
    <row r="931" spans="35:82">
      <c r="AI931" s="19"/>
      <c r="AO931" s="19"/>
      <c r="AY931" s="145"/>
      <c r="AZ931" s="16"/>
      <c r="BC931" s="16"/>
      <c r="BD931" s="20"/>
      <c r="BE931" s="17"/>
      <c r="BF931" s="20"/>
      <c r="BG931" s="146"/>
      <c r="BH931" s="146"/>
      <c r="BI931" s="146"/>
      <c r="BJ931" s="20"/>
      <c r="BK931" s="20"/>
      <c r="BL931" s="154"/>
      <c r="BP931" s="20"/>
      <c r="BQ931" s="154"/>
      <c r="BR931" s="18"/>
      <c r="BS931" s="16"/>
      <c r="BT931" s="18"/>
      <c r="BU931" s="18"/>
      <c r="BV931" s="18"/>
      <c r="BW931" s="20"/>
      <c r="BX931" s="154"/>
      <c r="BY931" s="18"/>
      <c r="BZ931" s="146"/>
      <c r="CA931" s="18"/>
      <c r="CB931" s="18"/>
      <c r="CC931" s="20"/>
      <c r="CD931" s="154"/>
    </row>
    <row r="932" spans="35:82">
      <c r="AI932" s="19"/>
      <c r="AO932" s="19"/>
      <c r="AY932" s="145"/>
      <c r="AZ932" s="16"/>
      <c r="BC932" s="16"/>
      <c r="BD932" s="20"/>
      <c r="BE932" s="17"/>
      <c r="BF932" s="20"/>
      <c r="BG932" s="146"/>
      <c r="BH932" s="146"/>
      <c r="BI932" s="146"/>
      <c r="BJ932" s="20"/>
      <c r="BK932" s="20"/>
      <c r="BL932" s="154"/>
      <c r="BP932" s="20"/>
      <c r="BQ932" s="154"/>
      <c r="BR932" s="18"/>
      <c r="BS932" s="16"/>
      <c r="BT932" s="18"/>
      <c r="BU932" s="18"/>
      <c r="BV932" s="18"/>
      <c r="BW932" s="20"/>
      <c r="BX932" s="154"/>
      <c r="BY932" s="18"/>
      <c r="BZ932" s="146"/>
      <c r="CA932" s="18"/>
      <c r="CB932" s="18"/>
      <c r="CC932" s="20"/>
      <c r="CD932" s="154"/>
    </row>
    <row r="933" spans="35:82">
      <c r="AI933" s="19"/>
      <c r="AO933" s="19"/>
      <c r="AY933" s="145"/>
      <c r="AZ933" s="16"/>
      <c r="BC933" s="16"/>
      <c r="BD933" s="20"/>
      <c r="BE933" s="17"/>
      <c r="BF933" s="20"/>
      <c r="BG933" s="146"/>
      <c r="BH933" s="146"/>
      <c r="BI933" s="146"/>
      <c r="BJ933" s="20"/>
      <c r="BK933" s="20"/>
      <c r="BL933" s="154"/>
      <c r="BP933" s="20"/>
      <c r="BQ933" s="154"/>
      <c r="BR933" s="18"/>
      <c r="BS933" s="16"/>
      <c r="BT933" s="18"/>
      <c r="BU933" s="18"/>
      <c r="BV933" s="18"/>
      <c r="BW933" s="20"/>
      <c r="BX933" s="154"/>
      <c r="BY933" s="18"/>
      <c r="BZ933" s="146"/>
      <c r="CA933" s="18"/>
      <c r="CB933" s="18"/>
      <c r="CC933" s="20"/>
      <c r="CD933" s="154"/>
    </row>
    <row r="934" spans="35:82">
      <c r="AI934" s="19"/>
      <c r="AO934" s="19"/>
      <c r="AY934" s="145"/>
      <c r="AZ934" s="16"/>
      <c r="BC934" s="16"/>
      <c r="BD934" s="20"/>
      <c r="BE934" s="17"/>
      <c r="BF934" s="20"/>
      <c r="BG934" s="146"/>
      <c r="BH934" s="146"/>
      <c r="BI934" s="146"/>
      <c r="BJ934" s="20"/>
      <c r="BK934" s="20"/>
      <c r="BL934" s="154"/>
      <c r="BP934" s="20"/>
      <c r="BQ934" s="154"/>
      <c r="BR934" s="18"/>
      <c r="BS934" s="16"/>
      <c r="BT934" s="18"/>
      <c r="BU934" s="18"/>
      <c r="BV934" s="18"/>
      <c r="BW934" s="20"/>
      <c r="BX934" s="154"/>
      <c r="BY934" s="18"/>
      <c r="BZ934" s="146"/>
      <c r="CA934" s="18"/>
      <c r="CB934" s="18"/>
      <c r="CC934" s="20"/>
      <c r="CD934" s="154"/>
    </row>
    <row r="935" spans="35:82">
      <c r="AI935" s="19"/>
      <c r="AO935" s="19"/>
      <c r="AY935" s="145"/>
      <c r="AZ935" s="16"/>
      <c r="BC935" s="16"/>
      <c r="BD935" s="20"/>
      <c r="BE935" s="17"/>
      <c r="BF935" s="20"/>
      <c r="BG935" s="146"/>
      <c r="BH935" s="146"/>
      <c r="BI935" s="146"/>
      <c r="BJ935" s="20"/>
      <c r="BK935" s="20"/>
      <c r="BL935" s="154"/>
      <c r="BP935" s="20"/>
      <c r="BQ935" s="154"/>
      <c r="BR935" s="18"/>
      <c r="BS935" s="16"/>
      <c r="BT935" s="18"/>
      <c r="BU935" s="18"/>
      <c r="BV935" s="18"/>
      <c r="BW935" s="20"/>
      <c r="BX935" s="154"/>
      <c r="BY935" s="18"/>
      <c r="BZ935" s="146"/>
      <c r="CA935" s="18"/>
      <c r="CB935" s="18"/>
      <c r="CC935" s="20"/>
      <c r="CD935" s="154"/>
    </row>
    <row r="936" spans="35:82">
      <c r="AI936" s="19"/>
      <c r="AO936" s="19"/>
      <c r="AY936" s="145"/>
      <c r="AZ936" s="16"/>
      <c r="BC936" s="16"/>
      <c r="BD936" s="20"/>
      <c r="BE936" s="17"/>
      <c r="BF936" s="20"/>
      <c r="BG936" s="146"/>
      <c r="BH936" s="146"/>
      <c r="BI936" s="146"/>
      <c r="BJ936" s="20"/>
      <c r="BK936" s="20"/>
      <c r="BL936" s="154"/>
      <c r="BP936" s="20"/>
      <c r="BQ936" s="154"/>
      <c r="BR936" s="18"/>
      <c r="BS936" s="16"/>
      <c r="BT936" s="18"/>
      <c r="BU936" s="18"/>
      <c r="BV936" s="18"/>
      <c r="BW936" s="20"/>
      <c r="BX936" s="154"/>
      <c r="BY936" s="18"/>
      <c r="BZ936" s="146"/>
      <c r="CA936" s="18"/>
      <c r="CB936" s="18"/>
      <c r="CC936" s="20"/>
      <c r="CD936" s="154"/>
    </row>
    <row r="937" spans="35:82">
      <c r="AI937" s="19"/>
      <c r="AO937" s="19"/>
      <c r="AY937" s="145"/>
      <c r="AZ937" s="16"/>
      <c r="BC937" s="16"/>
      <c r="BD937" s="20"/>
      <c r="BE937" s="17"/>
      <c r="BF937" s="20"/>
      <c r="BG937" s="146"/>
      <c r="BH937" s="146"/>
      <c r="BI937" s="146"/>
      <c r="BJ937" s="20"/>
      <c r="BK937" s="20"/>
      <c r="BL937" s="154"/>
      <c r="BP937" s="20"/>
      <c r="BQ937" s="154"/>
      <c r="BR937" s="18"/>
      <c r="BS937" s="16"/>
      <c r="BT937" s="18"/>
      <c r="BU937" s="18"/>
      <c r="BV937" s="18"/>
      <c r="BW937" s="20"/>
      <c r="BX937" s="154"/>
      <c r="BY937" s="18"/>
      <c r="BZ937" s="146"/>
      <c r="CA937" s="18"/>
      <c r="CB937" s="18"/>
      <c r="CC937" s="20"/>
      <c r="CD937" s="154"/>
    </row>
    <row r="938" spans="35:82">
      <c r="AI938" s="19"/>
      <c r="AO938" s="19"/>
      <c r="AY938" s="145"/>
      <c r="AZ938" s="16"/>
      <c r="BC938" s="16"/>
      <c r="BD938" s="20"/>
      <c r="BE938" s="17"/>
      <c r="BF938" s="20"/>
      <c r="BG938" s="146"/>
      <c r="BH938" s="146"/>
      <c r="BI938" s="146"/>
      <c r="BJ938" s="20"/>
      <c r="BK938" s="20"/>
      <c r="BL938" s="154"/>
      <c r="BP938" s="20"/>
      <c r="BQ938" s="154"/>
      <c r="BR938" s="18"/>
      <c r="BS938" s="16"/>
      <c r="BT938" s="18"/>
      <c r="BU938" s="18"/>
      <c r="BV938" s="18"/>
      <c r="BW938" s="20"/>
      <c r="BX938" s="154"/>
      <c r="BY938" s="18"/>
      <c r="BZ938" s="146"/>
      <c r="CA938" s="18"/>
      <c r="CB938" s="18"/>
      <c r="CC938" s="20"/>
      <c r="CD938" s="154"/>
    </row>
    <row r="939" spans="35:82">
      <c r="AI939" s="19"/>
      <c r="AO939" s="19"/>
      <c r="AY939" s="145"/>
      <c r="AZ939" s="16"/>
      <c r="BC939" s="16"/>
      <c r="BD939" s="20"/>
      <c r="BE939" s="17"/>
      <c r="BF939" s="20"/>
      <c r="BG939" s="146"/>
      <c r="BH939" s="146"/>
      <c r="BI939" s="146"/>
      <c r="BJ939" s="20"/>
      <c r="BK939" s="20"/>
      <c r="BL939" s="154"/>
      <c r="BP939" s="20"/>
      <c r="BQ939" s="154"/>
      <c r="BR939" s="18"/>
      <c r="BS939" s="16"/>
      <c r="BT939" s="18"/>
      <c r="BU939" s="18"/>
      <c r="BV939" s="18"/>
      <c r="BW939" s="20"/>
      <c r="BX939" s="154"/>
      <c r="BY939" s="18"/>
      <c r="BZ939" s="146"/>
      <c r="CA939" s="18"/>
      <c r="CB939" s="18"/>
      <c r="CC939" s="20"/>
      <c r="CD939" s="154"/>
    </row>
    <row r="940" spans="35:82">
      <c r="AI940" s="19"/>
      <c r="AO940" s="19"/>
      <c r="AY940" s="145"/>
      <c r="AZ940" s="16"/>
      <c r="BC940" s="16"/>
      <c r="BD940" s="20"/>
      <c r="BE940" s="17"/>
      <c r="BF940" s="20"/>
      <c r="BG940" s="146"/>
      <c r="BH940" s="146"/>
      <c r="BI940" s="146"/>
      <c r="BJ940" s="20"/>
      <c r="BK940" s="20"/>
      <c r="BL940" s="154"/>
      <c r="BP940" s="20"/>
      <c r="BQ940" s="154"/>
      <c r="BR940" s="18"/>
      <c r="BS940" s="16"/>
      <c r="BT940" s="18"/>
      <c r="BU940" s="18"/>
      <c r="BV940" s="18"/>
      <c r="BW940" s="20"/>
      <c r="BX940" s="154"/>
      <c r="BY940" s="18"/>
      <c r="BZ940" s="146"/>
      <c r="CA940" s="18"/>
      <c r="CB940" s="18"/>
      <c r="CC940" s="20"/>
      <c r="CD940" s="154"/>
    </row>
    <row r="941" spans="35:82">
      <c r="AI941" s="19"/>
      <c r="AO941" s="19"/>
      <c r="AY941" s="145"/>
      <c r="AZ941" s="16"/>
      <c r="BC941" s="16"/>
      <c r="BD941" s="20"/>
      <c r="BE941" s="17"/>
      <c r="BF941" s="20"/>
      <c r="BG941" s="146"/>
      <c r="BH941" s="146"/>
      <c r="BI941" s="146"/>
      <c r="BJ941" s="20"/>
      <c r="BK941" s="20"/>
      <c r="BL941" s="154"/>
      <c r="BP941" s="20"/>
      <c r="BQ941" s="154"/>
      <c r="BR941" s="18"/>
      <c r="BS941" s="16"/>
      <c r="BT941" s="18"/>
      <c r="BU941" s="18"/>
      <c r="BV941" s="18"/>
      <c r="BW941" s="20"/>
      <c r="BX941" s="154"/>
      <c r="BY941" s="18"/>
      <c r="BZ941" s="146"/>
      <c r="CA941" s="18"/>
      <c r="CB941" s="18"/>
      <c r="CC941" s="20"/>
      <c r="CD941" s="154"/>
    </row>
    <row r="942" spans="35:82">
      <c r="AI942" s="19"/>
      <c r="AO942" s="19"/>
      <c r="AY942" s="145"/>
      <c r="AZ942" s="16"/>
      <c r="BC942" s="16"/>
      <c r="BD942" s="20"/>
      <c r="BE942" s="17"/>
      <c r="BF942" s="20"/>
      <c r="BG942" s="146"/>
      <c r="BH942" s="146"/>
      <c r="BI942" s="146"/>
      <c r="BJ942" s="20"/>
      <c r="BK942" s="20"/>
      <c r="BL942" s="154"/>
      <c r="BP942" s="20"/>
      <c r="BQ942" s="154"/>
      <c r="BR942" s="18"/>
      <c r="BS942" s="16"/>
      <c r="BT942" s="18"/>
      <c r="BU942" s="18"/>
      <c r="BV942" s="18"/>
      <c r="BW942" s="20"/>
      <c r="BX942" s="154"/>
      <c r="BY942" s="18"/>
      <c r="BZ942" s="146"/>
      <c r="CA942" s="18"/>
      <c r="CB942" s="18"/>
      <c r="CC942" s="20"/>
      <c r="CD942" s="154"/>
    </row>
    <row r="943" spans="35:82">
      <c r="AI943" s="19"/>
      <c r="AO943" s="19"/>
      <c r="AY943" s="145"/>
      <c r="AZ943" s="16"/>
      <c r="BC943" s="16"/>
      <c r="BD943" s="20"/>
      <c r="BE943" s="17"/>
      <c r="BF943" s="20"/>
      <c r="BG943" s="146"/>
      <c r="BH943" s="146"/>
      <c r="BI943" s="146"/>
      <c r="BJ943" s="20"/>
      <c r="BK943" s="20"/>
      <c r="BL943" s="154"/>
      <c r="BP943" s="20"/>
      <c r="BQ943" s="154"/>
      <c r="BR943" s="18"/>
      <c r="BS943" s="16"/>
      <c r="BT943" s="18"/>
      <c r="BU943" s="18"/>
      <c r="BV943" s="18"/>
      <c r="BW943" s="20"/>
      <c r="BX943" s="154"/>
      <c r="BY943" s="18"/>
      <c r="BZ943" s="146"/>
      <c r="CA943" s="18"/>
      <c r="CB943" s="18"/>
      <c r="CC943" s="20"/>
      <c r="CD943" s="154"/>
    </row>
    <row r="944" spans="35:82">
      <c r="AI944" s="19"/>
      <c r="AO944" s="19"/>
      <c r="AY944" s="145"/>
      <c r="AZ944" s="16"/>
      <c r="BC944" s="16"/>
      <c r="BD944" s="20"/>
      <c r="BE944" s="17"/>
      <c r="BF944" s="20"/>
      <c r="BG944" s="146"/>
      <c r="BH944" s="146"/>
      <c r="BI944" s="146"/>
      <c r="BJ944" s="20"/>
      <c r="BK944" s="20"/>
      <c r="BL944" s="154"/>
      <c r="BP944" s="20"/>
      <c r="BQ944" s="154"/>
      <c r="BR944" s="18"/>
      <c r="BS944" s="16"/>
      <c r="BT944" s="18"/>
      <c r="BU944" s="18"/>
      <c r="BV944" s="18"/>
      <c r="BW944" s="20"/>
      <c r="BX944" s="154"/>
      <c r="BY944" s="18"/>
      <c r="BZ944" s="146"/>
      <c r="CA944" s="18"/>
      <c r="CB944" s="18"/>
      <c r="CC944" s="20"/>
      <c r="CD944" s="154"/>
    </row>
    <row r="945" spans="35:82">
      <c r="AI945" s="19"/>
      <c r="AO945" s="19"/>
      <c r="AY945" s="145"/>
      <c r="AZ945" s="16"/>
      <c r="BC945" s="16"/>
      <c r="BD945" s="20"/>
      <c r="BE945" s="17"/>
      <c r="BF945" s="20"/>
      <c r="BG945" s="146"/>
      <c r="BH945" s="146"/>
      <c r="BI945" s="146"/>
      <c r="BJ945" s="20"/>
      <c r="BK945" s="20"/>
      <c r="BL945" s="154"/>
      <c r="BP945" s="20"/>
      <c r="BQ945" s="154"/>
      <c r="BR945" s="18"/>
      <c r="BS945" s="16"/>
      <c r="BT945" s="18"/>
      <c r="BU945" s="18"/>
      <c r="BV945" s="18"/>
      <c r="BW945" s="20"/>
      <c r="BX945" s="154"/>
      <c r="BY945" s="18"/>
      <c r="BZ945" s="146"/>
      <c r="CA945" s="18"/>
      <c r="CB945" s="18"/>
      <c r="CC945" s="20"/>
      <c r="CD945" s="154"/>
    </row>
    <row r="946" spans="35:82">
      <c r="AI946" s="19"/>
      <c r="AO946" s="19"/>
      <c r="AY946" s="145"/>
      <c r="AZ946" s="16"/>
      <c r="BC946" s="16"/>
      <c r="BD946" s="20"/>
      <c r="BE946" s="17"/>
      <c r="BF946" s="20"/>
      <c r="BG946" s="146"/>
      <c r="BH946" s="146"/>
      <c r="BI946" s="146"/>
      <c r="BJ946" s="20"/>
      <c r="BK946" s="20"/>
      <c r="BL946" s="154"/>
      <c r="BP946" s="20"/>
      <c r="BQ946" s="154"/>
      <c r="BR946" s="18"/>
      <c r="BS946" s="16"/>
      <c r="BT946" s="18"/>
      <c r="BU946" s="18"/>
      <c r="BV946" s="18"/>
      <c r="BW946" s="20"/>
      <c r="BX946" s="154"/>
      <c r="BY946" s="18"/>
      <c r="BZ946" s="146"/>
      <c r="CA946" s="18"/>
      <c r="CB946" s="18"/>
      <c r="CC946" s="20"/>
      <c r="CD946" s="154"/>
    </row>
    <row r="947" spans="35:82">
      <c r="AI947" s="19"/>
      <c r="AO947" s="19"/>
      <c r="AY947" s="145"/>
      <c r="AZ947" s="16"/>
      <c r="BC947" s="16"/>
      <c r="BD947" s="20"/>
      <c r="BE947" s="17"/>
      <c r="BF947" s="20"/>
      <c r="BG947" s="146"/>
      <c r="BH947" s="146"/>
      <c r="BI947" s="146"/>
      <c r="BJ947" s="20"/>
      <c r="BK947" s="20"/>
      <c r="BL947" s="154"/>
      <c r="BP947" s="20"/>
      <c r="BQ947" s="154"/>
      <c r="BR947" s="18"/>
      <c r="BS947" s="16"/>
      <c r="BT947" s="18"/>
      <c r="BU947" s="18"/>
      <c r="BV947" s="18"/>
      <c r="BW947" s="20"/>
      <c r="BX947" s="154"/>
      <c r="BY947" s="18"/>
      <c r="BZ947" s="146"/>
      <c r="CA947" s="18"/>
      <c r="CB947" s="18"/>
      <c r="CC947" s="20"/>
      <c r="CD947" s="154"/>
    </row>
    <row r="948" spans="35:82">
      <c r="AI948" s="19"/>
      <c r="AO948" s="19"/>
      <c r="AY948" s="145"/>
      <c r="AZ948" s="16"/>
      <c r="BC948" s="16"/>
      <c r="BD948" s="20"/>
      <c r="BE948" s="17"/>
      <c r="BF948" s="20"/>
      <c r="BG948" s="146"/>
      <c r="BH948" s="146"/>
      <c r="BI948" s="146"/>
      <c r="BJ948" s="20"/>
      <c r="BK948" s="20"/>
      <c r="BL948" s="154"/>
      <c r="BP948" s="20"/>
      <c r="BQ948" s="154"/>
      <c r="BR948" s="18"/>
      <c r="BS948" s="16"/>
      <c r="BT948" s="18"/>
      <c r="BU948" s="18"/>
      <c r="BV948" s="18"/>
      <c r="BW948" s="20"/>
      <c r="BX948" s="154"/>
      <c r="BY948" s="18"/>
      <c r="BZ948" s="146"/>
      <c r="CA948" s="18"/>
      <c r="CB948" s="18"/>
      <c r="CC948" s="20"/>
      <c r="CD948" s="154"/>
    </row>
    <row r="949" spans="35:82">
      <c r="AI949" s="19"/>
      <c r="AO949" s="19"/>
      <c r="AY949" s="145"/>
      <c r="AZ949" s="16"/>
      <c r="BC949" s="16"/>
      <c r="BD949" s="20"/>
      <c r="BE949" s="17"/>
      <c r="BF949" s="20"/>
      <c r="BG949" s="146"/>
      <c r="BH949" s="146"/>
      <c r="BI949" s="146"/>
      <c r="BJ949" s="20"/>
      <c r="BK949" s="20"/>
      <c r="BL949" s="154"/>
      <c r="BP949" s="20"/>
      <c r="BQ949" s="154"/>
      <c r="BR949" s="18"/>
      <c r="BS949" s="16"/>
      <c r="BT949" s="18"/>
      <c r="BU949" s="18"/>
      <c r="BV949" s="18"/>
      <c r="BW949" s="20"/>
      <c r="BX949" s="154"/>
      <c r="BY949" s="18"/>
      <c r="BZ949" s="146"/>
      <c r="CA949" s="18"/>
      <c r="CB949" s="18"/>
      <c r="CC949" s="20"/>
      <c r="CD949" s="154"/>
    </row>
    <row r="950" spans="35:82">
      <c r="AI950" s="19"/>
      <c r="AO950" s="19"/>
      <c r="AY950" s="145"/>
      <c r="AZ950" s="16"/>
      <c r="BC950" s="16"/>
      <c r="BD950" s="20"/>
      <c r="BE950" s="17"/>
      <c r="BF950" s="20"/>
      <c r="BG950" s="146"/>
      <c r="BH950" s="146"/>
      <c r="BI950" s="146"/>
      <c r="BJ950" s="20"/>
      <c r="BK950" s="20"/>
      <c r="BL950" s="154"/>
      <c r="BP950" s="20"/>
      <c r="BQ950" s="154"/>
      <c r="BR950" s="18"/>
      <c r="BS950" s="16"/>
      <c r="BT950" s="18"/>
      <c r="BU950" s="18"/>
      <c r="BV950" s="18"/>
      <c r="BW950" s="20"/>
      <c r="BX950" s="154"/>
      <c r="BY950" s="18"/>
      <c r="BZ950" s="146"/>
      <c r="CA950" s="18"/>
      <c r="CB950" s="18"/>
      <c r="CC950" s="20"/>
      <c r="CD950" s="154"/>
    </row>
    <row r="951" spans="35:82">
      <c r="AI951" s="19"/>
      <c r="AO951" s="19"/>
      <c r="AY951" s="145"/>
      <c r="AZ951" s="16"/>
      <c r="BC951" s="16"/>
      <c r="BD951" s="20"/>
      <c r="BE951" s="17"/>
      <c r="BF951" s="20"/>
      <c r="BG951" s="146"/>
      <c r="BH951" s="146"/>
      <c r="BI951" s="146"/>
      <c r="BJ951" s="20"/>
      <c r="BK951" s="20"/>
      <c r="BL951" s="154"/>
      <c r="BP951" s="20"/>
      <c r="BQ951" s="154"/>
      <c r="BR951" s="18"/>
      <c r="BS951" s="16"/>
      <c r="BT951" s="18"/>
      <c r="BU951" s="18"/>
      <c r="BV951" s="18"/>
      <c r="BW951" s="20"/>
      <c r="BX951" s="154"/>
      <c r="BY951" s="18"/>
      <c r="BZ951" s="146"/>
      <c r="CA951" s="18"/>
      <c r="CB951" s="18"/>
      <c r="CC951" s="20"/>
      <c r="CD951" s="154"/>
    </row>
    <row r="952" spans="35:82">
      <c r="AI952" s="19"/>
      <c r="AO952" s="19"/>
      <c r="AY952" s="145"/>
      <c r="AZ952" s="16"/>
      <c r="BC952" s="16"/>
      <c r="BD952" s="20"/>
      <c r="BE952" s="17"/>
      <c r="BF952" s="20"/>
      <c r="BG952" s="146"/>
      <c r="BH952" s="146"/>
      <c r="BI952" s="146"/>
      <c r="BJ952" s="20"/>
      <c r="BK952" s="20"/>
      <c r="BL952" s="154"/>
      <c r="BP952" s="20"/>
      <c r="BQ952" s="154"/>
      <c r="BR952" s="18"/>
      <c r="BS952" s="16"/>
      <c r="BT952" s="18"/>
      <c r="BU952" s="18"/>
      <c r="BV952" s="18"/>
      <c r="BW952" s="20"/>
      <c r="BX952" s="154"/>
      <c r="BY952" s="18"/>
      <c r="BZ952" s="146"/>
      <c r="CA952" s="18"/>
      <c r="CB952" s="18"/>
      <c r="CC952" s="20"/>
      <c r="CD952" s="154"/>
    </row>
    <row r="953" spans="35:82">
      <c r="AI953" s="19"/>
      <c r="AO953" s="19"/>
      <c r="AY953" s="145"/>
      <c r="AZ953" s="16"/>
      <c r="BC953" s="16"/>
      <c r="BD953" s="20"/>
      <c r="BE953" s="17"/>
      <c r="BF953" s="20"/>
      <c r="BG953" s="146"/>
      <c r="BH953" s="146"/>
      <c r="BI953" s="146"/>
      <c r="BJ953" s="20"/>
      <c r="BK953" s="20"/>
      <c r="BL953" s="154"/>
      <c r="BP953" s="20"/>
      <c r="BQ953" s="154"/>
      <c r="BR953" s="18"/>
      <c r="BS953" s="16"/>
      <c r="BT953" s="18"/>
      <c r="BU953" s="18"/>
      <c r="BV953" s="18"/>
      <c r="BW953" s="20"/>
      <c r="BX953" s="154"/>
      <c r="BY953" s="18"/>
      <c r="BZ953" s="146"/>
      <c r="CA953" s="18"/>
      <c r="CB953" s="18"/>
      <c r="CC953" s="20"/>
      <c r="CD953" s="154"/>
    </row>
    <row r="954" spans="35:82">
      <c r="AI954" s="19"/>
      <c r="AO954" s="19"/>
      <c r="AY954" s="145"/>
      <c r="AZ954" s="16"/>
      <c r="BC954" s="16"/>
      <c r="BD954" s="20"/>
      <c r="BE954" s="17"/>
      <c r="BF954" s="20"/>
      <c r="BG954" s="146"/>
      <c r="BH954" s="146"/>
      <c r="BI954" s="146"/>
      <c r="BJ954" s="20"/>
      <c r="BK954" s="20"/>
      <c r="BL954" s="154"/>
      <c r="BP954" s="20"/>
      <c r="BQ954" s="154"/>
      <c r="BR954" s="18"/>
      <c r="BS954" s="16"/>
      <c r="BT954" s="18"/>
      <c r="BU954" s="18"/>
      <c r="BV954" s="18"/>
      <c r="BW954" s="20"/>
      <c r="BX954" s="154"/>
      <c r="BY954" s="18"/>
      <c r="BZ954" s="146"/>
      <c r="CA954" s="18"/>
      <c r="CB954" s="18"/>
      <c r="CC954" s="20"/>
      <c r="CD954" s="154"/>
    </row>
    <row r="955" spans="35:82">
      <c r="AI955" s="19"/>
      <c r="AO955" s="19"/>
      <c r="AY955" s="145"/>
      <c r="AZ955" s="16"/>
      <c r="BC955" s="16"/>
      <c r="BD955" s="20"/>
      <c r="BE955" s="17"/>
      <c r="BF955" s="20"/>
      <c r="BG955" s="146"/>
      <c r="BH955" s="146"/>
      <c r="BI955" s="146"/>
      <c r="BJ955" s="20"/>
      <c r="BK955" s="20"/>
      <c r="BL955" s="154"/>
      <c r="BP955" s="20"/>
      <c r="BQ955" s="154"/>
      <c r="BR955" s="18"/>
      <c r="BS955" s="16"/>
      <c r="BT955" s="18"/>
      <c r="BU955" s="18"/>
      <c r="BV955" s="18"/>
      <c r="BW955" s="20"/>
      <c r="BX955" s="154"/>
      <c r="BY955" s="18"/>
      <c r="BZ955" s="146"/>
      <c r="CA955" s="18"/>
      <c r="CB955" s="18"/>
      <c r="CC955" s="20"/>
      <c r="CD955" s="154"/>
    </row>
    <row r="956" spans="35:82">
      <c r="AI956" s="19"/>
      <c r="AO956" s="19"/>
      <c r="AY956" s="145"/>
      <c r="AZ956" s="16"/>
      <c r="BC956" s="16"/>
      <c r="BD956" s="20"/>
      <c r="BE956" s="17"/>
      <c r="BF956" s="20"/>
      <c r="BG956" s="146"/>
      <c r="BH956" s="146"/>
      <c r="BI956" s="146"/>
      <c r="BJ956" s="20"/>
      <c r="BK956" s="20"/>
      <c r="BL956" s="154"/>
      <c r="BP956" s="20"/>
      <c r="BQ956" s="154"/>
      <c r="BR956" s="18"/>
      <c r="BS956" s="16"/>
      <c r="BT956" s="18"/>
      <c r="BU956" s="18"/>
      <c r="BV956" s="18"/>
      <c r="BW956" s="20"/>
      <c r="BX956" s="154"/>
      <c r="BY956" s="18"/>
      <c r="BZ956" s="146"/>
      <c r="CA956" s="18"/>
      <c r="CB956" s="18"/>
      <c r="CC956" s="20"/>
      <c r="CD956" s="154"/>
    </row>
    <row r="957" spans="35:82">
      <c r="AI957" s="19"/>
      <c r="AO957" s="19"/>
      <c r="AY957" s="145"/>
      <c r="AZ957" s="16"/>
      <c r="BC957" s="16"/>
      <c r="BD957" s="20"/>
      <c r="BE957" s="17"/>
      <c r="BF957" s="20"/>
      <c r="BG957" s="146"/>
      <c r="BH957" s="146"/>
      <c r="BI957" s="146"/>
      <c r="BJ957" s="20"/>
      <c r="BK957" s="20"/>
      <c r="BL957" s="154"/>
      <c r="BP957" s="20"/>
      <c r="BQ957" s="154"/>
      <c r="BR957" s="18"/>
      <c r="BS957" s="16"/>
      <c r="BT957" s="18"/>
      <c r="BU957" s="18"/>
      <c r="BV957" s="18"/>
      <c r="BW957" s="20"/>
      <c r="BX957" s="154"/>
      <c r="BY957" s="18"/>
      <c r="BZ957" s="146"/>
      <c r="CA957" s="18"/>
      <c r="CB957" s="18"/>
      <c r="CC957" s="20"/>
      <c r="CD957" s="154"/>
    </row>
    <row r="958" spans="35:82">
      <c r="AI958" s="19"/>
      <c r="AO958" s="19"/>
      <c r="AY958" s="145"/>
      <c r="AZ958" s="16"/>
      <c r="BC958" s="16"/>
      <c r="BD958" s="20"/>
      <c r="BE958" s="17"/>
      <c r="BF958" s="20"/>
      <c r="BG958" s="146"/>
      <c r="BH958" s="146"/>
      <c r="BI958" s="146"/>
      <c r="BJ958" s="20"/>
      <c r="BK958" s="20"/>
      <c r="BL958" s="154"/>
      <c r="BP958" s="20"/>
      <c r="BQ958" s="154"/>
      <c r="BR958" s="18"/>
      <c r="BS958" s="16"/>
      <c r="BT958" s="18"/>
      <c r="BU958" s="18"/>
      <c r="BV958" s="18"/>
      <c r="BW958" s="20"/>
      <c r="BX958" s="154"/>
      <c r="BY958" s="18"/>
      <c r="BZ958" s="146"/>
      <c r="CA958" s="18"/>
      <c r="CB958" s="18"/>
      <c r="CC958" s="20"/>
      <c r="CD958" s="154"/>
    </row>
    <row r="959" spans="35:82">
      <c r="AI959" s="19"/>
      <c r="AO959" s="19"/>
      <c r="AY959" s="145"/>
      <c r="AZ959" s="16"/>
      <c r="BC959" s="16"/>
      <c r="BD959" s="20"/>
      <c r="BE959" s="17"/>
      <c r="BF959" s="20"/>
      <c r="BG959" s="146"/>
      <c r="BH959" s="146"/>
      <c r="BI959" s="146"/>
      <c r="BJ959" s="20"/>
      <c r="BK959" s="20"/>
      <c r="BL959" s="154"/>
      <c r="BP959" s="20"/>
      <c r="BQ959" s="154"/>
      <c r="BR959" s="18"/>
      <c r="BS959" s="16"/>
      <c r="BT959" s="18"/>
      <c r="BU959" s="18"/>
      <c r="BV959" s="18"/>
      <c r="BW959" s="20"/>
      <c r="BX959" s="154"/>
      <c r="BY959" s="18"/>
      <c r="BZ959" s="146"/>
      <c r="CA959" s="18"/>
      <c r="CB959" s="18"/>
      <c r="CC959" s="20"/>
      <c r="CD959" s="154"/>
    </row>
    <row r="960" spans="35:82">
      <c r="AI960" s="19"/>
      <c r="AO960" s="19"/>
      <c r="AY960" s="145"/>
      <c r="AZ960" s="16"/>
      <c r="BC960" s="16"/>
      <c r="BD960" s="20"/>
      <c r="BE960" s="17"/>
      <c r="BF960" s="20"/>
      <c r="BG960" s="146"/>
      <c r="BH960" s="146"/>
      <c r="BI960" s="146"/>
      <c r="BJ960" s="20"/>
      <c r="BK960" s="20"/>
      <c r="BL960" s="154"/>
      <c r="BP960" s="20"/>
      <c r="BQ960" s="154"/>
      <c r="BR960" s="18"/>
      <c r="BS960" s="16"/>
      <c r="BT960" s="18"/>
      <c r="BU960" s="18"/>
      <c r="BV960" s="18"/>
      <c r="BW960" s="20"/>
      <c r="BX960" s="154"/>
      <c r="BY960" s="18"/>
      <c r="BZ960" s="146"/>
      <c r="CA960" s="18"/>
      <c r="CB960" s="18"/>
      <c r="CC960" s="20"/>
      <c r="CD960" s="154"/>
    </row>
    <row r="961" spans="35:82">
      <c r="AI961" s="19"/>
      <c r="AO961" s="19"/>
      <c r="AY961" s="145"/>
      <c r="AZ961" s="16"/>
      <c r="BC961" s="16"/>
      <c r="BD961" s="20"/>
      <c r="BE961" s="17"/>
      <c r="BF961" s="20"/>
      <c r="BG961" s="146"/>
      <c r="BH961" s="146"/>
      <c r="BI961" s="146"/>
      <c r="BJ961" s="20"/>
      <c r="BK961" s="20"/>
      <c r="BL961" s="154"/>
      <c r="BP961" s="20"/>
      <c r="BQ961" s="154"/>
      <c r="BR961" s="18"/>
      <c r="BS961" s="16"/>
      <c r="BT961" s="18"/>
      <c r="BU961" s="18"/>
      <c r="BV961" s="18"/>
      <c r="BW961" s="20"/>
      <c r="BX961" s="154"/>
      <c r="BY961" s="18"/>
      <c r="BZ961" s="146"/>
      <c r="CA961" s="18"/>
      <c r="CB961" s="18"/>
      <c r="CC961" s="20"/>
      <c r="CD961" s="154"/>
    </row>
    <row r="962" spans="35:82">
      <c r="AI962" s="19"/>
      <c r="AO962" s="19"/>
      <c r="AY962" s="145"/>
      <c r="AZ962" s="16"/>
      <c r="BC962" s="16"/>
      <c r="BD962" s="20"/>
      <c r="BE962" s="17"/>
      <c r="BF962" s="20"/>
      <c r="BG962" s="146"/>
      <c r="BH962" s="146"/>
      <c r="BI962" s="146"/>
      <c r="BJ962" s="20"/>
      <c r="BK962" s="20"/>
      <c r="BL962" s="154"/>
      <c r="BP962" s="20"/>
      <c r="BQ962" s="154"/>
      <c r="BR962" s="18"/>
      <c r="BS962" s="16"/>
      <c r="BT962" s="18"/>
      <c r="BU962" s="18"/>
      <c r="BV962" s="18"/>
      <c r="BW962" s="20"/>
      <c r="BX962" s="154"/>
      <c r="BY962" s="18"/>
      <c r="BZ962" s="146"/>
      <c r="CA962" s="18"/>
      <c r="CB962" s="18"/>
      <c r="CC962" s="20"/>
      <c r="CD962" s="154"/>
    </row>
    <row r="963" spans="35:82">
      <c r="AI963" s="19"/>
      <c r="AO963" s="19"/>
      <c r="AY963" s="145"/>
      <c r="AZ963" s="16"/>
      <c r="BC963" s="16"/>
      <c r="BD963" s="20"/>
      <c r="BE963" s="17"/>
      <c r="BF963" s="20"/>
      <c r="BG963" s="146"/>
      <c r="BH963" s="146"/>
      <c r="BI963" s="146"/>
      <c r="BJ963" s="20"/>
      <c r="BK963" s="20"/>
      <c r="BL963" s="154"/>
      <c r="BP963" s="20"/>
      <c r="BQ963" s="154"/>
      <c r="BR963" s="18"/>
      <c r="BS963" s="16"/>
      <c r="BT963" s="18"/>
      <c r="BU963" s="18"/>
      <c r="BV963" s="18"/>
      <c r="BW963" s="20"/>
      <c r="BX963" s="154"/>
      <c r="BY963" s="18"/>
      <c r="BZ963" s="146"/>
      <c r="CA963" s="18"/>
      <c r="CB963" s="18"/>
      <c r="CC963" s="20"/>
      <c r="CD963" s="154"/>
    </row>
    <row r="964" spans="35:82">
      <c r="AI964" s="19"/>
      <c r="AO964" s="19"/>
      <c r="AY964" s="145"/>
      <c r="AZ964" s="16"/>
      <c r="BC964" s="16"/>
      <c r="BD964" s="20"/>
      <c r="BE964" s="17"/>
      <c r="BF964" s="20"/>
      <c r="BG964" s="146"/>
      <c r="BH964" s="146"/>
      <c r="BI964" s="146"/>
      <c r="BJ964" s="20"/>
      <c r="BK964" s="20"/>
      <c r="BL964" s="154"/>
      <c r="BP964" s="20"/>
      <c r="BQ964" s="154"/>
      <c r="BR964" s="18"/>
      <c r="BS964" s="16"/>
      <c r="BT964" s="18"/>
      <c r="BU964" s="18"/>
      <c r="BV964" s="18"/>
      <c r="BW964" s="20"/>
      <c r="BX964" s="154"/>
      <c r="BY964" s="18"/>
      <c r="BZ964" s="146"/>
      <c r="CA964" s="18"/>
      <c r="CB964" s="18"/>
      <c r="CC964" s="20"/>
      <c r="CD964" s="154"/>
    </row>
    <row r="965" spans="35:82">
      <c r="AI965" s="19"/>
      <c r="AO965" s="19"/>
      <c r="AY965" s="145"/>
      <c r="AZ965" s="16"/>
      <c r="BC965" s="16"/>
      <c r="BD965" s="20"/>
      <c r="BE965" s="17"/>
      <c r="BF965" s="20"/>
      <c r="BG965" s="146"/>
      <c r="BH965" s="146"/>
      <c r="BI965" s="146"/>
      <c r="BJ965" s="20"/>
      <c r="BK965" s="20"/>
      <c r="BL965" s="154"/>
      <c r="BP965" s="20"/>
      <c r="BQ965" s="154"/>
      <c r="BR965" s="18"/>
      <c r="BS965" s="16"/>
      <c r="BT965" s="18"/>
      <c r="BU965" s="18"/>
      <c r="BV965" s="18"/>
      <c r="BW965" s="20"/>
      <c r="BX965" s="154"/>
      <c r="BY965" s="18"/>
      <c r="BZ965" s="146"/>
      <c r="CA965" s="18"/>
      <c r="CB965" s="18"/>
      <c r="CC965" s="20"/>
      <c r="CD965" s="154"/>
    </row>
    <row r="966" spans="35:82">
      <c r="AI966" s="19"/>
      <c r="AO966" s="19"/>
      <c r="AY966" s="145"/>
      <c r="AZ966" s="16"/>
      <c r="BC966" s="16"/>
      <c r="BD966" s="20"/>
      <c r="BE966" s="17"/>
      <c r="BF966" s="20"/>
      <c r="BG966" s="146"/>
      <c r="BH966" s="146"/>
      <c r="BI966" s="146"/>
      <c r="BJ966" s="20"/>
      <c r="BK966" s="20"/>
      <c r="BL966" s="154"/>
      <c r="BP966" s="20"/>
      <c r="BQ966" s="154"/>
      <c r="BR966" s="18"/>
      <c r="BS966" s="16"/>
      <c r="BT966" s="18"/>
      <c r="BU966" s="18"/>
      <c r="BV966" s="18"/>
      <c r="BW966" s="20"/>
      <c r="BX966" s="154"/>
      <c r="BY966" s="18"/>
      <c r="BZ966" s="146"/>
      <c r="CA966" s="18"/>
      <c r="CB966" s="18"/>
      <c r="CC966" s="20"/>
      <c r="CD966" s="154"/>
    </row>
    <row r="967" spans="35:82">
      <c r="AI967" s="19"/>
      <c r="AO967" s="19"/>
      <c r="AY967" s="145"/>
      <c r="AZ967" s="16"/>
      <c r="BC967" s="16"/>
      <c r="BD967" s="20"/>
      <c r="BE967" s="17"/>
      <c r="BF967" s="20"/>
      <c r="BG967" s="146"/>
      <c r="BH967" s="146"/>
      <c r="BI967" s="146"/>
      <c r="BJ967" s="20"/>
      <c r="BK967" s="20"/>
      <c r="BL967" s="154"/>
      <c r="BP967" s="20"/>
      <c r="BQ967" s="154"/>
      <c r="BR967" s="18"/>
      <c r="BS967" s="16"/>
      <c r="BT967" s="18"/>
      <c r="BU967" s="18"/>
      <c r="BV967" s="18"/>
      <c r="BW967" s="20"/>
      <c r="BX967" s="154"/>
      <c r="BY967" s="18"/>
      <c r="BZ967" s="146"/>
      <c r="CA967" s="18"/>
      <c r="CB967" s="18"/>
      <c r="CC967" s="20"/>
      <c r="CD967" s="154"/>
    </row>
    <row r="968" spans="35:82">
      <c r="AI968" s="19"/>
      <c r="AO968" s="19"/>
      <c r="AY968" s="145"/>
      <c r="AZ968" s="16"/>
      <c r="BC968" s="16"/>
      <c r="BD968" s="20"/>
      <c r="BE968" s="17"/>
      <c r="BF968" s="20"/>
      <c r="BG968" s="146"/>
      <c r="BH968" s="146"/>
      <c r="BI968" s="146"/>
      <c r="BJ968" s="20"/>
      <c r="BK968" s="20"/>
      <c r="BL968" s="154"/>
      <c r="BP968" s="20"/>
      <c r="BQ968" s="154"/>
      <c r="BR968" s="18"/>
      <c r="BS968" s="16"/>
      <c r="BT968" s="18"/>
      <c r="BU968" s="18"/>
      <c r="BV968" s="18"/>
      <c r="BW968" s="20"/>
      <c r="BX968" s="154"/>
      <c r="BY968" s="18"/>
      <c r="BZ968" s="146"/>
      <c r="CA968" s="18"/>
      <c r="CB968" s="18"/>
      <c r="CC968" s="20"/>
      <c r="CD968" s="154"/>
    </row>
    <row r="969" spans="35:82">
      <c r="AI969" s="19"/>
      <c r="AO969" s="19"/>
      <c r="AY969" s="145"/>
      <c r="AZ969" s="16"/>
      <c r="BC969" s="16"/>
      <c r="BD969" s="20"/>
      <c r="BE969" s="17"/>
      <c r="BF969" s="20"/>
      <c r="BG969" s="146"/>
      <c r="BH969" s="146"/>
      <c r="BI969" s="146"/>
      <c r="BJ969" s="20"/>
      <c r="BK969" s="20"/>
      <c r="BL969" s="154"/>
      <c r="BP969" s="20"/>
      <c r="BQ969" s="154"/>
      <c r="BR969" s="18"/>
      <c r="BS969" s="16"/>
      <c r="BT969" s="18"/>
      <c r="BU969" s="18"/>
      <c r="BV969" s="18"/>
      <c r="BW969" s="20"/>
      <c r="BX969" s="154"/>
      <c r="BY969" s="18"/>
      <c r="BZ969" s="146"/>
      <c r="CA969" s="18"/>
      <c r="CB969" s="18"/>
      <c r="CC969" s="20"/>
      <c r="CD969" s="154"/>
    </row>
    <row r="970" spans="35:82">
      <c r="AI970" s="19"/>
      <c r="AO970" s="19"/>
      <c r="AY970" s="145"/>
      <c r="AZ970" s="16"/>
      <c r="BC970" s="16"/>
      <c r="BD970" s="20"/>
      <c r="BE970" s="17"/>
      <c r="BF970" s="20"/>
      <c r="BG970" s="146"/>
      <c r="BH970" s="146"/>
      <c r="BI970" s="146"/>
      <c r="BJ970" s="20"/>
      <c r="BK970" s="20"/>
      <c r="BL970" s="154"/>
      <c r="BP970" s="20"/>
      <c r="BQ970" s="154"/>
      <c r="BR970" s="18"/>
      <c r="BS970" s="16"/>
      <c r="BT970" s="18"/>
      <c r="BU970" s="18"/>
      <c r="BV970" s="18"/>
      <c r="BW970" s="20"/>
      <c r="BX970" s="154"/>
      <c r="BY970" s="18"/>
      <c r="BZ970" s="146"/>
      <c r="CA970" s="18"/>
      <c r="CB970" s="18"/>
      <c r="CC970" s="20"/>
      <c r="CD970" s="154"/>
    </row>
    <row r="971" spans="35:82">
      <c r="AI971" s="19"/>
      <c r="AO971" s="19"/>
      <c r="AY971" s="145"/>
      <c r="AZ971" s="16"/>
      <c r="BC971" s="16"/>
      <c r="BD971" s="20"/>
      <c r="BE971" s="17"/>
      <c r="BF971" s="20"/>
      <c r="BG971" s="146"/>
      <c r="BH971" s="146"/>
      <c r="BI971" s="146"/>
      <c r="BJ971" s="20"/>
      <c r="BK971" s="20"/>
      <c r="BL971" s="154"/>
      <c r="BP971" s="20"/>
      <c r="BQ971" s="154"/>
      <c r="BR971" s="18"/>
      <c r="BS971" s="16"/>
      <c r="BT971" s="18"/>
      <c r="BU971" s="18"/>
      <c r="BV971" s="18"/>
      <c r="BW971" s="20"/>
      <c r="BX971" s="154"/>
      <c r="BY971" s="18"/>
      <c r="BZ971" s="146"/>
      <c r="CA971" s="18"/>
      <c r="CB971" s="18"/>
      <c r="CC971" s="20"/>
      <c r="CD971" s="154"/>
    </row>
    <row r="972" spans="35:82">
      <c r="AI972" s="19"/>
      <c r="AO972" s="19"/>
      <c r="AY972" s="145"/>
      <c r="AZ972" s="16"/>
      <c r="BC972" s="16"/>
      <c r="BD972" s="20"/>
      <c r="BE972" s="17"/>
      <c r="BF972" s="20"/>
      <c r="BG972" s="146"/>
      <c r="BH972" s="146"/>
      <c r="BI972" s="146"/>
      <c r="BJ972" s="20"/>
      <c r="BK972" s="20"/>
      <c r="BL972" s="154"/>
      <c r="BP972" s="20"/>
      <c r="BQ972" s="154"/>
      <c r="BR972" s="18"/>
      <c r="BS972" s="16"/>
      <c r="BT972" s="18"/>
      <c r="BU972" s="18"/>
      <c r="BV972" s="18"/>
      <c r="BW972" s="20"/>
      <c r="BX972" s="154"/>
      <c r="BY972" s="18"/>
      <c r="BZ972" s="146"/>
      <c r="CA972" s="18"/>
      <c r="CB972" s="18"/>
      <c r="CC972" s="20"/>
      <c r="CD972" s="154"/>
    </row>
    <row r="973" spans="35:82">
      <c r="AI973" s="19"/>
      <c r="AO973" s="19"/>
      <c r="AY973" s="145"/>
      <c r="AZ973" s="16"/>
      <c r="BC973" s="16"/>
      <c r="BD973" s="20"/>
      <c r="BE973" s="17"/>
      <c r="BF973" s="20"/>
      <c r="BG973" s="146"/>
      <c r="BH973" s="146"/>
      <c r="BI973" s="146"/>
      <c r="BJ973" s="20"/>
      <c r="BK973" s="20"/>
      <c r="BL973" s="154"/>
      <c r="BP973" s="20"/>
      <c r="BQ973" s="154"/>
      <c r="BR973" s="18"/>
      <c r="BS973" s="16"/>
      <c r="BT973" s="18"/>
      <c r="BU973" s="18"/>
      <c r="BV973" s="18"/>
      <c r="BW973" s="20"/>
      <c r="BX973" s="154"/>
      <c r="BY973" s="18"/>
      <c r="BZ973" s="146"/>
      <c r="CA973" s="18"/>
      <c r="CB973" s="18"/>
      <c r="CC973" s="20"/>
      <c r="CD973" s="154"/>
    </row>
    <row r="974" spans="35:82">
      <c r="AI974" s="19"/>
      <c r="AO974" s="19"/>
      <c r="AY974" s="145"/>
      <c r="AZ974" s="16"/>
      <c r="BC974" s="16"/>
      <c r="BD974" s="20"/>
      <c r="BE974" s="17"/>
      <c r="BF974" s="20"/>
      <c r="BG974" s="146"/>
      <c r="BH974" s="146"/>
      <c r="BI974" s="146"/>
      <c r="BJ974" s="20"/>
      <c r="BK974" s="20"/>
      <c r="BL974" s="154"/>
      <c r="BP974" s="20"/>
      <c r="BQ974" s="154"/>
      <c r="BR974" s="18"/>
      <c r="BS974" s="16"/>
      <c r="BT974" s="18"/>
      <c r="BU974" s="18"/>
      <c r="BV974" s="18"/>
      <c r="BW974" s="20"/>
      <c r="BX974" s="154"/>
      <c r="BY974" s="18"/>
      <c r="BZ974" s="146"/>
      <c r="CA974" s="18"/>
      <c r="CB974" s="18"/>
      <c r="CC974" s="20"/>
      <c r="CD974" s="154"/>
    </row>
    <row r="975" spans="35:82">
      <c r="AI975" s="19"/>
      <c r="AO975" s="19"/>
      <c r="AY975" s="145"/>
      <c r="AZ975" s="16"/>
      <c r="BC975" s="16"/>
      <c r="BD975" s="20"/>
      <c r="BE975" s="17"/>
      <c r="BF975" s="20"/>
      <c r="BG975" s="146"/>
      <c r="BH975" s="146"/>
      <c r="BI975" s="146"/>
      <c r="BJ975" s="20"/>
      <c r="BK975" s="20"/>
      <c r="BL975" s="154"/>
      <c r="BP975" s="20"/>
      <c r="BQ975" s="154"/>
      <c r="BR975" s="18"/>
      <c r="BS975" s="16"/>
      <c r="BT975" s="18"/>
      <c r="BU975" s="18"/>
      <c r="BV975" s="18"/>
      <c r="BW975" s="20"/>
      <c r="BX975" s="154"/>
      <c r="BY975" s="18"/>
      <c r="BZ975" s="146"/>
      <c r="CA975" s="18"/>
      <c r="CB975" s="18"/>
      <c r="CC975" s="20"/>
      <c r="CD975" s="154"/>
    </row>
    <row r="976" spans="35:82">
      <c r="AI976" s="19"/>
      <c r="AO976" s="19"/>
      <c r="AY976" s="145"/>
      <c r="AZ976" s="16"/>
      <c r="BC976" s="16"/>
      <c r="BD976" s="20"/>
      <c r="BE976" s="17"/>
      <c r="BF976" s="20"/>
      <c r="BG976" s="146"/>
      <c r="BH976" s="146"/>
      <c r="BI976" s="146"/>
      <c r="BJ976" s="20"/>
      <c r="BK976" s="20"/>
      <c r="BL976" s="154"/>
      <c r="BP976" s="20"/>
      <c r="BQ976" s="154"/>
      <c r="BR976" s="18"/>
      <c r="BS976" s="16"/>
      <c r="BT976" s="18"/>
      <c r="BU976" s="18"/>
      <c r="BV976" s="18"/>
      <c r="BW976" s="20"/>
      <c r="BX976" s="154"/>
      <c r="BY976" s="18"/>
      <c r="BZ976" s="146"/>
      <c r="CA976" s="18"/>
      <c r="CB976" s="18"/>
      <c r="CC976" s="20"/>
      <c r="CD976" s="154"/>
    </row>
    <row r="977" spans="35:82">
      <c r="AI977" s="19"/>
      <c r="AO977" s="19"/>
      <c r="AY977" s="145"/>
      <c r="AZ977" s="16"/>
      <c r="BC977" s="16"/>
      <c r="BD977" s="20"/>
      <c r="BE977" s="17"/>
      <c r="BF977" s="20"/>
      <c r="BG977" s="146"/>
      <c r="BH977" s="146"/>
      <c r="BI977" s="146"/>
      <c r="BJ977" s="20"/>
      <c r="BK977" s="20"/>
      <c r="BL977" s="154"/>
      <c r="BP977" s="20"/>
      <c r="BQ977" s="154"/>
      <c r="BR977" s="18"/>
      <c r="BS977" s="16"/>
      <c r="BT977" s="18"/>
      <c r="BU977" s="18"/>
      <c r="BV977" s="18"/>
      <c r="BW977" s="20"/>
      <c r="BX977" s="154"/>
      <c r="BY977" s="18"/>
      <c r="BZ977" s="146"/>
      <c r="CA977" s="18"/>
      <c r="CB977" s="18"/>
      <c r="CC977" s="20"/>
      <c r="CD977" s="154"/>
    </row>
    <row r="978" spans="35:82">
      <c r="AI978" s="19"/>
      <c r="AO978" s="19"/>
      <c r="AY978" s="145"/>
      <c r="AZ978" s="16"/>
      <c r="BC978" s="16"/>
      <c r="BD978" s="20"/>
      <c r="BE978" s="17"/>
      <c r="BF978" s="20"/>
      <c r="BG978" s="146"/>
      <c r="BH978" s="146"/>
      <c r="BI978" s="146"/>
      <c r="BJ978" s="20"/>
      <c r="BK978" s="20"/>
      <c r="BL978" s="154"/>
      <c r="BP978" s="20"/>
      <c r="BQ978" s="154"/>
      <c r="BR978" s="18"/>
      <c r="BS978" s="16"/>
      <c r="BT978" s="18"/>
      <c r="BU978" s="18"/>
      <c r="BV978" s="18"/>
      <c r="BW978" s="20"/>
      <c r="BX978" s="154"/>
      <c r="BY978" s="18"/>
      <c r="BZ978" s="146"/>
      <c r="CA978" s="18"/>
      <c r="CB978" s="18"/>
      <c r="CC978" s="20"/>
      <c r="CD978" s="154"/>
    </row>
    <row r="979" spans="35:82">
      <c r="AI979" s="19"/>
      <c r="AO979" s="19"/>
      <c r="AY979" s="145"/>
      <c r="AZ979" s="16"/>
      <c r="BC979" s="16"/>
      <c r="BD979" s="20"/>
      <c r="BE979" s="17"/>
      <c r="BF979" s="20"/>
      <c r="BG979" s="146"/>
      <c r="BH979" s="146"/>
      <c r="BI979" s="146"/>
      <c r="BJ979" s="20"/>
      <c r="BK979" s="20"/>
      <c r="BL979" s="154"/>
      <c r="BP979" s="20"/>
      <c r="BQ979" s="154"/>
      <c r="BR979" s="18"/>
      <c r="BS979" s="16"/>
      <c r="BT979" s="18"/>
      <c r="BU979" s="18"/>
      <c r="BV979" s="18"/>
      <c r="BW979" s="20"/>
      <c r="BX979" s="154"/>
      <c r="BY979" s="18"/>
      <c r="BZ979" s="146"/>
      <c r="CA979" s="18"/>
      <c r="CB979" s="18"/>
      <c r="CC979" s="20"/>
      <c r="CD979" s="154"/>
    </row>
    <row r="980" spans="35:82">
      <c r="AI980" s="19"/>
      <c r="AO980" s="19"/>
      <c r="AY980" s="145"/>
      <c r="AZ980" s="16"/>
      <c r="BC980" s="16"/>
      <c r="BD980" s="20"/>
      <c r="BE980" s="17"/>
      <c r="BF980" s="20"/>
      <c r="BG980" s="146"/>
      <c r="BH980" s="146"/>
      <c r="BI980" s="146"/>
      <c r="BJ980" s="20"/>
      <c r="BK980" s="20"/>
      <c r="BL980" s="154"/>
      <c r="BP980" s="20"/>
      <c r="BQ980" s="154"/>
      <c r="BR980" s="18"/>
      <c r="BS980" s="16"/>
      <c r="BT980" s="18"/>
      <c r="BU980" s="18"/>
      <c r="BV980" s="18"/>
      <c r="BW980" s="20"/>
      <c r="BX980" s="154"/>
      <c r="BY980" s="18"/>
      <c r="BZ980" s="146"/>
      <c r="CA980" s="18"/>
      <c r="CB980" s="18"/>
      <c r="CC980" s="20"/>
      <c r="CD980" s="154"/>
    </row>
    <row r="981" spans="35:82">
      <c r="AI981" s="19"/>
      <c r="AO981" s="19"/>
      <c r="AY981" s="145"/>
      <c r="AZ981" s="16"/>
      <c r="BC981" s="16"/>
      <c r="BD981" s="20"/>
      <c r="BE981" s="17"/>
      <c r="BF981" s="20"/>
      <c r="BG981" s="146"/>
      <c r="BH981" s="146"/>
      <c r="BI981" s="146"/>
      <c r="BJ981" s="20"/>
      <c r="BK981" s="20"/>
      <c r="BL981" s="154"/>
      <c r="BP981" s="20"/>
      <c r="BQ981" s="154"/>
      <c r="BR981" s="18"/>
      <c r="BS981" s="16"/>
      <c r="BT981" s="18"/>
      <c r="BU981" s="18"/>
      <c r="BV981" s="18"/>
      <c r="BW981" s="20"/>
      <c r="BX981" s="154"/>
      <c r="BY981" s="18"/>
      <c r="BZ981" s="146"/>
      <c r="CA981" s="18"/>
      <c r="CB981" s="18"/>
      <c r="CC981" s="20"/>
      <c r="CD981" s="154"/>
    </row>
    <row r="982" spans="35:82">
      <c r="AI982" s="19"/>
      <c r="AO982" s="19"/>
      <c r="AY982" s="145"/>
      <c r="AZ982" s="16"/>
      <c r="BC982" s="16"/>
      <c r="BD982" s="20"/>
      <c r="BE982" s="17"/>
      <c r="BF982" s="20"/>
      <c r="BG982" s="146"/>
      <c r="BH982" s="146"/>
      <c r="BI982" s="146"/>
      <c r="BJ982" s="20"/>
      <c r="BK982" s="20"/>
      <c r="BL982" s="154"/>
      <c r="BP982" s="20"/>
      <c r="BQ982" s="154"/>
      <c r="BR982" s="18"/>
      <c r="BS982" s="16"/>
      <c r="BT982" s="18"/>
      <c r="BU982" s="18"/>
      <c r="BV982" s="18"/>
      <c r="BW982" s="20"/>
      <c r="BX982" s="154"/>
      <c r="BY982" s="18"/>
      <c r="BZ982" s="146"/>
      <c r="CA982" s="18"/>
      <c r="CB982" s="18"/>
      <c r="CC982" s="20"/>
      <c r="CD982" s="154"/>
    </row>
    <row r="983" spans="35:82">
      <c r="AI983" s="19"/>
      <c r="AO983" s="19"/>
      <c r="AY983" s="145"/>
      <c r="AZ983" s="16"/>
      <c r="BC983" s="16"/>
      <c r="BD983" s="20"/>
      <c r="BE983" s="17"/>
      <c r="BF983" s="20"/>
      <c r="BG983" s="146"/>
      <c r="BH983" s="146"/>
      <c r="BI983" s="146"/>
      <c r="BJ983" s="20"/>
      <c r="BK983" s="20"/>
      <c r="BL983" s="154"/>
      <c r="BP983" s="20"/>
      <c r="BQ983" s="154"/>
      <c r="BR983" s="18"/>
      <c r="BS983" s="16"/>
      <c r="BT983" s="18"/>
      <c r="BU983" s="18"/>
      <c r="BV983" s="18"/>
      <c r="BW983" s="20"/>
      <c r="BX983" s="154"/>
      <c r="BY983" s="18"/>
      <c r="BZ983" s="146"/>
      <c r="CA983" s="18"/>
      <c r="CB983" s="18"/>
      <c r="CC983" s="20"/>
      <c r="CD983" s="154"/>
    </row>
    <row r="984" spans="35:82">
      <c r="AI984" s="19"/>
      <c r="AO984" s="19"/>
      <c r="AY984" s="145"/>
      <c r="AZ984" s="16"/>
      <c r="BC984" s="16"/>
      <c r="BD984" s="20"/>
      <c r="BE984" s="17"/>
      <c r="BF984" s="20"/>
      <c r="BG984" s="146"/>
      <c r="BH984" s="146"/>
      <c r="BI984" s="146"/>
      <c r="BJ984" s="20"/>
      <c r="BK984" s="20"/>
      <c r="BL984" s="154"/>
      <c r="BP984" s="20"/>
      <c r="BQ984" s="154"/>
      <c r="BR984" s="18"/>
      <c r="BS984" s="16"/>
      <c r="BT984" s="18"/>
      <c r="BU984" s="18"/>
      <c r="BV984" s="18"/>
      <c r="BW984" s="20"/>
      <c r="BX984" s="154"/>
      <c r="BY984" s="18"/>
      <c r="BZ984" s="146"/>
      <c r="CA984" s="18"/>
      <c r="CB984" s="18"/>
      <c r="CC984" s="20"/>
      <c r="CD984" s="154"/>
    </row>
    <row r="985" spans="35:82">
      <c r="AI985" s="19"/>
      <c r="AO985" s="19"/>
      <c r="AY985" s="145"/>
      <c r="AZ985" s="16"/>
      <c r="BC985" s="16"/>
      <c r="BD985" s="20"/>
      <c r="BE985" s="17"/>
      <c r="BF985" s="20"/>
      <c r="BG985" s="146"/>
      <c r="BH985" s="146"/>
      <c r="BI985" s="146"/>
      <c r="BJ985" s="20"/>
      <c r="BK985" s="20"/>
      <c r="BL985" s="154"/>
      <c r="BP985" s="20"/>
      <c r="BQ985" s="154"/>
      <c r="BR985" s="18"/>
      <c r="BS985" s="16"/>
      <c r="BT985" s="18"/>
      <c r="BU985" s="18"/>
      <c r="BV985" s="18"/>
      <c r="BW985" s="20"/>
      <c r="BX985" s="154"/>
      <c r="BY985" s="18"/>
      <c r="BZ985" s="146"/>
      <c r="CA985" s="18"/>
      <c r="CB985" s="18"/>
      <c r="CC985" s="20"/>
      <c r="CD985" s="154"/>
    </row>
    <row r="986" spans="35:82">
      <c r="AI986" s="19"/>
      <c r="AO986" s="19"/>
      <c r="AY986" s="145"/>
      <c r="AZ986" s="16"/>
      <c r="BC986" s="16"/>
      <c r="BD986" s="20"/>
      <c r="BE986" s="17"/>
      <c r="BF986" s="20"/>
      <c r="BG986" s="146"/>
      <c r="BH986" s="146"/>
      <c r="BI986" s="146"/>
      <c r="BJ986" s="20"/>
      <c r="BK986" s="20"/>
      <c r="BL986" s="154"/>
      <c r="BP986" s="20"/>
      <c r="BQ986" s="154"/>
      <c r="BR986" s="18"/>
      <c r="BS986" s="16"/>
      <c r="BT986" s="18"/>
      <c r="BU986" s="18"/>
      <c r="BV986" s="18"/>
      <c r="BW986" s="20"/>
      <c r="BX986" s="154"/>
      <c r="BY986" s="18"/>
      <c r="BZ986" s="146"/>
      <c r="CA986" s="18"/>
      <c r="CB986" s="18"/>
      <c r="CC986" s="20"/>
      <c r="CD986" s="154"/>
    </row>
    <row r="987" spans="35:82">
      <c r="AI987" s="19"/>
      <c r="AO987" s="19"/>
      <c r="AY987" s="145"/>
      <c r="AZ987" s="16"/>
      <c r="BC987" s="16"/>
      <c r="BD987" s="20"/>
      <c r="BE987" s="17"/>
      <c r="BF987" s="20"/>
      <c r="BG987" s="146"/>
      <c r="BH987" s="146"/>
      <c r="BI987" s="146"/>
      <c r="BJ987" s="20"/>
      <c r="BK987" s="20"/>
      <c r="BL987" s="154"/>
      <c r="BP987" s="20"/>
      <c r="BQ987" s="154"/>
      <c r="BR987" s="18"/>
      <c r="BS987" s="16"/>
      <c r="BT987" s="18"/>
      <c r="BU987" s="18"/>
      <c r="BV987" s="18"/>
      <c r="BW987" s="20"/>
      <c r="BX987" s="154"/>
      <c r="BY987" s="18"/>
      <c r="BZ987" s="146"/>
      <c r="CA987" s="18"/>
      <c r="CB987" s="18"/>
      <c r="CC987" s="20"/>
      <c r="CD987" s="154"/>
    </row>
    <row r="988" spans="35:82">
      <c r="AI988" s="19"/>
      <c r="AO988" s="19"/>
      <c r="AY988" s="145"/>
      <c r="AZ988" s="16"/>
      <c r="BC988" s="16"/>
      <c r="BD988" s="20"/>
      <c r="BE988" s="17"/>
      <c r="BF988" s="20"/>
      <c r="BG988" s="146"/>
      <c r="BH988" s="146"/>
      <c r="BI988" s="146"/>
      <c r="BJ988" s="20"/>
      <c r="BK988" s="20"/>
      <c r="BL988" s="154"/>
      <c r="BP988" s="20"/>
      <c r="BQ988" s="154"/>
      <c r="BR988" s="18"/>
      <c r="BS988" s="16"/>
      <c r="BT988" s="18"/>
      <c r="BU988" s="18"/>
      <c r="BV988" s="18"/>
      <c r="BW988" s="20"/>
      <c r="BX988" s="154"/>
      <c r="BY988" s="18"/>
      <c r="BZ988" s="146"/>
      <c r="CA988" s="18"/>
      <c r="CB988" s="18"/>
      <c r="CC988" s="20"/>
      <c r="CD988" s="154"/>
    </row>
    <row r="989" spans="35:82">
      <c r="AI989" s="19"/>
      <c r="AO989" s="19"/>
      <c r="AY989" s="145"/>
      <c r="AZ989" s="16"/>
      <c r="BC989" s="16"/>
      <c r="BD989" s="20"/>
      <c r="BE989" s="17"/>
      <c r="BF989" s="20"/>
      <c r="BG989" s="146"/>
      <c r="BH989" s="146"/>
      <c r="BI989" s="146"/>
      <c r="BJ989" s="20"/>
      <c r="BK989" s="20"/>
      <c r="BL989" s="154"/>
      <c r="BP989" s="20"/>
      <c r="BQ989" s="154"/>
      <c r="BR989" s="18"/>
      <c r="BS989" s="16"/>
      <c r="BT989" s="18"/>
      <c r="BU989" s="18"/>
      <c r="BV989" s="18"/>
      <c r="BW989" s="20"/>
      <c r="BX989" s="154"/>
      <c r="BY989" s="18"/>
      <c r="BZ989" s="146"/>
      <c r="CA989" s="18"/>
      <c r="CB989" s="18"/>
      <c r="CC989" s="20"/>
      <c r="CD989" s="154"/>
    </row>
    <row r="990" spans="35:82">
      <c r="AI990" s="19"/>
      <c r="AO990" s="19"/>
      <c r="AY990" s="145"/>
      <c r="AZ990" s="16"/>
      <c r="BC990" s="16"/>
      <c r="BD990" s="20"/>
      <c r="BE990" s="17"/>
      <c r="BF990" s="20"/>
      <c r="BG990" s="146"/>
      <c r="BH990" s="146"/>
      <c r="BI990" s="146"/>
      <c r="BJ990" s="20"/>
      <c r="BK990" s="20"/>
      <c r="BL990" s="154"/>
      <c r="BP990" s="20"/>
      <c r="BQ990" s="154"/>
      <c r="BR990" s="18"/>
      <c r="BS990" s="16"/>
      <c r="BT990" s="18"/>
      <c r="BU990" s="18"/>
      <c r="BV990" s="18"/>
      <c r="BW990" s="20"/>
      <c r="BX990" s="154"/>
      <c r="BY990" s="18"/>
      <c r="BZ990" s="146"/>
      <c r="CA990" s="18"/>
      <c r="CB990" s="18"/>
      <c r="CC990" s="20"/>
      <c r="CD990" s="154"/>
    </row>
    <row r="991" spans="35:82">
      <c r="AI991" s="19"/>
      <c r="AO991" s="19"/>
      <c r="AY991" s="145"/>
      <c r="AZ991" s="16"/>
      <c r="BC991" s="16"/>
      <c r="BD991" s="20"/>
      <c r="BE991" s="17"/>
      <c r="BF991" s="20"/>
      <c r="BG991" s="146"/>
      <c r="BH991" s="146"/>
      <c r="BI991" s="146"/>
      <c r="BJ991" s="20"/>
      <c r="BK991" s="20"/>
      <c r="BL991" s="154"/>
      <c r="BP991" s="20"/>
      <c r="BQ991" s="154"/>
      <c r="BR991" s="18"/>
      <c r="BS991" s="16"/>
      <c r="BT991" s="18"/>
      <c r="BU991" s="18"/>
      <c r="BV991" s="18"/>
      <c r="BW991" s="20"/>
      <c r="BX991" s="154"/>
      <c r="BY991" s="18"/>
      <c r="BZ991" s="146"/>
      <c r="CA991" s="18"/>
      <c r="CB991" s="18"/>
      <c r="CC991" s="20"/>
      <c r="CD991" s="154"/>
    </row>
    <row r="992" spans="35:82">
      <c r="AI992" s="19"/>
      <c r="AO992" s="19"/>
      <c r="AY992" s="145"/>
      <c r="AZ992" s="16"/>
      <c r="BC992" s="16"/>
      <c r="BD992" s="20"/>
      <c r="BE992" s="17"/>
      <c r="BF992" s="20"/>
      <c r="BG992" s="146"/>
      <c r="BH992" s="146"/>
      <c r="BI992" s="146"/>
      <c r="BJ992" s="20"/>
      <c r="BK992" s="20"/>
      <c r="BL992" s="154"/>
      <c r="BP992" s="20"/>
      <c r="BQ992" s="154"/>
      <c r="BR992" s="18"/>
      <c r="BS992" s="16"/>
      <c r="BT992" s="18"/>
      <c r="BU992" s="18"/>
      <c r="BV992" s="18"/>
      <c r="BW992" s="20"/>
      <c r="BX992" s="154"/>
      <c r="BY992" s="18"/>
      <c r="BZ992" s="146"/>
      <c r="CA992" s="18"/>
      <c r="CB992" s="18"/>
      <c r="CC992" s="20"/>
      <c r="CD992" s="154"/>
    </row>
    <row r="993" spans="35:82">
      <c r="AI993" s="19"/>
      <c r="AO993" s="19"/>
      <c r="AY993" s="145"/>
      <c r="AZ993" s="16"/>
      <c r="BC993" s="16"/>
      <c r="BD993" s="20"/>
      <c r="BE993" s="17"/>
      <c r="BF993" s="20"/>
      <c r="BG993" s="146"/>
      <c r="BH993" s="146"/>
      <c r="BI993" s="146"/>
      <c r="BJ993" s="20"/>
      <c r="BK993" s="20"/>
      <c r="BL993" s="154"/>
      <c r="BP993" s="20"/>
      <c r="BQ993" s="154"/>
      <c r="BR993" s="18"/>
      <c r="BS993" s="16"/>
      <c r="BT993" s="18"/>
      <c r="BU993" s="18"/>
      <c r="BV993" s="18"/>
      <c r="BW993" s="20"/>
      <c r="BX993" s="154"/>
      <c r="BY993" s="18"/>
      <c r="BZ993" s="146"/>
      <c r="CA993" s="18"/>
      <c r="CB993" s="18"/>
      <c r="CC993" s="20"/>
      <c r="CD993" s="154"/>
    </row>
    <row r="994" spans="35:82">
      <c r="AI994" s="19"/>
      <c r="AO994" s="19"/>
      <c r="AY994" s="145"/>
      <c r="AZ994" s="16"/>
      <c r="BC994" s="16"/>
      <c r="BD994" s="20"/>
      <c r="BE994" s="17"/>
      <c r="BF994" s="20"/>
      <c r="BG994" s="146"/>
      <c r="BH994" s="146"/>
      <c r="BI994" s="146"/>
      <c r="BJ994" s="20"/>
      <c r="BK994" s="20"/>
      <c r="BL994" s="154"/>
      <c r="BP994" s="20"/>
      <c r="BQ994" s="154"/>
      <c r="BR994" s="18"/>
      <c r="BS994" s="16"/>
      <c r="BT994" s="18"/>
      <c r="BU994" s="18"/>
      <c r="BV994" s="18"/>
      <c r="BW994" s="20"/>
      <c r="BX994" s="154"/>
      <c r="BY994" s="18"/>
      <c r="BZ994" s="146"/>
      <c r="CA994" s="18"/>
      <c r="CB994" s="18"/>
      <c r="CC994" s="20"/>
      <c r="CD994" s="154"/>
    </row>
    <row r="995" spans="35:82">
      <c r="AI995" s="19"/>
      <c r="AO995" s="19"/>
      <c r="AY995" s="145"/>
      <c r="AZ995" s="16"/>
      <c r="BC995" s="16"/>
      <c r="BD995" s="20"/>
      <c r="BE995" s="17"/>
      <c r="BF995" s="20"/>
      <c r="BG995" s="146"/>
      <c r="BH995" s="146"/>
      <c r="BI995" s="146"/>
      <c r="BJ995" s="20"/>
      <c r="BK995" s="20"/>
      <c r="BL995" s="154"/>
      <c r="BP995" s="20"/>
      <c r="BQ995" s="154"/>
      <c r="BR995" s="18"/>
      <c r="BS995" s="16"/>
      <c r="BT995" s="18"/>
      <c r="BU995" s="18"/>
      <c r="BV995" s="18"/>
      <c r="BW995" s="20"/>
      <c r="BX995" s="154"/>
      <c r="BY995" s="18"/>
      <c r="BZ995" s="146"/>
      <c r="CA995" s="18"/>
      <c r="CB995" s="18"/>
      <c r="CC995" s="20"/>
      <c r="CD995" s="154"/>
    </row>
    <row r="996" spans="35:82">
      <c r="AI996" s="19"/>
      <c r="AO996" s="19"/>
      <c r="AY996" s="145"/>
      <c r="AZ996" s="16"/>
      <c r="BC996" s="16"/>
      <c r="BD996" s="20"/>
      <c r="BE996" s="17"/>
      <c r="BF996" s="20"/>
      <c r="BG996" s="146"/>
      <c r="BH996" s="146"/>
      <c r="BI996" s="146"/>
      <c r="BJ996" s="20"/>
      <c r="BK996" s="20"/>
      <c r="BL996" s="154"/>
      <c r="BP996" s="20"/>
      <c r="BQ996" s="154"/>
      <c r="BR996" s="18"/>
      <c r="BS996" s="16"/>
      <c r="BT996" s="18"/>
      <c r="BU996" s="18"/>
      <c r="BV996" s="18"/>
      <c r="BW996" s="20"/>
      <c r="BX996" s="154"/>
      <c r="BY996" s="18"/>
      <c r="BZ996" s="146"/>
      <c r="CA996" s="18"/>
      <c r="CB996" s="18"/>
      <c r="CC996" s="20"/>
      <c r="CD996" s="154"/>
    </row>
    <row r="997" spans="35:82">
      <c r="AI997" s="19"/>
      <c r="AO997" s="19"/>
      <c r="AY997" s="145"/>
      <c r="AZ997" s="16"/>
      <c r="BC997" s="16"/>
      <c r="BD997" s="20"/>
      <c r="BE997" s="17"/>
      <c r="BF997" s="20"/>
      <c r="BG997" s="146"/>
      <c r="BH997" s="146"/>
      <c r="BI997" s="146"/>
      <c r="BJ997" s="20"/>
      <c r="BK997" s="20"/>
      <c r="BL997" s="154"/>
      <c r="BP997" s="20"/>
      <c r="BQ997" s="154"/>
      <c r="BR997" s="18"/>
      <c r="BS997" s="16"/>
      <c r="BT997" s="18"/>
      <c r="BU997" s="18"/>
      <c r="BV997" s="18"/>
      <c r="BW997" s="20"/>
      <c r="BX997" s="154"/>
      <c r="BY997" s="18"/>
      <c r="BZ997" s="146"/>
      <c r="CA997" s="18"/>
      <c r="CB997" s="18"/>
      <c r="CC997" s="20"/>
      <c r="CD997" s="154"/>
    </row>
    <row r="998" spans="35:82">
      <c r="AI998" s="19"/>
      <c r="AO998" s="19"/>
      <c r="AY998" s="145"/>
      <c r="AZ998" s="16"/>
      <c r="BC998" s="16"/>
      <c r="BD998" s="20"/>
      <c r="BE998" s="17"/>
      <c r="BF998" s="20"/>
      <c r="BG998" s="146"/>
      <c r="BH998" s="146"/>
      <c r="BI998" s="146"/>
      <c r="BJ998" s="20"/>
      <c r="BK998" s="20"/>
      <c r="BL998" s="154"/>
      <c r="BP998" s="20"/>
      <c r="BQ998" s="154"/>
      <c r="BR998" s="18"/>
      <c r="BS998" s="16"/>
      <c r="BT998" s="18"/>
      <c r="BU998" s="18"/>
      <c r="BV998" s="18"/>
      <c r="BW998" s="20"/>
      <c r="BX998" s="154"/>
      <c r="BY998" s="18"/>
      <c r="BZ998" s="146"/>
      <c r="CA998" s="18"/>
      <c r="CB998" s="18"/>
      <c r="CC998" s="20"/>
      <c r="CD998" s="154"/>
    </row>
    <row r="999" spans="35:82">
      <c r="AI999" s="19"/>
      <c r="AO999" s="19"/>
      <c r="AY999" s="145"/>
      <c r="AZ999" s="16"/>
      <c r="BC999" s="16"/>
      <c r="BD999" s="20"/>
      <c r="BE999" s="17"/>
      <c r="BF999" s="20"/>
      <c r="BG999" s="146"/>
      <c r="BH999" s="146"/>
      <c r="BI999" s="146"/>
      <c r="BJ999" s="20"/>
      <c r="BK999" s="20"/>
      <c r="BL999" s="154"/>
      <c r="BP999" s="20"/>
      <c r="BQ999" s="154"/>
      <c r="BR999" s="18"/>
      <c r="BS999" s="16"/>
      <c r="BT999" s="18"/>
      <c r="BU999" s="18"/>
      <c r="BV999" s="18"/>
      <c r="BW999" s="20"/>
      <c r="BX999" s="154"/>
      <c r="BY999" s="18"/>
      <c r="BZ999" s="146"/>
      <c r="CA999" s="18"/>
      <c r="CB999" s="18"/>
      <c r="CC999" s="20"/>
      <c r="CD999" s="154"/>
    </row>
    <row r="1000" spans="35:82">
      <c r="AI1000" s="19"/>
      <c r="AO1000" s="19"/>
      <c r="AY1000" s="145"/>
      <c r="AZ1000" s="16"/>
      <c r="BC1000" s="16"/>
      <c r="BD1000" s="20"/>
      <c r="BE1000" s="17"/>
      <c r="BF1000" s="20"/>
      <c r="BG1000" s="146"/>
      <c r="BH1000" s="146"/>
      <c r="BI1000" s="146"/>
      <c r="BJ1000" s="20"/>
      <c r="BK1000" s="20"/>
      <c r="BL1000" s="154"/>
      <c r="BP1000" s="20"/>
      <c r="BQ1000" s="154"/>
      <c r="BR1000" s="18"/>
      <c r="BS1000" s="16"/>
      <c r="BT1000" s="18"/>
      <c r="BU1000" s="18"/>
      <c r="BV1000" s="18"/>
      <c r="BW1000" s="20"/>
      <c r="BX1000" s="154"/>
      <c r="BY1000" s="18"/>
      <c r="BZ1000" s="146"/>
      <c r="CA1000" s="18"/>
      <c r="CB1000" s="18"/>
      <c r="CC1000" s="20"/>
      <c r="CD1000" s="154"/>
    </row>
    <row r="1001" spans="35:82">
      <c r="AI1001" s="19"/>
      <c r="AO1001" s="19"/>
      <c r="AY1001" s="145"/>
      <c r="AZ1001" s="16"/>
      <c r="BC1001" s="16"/>
      <c r="BD1001" s="20"/>
      <c r="BE1001" s="17"/>
      <c r="BF1001" s="20"/>
      <c r="BG1001" s="146"/>
      <c r="BH1001" s="146"/>
      <c r="BI1001" s="146"/>
      <c r="BJ1001" s="20"/>
      <c r="BK1001" s="20"/>
      <c r="BL1001" s="154"/>
      <c r="BP1001" s="20"/>
      <c r="BQ1001" s="154"/>
      <c r="BR1001" s="18"/>
      <c r="BS1001" s="16"/>
      <c r="BT1001" s="18"/>
      <c r="BU1001" s="18"/>
      <c r="BV1001" s="18"/>
      <c r="BW1001" s="20"/>
      <c r="BX1001" s="154"/>
      <c r="BY1001" s="18"/>
      <c r="BZ1001" s="146"/>
      <c r="CA1001" s="18"/>
      <c r="CB1001" s="18"/>
      <c r="CC1001" s="20"/>
      <c r="CD1001" s="154"/>
    </row>
    <row r="1002" spans="35:82">
      <c r="AI1002" s="19"/>
      <c r="AO1002" s="19"/>
      <c r="AY1002" s="145"/>
      <c r="AZ1002" s="16"/>
      <c r="BC1002" s="16"/>
      <c r="BD1002" s="20"/>
      <c r="BE1002" s="17"/>
      <c r="BF1002" s="20"/>
      <c r="BG1002" s="146"/>
      <c r="BH1002" s="146"/>
      <c r="BI1002" s="146"/>
      <c r="BJ1002" s="20"/>
      <c r="BK1002" s="20"/>
      <c r="BL1002" s="154"/>
      <c r="BP1002" s="20"/>
      <c r="BQ1002" s="154"/>
      <c r="BR1002" s="18"/>
      <c r="BS1002" s="16"/>
      <c r="BT1002" s="18"/>
      <c r="BU1002" s="18"/>
      <c r="BV1002" s="18"/>
      <c r="BW1002" s="20"/>
      <c r="BX1002" s="154"/>
      <c r="BY1002" s="18"/>
      <c r="BZ1002" s="146"/>
      <c r="CA1002" s="18"/>
      <c r="CB1002" s="18"/>
      <c r="CC1002" s="20"/>
      <c r="CD1002" s="154"/>
    </row>
    <row r="1003" spans="35:82">
      <c r="AI1003" s="19"/>
      <c r="AO1003" s="19"/>
      <c r="AY1003" s="145"/>
      <c r="AZ1003" s="16"/>
      <c r="BC1003" s="16"/>
      <c r="BD1003" s="20"/>
      <c r="BE1003" s="17"/>
      <c r="BF1003" s="20"/>
      <c r="BG1003" s="146"/>
      <c r="BH1003" s="146"/>
      <c r="BI1003" s="146"/>
      <c r="BJ1003" s="20"/>
      <c r="BK1003" s="20"/>
      <c r="BL1003" s="154"/>
      <c r="BP1003" s="20"/>
      <c r="BQ1003" s="154"/>
      <c r="BR1003" s="18"/>
      <c r="BS1003" s="16"/>
      <c r="BT1003" s="18"/>
      <c r="BU1003" s="18"/>
      <c r="BV1003" s="18"/>
      <c r="BW1003" s="20"/>
      <c r="BX1003" s="154"/>
      <c r="BY1003" s="18"/>
      <c r="BZ1003" s="146"/>
      <c r="CA1003" s="18"/>
      <c r="CB1003" s="18"/>
      <c r="CC1003" s="20"/>
      <c r="CD1003" s="154"/>
    </row>
    <row r="1004" spans="35:82">
      <c r="AI1004" s="19"/>
      <c r="AO1004" s="19"/>
      <c r="AY1004" s="145"/>
      <c r="AZ1004" s="16"/>
      <c r="BC1004" s="16"/>
      <c r="BD1004" s="20"/>
      <c r="BE1004" s="17"/>
      <c r="BF1004" s="20"/>
      <c r="BG1004" s="146"/>
      <c r="BH1004" s="146"/>
      <c r="BI1004" s="146"/>
      <c r="BJ1004" s="20"/>
      <c r="BK1004" s="20"/>
      <c r="BL1004" s="154"/>
      <c r="BP1004" s="20"/>
      <c r="BQ1004" s="154"/>
      <c r="BR1004" s="18"/>
      <c r="BS1004" s="16"/>
      <c r="BT1004" s="18"/>
      <c r="BU1004" s="18"/>
      <c r="BV1004" s="18"/>
      <c r="BW1004" s="20"/>
      <c r="BX1004" s="154"/>
      <c r="BY1004" s="18"/>
      <c r="BZ1004" s="146"/>
      <c r="CA1004" s="18"/>
      <c r="CB1004" s="18"/>
      <c r="CC1004" s="20"/>
      <c r="CD1004" s="154"/>
    </row>
    <row r="1005" spans="35:82">
      <c r="AI1005" s="19"/>
      <c r="AO1005" s="19"/>
      <c r="AY1005" s="145"/>
      <c r="AZ1005" s="16"/>
      <c r="BC1005" s="16"/>
      <c r="BD1005" s="20"/>
      <c r="BE1005" s="17"/>
      <c r="BF1005" s="20"/>
      <c r="BG1005" s="146"/>
      <c r="BH1005" s="146"/>
      <c r="BI1005" s="146"/>
      <c r="BJ1005" s="20"/>
      <c r="BK1005" s="20"/>
      <c r="BL1005" s="154"/>
      <c r="BP1005" s="20"/>
      <c r="BQ1005" s="154"/>
      <c r="BR1005" s="18"/>
      <c r="BS1005" s="16"/>
      <c r="BT1005" s="18"/>
      <c r="BU1005" s="18"/>
      <c r="BV1005" s="18"/>
      <c r="BW1005" s="20"/>
      <c r="BX1005" s="154"/>
      <c r="BY1005" s="18"/>
      <c r="BZ1005" s="146"/>
      <c r="CA1005" s="18"/>
      <c r="CB1005" s="18"/>
      <c r="CC1005" s="20"/>
      <c r="CD1005" s="154"/>
    </row>
    <row r="1006" spans="35:82">
      <c r="AI1006" s="19"/>
      <c r="AO1006" s="19"/>
      <c r="AY1006" s="145"/>
      <c r="AZ1006" s="16"/>
      <c r="BC1006" s="16"/>
      <c r="BD1006" s="20"/>
      <c r="BE1006" s="17"/>
      <c r="BF1006" s="20"/>
      <c r="BG1006" s="146"/>
      <c r="BH1006" s="146"/>
      <c r="BI1006" s="146"/>
      <c r="BJ1006" s="20"/>
      <c r="BK1006" s="20"/>
      <c r="BL1006" s="154"/>
      <c r="BP1006" s="20"/>
      <c r="BQ1006" s="154"/>
      <c r="BR1006" s="18"/>
      <c r="BS1006" s="16"/>
      <c r="BT1006" s="18"/>
      <c r="BU1006" s="18"/>
      <c r="BV1006" s="18"/>
      <c r="BW1006" s="20"/>
      <c r="BX1006" s="154"/>
      <c r="BY1006" s="18"/>
      <c r="BZ1006" s="146"/>
      <c r="CA1006" s="18"/>
      <c r="CB1006" s="18"/>
      <c r="CC1006" s="20"/>
      <c r="CD1006" s="154"/>
    </row>
    <row r="1007" spans="35:82">
      <c r="AI1007" s="19"/>
      <c r="AO1007" s="19"/>
      <c r="AY1007" s="145"/>
      <c r="AZ1007" s="16"/>
      <c r="BC1007" s="16"/>
      <c r="BD1007" s="20"/>
      <c r="BE1007" s="17"/>
      <c r="BF1007" s="20"/>
      <c r="BG1007" s="146"/>
      <c r="BH1007" s="146"/>
      <c r="BI1007" s="146"/>
      <c r="BJ1007" s="20"/>
      <c r="BK1007" s="20"/>
      <c r="BL1007" s="154"/>
      <c r="BP1007" s="20"/>
      <c r="BQ1007" s="154"/>
      <c r="BR1007" s="18"/>
      <c r="BS1007" s="16"/>
      <c r="BT1007" s="18"/>
      <c r="BU1007" s="18"/>
      <c r="BV1007" s="18"/>
      <c r="BW1007" s="20"/>
      <c r="BX1007" s="154"/>
      <c r="BY1007" s="18"/>
      <c r="BZ1007" s="146"/>
      <c r="CA1007" s="18"/>
      <c r="CB1007" s="18"/>
      <c r="CC1007" s="20"/>
      <c r="CD1007" s="154"/>
    </row>
    <row r="1008" spans="35:82">
      <c r="AI1008" s="19"/>
      <c r="AO1008" s="19"/>
      <c r="AY1008" s="145"/>
      <c r="AZ1008" s="16"/>
      <c r="BC1008" s="16"/>
      <c r="BD1008" s="20"/>
      <c r="BE1008" s="17"/>
      <c r="BF1008" s="20"/>
      <c r="BG1008" s="146"/>
      <c r="BH1008" s="146"/>
      <c r="BI1008" s="146"/>
      <c r="BJ1008" s="20"/>
      <c r="BK1008" s="20"/>
      <c r="BL1008" s="154"/>
      <c r="BP1008" s="20"/>
      <c r="BQ1008" s="154"/>
      <c r="BR1008" s="18"/>
      <c r="BS1008" s="16"/>
      <c r="BT1008" s="18"/>
      <c r="BU1008" s="18"/>
      <c r="BV1008" s="18"/>
      <c r="BW1008" s="20"/>
      <c r="BX1008" s="154"/>
      <c r="BY1008" s="18"/>
      <c r="BZ1008" s="146"/>
      <c r="CA1008" s="18"/>
      <c r="CB1008" s="18"/>
      <c r="CC1008" s="20"/>
      <c r="CD1008" s="154"/>
    </row>
    <row r="1009" spans="35:82">
      <c r="AI1009" s="19"/>
      <c r="AO1009" s="19"/>
      <c r="AY1009" s="145"/>
      <c r="AZ1009" s="16"/>
      <c r="BC1009" s="16"/>
      <c r="BD1009" s="20"/>
      <c r="BE1009" s="17"/>
      <c r="BF1009" s="20"/>
      <c r="BG1009" s="146"/>
      <c r="BH1009" s="146"/>
      <c r="BI1009" s="146"/>
      <c r="BJ1009" s="20"/>
      <c r="BK1009" s="20"/>
      <c r="BL1009" s="154"/>
      <c r="BP1009" s="20"/>
      <c r="BQ1009" s="154"/>
      <c r="BR1009" s="18"/>
      <c r="BS1009" s="16"/>
      <c r="BT1009" s="18"/>
      <c r="BU1009" s="18"/>
      <c r="BV1009" s="18"/>
      <c r="BW1009" s="20"/>
      <c r="BX1009" s="154"/>
      <c r="BY1009" s="18"/>
      <c r="BZ1009" s="146"/>
      <c r="CA1009" s="18"/>
      <c r="CB1009" s="18"/>
      <c r="CC1009" s="20"/>
      <c r="CD1009" s="154"/>
    </row>
    <row r="1010" spans="35:82">
      <c r="AI1010" s="19"/>
      <c r="AO1010" s="19"/>
      <c r="AY1010" s="145"/>
      <c r="AZ1010" s="16"/>
      <c r="BC1010" s="16"/>
      <c r="BD1010" s="20"/>
      <c r="BE1010" s="17"/>
      <c r="BF1010" s="20"/>
      <c r="BG1010" s="146"/>
      <c r="BH1010" s="146"/>
      <c r="BI1010" s="146"/>
      <c r="BJ1010" s="20"/>
      <c r="BK1010" s="20"/>
      <c r="BL1010" s="154"/>
      <c r="BP1010" s="20"/>
      <c r="BQ1010" s="154"/>
      <c r="BR1010" s="18"/>
      <c r="BS1010" s="16"/>
      <c r="BT1010" s="18"/>
      <c r="BU1010" s="18"/>
      <c r="BV1010" s="18"/>
      <c r="BW1010" s="20"/>
      <c r="BX1010" s="154"/>
      <c r="BY1010" s="18"/>
      <c r="BZ1010" s="146"/>
      <c r="CA1010" s="18"/>
      <c r="CB1010" s="18"/>
      <c r="CC1010" s="20"/>
      <c r="CD1010" s="154"/>
    </row>
    <row r="1011" spans="35:82">
      <c r="AI1011" s="19"/>
      <c r="AO1011" s="19"/>
      <c r="AY1011" s="145"/>
      <c r="AZ1011" s="16"/>
      <c r="BC1011" s="16"/>
      <c r="BD1011" s="20"/>
      <c r="BE1011" s="17"/>
      <c r="BF1011" s="20"/>
      <c r="BG1011" s="146"/>
      <c r="BH1011" s="146"/>
      <c r="BI1011" s="146"/>
      <c r="BJ1011" s="20"/>
      <c r="BK1011" s="20"/>
      <c r="BL1011" s="154"/>
      <c r="BP1011" s="20"/>
      <c r="BQ1011" s="154"/>
      <c r="BR1011" s="18"/>
      <c r="BS1011" s="16"/>
      <c r="BT1011" s="18"/>
      <c r="BU1011" s="18"/>
      <c r="BV1011" s="18"/>
      <c r="BW1011" s="20"/>
      <c r="BX1011" s="154"/>
      <c r="BY1011" s="18"/>
      <c r="BZ1011" s="146"/>
      <c r="CA1011" s="18"/>
      <c r="CB1011" s="18"/>
      <c r="CC1011" s="20"/>
      <c r="CD1011" s="154"/>
    </row>
    <row r="1012" spans="35:82">
      <c r="AI1012" s="19"/>
      <c r="AO1012" s="19"/>
      <c r="AY1012" s="145"/>
      <c r="AZ1012" s="16"/>
      <c r="BC1012" s="16"/>
      <c r="BD1012" s="20"/>
      <c r="BE1012" s="17"/>
      <c r="BF1012" s="20"/>
      <c r="BG1012" s="146"/>
      <c r="BH1012" s="146"/>
      <c r="BI1012" s="146"/>
      <c r="BJ1012" s="20"/>
      <c r="BK1012" s="20"/>
      <c r="BL1012" s="154"/>
      <c r="BP1012" s="20"/>
      <c r="BQ1012" s="154"/>
      <c r="BR1012" s="18"/>
      <c r="BS1012" s="16"/>
      <c r="BT1012" s="18"/>
      <c r="BU1012" s="18"/>
      <c r="BV1012" s="18"/>
      <c r="BW1012" s="20"/>
      <c r="BX1012" s="154"/>
      <c r="BY1012" s="18"/>
      <c r="BZ1012" s="146"/>
      <c r="CA1012" s="18"/>
      <c r="CB1012" s="18"/>
      <c r="CC1012" s="20"/>
      <c r="CD1012" s="154"/>
    </row>
    <row r="1013" spans="35:82">
      <c r="AI1013" s="19"/>
      <c r="AO1013" s="19"/>
      <c r="AY1013" s="145"/>
      <c r="AZ1013" s="16"/>
      <c r="BC1013" s="16"/>
      <c r="BD1013" s="20"/>
      <c r="BE1013" s="17"/>
      <c r="BF1013" s="20"/>
      <c r="BG1013" s="146"/>
      <c r="BH1013" s="146"/>
      <c r="BI1013" s="146"/>
      <c r="BJ1013" s="20"/>
      <c r="BK1013" s="20"/>
      <c r="BL1013" s="154"/>
      <c r="BP1013" s="20"/>
      <c r="BQ1013" s="154"/>
      <c r="BR1013" s="18"/>
      <c r="BS1013" s="16"/>
      <c r="BT1013" s="18"/>
      <c r="BU1013" s="18"/>
      <c r="BV1013" s="18"/>
      <c r="BW1013" s="20"/>
      <c r="BX1013" s="154"/>
      <c r="BY1013" s="18"/>
      <c r="BZ1013" s="146"/>
      <c r="CA1013" s="18"/>
      <c r="CB1013" s="18"/>
      <c r="CC1013" s="20"/>
      <c r="CD1013" s="154"/>
    </row>
    <row r="1014" spans="35:82">
      <c r="AI1014" s="19"/>
      <c r="AO1014" s="19"/>
      <c r="AY1014" s="145"/>
      <c r="AZ1014" s="16"/>
      <c r="BC1014" s="16"/>
      <c r="BD1014" s="20"/>
      <c r="BE1014" s="17"/>
      <c r="BF1014" s="20"/>
      <c r="BG1014" s="146"/>
      <c r="BH1014" s="146"/>
      <c r="BI1014" s="146"/>
      <c r="BJ1014" s="20"/>
      <c r="BK1014" s="20"/>
      <c r="BL1014" s="154"/>
      <c r="BP1014" s="20"/>
      <c r="BQ1014" s="154"/>
      <c r="BR1014" s="18"/>
      <c r="BS1014" s="16"/>
      <c r="BT1014" s="18"/>
      <c r="BU1014" s="18"/>
      <c r="BV1014" s="18"/>
      <c r="BW1014" s="20"/>
      <c r="BX1014" s="154"/>
      <c r="BY1014" s="18"/>
      <c r="BZ1014" s="146"/>
      <c r="CA1014" s="18"/>
      <c r="CB1014" s="18"/>
      <c r="CC1014" s="20"/>
      <c r="CD1014" s="154"/>
    </row>
    <row r="1015" spans="35:82">
      <c r="AI1015" s="19"/>
      <c r="AO1015" s="19"/>
      <c r="AY1015" s="145"/>
      <c r="AZ1015" s="16"/>
      <c r="BC1015" s="16"/>
      <c r="BD1015" s="20"/>
      <c r="BE1015" s="17"/>
      <c r="BF1015" s="20"/>
      <c r="BG1015" s="146"/>
      <c r="BH1015" s="146"/>
      <c r="BI1015" s="146"/>
      <c r="BJ1015" s="20"/>
      <c r="BK1015" s="20"/>
      <c r="BL1015" s="154"/>
      <c r="BP1015" s="20"/>
      <c r="BQ1015" s="154"/>
      <c r="BR1015" s="18"/>
      <c r="BS1015" s="16"/>
      <c r="BT1015" s="18"/>
      <c r="BU1015" s="18"/>
      <c r="BV1015" s="18"/>
      <c r="BW1015" s="20"/>
      <c r="BX1015" s="154"/>
      <c r="BY1015" s="18"/>
      <c r="BZ1015" s="146"/>
      <c r="CA1015" s="18"/>
      <c r="CB1015" s="18"/>
      <c r="CC1015" s="20"/>
      <c r="CD1015" s="154"/>
    </row>
    <row r="1016" spans="35:82">
      <c r="AI1016" s="19"/>
      <c r="AO1016" s="19"/>
      <c r="AY1016" s="145"/>
      <c r="AZ1016" s="16"/>
      <c r="BC1016" s="16"/>
      <c r="BD1016" s="20"/>
      <c r="BE1016" s="17"/>
      <c r="BF1016" s="20"/>
      <c r="BG1016" s="146"/>
      <c r="BH1016" s="146"/>
      <c r="BI1016" s="146"/>
      <c r="BJ1016" s="20"/>
      <c r="BK1016" s="20"/>
      <c r="BL1016" s="154"/>
      <c r="BP1016" s="20"/>
      <c r="BQ1016" s="154"/>
      <c r="BR1016" s="18"/>
      <c r="BS1016" s="16"/>
      <c r="BT1016" s="18"/>
      <c r="BU1016" s="18"/>
      <c r="BV1016" s="18"/>
      <c r="BW1016" s="20"/>
      <c r="BX1016" s="154"/>
      <c r="BY1016" s="18"/>
      <c r="BZ1016" s="146"/>
      <c r="CA1016" s="18"/>
      <c r="CB1016" s="18"/>
      <c r="CC1016" s="20"/>
      <c r="CD1016" s="154"/>
    </row>
    <row r="1017" spans="35:82">
      <c r="AI1017" s="19"/>
      <c r="AO1017" s="19"/>
      <c r="AY1017" s="145"/>
      <c r="AZ1017" s="16"/>
      <c r="BC1017" s="16"/>
      <c r="BD1017" s="20"/>
      <c r="BE1017" s="17"/>
      <c r="BF1017" s="20"/>
      <c r="BG1017" s="146"/>
      <c r="BH1017" s="146"/>
      <c r="BI1017" s="146"/>
      <c r="BJ1017" s="20"/>
      <c r="BK1017" s="20"/>
      <c r="BL1017" s="154"/>
      <c r="BP1017" s="20"/>
      <c r="BQ1017" s="154"/>
      <c r="BR1017" s="18"/>
      <c r="BS1017" s="16"/>
      <c r="BT1017" s="18"/>
      <c r="BU1017" s="18"/>
      <c r="BV1017" s="18"/>
      <c r="BW1017" s="20"/>
      <c r="BX1017" s="154"/>
      <c r="BY1017" s="18"/>
      <c r="BZ1017" s="146"/>
      <c r="CA1017" s="18"/>
      <c r="CB1017" s="18"/>
      <c r="CC1017" s="20"/>
      <c r="CD1017" s="154"/>
    </row>
    <row r="1018" spans="35:82">
      <c r="AI1018" s="19"/>
      <c r="AO1018" s="19"/>
      <c r="AY1018" s="145"/>
      <c r="AZ1018" s="16"/>
      <c r="BC1018" s="16"/>
      <c r="BD1018" s="20"/>
      <c r="BE1018" s="17"/>
      <c r="BF1018" s="20"/>
      <c r="BG1018" s="146"/>
      <c r="BH1018" s="146"/>
      <c r="BI1018" s="146"/>
      <c r="BJ1018" s="20"/>
      <c r="BK1018" s="20"/>
      <c r="BL1018" s="154"/>
      <c r="BP1018" s="20"/>
      <c r="BQ1018" s="154"/>
      <c r="BR1018" s="18"/>
      <c r="BS1018" s="16"/>
      <c r="BT1018" s="18"/>
      <c r="BU1018" s="18"/>
      <c r="BV1018" s="18"/>
      <c r="BW1018" s="20"/>
      <c r="BX1018" s="154"/>
      <c r="BY1018" s="18"/>
      <c r="BZ1018" s="146"/>
      <c r="CA1018" s="18"/>
      <c r="CB1018" s="18"/>
      <c r="CC1018" s="20"/>
      <c r="CD1018" s="154"/>
    </row>
    <row r="1019" spans="35:82">
      <c r="AI1019" s="19"/>
      <c r="AO1019" s="19"/>
      <c r="AY1019" s="145"/>
      <c r="AZ1019" s="16"/>
      <c r="BC1019" s="16"/>
      <c r="BD1019" s="20"/>
      <c r="BE1019" s="17"/>
      <c r="BF1019" s="20"/>
      <c r="BG1019" s="146"/>
      <c r="BH1019" s="146"/>
      <c r="BI1019" s="146"/>
      <c r="BJ1019" s="20"/>
      <c r="BK1019" s="20"/>
      <c r="BL1019" s="154"/>
      <c r="BP1019" s="20"/>
      <c r="BQ1019" s="154"/>
      <c r="BR1019" s="18"/>
      <c r="BS1019" s="16"/>
      <c r="BT1019" s="18"/>
      <c r="BU1019" s="18"/>
      <c r="BV1019" s="18"/>
      <c r="BW1019" s="20"/>
      <c r="BX1019" s="154"/>
      <c r="BY1019" s="18"/>
      <c r="BZ1019" s="146"/>
      <c r="CA1019" s="18"/>
      <c r="CB1019" s="18"/>
      <c r="CC1019" s="20"/>
      <c r="CD1019" s="154"/>
    </row>
    <row r="1020" spans="35:82">
      <c r="AI1020" s="19"/>
      <c r="AO1020" s="19"/>
      <c r="AY1020" s="145"/>
      <c r="AZ1020" s="16"/>
      <c r="BC1020" s="16"/>
      <c r="BD1020" s="20"/>
      <c r="BE1020" s="17"/>
      <c r="BF1020" s="20"/>
      <c r="BG1020" s="146"/>
      <c r="BH1020" s="146"/>
      <c r="BI1020" s="146"/>
      <c r="BJ1020" s="20"/>
      <c r="BK1020" s="20"/>
      <c r="BL1020" s="154"/>
      <c r="BP1020" s="20"/>
      <c r="BQ1020" s="154"/>
      <c r="BR1020" s="18"/>
      <c r="BS1020" s="16"/>
      <c r="BT1020" s="18"/>
      <c r="BU1020" s="18"/>
      <c r="BV1020" s="18"/>
      <c r="BW1020" s="20"/>
      <c r="BX1020" s="154"/>
      <c r="BY1020" s="18"/>
      <c r="BZ1020" s="146"/>
      <c r="CA1020" s="18"/>
      <c r="CB1020" s="18"/>
      <c r="CC1020" s="20"/>
      <c r="CD1020" s="154"/>
    </row>
    <row r="1021" spans="35:82">
      <c r="AI1021" s="19"/>
      <c r="AO1021" s="19"/>
      <c r="AY1021" s="145"/>
      <c r="AZ1021" s="16"/>
      <c r="BC1021" s="16"/>
      <c r="BD1021" s="20"/>
      <c r="BE1021" s="17"/>
      <c r="BF1021" s="20"/>
      <c r="BG1021" s="146"/>
      <c r="BH1021" s="146"/>
      <c r="BI1021" s="146"/>
      <c r="BJ1021" s="20"/>
      <c r="BK1021" s="20"/>
      <c r="BL1021" s="154"/>
      <c r="BP1021" s="20"/>
      <c r="BQ1021" s="154"/>
      <c r="BR1021" s="18"/>
      <c r="BS1021" s="16"/>
      <c r="BT1021" s="18"/>
      <c r="BU1021" s="18"/>
      <c r="BV1021" s="18"/>
      <c r="BW1021" s="20"/>
      <c r="BX1021" s="154"/>
      <c r="BY1021" s="18"/>
      <c r="BZ1021" s="146"/>
      <c r="CA1021" s="18"/>
      <c r="CB1021" s="18"/>
      <c r="CC1021" s="20"/>
      <c r="CD1021" s="154"/>
    </row>
    <row r="1022" spans="35:82">
      <c r="AI1022" s="19"/>
      <c r="AO1022" s="19"/>
      <c r="AY1022" s="145"/>
      <c r="AZ1022" s="16"/>
      <c r="BC1022" s="16"/>
      <c r="BD1022" s="20"/>
      <c r="BE1022" s="17"/>
      <c r="BF1022" s="20"/>
      <c r="BG1022" s="146"/>
      <c r="BH1022" s="146"/>
      <c r="BI1022" s="146"/>
      <c r="BJ1022" s="20"/>
      <c r="BK1022" s="20"/>
      <c r="BL1022" s="154"/>
      <c r="BP1022" s="20"/>
      <c r="BQ1022" s="154"/>
      <c r="BR1022" s="18"/>
      <c r="BS1022" s="16"/>
      <c r="BT1022" s="18"/>
      <c r="BU1022" s="18"/>
      <c r="BV1022" s="18"/>
      <c r="BW1022" s="20"/>
      <c r="BX1022" s="154"/>
      <c r="BY1022" s="18"/>
      <c r="BZ1022" s="146"/>
      <c r="CA1022" s="18"/>
      <c r="CB1022" s="18"/>
      <c r="CC1022" s="20"/>
      <c r="CD1022" s="154"/>
    </row>
    <row r="1023" spans="35:82">
      <c r="AI1023" s="19"/>
      <c r="AO1023" s="19"/>
      <c r="AY1023" s="145"/>
      <c r="AZ1023" s="16"/>
      <c r="BC1023" s="16"/>
      <c r="BD1023" s="20"/>
      <c r="BE1023" s="17"/>
      <c r="BF1023" s="20"/>
      <c r="BG1023" s="146"/>
      <c r="BH1023" s="146"/>
      <c r="BI1023" s="146"/>
      <c r="BJ1023" s="20"/>
      <c r="BK1023" s="20"/>
      <c r="BL1023" s="154"/>
      <c r="BP1023" s="20"/>
      <c r="BQ1023" s="154"/>
      <c r="BR1023" s="18"/>
      <c r="BS1023" s="16"/>
      <c r="BT1023" s="18"/>
      <c r="BU1023" s="18"/>
      <c r="BV1023" s="18"/>
      <c r="BW1023" s="20"/>
      <c r="BX1023" s="154"/>
      <c r="BY1023" s="18"/>
      <c r="BZ1023" s="146"/>
      <c r="CA1023" s="18"/>
      <c r="CB1023" s="18"/>
      <c r="CC1023" s="20"/>
      <c r="CD1023" s="154"/>
    </row>
    <row r="1024" spans="35:82">
      <c r="AI1024" s="19"/>
      <c r="AO1024" s="19"/>
      <c r="AY1024" s="145"/>
      <c r="AZ1024" s="16"/>
      <c r="BC1024" s="16"/>
      <c r="BD1024" s="20"/>
      <c r="BE1024" s="17"/>
      <c r="BF1024" s="20"/>
      <c r="BG1024" s="146"/>
      <c r="BH1024" s="146"/>
      <c r="BI1024" s="146"/>
      <c r="BJ1024" s="20"/>
      <c r="BK1024" s="20"/>
      <c r="BL1024" s="154"/>
      <c r="BP1024" s="20"/>
      <c r="BQ1024" s="154"/>
      <c r="BR1024" s="18"/>
      <c r="BS1024" s="16"/>
      <c r="BT1024" s="18"/>
      <c r="BU1024" s="18"/>
      <c r="BV1024" s="18"/>
      <c r="BW1024" s="20"/>
      <c r="BX1024" s="154"/>
      <c r="BY1024" s="18"/>
      <c r="BZ1024" s="146"/>
      <c r="CA1024" s="18"/>
      <c r="CB1024" s="18"/>
      <c r="CC1024" s="20"/>
      <c r="CD1024" s="154"/>
    </row>
    <row r="1025" spans="35:82">
      <c r="AI1025" s="19"/>
      <c r="AO1025" s="19"/>
      <c r="AY1025" s="145"/>
      <c r="AZ1025" s="16"/>
      <c r="BC1025" s="16"/>
      <c r="BD1025" s="20"/>
      <c r="BE1025" s="17"/>
      <c r="BF1025" s="20"/>
      <c r="BG1025" s="146"/>
      <c r="BH1025" s="146"/>
      <c r="BI1025" s="146"/>
      <c r="BJ1025" s="20"/>
      <c r="BK1025" s="20"/>
      <c r="BL1025" s="154"/>
      <c r="BP1025" s="20"/>
      <c r="BQ1025" s="154"/>
      <c r="BR1025" s="18"/>
      <c r="BS1025" s="16"/>
      <c r="BT1025" s="18"/>
      <c r="BU1025" s="18"/>
      <c r="BV1025" s="18"/>
      <c r="BW1025" s="20"/>
      <c r="BX1025" s="154"/>
      <c r="BY1025" s="18"/>
      <c r="BZ1025" s="146"/>
      <c r="CA1025" s="18"/>
      <c r="CB1025" s="18"/>
      <c r="CC1025" s="20"/>
      <c r="CD1025" s="154"/>
    </row>
    <row r="1026" spans="35:82">
      <c r="AI1026" s="19"/>
      <c r="AO1026" s="19"/>
      <c r="AY1026" s="145"/>
      <c r="AZ1026" s="16"/>
      <c r="BC1026" s="16"/>
      <c r="BD1026" s="20"/>
      <c r="BE1026" s="17"/>
      <c r="BF1026" s="20"/>
      <c r="BG1026" s="146"/>
      <c r="BH1026" s="146"/>
      <c r="BI1026" s="146"/>
      <c r="BJ1026" s="20"/>
      <c r="BK1026" s="20"/>
      <c r="BL1026" s="154"/>
      <c r="BP1026" s="20"/>
      <c r="BQ1026" s="154"/>
      <c r="BR1026" s="18"/>
      <c r="BS1026" s="16"/>
      <c r="BT1026" s="18"/>
      <c r="BU1026" s="18"/>
      <c r="BV1026" s="18"/>
      <c r="BW1026" s="20"/>
      <c r="BX1026" s="154"/>
      <c r="BY1026" s="18"/>
      <c r="BZ1026" s="146"/>
      <c r="CA1026" s="18"/>
      <c r="CB1026" s="18"/>
      <c r="CC1026" s="20"/>
      <c r="CD1026" s="154"/>
    </row>
    <row r="1027" spans="35:82">
      <c r="AI1027" s="19"/>
      <c r="AO1027" s="19"/>
      <c r="AY1027" s="145"/>
      <c r="AZ1027" s="16"/>
      <c r="BC1027" s="16"/>
      <c r="BD1027" s="20"/>
      <c r="BE1027" s="17"/>
      <c r="BF1027" s="20"/>
      <c r="BG1027" s="146"/>
      <c r="BH1027" s="146"/>
      <c r="BI1027" s="146"/>
      <c r="BJ1027" s="20"/>
      <c r="BK1027" s="20"/>
      <c r="BL1027" s="154"/>
      <c r="BP1027" s="20"/>
      <c r="BQ1027" s="154"/>
      <c r="BR1027" s="18"/>
      <c r="BS1027" s="16"/>
      <c r="BT1027" s="18"/>
      <c r="BU1027" s="18"/>
      <c r="BV1027" s="18"/>
      <c r="BW1027" s="20"/>
      <c r="BX1027" s="154"/>
      <c r="BY1027" s="18"/>
      <c r="BZ1027" s="146"/>
      <c r="CA1027" s="18"/>
      <c r="CB1027" s="18"/>
      <c r="CC1027" s="20"/>
      <c r="CD1027" s="154"/>
    </row>
    <row r="1028" spans="35:82">
      <c r="AI1028" s="19"/>
      <c r="AO1028" s="19"/>
      <c r="AY1028" s="145"/>
      <c r="AZ1028" s="16"/>
      <c r="BC1028" s="16"/>
      <c r="BD1028" s="20"/>
      <c r="BE1028" s="17"/>
      <c r="BF1028" s="20"/>
      <c r="BG1028" s="146"/>
      <c r="BH1028" s="146"/>
      <c r="BI1028" s="146"/>
      <c r="BJ1028" s="20"/>
      <c r="BK1028" s="20"/>
      <c r="BL1028" s="154"/>
      <c r="BP1028" s="20"/>
      <c r="BQ1028" s="154"/>
      <c r="BR1028" s="18"/>
      <c r="BS1028" s="16"/>
      <c r="BT1028" s="18"/>
      <c r="BU1028" s="18"/>
      <c r="BV1028" s="18"/>
      <c r="BW1028" s="20"/>
      <c r="BX1028" s="154"/>
      <c r="BY1028" s="18"/>
      <c r="BZ1028" s="146"/>
      <c r="CA1028" s="18"/>
      <c r="CB1028" s="18"/>
      <c r="CC1028" s="20"/>
      <c r="CD1028" s="154"/>
    </row>
    <row r="1029" spans="35:82">
      <c r="AI1029" s="19"/>
      <c r="AO1029" s="19"/>
      <c r="AY1029" s="145"/>
      <c r="AZ1029" s="16"/>
      <c r="BC1029" s="16"/>
      <c r="BD1029" s="20"/>
      <c r="BE1029" s="17"/>
      <c r="BF1029" s="20"/>
      <c r="BG1029" s="146"/>
      <c r="BH1029" s="146"/>
      <c r="BI1029" s="146"/>
      <c r="BJ1029" s="20"/>
      <c r="BK1029" s="20"/>
      <c r="BL1029" s="154"/>
      <c r="BP1029" s="20"/>
      <c r="BQ1029" s="154"/>
      <c r="BR1029" s="18"/>
      <c r="BS1029" s="16"/>
      <c r="BT1029" s="18"/>
      <c r="BU1029" s="18"/>
      <c r="BV1029" s="18"/>
      <c r="BW1029" s="20"/>
      <c r="BX1029" s="154"/>
      <c r="BY1029" s="18"/>
      <c r="BZ1029" s="146"/>
      <c r="CA1029" s="18"/>
      <c r="CB1029" s="18"/>
      <c r="CC1029" s="20"/>
      <c r="CD1029" s="154"/>
    </row>
    <row r="1030" spans="35:82">
      <c r="AI1030" s="19"/>
      <c r="AO1030" s="19"/>
      <c r="AY1030" s="145"/>
      <c r="AZ1030" s="16"/>
      <c r="BC1030" s="16"/>
      <c r="BD1030" s="20"/>
      <c r="BE1030" s="17"/>
      <c r="BF1030" s="20"/>
      <c r="BG1030" s="146"/>
      <c r="BH1030" s="146"/>
      <c r="BI1030" s="146"/>
      <c r="BJ1030" s="20"/>
      <c r="BK1030" s="20"/>
      <c r="BL1030" s="154"/>
      <c r="BP1030" s="20"/>
      <c r="BQ1030" s="154"/>
      <c r="BR1030" s="18"/>
      <c r="BS1030" s="16"/>
      <c r="BT1030" s="18"/>
      <c r="BU1030" s="18"/>
      <c r="BV1030" s="18"/>
      <c r="BW1030" s="20"/>
      <c r="BX1030" s="154"/>
      <c r="BY1030" s="18"/>
      <c r="BZ1030" s="146"/>
      <c r="CA1030" s="18"/>
      <c r="CB1030" s="18"/>
      <c r="CC1030" s="20"/>
      <c r="CD1030" s="154"/>
    </row>
    <row r="1031" spans="35:82">
      <c r="AI1031" s="19"/>
      <c r="AO1031" s="19"/>
      <c r="AY1031" s="145"/>
      <c r="AZ1031" s="16"/>
      <c r="BC1031" s="16"/>
      <c r="BD1031" s="20"/>
      <c r="BE1031" s="17"/>
      <c r="BF1031" s="20"/>
      <c r="BG1031" s="146"/>
      <c r="BH1031" s="146"/>
      <c r="BI1031" s="146"/>
      <c r="BJ1031" s="20"/>
      <c r="BK1031" s="20"/>
      <c r="BL1031" s="154"/>
      <c r="BP1031" s="20"/>
      <c r="BQ1031" s="154"/>
      <c r="BR1031" s="18"/>
      <c r="BS1031" s="16"/>
      <c r="BT1031" s="18"/>
      <c r="BU1031" s="18"/>
      <c r="BV1031" s="18"/>
      <c r="BW1031" s="20"/>
      <c r="BX1031" s="154"/>
      <c r="BY1031" s="18"/>
      <c r="BZ1031" s="146"/>
      <c r="CA1031" s="18"/>
      <c r="CB1031" s="18"/>
      <c r="CC1031" s="20"/>
      <c r="CD1031" s="154"/>
    </row>
    <row r="1032" spans="35:82">
      <c r="AI1032" s="19"/>
      <c r="AO1032" s="19"/>
      <c r="AY1032" s="145"/>
      <c r="AZ1032" s="16"/>
      <c r="BC1032" s="16"/>
      <c r="BD1032" s="20"/>
      <c r="BE1032" s="17"/>
      <c r="BF1032" s="20"/>
      <c r="BG1032" s="146"/>
      <c r="BH1032" s="146"/>
      <c r="BI1032" s="146"/>
      <c r="BJ1032" s="20"/>
      <c r="BK1032" s="20"/>
      <c r="BL1032" s="154"/>
      <c r="BP1032" s="20"/>
      <c r="BQ1032" s="154"/>
      <c r="BR1032" s="18"/>
      <c r="BS1032" s="16"/>
      <c r="BT1032" s="18"/>
      <c r="BU1032" s="18"/>
      <c r="BV1032" s="18"/>
      <c r="BW1032" s="20"/>
      <c r="BX1032" s="154"/>
      <c r="BY1032" s="18"/>
      <c r="BZ1032" s="146"/>
      <c r="CA1032" s="18"/>
      <c r="CB1032" s="18"/>
      <c r="CC1032" s="20"/>
      <c r="CD1032" s="154"/>
    </row>
    <row r="1033" spans="35:82">
      <c r="AI1033" s="19"/>
      <c r="AO1033" s="19"/>
      <c r="AY1033" s="145"/>
      <c r="AZ1033" s="16"/>
      <c r="BC1033" s="16"/>
      <c r="BD1033" s="20"/>
      <c r="BE1033" s="17"/>
      <c r="BF1033" s="20"/>
      <c r="BG1033" s="146"/>
      <c r="BH1033" s="146"/>
      <c r="BI1033" s="146"/>
      <c r="BJ1033" s="20"/>
      <c r="BK1033" s="20"/>
      <c r="BL1033" s="154"/>
      <c r="BP1033" s="20"/>
      <c r="BQ1033" s="154"/>
      <c r="BR1033" s="18"/>
      <c r="BS1033" s="16"/>
      <c r="BT1033" s="18"/>
      <c r="BU1033" s="18"/>
      <c r="BV1033" s="18"/>
      <c r="BW1033" s="20"/>
      <c r="BX1033" s="154"/>
      <c r="BY1033" s="18"/>
      <c r="BZ1033" s="146"/>
      <c r="CA1033" s="18"/>
      <c r="CB1033" s="18"/>
      <c r="CC1033" s="20"/>
      <c r="CD1033" s="154"/>
    </row>
    <row r="1034" spans="35:82">
      <c r="AI1034" s="19"/>
      <c r="AO1034" s="19"/>
      <c r="AY1034" s="145"/>
      <c r="AZ1034" s="16"/>
      <c r="BC1034" s="16"/>
      <c r="BD1034" s="20"/>
      <c r="BE1034" s="17"/>
      <c r="BF1034" s="20"/>
      <c r="BG1034" s="146"/>
      <c r="BH1034" s="146"/>
      <c r="BI1034" s="146"/>
      <c r="BJ1034" s="20"/>
      <c r="BK1034" s="20"/>
      <c r="BL1034" s="154"/>
      <c r="BP1034" s="20"/>
      <c r="BQ1034" s="154"/>
      <c r="BR1034" s="18"/>
      <c r="BS1034" s="16"/>
      <c r="BT1034" s="18"/>
      <c r="BU1034" s="18"/>
      <c r="BV1034" s="18"/>
      <c r="BW1034" s="20"/>
      <c r="BX1034" s="154"/>
      <c r="BY1034" s="18"/>
      <c r="BZ1034" s="146"/>
      <c r="CA1034" s="18"/>
      <c r="CB1034" s="18"/>
      <c r="CC1034" s="20"/>
      <c r="CD1034" s="154"/>
    </row>
    <row r="1035" spans="35:82">
      <c r="AI1035" s="19"/>
      <c r="AO1035" s="19"/>
      <c r="AY1035" s="145"/>
      <c r="AZ1035" s="16"/>
      <c r="BC1035" s="16"/>
      <c r="BD1035" s="20"/>
      <c r="BE1035" s="17"/>
      <c r="BF1035" s="20"/>
      <c r="BG1035" s="146"/>
      <c r="BH1035" s="146"/>
      <c r="BI1035" s="146"/>
      <c r="BJ1035" s="20"/>
      <c r="BK1035" s="20"/>
      <c r="BL1035" s="154"/>
      <c r="BP1035" s="20"/>
      <c r="BQ1035" s="154"/>
      <c r="BR1035" s="18"/>
      <c r="BS1035" s="16"/>
      <c r="BT1035" s="18"/>
      <c r="BU1035" s="18"/>
      <c r="BV1035" s="18"/>
      <c r="BW1035" s="20"/>
      <c r="BX1035" s="154"/>
      <c r="BY1035" s="18"/>
      <c r="BZ1035" s="146"/>
      <c r="CA1035" s="18"/>
      <c r="CB1035" s="18"/>
      <c r="CC1035" s="20"/>
      <c r="CD1035" s="154"/>
    </row>
    <row r="1036" spans="35:82">
      <c r="AI1036" s="19"/>
      <c r="AO1036" s="19"/>
      <c r="AY1036" s="145"/>
      <c r="AZ1036" s="16"/>
      <c r="BC1036" s="16"/>
      <c r="BD1036" s="20"/>
      <c r="BE1036" s="17"/>
      <c r="BF1036" s="20"/>
      <c r="BG1036" s="146"/>
      <c r="BH1036" s="146"/>
      <c r="BI1036" s="146"/>
      <c r="BJ1036" s="20"/>
      <c r="BK1036" s="20"/>
      <c r="BL1036" s="154"/>
      <c r="BP1036" s="20"/>
      <c r="BQ1036" s="154"/>
      <c r="BR1036" s="18"/>
      <c r="BS1036" s="16"/>
      <c r="BT1036" s="18"/>
      <c r="BU1036" s="18"/>
      <c r="BV1036" s="18"/>
      <c r="BW1036" s="20"/>
      <c r="BX1036" s="154"/>
      <c r="BY1036" s="18"/>
      <c r="BZ1036" s="146"/>
      <c r="CA1036" s="18"/>
      <c r="CB1036" s="18"/>
      <c r="CC1036" s="20"/>
      <c r="CD1036" s="154"/>
    </row>
    <row r="1037" spans="35:82">
      <c r="AI1037" s="19"/>
      <c r="AO1037" s="19"/>
      <c r="AY1037" s="145"/>
      <c r="AZ1037" s="16"/>
      <c r="BC1037" s="16"/>
      <c r="BD1037" s="20"/>
      <c r="BE1037" s="17"/>
      <c r="BF1037" s="20"/>
      <c r="BG1037" s="146"/>
      <c r="BH1037" s="146"/>
      <c r="BI1037" s="146"/>
      <c r="BJ1037" s="20"/>
      <c r="BK1037" s="20"/>
      <c r="BL1037" s="154"/>
      <c r="BP1037" s="20"/>
      <c r="BQ1037" s="154"/>
      <c r="BR1037" s="18"/>
      <c r="BS1037" s="16"/>
      <c r="BT1037" s="18"/>
      <c r="BU1037" s="18"/>
      <c r="BV1037" s="18"/>
      <c r="BW1037" s="20"/>
      <c r="BX1037" s="154"/>
      <c r="BY1037" s="18"/>
      <c r="BZ1037" s="146"/>
      <c r="CA1037" s="18"/>
      <c r="CB1037" s="18"/>
      <c r="CC1037" s="20"/>
      <c r="CD1037" s="154"/>
    </row>
    <row r="1038" spans="35:82">
      <c r="AI1038" s="19"/>
      <c r="AO1038" s="19"/>
      <c r="AY1038" s="145"/>
      <c r="AZ1038" s="16"/>
      <c r="BC1038" s="16"/>
      <c r="BD1038" s="20"/>
      <c r="BE1038" s="17"/>
      <c r="BF1038" s="20"/>
      <c r="BG1038" s="146"/>
      <c r="BH1038" s="146"/>
      <c r="BI1038" s="146"/>
      <c r="BJ1038" s="20"/>
      <c r="BK1038" s="20"/>
      <c r="BL1038" s="154"/>
      <c r="BP1038" s="20"/>
      <c r="BQ1038" s="154"/>
      <c r="BR1038" s="18"/>
      <c r="BS1038" s="16"/>
      <c r="BT1038" s="18"/>
      <c r="BU1038" s="18"/>
      <c r="BV1038" s="18"/>
      <c r="BW1038" s="20"/>
      <c r="BX1038" s="154"/>
      <c r="BY1038" s="18"/>
      <c r="BZ1038" s="146"/>
      <c r="CA1038" s="18"/>
      <c r="CB1038" s="18"/>
      <c r="CC1038" s="20"/>
      <c r="CD1038" s="154"/>
    </row>
    <row r="1039" spans="35:82">
      <c r="AI1039" s="19"/>
      <c r="AO1039" s="19"/>
      <c r="AY1039" s="145"/>
      <c r="AZ1039" s="16"/>
      <c r="BC1039" s="16"/>
      <c r="BD1039" s="20"/>
      <c r="BE1039" s="17"/>
      <c r="BF1039" s="20"/>
      <c r="BG1039" s="146"/>
      <c r="BH1039" s="146"/>
      <c r="BI1039" s="146"/>
      <c r="BJ1039" s="20"/>
      <c r="BK1039" s="20"/>
      <c r="BL1039" s="154"/>
      <c r="BP1039" s="20"/>
      <c r="BQ1039" s="154"/>
      <c r="BR1039" s="18"/>
      <c r="BS1039" s="16"/>
      <c r="BT1039" s="18"/>
      <c r="BU1039" s="18"/>
      <c r="BV1039" s="18"/>
      <c r="BW1039" s="20"/>
      <c r="BX1039" s="154"/>
      <c r="BY1039" s="18"/>
      <c r="BZ1039" s="146"/>
      <c r="CA1039" s="18"/>
      <c r="CB1039" s="18"/>
      <c r="CC1039" s="20"/>
      <c r="CD1039" s="154"/>
    </row>
    <row r="1040" spans="35:82">
      <c r="AI1040" s="19"/>
      <c r="AO1040" s="19"/>
      <c r="AY1040" s="145"/>
      <c r="AZ1040" s="16"/>
      <c r="BC1040" s="16"/>
      <c r="BD1040" s="20"/>
      <c r="BE1040" s="17"/>
      <c r="BF1040" s="20"/>
      <c r="BG1040" s="146"/>
      <c r="BH1040" s="146"/>
      <c r="BI1040" s="146"/>
      <c r="BJ1040" s="20"/>
      <c r="BK1040" s="20"/>
      <c r="BL1040" s="154"/>
      <c r="BP1040" s="20"/>
      <c r="BQ1040" s="154"/>
      <c r="BR1040" s="18"/>
      <c r="BS1040" s="16"/>
      <c r="BT1040" s="18"/>
      <c r="BU1040" s="18"/>
      <c r="BV1040" s="18"/>
      <c r="BW1040" s="20"/>
      <c r="BX1040" s="154"/>
      <c r="BY1040" s="18"/>
      <c r="BZ1040" s="146"/>
      <c r="CA1040" s="18"/>
      <c r="CB1040" s="18"/>
      <c r="CC1040" s="20"/>
      <c r="CD1040" s="154"/>
    </row>
    <row r="1041" spans="35:82">
      <c r="AI1041" s="19"/>
      <c r="AO1041" s="19"/>
      <c r="AY1041" s="145"/>
      <c r="AZ1041" s="16"/>
      <c r="BC1041" s="16"/>
      <c r="BD1041" s="20"/>
      <c r="BE1041" s="17"/>
      <c r="BF1041" s="20"/>
      <c r="BG1041" s="146"/>
      <c r="BH1041" s="146"/>
      <c r="BI1041" s="146"/>
      <c r="BJ1041" s="20"/>
      <c r="BK1041" s="20"/>
      <c r="BL1041" s="154"/>
      <c r="BP1041" s="20"/>
      <c r="BQ1041" s="154"/>
      <c r="BR1041" s="18"/>
      <c r="BS1041" s="16"/>
      <c r="BT1041" s="18"/>
      <c r="BU1041" s="18"/>
      <c r="BV1041" s="18"/>
      <c r="BW1041" s="20"/>
      <c r="BX1041" s="154"/>
      <c r="BY1041" s="18"/>
      <c r="BZ1041" s="146"/>
      <c r="CA1041" s="18"/>
      <c r="CB1041" s="18"/>
      <c r="CC1041" s="20"/>
      <c r="CD1041" s="154"/>
    </row>
    <row r="1042" spans="35:82">
      <c r="AI1042" s="19"/>
      <c r="AO1042" s="19"/>
      <c r="AY1042" s="145"/>
      <c r="AZ1042" s="16"/>
      <c r="BC1042" s="16"/>
      <c r="BD1042" s="20"/>
      <c r="BE1042" s="17"/>
      <c r="BF1042" s="20"/>
      <c r="BG1042" s="146"/>
      <c r="BH1042" s="146"/>
      <c r="BI1042" s="146"/>
      <c r="BJ1042" s="20"/>
      <c r="BK1042" s="20"/>
      <c r="BL1042" s="154"/>
      <c r="BP1042" s="20"/>
      <c r="BQ1042" s="154"/>
      <c r="BR1042" s="18"/>
      <c r="BS1042" s="16"/>
      <c r="BT1042" s="18"/>
      <c r="BU1042" s="18"/>
      <c r="BV1042" s="18"/>
      <c r="BW1042" s="20"/>
      <c r="BX1042" s="154"/>
      <c r="BY1042" s="18"/>
      <c r="BZ1042" s="146"/>
      <c r="CA1042" s="18"/>
      <c r="CB1042" s="18"/>
      <c r="CC1042" s="20"/>
      <c r="CD1042" s="154"/>
    </row>
    <row r="1043" spans="35:82">
      <c r="AI1043" s="19"/>
      <c r="AO1043" s="19"/>
      <c r="AY1043" s="145"/>
      <c r="AZ1043" s="16"/>
      <c r="BC1043" s="16"/>
      <c r="BD1043" s="20"/>
      <c r="BE1043" s="17"/>
      <c r="BF1043" s="20"/>
      <c r="BG1043" s="146"/>
      <c r="BH1043" s="146"/>
      <c r="BI1043" s="146"/>
      <c r="BJ1043" s="20"/>
      <c r="BK1043" s="20"/>
      <c r="BL1043" s="154"/>
      <c r="BP1043" s="20"/>
      <c r="BQ1043" s="154"/>
      <c r="BR1043" s="18"/>
      <c r="BS1043" s="16"/>
      <c r="BT1043" s="18"/>
      <c r="BU1043" s="18"/>
      <c r="BV1043" s="18"/>
      <c r="BW1043" s="20"/>
      <c r="BX1043" s="154"/>
      <c r="BY1043" s="18"/>
      <c r="BZ1043" s="146"/>
      <c r="CA1043" s="18"/>
      <c r="CB1043" s="18"/>
      <c r="CC1043" s="20"/>
      <c r="CD1043" s="154"/>
    </row>
    <row r="1044" spans="35:82">
      <c r="AI1044" s="19"/>
      <c r="AO1044" s="19"/>
      <c r="AY1044" s="145"/>
      <c r="AZ1044" s="16"/>
      <c r="BC1044" s="16"/>
      <c r="BD1044" s="20"/>
      <c r="BE1044" s="17"/>
      <c r="BF1044" s="20"/>
      <c r="BG1044" s="146"/>
      <c r="BH1044" s="146"/>
      <c r="BI1044" s="146"/>
      <c r="BJ1044" s="20"/>
      <c r="BK1044" s="20"/>
      <c r="BL1044" s="154"/>
      <c r="BP1044" s="20"/>
      <c r="BQ1044" s="154"/>
      <c r="BR1044" s="18"/>
      <c r="BS1044" s="16"/>
      <c r="BT1044" s="18"/>
      <c r="BU1044" s="18"/>
      <c r="BV1044" s="18"/>
      <c r="BW1044" s="20"/>
      <c r="BX1044" s="154"/>
      <c r="BY1044" s="18"/>
      <c r="BZ1044" s="146"/>
      <c r="CA1044" s="18"/>
      <c r="CB1044" s="18"/>
      <c r="CC1044" s="20"/>
      <c r="CD1044" s="154"/>
    </row>
    <row r="1045" spans="35:82">
      <c r="AI1045" s="19"/>
      <c r="AO1045" s="19"/>
      <c r="AY1045" s="145"/>
      <c r="AZ1045" s="16"/>
      <c r="BC1045" s="16"/>
      <c r="BD1045" s="20"/>
      <c r="BE1045" s="17"/>
      <c r="BF1045" s="20"/>
      <c r="BG1045" s="146"/>
      <c r="BH1045" s="146"/>
      <c r="BI1045" s="146"/>
      <c r="BJ1045" s="20"/>
      <c r="BK1045" s="20"/>
      <c r="BL1045" s="154"/>
      <c r="BP1045" s="20"/>
      <c r="BQ1045" s="154"/>
      <c r="BR1045" s="18"/>
      <c r="BS1045" s="16"/>
      <c r="BT1045" s="18"/>
      <c r="BU1045" s="18"/>
      <c r="BV1045" s="18"/>
      <c r="BW1045" s="20"/>
      <c r="BX1045" s="154"/>
      <c r="BY1045" s="18"/>
      <c r="BZ1045" s="146"/>
      <c r="CA1045" s="18"/>
      <c r="CB1045" s="18"/>
      <c r="CC1045" s="20"/>
      <c r="CD1045" s="154"/>
    </row>
    <row r="1046" spans="35:82">
      <c r="AI1046" s="19"/>
      <c r="AO1046" s="19"/>
      <c r="AY1046" s="145"/>
      <c r="AZ1046" s="16"/>
      <c r="BC1046" s="16"/>
      <c r="BD1046" s="20"/>
      <c r="BE1046" s="17"/>
      <c r="BF1046" s="20"/>
      <c r="BG1046" s="146"/>
      <c r="BH1046" s="146"/>
      <c r="BI1046" s="146"/>
      <c r="BJ1046" s="20"/>
      <c r="BK1046" s="20"/>
      <c r="BL1046" s="154"/>
      <c r="BP1046" s="20"/>
      <c r="BQ1046" s="154"/>
      <c r="BR1046" s="18"/>
      <c r="BS1046" s="16"/>
      <c r="BT1046" s="18"/>
      <c r="BU1046" s="18"/>
      <c r="BV1046" s="18"/>
      <c r="BW1046" s="20"/>
      <c r="BX1046" s="154"/>
      <c r="BY1046" s="18"/>
      <c r="BZ1046" s="146"/>
      <c r="CA1046" s="18"/>
      <c r="CB1046" s="18"/>
      <c r="CC1046" s="20"/>
      <c r="CD1046" s="154"/>
    </row>
    <row r="1047" spans="35:82">
      <c r="AI1047" s="19"/>
      <c r="AO1047" s="19"/>
      <c r="AY1047" s="145"/>
      <c r="AZ1047" s="16"/>
      <c r="BC1047" s="16"/>
      <c r="BD1047" s="20"/>
      <c r="BE1047" s="17"/>
      <c r="BF1047" s="20"/>
      <c r="BG1047" s="146"/>
      <c r="BH1047" s="146"/>
      <c r="BI1047" s="146"/>
      <c r="BJ1047" s="20"/>
      <c r="BK1047" s="20"/>
      <c r="BL1047" s="154"/>
      <c r="BP1047" s="20"/>
      <c r="BQ1047" s="154"/>
      <c r="BR1047" s="18"/>
      <c r="BS1047" s="16"/>
      <c r="BT1047" s="18"/>
      <c r="BU1047" s="18"/>
      <c r="BV1047" s="18"/>
      <c r="BW1047" s="20"/>
      <c r="BX1047" s="154"/>
      <c r="BY1047" s="18"/>
      <c r="BZ1047" s="146"/>
      <c r="CA1047" s="18"/>
      <c r="CB1047" s="18"/>
      <c r="CC1047" s="20"/>
      <c r="CD1047" s="154"/>
    </row>
    <row r="1048" spans="35:82">
      <c r="AI1048" s="19"/>
      <c r="AO1048" s="19"/>
      <c r="AY1048" s="145"/>
      <c r="AZ1048" s="16"/>
      <c r="BC1048" s="16"/>
      <c r="BD1048" s="20"/>
      <c r="BE1048" s="17"/>
      <c r="BF1048" s="20"/>
      <c r="BG1048" s="146"/>
      <c r="BH1048" s="146"/>
      <c r="BI1048" s="146"/>
      <c r="BJ1048" s="20"/>
      <c r="BK1048" s="20"/>
      <c r="BL1048" s="154"/>
      <c r="BP1048" s="20"/>
      <c r="BQ1048" s="154"/>
      <c r="BR1048" s="18"/>
      <c r="BS1048" s="16"/>
      <c r="BT1048" s="18"/>
      <c r="BU1048" s="18"/>
      <c r="BV1048" s="18"/>
      <c r="BW1048" s="20"/>
      <c r="BX1048" s="154"/>
      <c r="BY1048" s="18"/>
      <c r="BZ1048" s="146"/>
      <c r="CA1048" s="18"/>
      <c r="CB1048" s="18"/>
      <c r="CC1048" s="20"/>
      <c r="CD1048" s="154"/>
    </row>
    <row r="1049" spans="35:82">
      <c r="AI1049" s="19"/>
      <c r="AO1049" s="19"/>
      <c r="AY1049" s="145"/>
      <c r="AZ1049" s="16"/>
      <c r="BC1049" s="16"/>
      <c r="BD1049" s="20"/>
      <c r="BE1049" s="17"/>
      <c r="BF1049" s="20"/>
      <c r="BG1049" s="146"/>
      <c r="BH1049" s="146"/>
      <c r="BI1049" s="146"/>
      <c r="BJ1049" s="20"/>
      <c r="BK1049" s="20"/>
      <c r="BL1049" s="154"/>
      <c r="BP1049" s="20"/>
      <c r="BQ1049" s="154"/>
      <c r="BR1049" s="18"/>
      <c r="BS1049" s="16"/>
      <c r="BT1049" s="18"/>
      <c r="BU1049" s="18"/>
      <c r="BV1049" s="18"/>
      <c r="BW1049" s="20"/>
      <c r="BX1049" s="154"/>
      <c r="BY1049" s="18"/>
      <c r="BZ1049" s="146"/>
      <c r="CA1049" s="18"/>
      <c r="CB1049" s="18"/>
      <c r="CC1049" s="20"/>
      <c r="CD1049" s="154"/>
    </row>
    <row r="1050" spans="35:82">
      <c r="AI1050" s="19"/>
      <c r="AO1050" s="19"/>
      <c r="AY1050" s="145"/>
      <c r="AZ1050" s="16"/>
      <c r="BC1050" s="16"/>
      <c r="BD1050" s="20"/>
      <c r="BE1050" s="17"/>
      <c r="BF1050" s="20"/>
      <c r="BG1050" s="146"/>
      <c r="BH1050" s="146"/>
      <c r="BI1050" s="146"/>
      <c r="BJ1050" s="20"/>
      <c r="BK1050" s="20"/>
      <c r="BL1050" s="154"/>
      <c r="BP1050" s="20"/>
      <c r="BQ1050" s="154"/>
      <c r="BR1050" s="18"/>
      <c r="BS1050" s="16"/>
      <c r="BT1050" s="18"/>
      <c r="BU1050" s="18"/>
      <c r="BV1050" s="18"/>
      <c r="BW1050" s="20"/>
      <c r="BX1050" s="154"/>
      <c r="BY1050" s="18"/>
      <c r="BZ1050" s="146"/>
      <c r="CA1050" s="18"/>
      <c r="CB1050" s="18"/>
      <c r="CC1050" s="20"/>
      <c r="CD1050" s="154"/>
    </row>
    <row r="1051" spans="35:82">
      <c r="AI1051" s="19"/>
      <c r="AO1051" s="19"/>
      <c r="AY1051" s="145"/>
      <c r="AZ1051" s="16"/>
      <c r="BC1051" s="16"/>
      <c r="BD1051" s="20"/>
      <c r="BE1051" s="17"/>
      <c r="BF1051" s="20"/>
      <c r="BG1051" s="146"/>
      <c r="BH1051" s="146"/>
      <c r="BI1051" s="146"/>
      <c r="BJ1051" s="20"/>
      <c r="BK1051" s="20"/>
      <c r="BL1051" s="154"/>
      <c r="BP1051" s="20"/>
      <c r="BQ1051" s="154"/>
      <c r="BR1051" s="18"/>
      <c r="BS1051" s="16"/>
      <c r="BT1051" s="18"/>
      <c r="BU1051" s="18"/>
      <c r="BV1051" s="18"/>
      <c r="BW1051" s="20"/>
      <c r="BX1051" s="154"/>
      <c r="BY1051" s="18"/>
      <c r="BZ1051" s="146"/>
      <c r="CA1051" s="18"/>
      <c r="CB1051" s="18"/>
      <c r="CC1051" s="20"/>
      <c r="CD1051" s="154"/>
    </row>
    <row r="1052" spans="35:82">
      <c r="AI1052" s="19"/>
      <c r="AO1052" s="19"/>
      <c r="AY1052" s="145"/>
      <c r="AZ1052" s="16"/>
      <c r="BC1052" s="16"/>
      <c r="BD1052" s="20"/>
      <c r="BE1052" s="17"/>
      <c r="BF1052" s="20"/>
      <c r="BG1052" s="146"/>
      <c r="BH1052" s="146"/>
      <c r="BI1052" s="146"/>
      <c r="BJ1052" s="20"/>
      <c r="BK1052" s="20"/>
      <c r="BL1052" s="154"/>
      <c r="BP1052" s="20"/>
      <c r="BQ1052" s="154"/>
      <c r="BR1052" s="18"/>
      <c r="BS1052" s="16"/>
      <c r="BT1052" s="18"/>
      <c r="BU1052" s="18"/>
      <c r="BV1052" s="18"/>
      <c r="BW1052" s="20"/>
      <c r="BX1052" s="154"/>
      <c r="BY1052" s="18"/>
      <c r="BZ1052" s="146"/>
      <c r="CA1052" s="18"/>
      <c r="CB1052" s="18"/>
      <c r="CC1052" s="20"/>
      <c r="CD1052" s="154"/>
    </row>
    <row r="1053" spans="35:82">
      <c r="AI1053" s="19"/>
      <c r="AO1053" s="19"/>
      <c r="AY1053" s="145"/>
      <c r="AZ1053" s="16"/>
      <c r="BC1053" s="16"/>
      <c r="BD1053" s="20"/>
      <c r="BE1053" s="17"/>
      <c r="BF1053" s="20"/>
      <c r="BG1053" s="146"/>
      <c r="BH1053" s="146"/>
      <c r="BI1053" s="146"/>
      <c r="BJ1053" s="20"/>
      <c r="BK1053" s="20"/>
      <c r="BL1053" s="154"/>
      <c r="BP1053" s="20"/>
      <c r="BQ1053" s="154"/>
      <c r="BR1053" s="18"/>
      <c r="BS1053" s="16"/>
      <c r="BT1053" s="18"/>
      <c r="BU1053" s="18"/>
      <c r="BV1053" s="18"/>
      <c r="BW1053" s="20"/>
      <c r="BX1053" s="154"/>
      <c r="BY1053" s="18"/>
      <c r="BZ1053" s="146"/>
      <c r="CA1053" s="18"/>
      <c r="CB1053" s="18"/>
      <c r="CC1053" s="20"/>
      <c r="CD1053" s="154"/>
    </row>
    <row r="1054" spans="35:82">
      <c r="AI1054" s="19"/>
      <c r="AO1054" s="19"/>
      <c r="AY1054" s="145"/>
      <c r="AZ1054" s="16"/>
      <c r="BC1054" s="16"/>
      <c r="BD1054" s="20"/>
      <c r="BE1054" s="17"/>
      <c r="BF1054" s="20"/>
      <c r="BG1054" s="146"/>
      <c r="BH1054" s="146"/>
      <c r="BI1054" s="146"/>
      <c r="BJ1054" s="20"/>
      <c r="BK1054" s="20"/>
      <c r="BL1054" s="154"/>
      <c r="BP1054" s="20"/>
      <c r="BQ1054" s="154"/>
      <c r="BR1054" s="18"/>
      <c r="BS1054" s="16"/>
      <c r="BT1054" s="18"/>
      <c r="BU1054" s="18"/>
      <c r="BV1054" s="18"/>
      <c r="BW1054" s="20"/>
      <c r="BX1054" s="154"/>
      <c r="BY1054" s="18"/>
      <c r="BZ1054" s="146"/>
      <c r="CA1054" s="18"/>
      <c r="CB1054" s="18"/>
      <c r="CC1054" s="20"/>
      <c r="CD1054" s="154"/>
    </row>
    <row r="1055" spans="35:82">
      <c r="AI1055" s="19"/>
      <c r="AO1055" s="19"/>
      <c r="AY1055" s="145"/>
      <c r="AZ1055" s="16"/>
      <c r="BC1055" s="16"/>
      <c r="BD1055" s="20"/>
      <c r="BE1055" s="17"/>
      <c r="BF1055" s="20"/>
      <c r="BG1055" s="146"/>
      <c r="BH1055" s="146"/>
      <c r="BI1055" s="146"/>
      <c r="BJ1055" s="20"/>
      <c r="BK1055" s="20"/>
      <c r="BL1055" s="154"/>
      <c r="BP1055" s="20"/>
      <c r="BQ1055" s="154"/>
      <c r="BR1055" s="18"/>
      <c r="BS1055" s="16"/>
      <c r="BT1055" s="18"/>
      <c r="BU1055" s="18"/>
      <c r="BV1055" s="18"/>
      <c r="BW1055" s="20"/>
      <c r="BX1055" s="154"/>
      <c r="BY1055" s="18"/>
      <c r="BZ1055" s="146"/>
      <c r="CA1055" s="18"/>
      <c r="CB1055" s="18"/>
      <c r="CC1055" s="20"/>
      <c r="CD1055" s="154"/>
    </row>
    <row r="1056" spans="35:82">
      <c r="AI1056" s="19"/>
      <c r="AO1056" s="19"/>
      <c r="AY1056" s="145"/>
      <c r="AZ1056" s="16"/>
      <c r="BC1056" s="16"/>
      <c r="BD1056" s="20"/>
      <c r="BE1056" s="17"/>
      <c r="BF1056" s="20"/>
      <c r="BG1056" s="146"/>
      <c r="BH1056" s="146"/>
      <c r="BI1056" s="146"/>
      <c r="BJ1056" s="20"/>
      <c r="BK1056" s="20"/>
      <c r="BL1056" s="154"/>
      <c r="BP1056" s="20"/>
      <c r="BQ1056" s="154"/>
      <c r="BR1056" s="18"/>
      <c r="BS1056" s="16"/>
      <c r="BT1056" s="18"/>
      <c r="BU1056" s="18"/>
      <c r="BV1056" s="18"/>
      <c r="BW1056" s="20"/>
      <c r="BX1056" s="154"/>
      <c r="BY1056" s="18"/>
      <c r="BZ1056" s="146"/>
      <c r="CA1056" s="18"/>
      <c r="CB1056" s="18"/>
      <c r="CC1056" s="20"/>
      <c r="CD1056" s="154"/>
    </row>
    <row r="1057" spans="35:82">
      <c r="AI1057" s="19"/>
      <c r="AO1057" s="19"/>
      <c r="AY1057" s="145"/>
      <c r="AZ1057" s="16"/>
      <c r="BC1057" s="16"/>
      <c r="BD1057" s="20"/>
      <c r="BE1057" s="17"/>
      <c r="BF1057" s="20"/>
      <c r="BG1057" s="146"/>
      <c r="BH1057" s="146"/>
      <c r="BI1057" s="146"/>
      <c r="BJ1057" s="20"/>
      <c r="BK1057" s="20"/>
      <c r="BL1057" s="154"/>
      <c r="BP1057" s="20"/>
      <c r="BQ1057" s="154"/>
      <c r="BR1057" s="18"/>
      <c r="BS1057" s="16"/>
      <c r="BT1057" s="18"/>
      <c r="BU1057" s="18"/>
      <c r="BV1057" s="18"/>
      <c r="BW1057" s="20"/>
      <c r="BX1057" s="154"/>
      <c r="BY1057" s="18"/>
      <c r="BZ1057" s="146"/>
      <c r="CA1057" s="18"/>
      <c r="CB1057" s="18"/>
      <c r="CC1057" s="20"/>
      <c r="CD1057" s="154"/>
    </row>
    <row r="1058" spans="35:82">
      <c r="AI1058" s="19"/>
      <c r="AO1058" s="19"/>
      <c r="AY1058" s="145"/>
      <c r="AZ1058" s="16"/>
      <c r="BC1058" s="16"/>
      <c r="BD1058" s="20"/>
      <c r="BE1058" s="17"/>
      <c r="BF1058" s="20"/>
      <c r="BG1058" s="146"/>
      <c r="BH1058" s="146"/>
      <c r="BI1058" s="146"/>
      <c r="BJ1058" s="20"/>
      <c r="BK1058" s="20"/>
      <c r="BL1058" s="154"/>
      <c r="BP1058" s="20"/>
      <c r="BQ1058" s="154"/>
      <c r="BR1058" s="18"/>
      <c r="BS1058" s="16"/>
      <c r="BT1058" s="18"/>
      <c r="BU1058" s="18"/>
      <c r="BV1058" s="18"/>
      <c r="BW1058" s="20"/>
      <c r="BX1058" s="154"/>
      <c r="BY1058" s="18"/>
      <c r="BZ1058" s="146"/>
      <c r="CA1058" s="18"/>
      <c r="CB1058" s="18"/>
      <c r="CC1058" s="20"/>
      <c r="CD1058" s="154"/>
    </row>
    <row r="1059" spans="35:82">
      <c r="AI1059" s="19"/>
      <c r="AO1059" s="19"/>
      <c r="AY1059" s="145"/>
      <c r="AZ1059" s="16"/>
      <c r="BC1059" s="16"/>
      <c r="BD1059" s="20"/>
      <c r="BE1059" s="17"/>
      <c r="BF1059" s="20"/>
      <c r="BG1059" s="146"/>
      <c r="BH1059" s="146"/>
      <c r="BI1059" s="146"/>
      <c r="BJ1059" s="20"/>
      <c r="BK1059" s="20"/>
      <c r="BL1059" s="154"/>
      <c r="BP1059" s="20"/>
      <c r="BQ1059" s="154"/>
      <c r="BR1059" s="18"/>
      <c r="BS1059" s="16"/>
      <c r="BT1059" s="18"/>
      <c r="BU1059" s="18"/>
      <c r="BV1059" s="18"/>
      <c r="BW1059" s="20"/>
      <c r="BX1059" s="154"/>
      <c r="BY1059" s="18"/>
      <c r="BZ1059" s="146"/>
      <c r="CA1059" s="18"/>
      <c r="CB1059" s="18"/>
      <c r="CC1059" s="20"/>
      <c r="CD1059" s="154"/>
    </row>
    <row r="1060" spans="35:82">
      <c r="AI1060" s="19"/>
      <c r="AO1060" s="19"/>
      <c r="AY1060" s="145"/>
      <c r="AZ1060" s="16"/>
      <c r="BC1060" s="16"/>
      <c r="BD1060" s="20"/>
      <c r="BE1060" s="17"/>
      <c r="BF1060" s="20"/>
      <c r="BG1060" s="146"/>
      <c r="BH1060" s="146"/>
      <c r="BI1060" s="146"/>
      <c r="BJ1060" s="20"/>
      <c r="BK1060" s="20"/>
      <c r="BL1060" s="154"/>
      <c r="BP1060" s="20"/>
      <c r="BQ1060" s="154"/>
      <c r="BR1060" s="18"/>
      <c r="BS1060" s="16"/>
      <c r="BT1060" s="18"/>
      <c r="BU1060" s="18"/>
      <c r="BV1060" s="18"/>
      <c r="BW1060" s="20"/>
      <c r="BX1060" s="154"/>
      <c r="BY1060" s="18"/>
      <c r="BZ1060" s="146"/>
      <c r="CA1060" s="18"/>
      <c r="CB1060" s="18"/>
      <c r="CC1060" s="20"/>
      <c r="CD1060" s="154"/>
    </row>
    <row r="1061" spans="35:82">
      <c r="AI1061" s="19"/>
      <c r="AO1061" s="19"/>
      <c r="AY1061" s="145"/>
      <c r="AZ1061" s="16"/>
      <c r="BC1061" s="16"/>
      <c r="BD1061" s="20"/>
      <c r="BE1061" s="17"/>
      <c r="BF1061" s="20"/>
      <c r="BG1061" s="146"/>
      <c r="BH1061" s="146"/>
      <c r="BI1061" s="146"/>
      <c r="BJ1061" s="20"/>
      <c r="BK1061" s="20"/>
      <c r="BL1061" s="154"/>
      <c r="BP1061" s="20"/>
      <c r="BQ1061" s="154"/>
      <c r="BR1061" s="18"/>
      <c r="BS1061" s="16"/>
      <c r="BT1061" s="18"/>
      <c r="BU1061" s="18"/>
      <c r="BV1061" s="18"/>
      <c r="BW1061" s="20"/>
      <c r="BX1061" s="154"/>
      <c r="BY1061" s="18"/>
      <c r="BZ1061" s="146"/>
      <c r="CA1061" s="18"/>
      <c r="CB1061" s="18"/>
      <c r="CC1061" s="20"/>
      <c r="CD1061" s="154"/>
    </row>
    <row r="1062" spans="35:82">
      <c r="AI1062" s="19"/>
      <c r="AO1062" s="19"/>
      <c r="AY1062" s="145"/>
      <c r="AZ1062" s="16"/>
      <c r="BC1062" s="16"/>
      <c r="BD1062" s="20"/>
      <c r="BE1062" s="17"/>
      <c r="BF1062" s="20"/>
      <c r="BG1062" s="146"/>
      <c r="BH1062" s="146"/>
      <c r="BI1062" s="146"/>
      <c r="BJ1062" s="20"/>
      <c r="BK1062" s="20"/>
      <c r="BL1062" s="154"/>
      <c r="BP1062" s="20"/>
      <c r="BQ1062" s="154"/>
      <c r="BR1062" s="18"/>
      <c r="BS1062" s="16"/>
      <c r="BT1062" s="18"/>
      <c r="BU1062" s="18"/>
      <c r="BV1062" s="18"/>
      <c r="BW1062" s="20"/>
      <c r="BX1062" s="154"/>
      <c r="BY1062" s="18"/>
      <c r="BZ1062" s="146"/>
      <c r="CA1062" s="18"/>
      <c r="CB1062" s="18"/>
      <c r="CC1062" s="20"/>
      <c r="CD1062" s="154"/>
    </row>
    <row r="1063" spans="35:82">
      <c r="AI1063" s="19"/>
      <c r="AO1063" s="19"/>
      <c r="AY1063" s="145"/>
      <c r="AZ1063" s="16"/>
      <c r="BC1063" s="16"/>
      <c r="BD1063" s="20"/>
      <c r="BE1063" s="17"/>
      <c r="BF1063" s="20"/>
      <c r="BG1063" s="146"/>
      <c r="BH1063" s="146"/>
      <c r="BI1063" s="146"/>
      <c r="BJ1063" s="20"/>
      <c r="BK1063" s="20"/>
      <c r="BL1063" s="154"/>
      <c r="BP1063" s="20"/>
      <c r="BQ1063" s="154"/>
      <c r="BR1063" s="18"/>
      <c r="BS1063" s="16"/>
      <c r="BT1063" s="18"/>
      <c r="BU1063" s="18"/>
      <c r="BV1063" s="18"/>
      <c r="BW1063" s="20"/>
      <c r="BX1063" s="154"/>
      <c r="BY1063" s="18"/>
      <c r="BZ1063" s="146"/>
      <c r="CA1063" s="18"/>
      <c r="CB1063" s="18"/>
      <c r="CC1063" s="20"/>
      <c r="CD1063" s="154"/>
    </row>
    <row r="1064" spans="35:82">
      <c r="AI1064" s="19"/>
      <c r="AO1064" s="19"/>
      <c r="AY1064" s="145"/>
      <c r="AZ1064" s="16"/>
      <c r="BC1064" s="16"/>
      <c r="BD1064" s="20"/>
      <c r="BE1064" s="17"/>
      <c r="BF1064" s="20"/>
      <c r="BG1064" s="146"/>
      <c r="BH1064" s="146"/>
      <c r="BI1064" s="146"/>
      <c r="BJ1064" s="20"/>
      <c r="BK1064" s="20"/>
      <c r="BL1064" s="154"/>
      <c r="BP1064" s="20"/>
      <c r="BQ1064" s="154"/>
      <c r="BR1064" s="18"/>
      <c r="BS1064" s="16"/>
      <c r="BT1064" s="18"/>
      <c r="BU1064" s="18"/>
      <c r="BV1064" s="18"/>
      <c r="BW1064" s="20"/>
      <c r="BX1064" s="154"/>
      <c r="BY1064" s="18"/>
      <c r="BZ1064" s="146"/>
      <c r="CA1064" s="18"/>
      <c r="CB1064" s="18"/>
      <c r="CC1064" s="20"/>
      <c r="CD1064" s="154"/>
    </row>
    <row r="1065" spans="35:82">
      <c r="AI1065" s="19"/>
      <c r="AO1065" s="19"/>
      <c r="AY1065" s="145"/>
      <c r="AZ1065" s="16"/>
      <c r="BC1065" s="16"/>
      <c r="BD1065" s="20"/>
      <c r="BE1065" s="17"/>
      <c r="BF1065" s="20"/>
      <c r="BG1065" s="146"/>
      <c r="BH1065" s="146"/>
      <c r="BI1065" s="146"/>
      <c r="BJ1065" s="20"/>
      <c r="BK1065" s="20"/>
      <c r="BL1065" s="154"/>
      <c r="BP1065" s="20"/>
      <c r="BQ1065" s="154"/>
      <c r="BR1065" s="18"/>
      <c r="BS1065" s="16"/>
      <c r="BT1065" s="18"/>
      <c r="BU1065" s="18"/>
      <c r="BV1065" s="18"/>
      <c r="BW1065" s="20"/>
      <c r="BX1065" s="154"/>
      <c r="BY1065" s="18"/>
      <c r="BZ1065" s="146"/>
      <c r="CA1065" s="18"/>
      <c r="CB1065" s="18"/>
      <c r="CC1065" s="20"/>
      <c r="CD1065" s="154"/>
    </row>
    <row r="1066" spans="35:82">
      <c r="AI1066" s="19"/>
      <c r="AO1066" s="19"/>
      <c r="AY1066" s="145"/>
      <c r="AZ1066" s="16"/>
      <c r="BC1066" s="16"/>
      <c r="BD1066" s="20"/>
      <c r="BE1066" s="17"/>
      <c r="BF1066" s="20"/>
      <c r="BG1066" s="146"/>
      <c r="BH1066" s="146"/>
      <c r="BI1066" s="146"/>
      <c r="BJ1066" s="20"/>
      <c r="BK1066" s="20"/>
      <c r="BL1066" s="154"/>
      <c r="BP1066" s="20"/>
      <c r="BQ1066" s="154"/>
      <c r="BR1066" s="18"/>
      <c r="BS1066" s="16"/>
      <c r="BT1066" s="18"/>
      <c r="BU1066" s="18"/>
      <c r="BV1066" s="18"/>
      <c r="BW1066" s="20"/>
      <c r="BX1066" s="154"/>
      <c r="BY1066" s="18"/>
      <c r="BZ1066" s="146"/>
      <c r="CA1066" s="18"/>
      <c r="CB1066" s="18"/>
      <c r="CC1066" s="20"/>
      <c r="CD1066" s="154"/>
    </row>
    <row r="1067" spans="35:82">
      <c r="AI1067" s="19"/>
      <c r="AO1067" s="19"/>
      <c r="AY1067" s="145"/>
      <c r="AZ1067" s="16"/>
      <c r="BC1067" s="16"/>
      <c r="BD1067" s="20"/>
      <c r="BE1067" s="17"/>
      <c r="BF1067" s="20"/>
      <c r="BG1067" s="146"/>
      <c r="BH1067" s="146"/>
      <c r="BI1067" s="146"/>
      <c r="BJ1067" s="20"/>
      <c r="BK1067" s="20"/>
      <c r="BL1067" s="154"/>
      <c r="BP1067" s="20"/>
      <c r="BQ1067" s="154"/>
      <c r="BR1067" s="18"/>
      <c r="BS1067" s="16"/>
      <c r="BT1067" s="18"/>
      <c r="BU1067" s="18"/>
      <c r="BV1067" s="18"/>
      <c r="BW1067" s="20"/>
      <c r="BX1067" s="154"/>
      <c r="BY1067" s="18"/>
      <c r="BZ1067" s="146"/>
      <c r="CA1067" s="18"/>
      <c r="CB1067" s="18"/>
      <c r="CC1067" s="20"/>
      <c r="CD1067" s="154"/>
    </row>
    <row r="1068" spans="35:82">
      <c r="AI1068" s="19"/>
      <c r="AO1068" s="19"/>
      <c r="AY1068" s="145"/>
      <c r="AZ1068" s="16"/>
      <c r="BC1068" s="16"/>
      <c r="BD1068" s="20"/>
      <c r="BE1068" s="17"/>
      <c r="BF1068" s="20"/>
      <c r="BG1068" s="146"/>
      <c r="BH1068" s="146"/>
      <c r="BI1068" s="146"/>
      <c r="BJ1068" s="20"/>
      <c r="BK1068" s="20"/>
      <c r="BL1068" s="154"/>
      <c r="BP1068" s="20"/>
      <c r="BQ1068" s="154"/>
      <c r="BR1068" s="18"/>
      <c r="BS1068" s="16"/>
      <c r="BT1068" s="18"/>
      <c r="BU1068" s="18"/>
      <c r="BV1068" s="18"/>
      <c r="BW1068" s="20"/>
      <c r="BX1068" s="154"/>
      <c r="BY1068" s="18"/>
      <c r="BZ1068" s="146"/>
      <c r="CA1068" s="18"/>
      <c r="CB1068" s="18"/>
      <c r="CC1068" s="20"/>
      <c r="CD1068" s="154"/>
    </row>
    <row r="1069" spans="35:82">
      <c r="AI1069" s="19"/>
      <c r="AO1069" s="19"/>
      <c r="AY1069" s="145"/>
      <c r="AZ1069" s="16"/>
      <c r="BC1069" s="16"/>
      <c r="BD1069" s="20"/>
      <c r="BE1069" s="17"/>
      <c r="BF1069" s="20"/>
      <c r="BG1069" s="146"/>
      <c r="BH1069" s="146"/>
      <c r="BI1069" s="146"/>
      <c r="BJ1069" s="20"/>
      <c r="BK1069" s="20"/>
      <c r="BL1069" s="154"/>
      <c r="BP1069" s="20"/>
      <c r="BQ1069" s="154"/>
      <c r="BR1069" s="18"/>
      <c r="BS1069" s="16"/>
      <c r="BT1069" s="18"/>
      <c r="BU1069" s="18"/>
      <c r="BV1069" s="18"/>
      <c r="BW1069" s="20"/>
      <c r="BX1069" s="154"/>
      <c r="BY1069" s="18"/>
      <c r="BZ1069" s="146"/>
      <c r="CA1069" s="18"/>
      <c r="CB1069" s="18"/>
      <c r="CC1069" s="20"/>
      <c r="CD1069" s="154"/>
    </row>
    <row r="1070" spans="35:82">
      <c r="AI1070" s="19"/>
      <c r="AO1070" s="19"/>
      <c r="AY1070" s="145"/>
      <c r="AZ1070" s="16"/>
      <c r="BC1070" s="16"/>
      <c r="BD1070" s="20"/>
      <c r="BE1070" s="17"/>
      <c r="BF1070" s="20"/>
      <c r="BG1070" s="146"/>
      <c r="BH1070" s="146"/>
      <c r="BI1070" s="146"/>
      <c r="BJ1070" s="20"/>
      <c r="BK1070" s="20"/>
      <c r="BL1070" s="154"/>
      <c r="BP1070" s="20"/>
      <c r="BQ1070" s="154"/>
      <c r="BR1070" s="18"/>
      <c r="BS1070" s="16"/>
      <c r="BT1070" s="18"/>
      <c r="BU1070" s="18"/>
      <c r="BV1070" s="18"/>
      <c r="BW1070" s="20"/>
      <c r="BX1070" s="154"/>
      <c r="BY1070" s="18"/>
      <c r="BZ1070" s="146"/>
      <c r="CA1070" s="18"/>
      <c r="CB1070" s="18"/>
      <c r="CC1070" s="20"/>
      <c r="CD1070" s="154"/>
    </row>
    <row r="1071" spans="35:82">
      <c r="AI1071" s="19"/>
      <c r="AO1071" s="19"/>
      <c r="AY1071" s="145"/>
      <c r="AZ1071" s="16"/>
      <c r="BC1071" s="16"/>
      <c r="BD1071" s="20"/>
      <c r="BE1071" s="17"/>
      <c r="BF1071" s="20"/>
      <c r="BG1071" s="146"/>
      <c r="BH1071" s="146"/>
      <c r="BI1071" s="146"/>
      <c r="BJ1071" s="20"/>
      <c r="BK1071" s="20"/>
      <c r="BL1071" s="154"/>
      <c r="BP1071" s="20"/>
      <c r="BQ1071" s="154"/>
      <c r="BR1071" s="18"/>
      <c r="BS1071" s="16"/>
      <c r="BT1071" s="18"/>
      <c r="BU1071" s="18"/>
      <c r="BV1071" s="18"/>
      <c r="BW1071" s="20"/>
      <c r="BX1071" s="154"/>
      <c r="BY1071" s="18"/>
      <c r="BZ1071" s="146"/>
      <c r="CA1071" s="18"/>
      <c r="CB1071" s="18"/>
      <c r="CC1071" s="20"/>
      <c r="CD1071" s="154"/>
    </row>
    <row r="1072" spans="35:82">
      <c r="AI1072" s="19"/>
      <c r="AO1072" s="19"/>
      <c r="AY1072" s="145"/>
      <c r="AZ1072" s="16"/>
      <c r="BC1072" s="16"/>
      <c r="BD1072" s="20"/>
      <c r="BE1072" s="17"/>
      <c r="BF1072" s="20"/>
      <c r="BG1072" s="146"/>
      <c r="BH1072" s="146"/>
      <c r="BI1072" s="146"/>
      <c r="BJ1072" s="20"/>
      <c r="BK1072" s="20"/>
      <c r="BL1072" s="154"/>
      <c r="BP1072" s="20"/>
      <c r="BQ1072" s="154"/>
      <c r="BR1072" s="18"/>
      <c r="BS1072" s="16"/>
      <c r="BT1072" s="18"/>
      <c r="BU1072" s="18"/>
      <c r="BV1072" s="18"/>
      <c r="BW1072" s="20"/>
      <c r="BX1072" s="154"/>
      <c r="BY1072" s="18"/>
      <c r="BZ1072" s="146"/>
      <c r="CA1072" s="18"/>
      <c r="CB1072" s="18"/>
      <c r="CC1072" s="20"/>
      <c r="CD1072" s="154"/>
    </row>
    <row r="1073" spans="35:82">
      <c r="AI1073" s="19"/>
      <c r="AO1073" s="19"/>
      <c r="AY1073" s="145"/>
      <c r="AZ1073" s="16"/>
      <c r="BC1073" s="16"/>
      <c r="BD1073" s="20"/>
      <c r="BE1073" s="17"/>
      <c r="BF1073" s="20"/>
      <c r="BG1073" s="146"/>
      <c r="BH1073" s="146"/>
      <c r="BI1073" s="146"/>
      <c r="BJ1073" s="20"/>
      <c r="BK1073" s="20"/>
      <c r="BL1073" s="154"/>
      <c r="BP1073" s="20"/>
      <c r="BQ1073" s="154"/>
      <c r="BR1073" s="18"/>
      <c r="BS1073" s="16"/>
      <c r="BT1073" s="18"/>
      <c r="BU1073" s="18"/>
      <c r="BV1073" s="18"/>
      <c r="BW1073" s="20"/>
      <c r="BX1073" s="154"/>
      <c r="BY1073" s="18"/>
      <c r="BZ1073" s="146"/>
      <c r="CA1073" s="18"/>
      <c r="CB1073" s="18"/>
      <c r="CC1073" s="20"/>
      <c r="CD1073" s="154"/>
    </row>
    <row r="1074" spans="35:82">
      <c r="AI1074" s="19"/>
      <c r="AO1074" s="19"/>
      <c r="AY1074" s="145"/>
      <c r="AZ1074" s="16"/>
      <c r="BC1074" s="16"/>
      <c r="BD1074" s="20"/>
      <c r="BE1074" s="17"/>
      <c r="BF1074" s="20"/>
      <c r="BG1074" s="146"/>
      <c r="BH1074" s="146"/>
      <c r="BI1074" s="146"/>
      <c r="BJ1074" s="20"/>
      <c r="BK1074" s="20"/>
      <c r="BL1074" s="154"/>
      <c r="BP1074" s="20"/>
      <c r="BQ1074" s="154"/>
      <c r="BR1074" s="18"/>
      <c r="BS1074" s="16"/>
      <c r="BT1074" s="18"/>
      <c r="BU1074" s="18"/>
      <c r="BV1074" s="18"/>
      <c r="BW1074" s="20"/>
      <c r="BX1074" s="154"/>
      <c r="BY1074" s="18"/>
      <c r="BZ1074" s="146"/>
      <c r="CA1074" s="18"/>
      <c r="CB1074" s="18"/>
      <c r="CC1074" s="20"/>
      <c r="CD1074" s="154"/>
    </row>
    <row r="1075" spans="35:82">
      <c r="AI1075" s="19"/>
      <c r="AO1075" s="19"/>
      <c r="AY1075" s="145"/>
      <c r="AZ1075" s="16"/>
      <c r="BC1075" s="16"/>
      <c r="BD1075" s="20"/>
      <c r="BE1075" s="17"/>
      <c r="BF1075" s="20"/>
      <c r="BG1075" s="146"/>
      <c r="BH1075" s="146"/>
      <c r="BI1075" s="146"/>
      <c r="BJ1075" s="20"/>
      <c r="BK1075" s="20"/>
      <c r="BL1075" s="154"/>
      <c r="BP1075" s="20"/>
      <c r="BQ1075" s="154"/>
      <c r="BR1075" s="18"/>
      <c r="BS1075" s="16"/>
      <c r="BT1075" s="18"/>
      <c r="BU1075" s="18"/>
      <c r="BV1075" s="18"/>
      <c r="BW1075" s="20"/>
      <c r="BX1075" s="154"/>
      <c r="BY1075" s="18"/>
      <c r="BZ1075" s="146"/>
      <c r="CA1075" s="18"/>
      <c r="CB1075" s="18"/>
      <c r="CC1075" s="20"/>
      <c r="CD1075" s="154"/>
    </row>
    <row r="1076" spans="35:82">
      <c r="AI1076" s="19"/>
      <c r="AO1076" s="19"/>
      <c r="AY1076" s="145"/>
      <c r="AZ1076" s="16"/>
      <c r="BC1076" s="16"/>
      <c r="BD1076" s="20"/>
      <c r="BE1076" s="17"/>
      <c r="BF1076" s="20"/>
      <c r="BG1076" s="146"/>
      <c r="BH1076" s="146"/>
      <c r="BI1076" s="146"/>
      <c r="BJ1076" s="20"/>
      <c r="BK1076" s="20"/>
      <c r="BL1076" s="154"/>
      <c r="BP1076" s="20"/>
      <c r="BQ1076" s="154"/>
      <c r="BR1076" s="18"/>
      <c r="BS1076" s="16"/>
      <c r="BT1076" s="18"/>
      <c r="BU1076" s="18"/>
      <c r="BV1076" s="18"/>
      <c r="BW1076" s="20"/>
      <c r="BX1076" s="154"/>
      <c r="BY1076" s="18"/>
      <c r="BZ1076" s="146"/>
      <c r="CA1076" s="18"/>
      <c r="CB1076" s="18"/>
      <c r="CC1076" s="20"/>
      <c r="CD1076" s="154"/>
    </row>
    <row r="1077" spans="35:82">
      <c r="AI1077" s="19"/>
      <c r="AO1077" s="19"/>
      <c r="AY1077" s="145"/>
      <c r="AZ1077" s="16"/>
      <c r="BC1077" s="16"/>
      <c r="BD1077" s="20"/>
      <c r="BE1077" s="17"/>
      <c r="BF1077" s="20"/>
      <c r="BG1077" s="146"/>
      <c r="BH1077" s="146"/>
      <c r="BI1077" s="146"/>
      <c r="BJ1077" s="20"/>
      <c r="BK1077" s="20"/>
      <c r="BL1077" s="154"/>
      <c r="BP1077" s="20"/>
      <c r="BQ1077" s="154"/>
      <c r="BR1077" s="18"/>
      <c r="BS1077" s="16"/>
      <c r="BT1077" s="18"/>
      <c r="BU1077" s="18"/>
      <c r="BV1077" s="18"/>
      <c r="BW1077" s="20"/>
      <c r="BX1077" s="154"/>
      <c r="BY1077" s="18"/>
      <c r="BZ1077" s="146"/>
      <c r="CA1077" s="18"/>
      <c r="CB1077" s="18"/>
      <c r="CC1077" s="20"/>
      <c r="CD1077" s="154"/>
    </row>
    <row r="1078" spans="35:82">
      <c r="AI1078" s="19"/>
      <c r="AO1078" s="19"/>
      <c r="AY1078" s="145"/>
      <c r="AZ1078" s="16"/>
      <c r="BC1078" s="16"/>
      <c r="BD1078" s="20"/>
      <c r="BE1078" s="17"/>
      <c r="BF1078" s="20"/>
      <c r="BG1078" s="146"/>
      <c r="BH1078" s="146"/>
      <c r="BI1078" s="146"/>
      <c r="BJ1078" s="20"/>
      <c r="BK1078" s="20"/>
      <c r="BL1078" s="154"/>
      <c r="BP1078" s="20"/>
      <c r="BQ1078" s="154"/>
      <c r="BR1078" s="18"/>
      <c r="BS1078" s="16"/>
      <c r="BT1078" s="18"/>
      <c r="BU1078" s="18"/>
      <c r="BV1078" s="18"/>
      <c r="BW1078" s="20"/>
      <c r="BX1078" s="154"/>
      <c r="BY1078" s="18"/>
      <c r="BZ1078" s="146"/>
      <c r="CA1078" s="18"/>
      <c r="CB1078" s="18"/>
      <c r="CC1078" s="20"/>
      <c r="CD1078" s="154"/>
    </row>
    <row r="1079" spans="35:82">
      <c r="AI1079" s="19"/>
      <c r="AO1079" s="19"/>
      <c r="AY1079" s="145"/>
      <c r="AZ1079" s="16"/>
      <c r="BC1079" s="16"/>
      <c r="BD1079" s="20"/>
      <c r="BE1079" s="17"/>
      <c r="BF1079" s="20"/>
      <c r="BG1079" s="146"/>
      <c r="BH1079" s="146"/>
      <c r="BI1079" s="146"/>
      <c r="BJ1079" s="20"/>
      <c r="BK1079" s="20"/>
      <c r="BL1079" s="154"/>
      <c r="BP1079" s="20"/>
      <c r="BQ1079" s="154"/>
      <c r="BR1079" s="18"/>
      <c r="BS1079" s="16"/>
      <c r="BT1079" s="18"/>
      <c r="BU1079" s="18"/>
      <c r="BV1079" s="18"/>
      <c r="BW1079" s="20"/>
      <c r="BX1079" s="154"/>
      <c r="BY1079" s="18"/>
      <c r="BZ1079" s="146"/>
      <c r="CA1079" s="18"/>
      <c r="CB1079" s="18"/>
      <c r="CC1079" s="20"/>
      <c r="CD1079" s="154"/>
    </row>
    <row r="1080" spans="35:82">
      <c r="AI1080" s="19"/>
      <c r="AO1080" s="19"/>
      <c r="AY1080" s="145"/>
      <c r="AZ1080" s="16"/>
      <c r="BC1080" s="16"/>
      <c r="BD1080" s="20"/>
      <c r="BE1080" s="17"/>
      <c r="BF1080" s="20"/>
      <c r="BG1080" s="146"/>
      <c r="BH1080" s="146"/>
      <c r="BI1080" s="146"/>
      <c r="BJ1080" s="20"/>
      <c r="BK1080" s="20"/>
      <c r="BL1080" s="154"/>
      <c r="BP1080" s="20"/>
      <c r="BQ1080" s="154"/>
      <c r="BR1080" s="18"/>
      <c r="BS1080" s="16"/>
      <c r="BT1080" s="18"/>
      <c r="BU1080" s="18"/>
      <c r="BV1080" s="18"/>
      <c r="BW1080" s="20"/>
      <c r="BX1080" s="154"/>
      <c r="BY1080" s="18"/>
      <c r="BZ1080" s="146"/>
      <c r="CA1080" s="18"/>
      <c r="CB1080" s="18"/>
      <c r="CC1080" s="20"/>
      <c r="CD1080" s="154"/>
    </row>
    <row r="1081" spans="35:82">
      <c r="AI1081" s="19"/>
      <c r="AO1081" s="19"/>
      <c r="AY1081" s="145"/>
      <c r="AZ1081" s="16"/>
      <c r="BC1081" s="16"/>
      <c r="BD1081" s="20"/>
      <c r="BE1081" s="17"/>
      <c r="BF1081" s="20"/>
      <c r="BG1081" s="146"/>
      <c r="BH1081" s="146"/>
      <c r="BI1081" s="146"/>
      <c r="BJ1081" s="20"/>
      <c r="BK1081" s="20"/>
      <c r="BL1081" s="154"/>
      <c r="BP1081" s="20"/>
      <c r="BQ1081" s="154"/>
      <c r="BR1081" s="18"/>
      <c r="BS1081" s="16"/>
      <c r="BT1081" s="18"/>
      <c r="BU1081" s="18"/>
      <c r="BV1081" s="18"/>
      <c r="BW1081" s="20"/>
      <c r="BX1081" s="154"/>
      <c r="BY1081" s="18"/>
      <c r="BZ1081" s="146"/>
      <c r="CA1081" s="18"/>
      <c r="CB1081" s="18"/>
      <c r="CC1081" s="20"/>
      <c r="CD1081" s="154"/>
    </row>
    <row r="1082" spans="35:82">
      <c r="AI1082" s="19"/>
      <c r="AO1082" s="19"/>
      <c r="AY1082" s="145"/>
      <c r="AZ1082" s="16"/>
      <c r="BC1082" s="16"/>
      <c r="BD1082" s="20"/>
      <c r="BE1082" s="17"/>
      <c r="BF1082" s="20"/>
      <c r="BG1082" s="146"/>
      <c r="BH1082" s="146"/>
      <c r="BI1082" s="146"/>
      <c r="BJ1082" s="20"/>
      <c r="BK1082" s="20"/>
      <c r="BL1082" s="154"/>
      <c r="BP1082" s="20"/>
      <c r="BQ1082" s="154"/>
      <c r="BR1082" s="18"/>
      <c r="BS1082" s="16"/>
      <c r="BT1082" s="18"/>
      <c r="BU1082" s="18"/>
      <c r="BV1082" s="18"/>
      <c r="BW1082" s="20"/>
      <c r="BX1082" s="154"/>
      <c r="BY1082" s="18"/>
      <c r="BZ1082" s="146"/>
      <c r="CA1082" s="18"/>
      <c r="CB1082" s="18"/>
      <c r="CC1082" s="20"/>
      <c r="CD1082" s="154"/>
    </row>
    <row r="1083" spans="35:82">
      <c r="AI1083" s="19"/>
      <c r="AO1083" s="19"/>
      <c r="AY1083" s="145"/>
      <c r="AZ1083" s="16"/>
      <c r="BC1083" s="16"/>
      <c r="BD1083" s="20"/>
      <c r="BE1083" s="17"/>
      <c r="BF1083" s="20"/>
      <c r="BG1083" s="146"/>
      <c r="BH1083" s="146"/>
      <c r="BI1083" s="146"/>
      <c r="BJ1083" s="20"/>
      <c r="BK1083" s="20"/>
      <c r="BL1083" s="154"/>
      <c r="BP1083" s="20"/>
      <c r="BQ1083" s="154"/>
      <c r="BR1083" s="18"/>
      <c r="BS1083" s="16"/>
      <c r="BT1083" s="18"/>
      <c r="BU1083" s="18"/>
      <c r="BV1083" s="18"/>
      <c r="BW1083" s="20"/>
      <c r="BX1083" s="154"/>
      <c r="BY1083" s="18"/>
      <c r="BZ1083" s="146"/>
      <c r="CA1083" s="18"/>
      <c r="CB1083" s="18"/>
      <c r="CC1083" s="20"/>
      <c r="CD1083" s="154"/>
    </row>
    <row r="1084" spans="35:82">
      <c r="AI1084" s="19"/>
      <c r="AO1084" s="19"/>
      <c r="AY1084" s="145"/>
      <c r="AZ1084" s="16"/>
      <c r="BC1084" s="16"/>
      <c r="BD1084" s="20"/>
      <c r="BE1084" s="17"/>
      <c r="BF1084" s="20"/>
      <c r="BG1084" s="146"/>
      <c r="BH1084" s="146"/>
      <c r="BI1084" s="146"/>
      <c r="BJ1084" s="20"/>
      <c r="BK1084" s="20"/>
      <c r="BL1084" s="154"/>
      <c r="BP1084" s="20"/>
      <c r="BQ1084" s="154"/>
      <c r="BR1084" s="18"/>
      <c r="BS1084" s="16"/>
      <c r="BT1084" s="18"/>
      <c r="BU1084" s="18"/>
      <c r="BV1084" s="18"/>
      <c r="BW1084" s="20"/>
      <c r="BX1084" s="154"/>
      <c r="BY1084" s="18"/>
      <c r="BZ1084" s="146"/>
      <c r="CA1084" s="18"/>
      <c r="CB1084" s="18"/>
      <c r="CC1084" s="20"/>
      <c r="CD1084" s="154"/>
    </row>
    <row r="1085" spans="35:82">
      <c r="AI1085" s="19"/>
      <c r="AO1085" s="19"/>
      <c r="AY1085" s="145"/>
      <c r="AZ1085" s="16"/>
      <c r="BC1085" s="16"/>
      <c r="BD1085" s="20"/>
      <c r="BE1085" s="17"/>
      <c r="BF1085" s="20"/>
      <c r="BG1085" s="146"/>
      <c r="BH1085" s="146"/>
      <c r="BI1085" s="146"/>
      <c r="BJ1085" s="20"/>
      <c r="BK1085" s="20"/>
      <c r="BL1085" s="154"/>
      <c r="BP1085" s="20"/>
      <c r="BQ1085" s="154"/>
      <c r="BR1085" s="18"/>
      <c r="BS1085" s="16"/>
      <c r="BT1085" s="18"/>
      <c r="BU1085" s="18"/>
      <c r="BV1085" s="18"/>
      <c r="BW1085" s="20"/>
      <c r="BX1085" s="154"/>
      <c r="BY1085" s="18"/>
      <c r="BZ1085" s="146"/>
      <c r="CA1085" s="18"/>
      <c r="CB1085" s="18"/>
      <c r="CC1085" s="20"/>
      <c r="CD1085" s="154"/>
    </row>
    <row r="1086" spans="35:82">
      <c r="AI1086" s="19"/>
      <c r="AO1086" s="19"/>
      <c r="AY1086" s="145"/>
      <c r="AZ1086" s="16"/>
      <c r="BC1086" s="16"/>
      <c r="BD1086" s="20"/>
      <c r="BE1086" s="17"/>
      <c r="BF1086" s="20"/>
      <c r="BG1086" s="146"/>
      <c r="BH1086" s="146"/>
      <c r="BI1086" s="146"/>
      <c r="BJ1086" s="20"/>
      <c r="BK1086" s="20"/>
      <c r="BL1086" s="154"/>
      <c r="BP1086" s="20"/>
      <c r="BQ1086" s="154"/>
      <c r="BR1086" s="18"/>
      <c r="BS1086" s="16"/>
      <c r="BT1086" s="18"/>
      <c r="BU1086" s="18"/>
      <c r="BV1086" s="18"/>
      <c r="BW1086" s="20"/>
      <c r="BX1086" s="154"/>
      <c r="BY1086" s="18"/>
      <c r="BZ1086" s="146"/>
      <c r="CA1086" s="18"/>
      <c r="CB1086" s="18"/>
      <c r="CC1086" s="20"/>
      <c r="CD1086" s="154"/>
    </row>
    <row r="1087" spans="35:82">
      <c r="AI1087" s="19"/>
      <c r="AO1087" s="19"/>
      <c r="AY1087" s="145"/>
      <c r="AZ1087" s="16"/>
      <c r="BC1087" s="16"/>
      <c r="BD1087" s="20"/>
      <c r="BE1087" s="17"/>
      <c r="BF1087" s="20"/>
      <c r="BG1087" s="146"/>
      <c r="BH1087" s="146"/>
      <c r="BI1087" s="146"/>
      <c r="BJ1087" s="20"/>
      <c r="BK1087" s="20"/>
      <c r="BL1087" s="154"/>
      <c r="BP1087" s="20"/>
      <c r="BQ1087" s="154"/>
      <c r="BR1087" s="18"/>
      <c r="BS1087" s="16"/>
      <c r="BT1087" s="18"/>
      <c r="BU1087" s="18"/>
      <c r="BV1087" s="18"/>
      <c r="BW1087" s="20"/>
      <c r="BX1087" s="154"/>
      <c r="BY1087" s="18"/>
      <c r="BZ1087" s="146"/>
      <c r="CA1087" s="18"/>
      <c r="CB1087" s="18"/>
      <c r="CC1087" s="20"/>
      <c r="CD1087" s="154"/>
    </row>
    <row r="1088" spans="35:82">
      <c r="AI1088" s="19"/>
      <c r="AO1088" s="19"/>
      <c r="AY1088" s="145"/>
      <c r="AZ1088" s="16"/>
      <c r="BC1088" s="16"/>
      <c r="BD1088" s="20"/>
      <c r="BE1088" s="17"/>
      <c r="BF1088" s="20"/>
      <c r="BG1088" s="146"/>
      <c r="BH1088" s="146"/>
      <c r="BI1088" s="146"/>
      <c r="BJ1088" s="20"/>
      <c r="BK1088" s="20"/>
      <c r="BL1088" s="154"/>
      <c r="BP1088" s="20"/>
      <c r="BQ1088" s="154"/>
      <c r="BR1088" s="18"/>
      <c r="BS1088" s="16"/>
      <c r="BT1088" s="18"/>
      <c r="BU1088" s="18"/>
      <c r="BV1088" s="18"/>
      <c r="BW1088" s="20"/>
      <c r="BX1088" s="154"/>
      <c r="BY1088" s="18"/>
      <c r="BZ1088" s="146"/>
      <c r="CA1088" s="18"/>
      <c r="CB1088" s="18"/>
      <c r="CC1088" s="20"/>
      <c r="CD1088" s="154"/>
    </row>
    <row r="1089" spans="35:82">
      <c r="AI1089" s="19"/>
      <c r="AO1089" s="19"/>
      <c r="AY1089" s="145"/>
      <c r="AZ1089" s="16"/>
      <c r="BC1089" s="16"/>
      <c r="BD1089" s="20"/>
      <c r="BE1089" s="17"/>
      <c r="BF1089" s="20"/>
      <c r="BG1089" s="146"/>
      <c r="BH1089" s="146"/>
      <c r="BI1089" s="146"/>
      <c r="BJ1089" s="20"/>
      <c r="BK1089" s="20"/>
      <c r="BL1089" s="154"/>
      <c r="BP1089" s="20"/>
      <c r="BQ1089" s="154"/>
      <c r="BR1089" s="18"/>
      <c r="BS1089" s="16"/>
      <c r="BT1089" s="18"/>
      <c r="BU1089" s="18"/>
      <c r="BV1089" s="18"/>
      <c r="BW1089" s="20"/>
      <c r="BX1089" s="154"/>
      <c r="BY1089" s="18"/>
      <c r="BZ1089" s="146"/>
      <c r="CA1089" s="18"/>
      <c r="CB1089" s="18"/>
      <c r="CC1089" s="20"/>
      <c r="CD1089" s="154"/>
    </row>
    <row r="1090" spans="35:82">
      <c r="AI1090" s="19"/>
      <c r="AO1090" s="19"/>
      <c r="AY1090" s="145"/>
      <c r="AZ1090" s="16"/>
      <c r="BC1090" s="16"/>
      <c r="BD1090" s="20"/>
      <c r="BE1090" s="17"/>
      <c r="BF1090" s="20"/>
      <c r="BG1090" s="146"/>
      <c r="BH1090" s="146"/>
      <c r="BI1090" s="146"/>
      <c r="BJ1090" s="20"/>
      <c r="BK1090" s="20"/>
      <c r="BL1090" s="154"/>
      <c r="BP1090" s="20"/>
      <c r="BQ1090" s="154"/>
      <c r="BR1090" s="18"/>
      <c r="BS1090" s="16"/>
      <c r="BT1090" s="18"/>
      <c r="BU1090" s="18"/>
      <c r="BV1090" s="18"/>
      <c r="BW1090" s="20"/>
      <c r="BX1090" s="154"/>
      <c r="BY1090" s="18"/>
      <c r="BZ1090" s="146"/>
      <c r="CA1090" s="18"/>
      <c r="CB1090" s="18"/>
      <c r="CC1090" s="20"/>
      <c r="CD1090" s="154"/>
    </row>
    <row r="1091" spans="35:82">
      <c r="AI1091" s="19"/>
      <c r="AO1091" s="19"/>
      <c r="AY1091" s="145"/>
      <c r="AZ1091" s="16"/>
      <c r="BC1091" s="16"/>
      <c r="BD1091" s="20"/>
      <c r="BE1091" s="17"/>
      <c r="BF1091" s="20"/>
      <c r="BG1091" s="146"/>
      <c r="BH1091" s="146"/>
      <c r="BI1091" s="146"/>
      <c r="BJ1091" s="20"/>
      <c r="BK1091" s="20"/>
      <c r="BL1091" s="154"/>
      <c r="BP1091" s="20"/>
      <c r="BQ1091" s="154"/>
      <c r="BR1091" s="18"/>
      <c r="BS1091" s="16"/>
      <c r="BT1091" s="18"/>
      <c r="BU1091" s="18"/>
      <c r="BV1091" s="18"/>
      <c r="BW1091" s="20"/>
      <c r="BX1091" s="154"/>
      <c r="BY1091" s="18"/>
      <c r="BZ1091" s="146"/>
      <c r="CA1091" s="18"/>
      <c r="CB1091" s="18"/>
      <c r="CC1091" s="20"/>
      <c r="CD1091" s="154"/>
    </row>
    <row r="1092" spans="35:82">
      <c r="AI1092" s="19"/>
      <c r="AO1092" s="19"/>
      <c r="AY1092" s="145"/>
      <c r="AZ1092" s="16"/>
      <c r="BC1092" s="16"/>
      <c r="BD1092" s="20"/>
      <c r="BE1092" s="17"/>
      <c r="BF1092" s="20"/>
      <c r="BG1092" s="146"/>
      <c r="BH1092" s="146"/>
      <c r="BI1092" s="146"/>
      <c r="BJ1092" s="20"/>
      <c r="BK1092" s="20"/>
      <c r="BL1092" s="154"/>
      <c r="BP1092" s="20"/>
      <c r="BQ1092" s="154"/>
      <c r="BR1092" s="18"/>
      <c r="BS1092" s="16"/>
      <c r="BT1092" s="18"/>
      <c r="BU1092" s="18"/>
      <c r="BV1092" s="18"/>
      <c r="BW1092" s="20"/>
      <c r="BX1092" s="154"/>
      <c r="BY1092" s="18"/>
      <c r="BZ1092" s="146"/>
      <c r="CA1092" s="18"/>
      <c r="CB1092" s="18"/>
      <c r="CC1092" s="20"/>
      <c r="CD1092" s="154"/>
    </row>
    <row r="1093" spans="35:82">
      <c r="AI1093" s="19"/>
      <c r="AO1093" s="19"/>
      <c r="AY1093" s="145"/>
      <c r="AZ1093" s="16"/>
      <c r="BC1093" s="16"/>
      <c r="BD1093" s="20"/>
      <c r="BE1093" s="17"/>
      <c r="BF1093" s="20"/>
      <c r="BG1093" s="146"/>
      <c r="BH1093" s="146"/>
      <c r="BI1093" s="146"/>
      <c r="BJ1093" s="20"/>
      <c r="BK1093" s="20"/>
      <c r="BL1093" s="154"/>
      <c r="BP1093" s="20"/>
      <c r="BQ1093" s="154"/>
      <c r="BR1093" s="18"/>
      <c r="BS1093" s="16"/>
      <c r="BT1093" s="18"/>
      <c r="BU1093" s="18"/>
      <c r="BV1093" s="18"/>
      <c r="BW1093" s="20"/>
      <c r="BX1093" s="154"/>
      <c r="BY1093" s="18"/>
      <c r="BZ1093" s="146"/>
      <c r="CA1093" s="18"/>
      <c r="CB1093" s="18"/>
      <c r="CC1093" s="20"/>
      <c r="CD1093" s="154"/>
    </row>
    <row r="1094" spans="35:82">
      <c r="AI1094" s="19"/>
      <c r="AO1094" s="19"/>
      <c r="AY1094" s="145"/>
      <c r="AZ1094" s="16"/>
      <c r="BC1094" s="16"/>
      <c r="BD1094" s="20"/>
      <c r="BE1094" s="17"/>
      <c r="BF1094" s="20"/>
      <c r="BG1094" s="146"/>
      <c r="BH1094" s="146"/>
      <c r="BI1094" s="146"/>
      <c r="BJ1094" s="20"/>
      <c r="BK1094" s="20"/>
      <c r="BL1094" s="154"/>
      <c r="BP1094" s="20"/>
      <c r="BQ1094" s="154"/>
      <c r="BR1094" s="18"/>
      <c r="BS1094" s="16"/>
      <c r="BT1094" s="18"/>
      <c r="BU1094" s="18"/>
      <c r="BV1094" s="18"/>
      <c r="BW1094" s="20"/>
      <c r="BX1094" s="154"/>
      <c r="BY1094" s="18"/>
      <c r="BZ1094" s="146"/>
      <c r="CA1094" s="18"/>
      <c r="CB1094" s="18"/>
      <c r="CC1094" s="20"/>
      <c r="CD1094" s="154"/>
    </row>
    <row r="1095" spans="35:82">
      <c r="AI1095" s="19"/>
      <c r="AO1095" s="19"/>
      <c r="AY1095" s="145"/>
      <c r="AZ1095" s="16"/>
      <c r="BC1095" s="16"/>
      <c r="BD1095" s="20"/>
      <c r="BE1095" s="17"/>
      <c r="BF1095" s="20"/>
      <c r="BG1095" s="146"/>
      <c r="BH1095" s="146"/>
      <c r="BI1095" s="146"/>
      <c r="BJ1095" s="20"/>
      <c r="BK1095" s="20"/>
      <c r="BL1095" s="154"/>
      <c r="BP1095" s="20"/>
      <c r="BQ1095" s="154"/>
      <c r="BR1095" s="18"/>
      <c r="BS1095" s="16"/>
      <c r="BT1095" s="18"/>
      <c r="BU1095" s="18"/>
      <c r="BV1095" s="18"/>
      <c r="BW1095" s="20"/>
      <c r="BX1095" s="154"/>
      <c r="BY1095" s="18"/>
      <c r="BZ1095" s="146"/>
      <c r="CA1095" s="18"/>
      <c r="CB1095" s="18"/>
      <c r="CC1095" s="20"/>
      <c r="CD1095" s="154"/>
    </row>
    <row r="1096" spans="35:82">
      <c r="AI1096" s="19"/>
      <c r="AO1096" s="19"/>
      <c r="AY1096" s="145"/>
      <c r="AZ1096" s="16"/>
      <c r="BC1096" s="16"/>
      <c r="BD1096" s="20"/>
      <c r="BE1096" s="17"/>
      <c r="BF1096" s="20"/>
      <c r="BG1096" s="146"/>
      <c r="BH1096" s="146"/>
      <c r="BI1096" s="146"/>
      <c r="BJ1096" s="20"/>
      <c r="BK1096" s="20"/>
      <c r="BL1096" s="154"/>
      <c r="BP1096" s="20"/>
      <c r="BQ1096" s="154"/>
      <c r="BR1096" s="18"/>
      <c r="BS1096" s="16"/>
      <c r="BT1096" s="18"/>
      <c r="BU1096" s="18"/>
      <c r="BV1096" s="18"/>
      <c r="BW1096" s="20"/>
      <c r="BX1096" s="154"/>
      <c r="BY1096" s="18"/>
      <c r="BZ1096" s="146"/>
      <c r="CA1096" s="18"/>
      <c r="CB1096" s="18"/>
      <c r="CC1096" s="20"/>
      <c r="CD1096" s="154"/>
    </row>
    <row r="1097" spans="35:82">
      <c r="AI1097" s="19"/>
      <c r="AO1097" s="19"/>
      <c r="AY1097" s="145"/>
      <c r="AZ1097" s="16"/>
      <c r="BC1097" s="16"/>
      <c r="BD1097" s="20"/>
      <c r="BE1097" s="17"/>
      <c r="BF1097" s="20"/>
      <c r="BG1097" s="146"/>
      <c r="BH1097" s="146"/>
      <c r="BI1097" s="146"/>
      <c r="BJ1097" s="20"/>
      <c r="BK1097" s="20"/>
      <c r="BL1097" s="154"/>
      <c r="BP1097" s="20"/>
      <c r="BQ1097" s="154"/>
      <c r="BR1097" s="18"/>
      <c r="BS1097" s="16"/>
      <c r="BT1097" s="18"/>
      <c r="BU1097" s="18"/>
      <c r="BV1097" s="18"/>
      <c r="BW1097" s="20"/>
      <c r="BX1097" s="154"/>
      <c r="BY1097" s="18"/>
      <c r="BZ1097" s="146"/>
      <c r="CA1097" s="18"/>
      <c r="CB1097" s="18"/>
      <c r="CC1097" s="20"/>
      <c r="CD1097" s="154"/>
    </row>
    <row r="1098" spans="35:82">
      <c r="AI1098" s="19"/>
      <c r="AO1098" s="19"/>
      <c r="AY1098" s="145"/>
      <c r="AZ1098" s="16"/>
      <c r="BC1098" s="16"/>
      <c r="BD1098" s="20"/>
      <c r="BE1098" s="17"/>
      <c r="BF1098" s="20"/>
      <c r="BG1098" s="146"/>
      <c r="BH1098" s="146"/>
      <c r="BI1098" s="146"/>
      <c r="BJ1098" s="20"/>
      <c r="BK1098" s="20"/>
      <c r="BL1098" s="154"/>
      <c r="BP1098" s="20"/>
      <c r="BQ1098" s="154"/>
      <c r="BR1098" s="18"/>
      <c r="BS1098" s="16"/>
      <c r="BT1098" s="18"/>
      <c r="BU1098" s="18"/>
      <c r="BV1098" s="18"/>
      <c r="BW1098" s="20"/>
      <c r="BX1098" s="154"/>
      <c r="BY1098" s="18"/>
      <c r="BZ1098" s="146"/>
      <c r="CA1098" s="18"/>
      <c r="CB1098" s="18"/>
      <c r="CC1098" s="20"/>
      <c r="CD1098" s="154"/>
    </row>
    <row r="1099" spans="35:82">
      <c r="AI1099" s="19"/>
      <c r="AO1099" s="19"/>
      <c r="AY1099" s="145"/>
      <c r="AZ1099" s="16"/>
      <c r="BC1099" s="16"/>
      <c r="BD1099" s="20"/>
      <c r="BE1099" s="17"/>
      <c r="BF1099" s="20"/>
      <c r="BG1099" s="146"/>
      <c r="BH1099" s="146"/>
      <c r="BI1099" s="146"/>
      <c r="BJ1099" s="20"/>
      <c r="BK1099" s="20"/>
      <c r="BL1099" s="154"/>
      <c r="BP1099" s="20"/>
      <c r="BQ1099" s="154"/>
      <c r="BR1099" s="18"/>
      <c r="BS1099" s="16"/>
      <c r="BT1099" s="18"/>
      <c r="BU1099" s="18"/>
      <c r="BV1099" s="18"/>
      <c r="BW1099" s="20"/>
      <c r="BX1099" s="154"/>
      <c r="BY1099" s="18"/>
      <c r="BZ1099" s="146"/>
      <c r="CA1099" s="18"/>
      <c r="CB1099" s="18"/>
      <c r="CC1099" s="20"/>
      <c r="CD1099" s="154"/>
    </row>
    <row r="1100" spans="35:82">
      <c r="AI1100" s="19"/>
      <c r="AO1100" s="19"/>
      <c r="AY1100" s="145"/>
      <c r="AZ1100" s="16"/>
      <c r="BC1100" s="16"/>
      <c r="BD1100" s="20"/>
      <c r="BE1100" s="17"/>
      <c r="BF1100" s="20"/>
      <c r="BG1100" s="146"/>
      <c r="BH1100" s="146"/>
      <c r="BI1100" s="146"/>
      <c r="BJ1100" s="20"/>
      <c r="BK1100" s="20"/>
      <c r="BL1100" s="154"/>
      <c r="BP1100" s="20"/>
      <c r="BQ1100" s="154"/>
      <c r="BR1100" s="18"/>
      <c r="BS1100" s="16"/>
      <c r="BT1100" s="18"/>
      <c r="BU1100" s="18"/>
      <c r="BV1100" s="18"/>
      <c r="BW1100" s="20"/>
      <c r="BX1100" s="154"/>
      <c r="BY1100" s="18"/>
      <c r="BZ1100" s="146"/>
      <c r="CA1100" s="18"/>
      <c r="CB1100" s="18"/>
      <c r="CC1100" s="20"/>
      <c r="CD1100" s="154"/>
    </row>
    <row r="1101" spans="35:82">
      <c r="AI1101" s="19"/>
      <c r="AO1101" s="19"/>
      <c r="AY1101" s="145"/>
      <c r="AZ1101" s="16"/>
      <c r="BC1101" s="16"/>
      <c r="BD1101" s="20"/>
      <c r="BE1101" s="17"/>
      <c r="BF1101" s="20"/>
      <c r="BG1101" s="146"/>
      <c r="BH1101" s="146"/>
      <c r="BI1101" s="146"/>
      <c r="BJ1101" s="20"/>
      <c r="BK1101" s="20"/>
      <c r="BL1101" s="154"/>
      <c r="BP1101" s="20"/>
      <c r="BQ1101" s="154"/>
      <c r="BR1101" s="18"/>
      <c r="BS1101" s="16"/>
      <c r="BT1101" s="18"/>
      <c r="BU1101" s="18"/>
      <c r="BV1101" s="18"/>
      <c r="BW1101" s="20"/>
      <c r="BX1101" s="154"/>
      <c r="BY1101" s="18"/>
      <c r="BZ1101" s="146"/>
      <c r="CA1101" s="18"/>
      <c r="CB1101" s="18"/>
      <c r="CC1101" s="20"/>
      <c r="CD1101" s="154"/>
    </row>
    <row r="1102" spans="35:82">
      <c r="AI1102" s="19"/>
      <c r="AO1102" s="19"/>
      <c r="AY1102" s="145"/>
      <c r="AZ1102" s="16"/>
      <c r="BC1102" s="16"/>
      <c r="BD1102" s="20"/>
      <c r="BE1102" s="17"/>
      <c r="BF1102" s="20"/>
      <c r="BG1102" s="146"/>
      <c r="BH1102" s="146"/>
      <c r="BI1102" s="146"/>
      <c r="BJ1102" s="20"/>
      <c r="BK1102" s="20"/>
      <c r="BL1102" s="154"/>
      <c r="BP1102" s="20"/>
      <c r="BQ1102" s="154"/>
      <c r="BR1102" s="18"/>
      <c r="BS1102" s="16"/>
      <c r="BT1102" s="18"/>
      <c r="BU1102" s="18"/>
      <c r="BV1102" s="18"/>
      <c r="BW1102" s="20"/>
      <c r="BX1102" s="154"/>
      <c r="BY1102" s="18"/>
      <c r="BZ1102" s="146"/>
      <c r="CA1102" s="18"/>
      <c r="CB1102" s="18"/>
      <c r="CC1102" s="20"/>
      <c r="CD1102" s="154"/>
    </row>
    <row r="1103" spans="35:82">
      <c r="AI1103" s="19"/>
      <c r="AO1103" s="19"/>
      <c r="AY1103" s="145"/>
      <c r="AZ1103" s="16"/>
      <c r="BC1103" s="16"/>
      <c r="BD1103" s="20"/>
      <c r="BE1103" s="17"/>
      <c r="BF1103" s="20"/>
      <c r="BG1103" s="146"/>
      <c r="BH1103" s="146"/>
      <c r="BI1103" s="146"/>
      <c r="BJ1103" s="20"/>
      <c r="BK1103" s="20"/>
      <c r="BL1103" s="154"/>
      <c r="BP1103" s="20"/>
      <c r="BQ1103" s="154"/>
      <c r="BR1103" s="18"/>
      <c r="BS1103" s="16"/>
      <c r="BT1103" s="18"/>
      <c r="BU1103" s="18"/>
      <c r="BV1103" s="18"/>
      <c r="BW1103" s="20"/>
      <c r="BX1103" s="154"/>
      <c r="BY1103" s="18"/>
      <c r="BZ1103" s="146"/>
      <c r="CA1103" s="18"/>
      <c r="CB1103" s="18"/>
      <c r="CC1103" s="20"/>
      <c r="CD1103" s="154"/>
    </row>
    <row r="1104" spans="35:82">
      <c r="AI1104" s="19"/>
      <c r="AO1104" s="19"/>
      <c r="AY1104" s="145"/>
      <c r="AZ1104" s="16"/>
      <c r="BC1104" s="16"/>
      <c r="BD1104" s="20"/>
      <c r="BE1104" s="17"/>
      <c r="BF1104" s="20"/>
      <c r="BG1104" s="146"/>
      <c r="BH1104" s="146"/>
      <c r="BI1104" s="146"/>
      <c r="BJ1104" s="20"/>
      <c r="BK1104" s="20"/>
      <c r="BL1104" s="154"/>
      <c r="BP1104" s="20"/>
      <c r="BQ1104" s="154"/>
      <c r="BR1104" s="18"/>
      <c r="BS1104" s="16"/>
      <c r="BT1104" s="18"/>
      <c r="BU1104" s="18"/>
      <c r="BV1104" s="18"/>
      <c r="BW1104" s="20"/>
      <c r="BX1104" s="154"/>
      <c r="BY1104" s="18"/>
      <c r="BZ1104" s="146"/>
      <c r="CA1104" s="18"/>
      <c r="CB1104" s="18"/>
      <c r="CC1104" s="20"/>
      <c r="CD1104" s="154"/>
    </row>
    <row r="1105" spans="35:82">
      <c r="AI1105" s="19"/>
      <c r="AO1105" s="19"/>
      <c r="AY1105" s="145"/>
      <c r="AZ1105" s="16"/>
      <c r="BC1105" s="16"/>
      <c r="BD1105" s="20"/>
      <c r="BE1105" s="17"/>
      <c r="BF1105" s="20"/>
      <c r="BG1105" s="146"/>
      <c r="BH1105" s="146"/>
      <c r="BI1105" s="146"/>
      <c r="BJ1105" s="20"/>
      <c r="BK1105" s="20"/>
      <c r="BL1105" s="154"/>
      <c r="BP1105" s="20"/>
      <c r="BQ1105" s="154"/>
      <c r="BR1105" s="18"/>
      <c r="BS1105" s="16"/>
      <c r="BT1105" s="18"/>
      <c r="BU1105" s="18"/>
      <c r="BV1105" s="18"/>
      <c r="BW1105" s="20"/>
      <c r="BX1105" s="154"/>
      <c r="BY1105" s="18"/>
      <c r="BZ1105" s="146"/>
      <c r="CA1105" s="18"/>
      <c r="CB1105" s="18"/>
      <c r="CC1105" s="20"/>
      <c r="CD1105" s="154"/>
    </row>
    <row r="1106" spans="35:82">
      <c r="AI1106" s="19"/>
      <c r="AO1106" s="19"/>
      <c r="AY1106" s="145"/>
      <c r="AZ1106" s="16"/>
      <c r="BC1106" s="16"/>
      <c r="BD1106" s="20"/>
      <c r="BE1106" s="17"/>
      <c r="BF1106" s="20"/>
      <c r="BG1106" s="146"/>
      <c r="BH1106" s="146"/>
      <c r="BI1106" s="146"/>
      <c r="BJ1106" s="20"/>
      <c r="BK1106" s="20"/>
      <c r="BL1106" s="154"/>
      <c r="BP1106" s="20"/>
      <c r="BQ1106" s="154"/>
      <c r="BR1106" s="18"/>
      <c r="BS1106" s="16"/>
      <c r="BT1106" s="18"/>
      <c r="BU1106" s="18"/>
      <c r="BV1106" s="18"/>
      <c r="BW1106" s="20"/>
      <c r="BX1106" s="154"/>
      <c r="BY1106" s="18"/>
      <c r="BZ1106" s="146"/>
      <c r="CA1106" s="18"/>
      <c r="CB1106" s="18"/>
      <c r="CC1106" s="20"/>
      <c r="CD1106" s="154"/>
    </row>
    <row r="1107" spans="35:82">
      <c r="AI1107" s="19"/>
      <c r="AO1107" s="19"/>
      <c r="AY1107" s="145"/>
      <c r="AZ1107" s="16"/>
      <c r="BC1107" s="16"/>
      <c r="BD1107" s="20"/>
      <c r="BE1107" s="17"/>
      <c r="BF1107" s="20"/>
      <c r="BG1107" s="146"/>
      <c r="BH1107" s="146"/>
      <c r="BI1107" s="146"/>
      <c r="BJ1107" s="20"/>
      <c r="BK1107" s="20"/>
      <c r="BL1107" s="154"/>
      <c r="BP1107" s="20"/>
      <c r="BQ1107" s="154"/>
      <c r="BR1107" s="18"/>
      <c r="BS1107" s="16"/>
      <c r="BT1107" s="18"/>
      <c r="BU1107" s="18"/>
      <c r="BV1107" s="18"/>
      <c r="BW1107" s="20"/>
      <c r="BX1107" s="154"/>
      <c r="BY1107" s="18"/>
      <c r="BZ1107" s="146"/>
      <c r="CA1107" s="18"/>
      <c r="CB1107" s="18"/>
      <c r="CC1107" s="20"/>
      <c r="CD1107" s="154"/>
    </row>
    <row r="1108" spans="35:82">
      <c r="AI1108" s="19"/>
      <c r="AO1108" s="19"/>
      <c r="AY1108" s="145"/>
      <c r="AZ1108" s="16"/>
      <c r="BC1108" s="16"/>
      <c r="BD1108" s="20"/>
      <c r="BE1108" s="17"/>
      <c r="BF1108" s="20"/>
      <c r="BG1108" s="146"/>
      <c r="BH1108" s="146"/>
      <c r="BI1108" s="146"/>
      <c r="BJ1108" s="20"/>
      <c r="BK1108" s="20"/>
      <c r="BL1108" s="154"/>
      <c r="BP1108" s="20"/>
      <c r="BQ1108" s="154"/>
      <c r="BR1108" s="18"/>
      <c r="BS1108" s="16"/>
      <c r="BT1108" s="18"/>
      <c r="BU1108" s="18"/>
      <c r="BV1108" s="18"/>
      <c r="BW1108" s="20"/>
      <c r="BX1108" s="154"/>
      <c r="BY1108" s="18"/>
      <c r="BZ1108" s="146"/>
      <c r="CA1108" s="18"/>
      <c r="CB1108" s="18"/>
      <c r="CC1108" s="20"/>
      <c r="CD1108" s="154"/>
    </row>
    <row r="1109" spans="35:82">
      <c r="AI1109" s="19"/>
      <c r="AO1109" s="19"/>
      <c r="AY1109" s="145"/>
      <c r="AZ1109" s="16"/>
      <c r="BC1109" s="16"/>
      <c r="BD1109" s="20"/>
      <c r="BE1109" s="17"/>
      <c r="BF1109" s="20"/>
      <c r="BG1109" s="146"/>
      <c r="BH1109" s="146"/>
      <c r="BI1109" s="146"/>
      <c r="BJ1109" s="20"/>
      <c r="BK1109" s="20"/>
      <c r="BL1109" s="154"/>
      <c r="BP1109" s="20"/>
      <c r="BQ1109" s="154"/>
      <c r="BR1109" s="18"/>
      <c r="BS1109" s="16"/>
      <c r="BT1109" s="18"/>
      <c r="BU1109" s="18"/>
      <c r="BV1109" s="18"/>
      <c r="BW1109" s="20"/>
      <c r="BX1109" s="154"/>
      <c r="BY1109" s="18"/>
      <c r="BZ1109" s="146"/>
      <c r="CA1109" s="18"/>
      <c r="CB1109" s="18"/>
      <c r="CC1109" s="20"/>
      <c r="CD1109" s="154"/>
    </row>
    <row r="1110" spans="35:82">
      <c r="AI1110" s="19"/>
      <c r="AO1110" s="19"/>
      <c r="AY1110" s="145"/>
      <c r="AZ1110" s="16"/>
      <c r="BC1110" s="16"/>
      <c r="BD1110" s="20"/>
      <c r="BE1110" s="17"/>
      <c r="BF1110" s="20"/>
      <c r="BG1110" s="146"/>
      <c r="BH1110" s="146"/>
      <c r="BI1110" s="146"/>
      <c r="BJ1110" s="20"/>
      <c r="BK1110" s="20"/>
      <c r="BL1110" s="154"/>
      <c r="BP1110" s="20"/>
      <c r="BQ1110" s="154"/>
      <c r="BR1110" s="18"/>
      <c r="BS1110" s="16"/>
      <c r="BT1110" s="18"/>
      <c r="BU1110" s="18"/>
      <c r="BV1110" s="18"/>
      <c r="BW1110" s="20"/>
      <c r="BX1110" s="154"/>
      <c r="BY1110" s="18"/>
      <c r="BZ1110" s="146"/>
      <c r="CA1110" s="18"/>
      <c r="CB1110" s="18"/>
      <c r="CC1110" s="20"/>
      <c r="CD1110" s="154"/>
    </row>
    <row r="1111" spans="35:82">
      <c r="AI1111" s="19"/>
      <c r="AO1111" s="19"/>
      <c r="AY1111" s="145"/>
      <c r="AZ1111" s="16"/>
      <c r="BC1111" s="16"/>
      <c r="BD1111" s="20"/>
      <c r="BE1111" s="17"/>
      <c r="BF1111" s="20"/>
      <c r="BG1111" s="146"/>
      <c r="BH1111" s="146"/>
      <c r="BI1111" s="146"/>
      <c r="BJ1111" s="20"/>
      <c r="BK1111" s="20"/>
      <c r="BL1111" s="154"/>
      <c r="BP1111" s="20"/>
      <c r="BQ1111" s="154"/>
      <c r="BR1111" s="18"/>
      <c r="BS1111" s="16"/>
      <c r="BT1111" s="18"/>
      <c r="BU1111" s="18"/>
      <c r="BV1111" s="18"/>
      <c r="BW1111" s="20"/>
      <c r="BX1111" s="154"/>
      <c r="BY1111" s="18"/>
      <c r="BZ1111" s="146"/>
      <c r="CA1111" s="18"/>
      <c r="CB1111" s="18"/>
      <c r="CC1111" s="20"/>
      <c r="CD1111" s="154"/>
    </row>
    <row r="1112" spans="35:82">
      <c r="AI1112" s="19"/>
      <c r="AO1112" s="19"/>
      <c r="AY1112" s="145"/>
      <c r="AZ1112" s="16"/>
      <c r="BC1112" s="16"/>
      <c r="BD1112" s="20"/>
      <c r="BE1112" s="17"/>
      <c r="BF1112" s="20"/>
      <c r="BG1112" s="146"/>
      <c r="BH1112" s="146"/>
      <c r="BI1112" s="146"/>
      <c r="BJ1112" s="20"/>
      <c r="BK1112" s="20"/>
      <c r="BL1112" s="154"/>
      <c r="BP1112" s="20"/>
      <c r="BQ1112" s="154"/>
      <c r="BR1112" s="18"/>
      <c r="BS1112" s="16"/>
      <c r="BT1112" s="18"/>
      <c r="BU1112" s="18"/>
      <c r="BV1112" s="18"/>
      <c r="BW1112" s="20"/>
      <c r="BX1112" s="154"/>
      <c r="BY1112" s="18"/>
      <c r="BZ1112" s="146"/>
      <c r="CA1112" s="18"/>
      <c r="CB1112" s="18"/>
      <c r="CC1112" s="20"/>
      <c r="CD1112" s="154"/>
    </row>
    <row r="1113" spans="35:82">
      <c r="AI1113" s="19"/>
      <c r="AO1113" s="19"/>
      <c r="AY1113" s="145"/>
      <c r="AZ1113" s="16"/>
      <c r="BC1113" s="16"/>
      <c r="BD1113" s="20"/>
      <c r="BE1113" s="17"/>
      <c r="BF1113" s="20"/>
      <c r="BG1113" s="146"/>
      <c r="BH1113" s="146"/>
      <c r="BI1113" s="146"/>
      <c r="BJ1113" s="20"/>
      <c r="BK1113" s="20"/>
      <c r="BL1113" s="154"/>
      <c r="BP1113" s="20"/>
      <c r="BQ1113" s="154"/>
      <c r="BR1113" s="18"/>
      <c r="BS1113" s="16"/>
      <c r="BT1113" s="18"/>
      <c r="BU1113" s="18"/>
      <c r="BV1113" s="18"/>
      <c r="BW1113" s="20"/>
      <c r="BX1113" s="154"/>
      <c r="BY1113" s="18"/>
      <c r="BZ1113" s="146"/>
      <c r="CA1113" s="18"/>
      <c r="CB1113" s="18"/>
      <c r="CC1113" s="20"/>
      <c r="CD1113" s="154"/>
    </row>
    <row r="1114" spans="35:82">
      <c r="AI1114" s="19"/>
      <c r="AO1114" s="19"/>
      <c r="AY1114" s="145"/>
      <c r="AZ1114" s="16"/>
      <c r="BC1114" s="16"/>
      <c r="BD1114" s="20"/>
      <c r="BE1114" s="17"/>
      <c r="BF1114" s="20"/>
      <c r="BG1114" s="146"/>
      <c r="BH1114" s="146"/>
      <c r="BI1114" s="146"/>
      <c r="BJ1114" s="20"/>
      <c r="BK1114" s="20"/>
      <c r="BL1114" s="154"/>
      <c r="BP1114" s="20"/>
      <c r="BQ1114" s="154"/>
      <c r="BR1114" s="18"/>
      <c r="BS1114" s="16"/>
      <c r="BT1114" s="18"/>
      <c r="BU1114" s="18"/>
      <c r="BV1114" s="18"/>
      <c r="BW1114" s="20"/>
      <c r="BX1114" s="154"/>
      <c r="BY1114" s="18"/>
      <c r="BZ1114" s="146"/>
      <c r="CA1114" s="18"/>
      <c r="CB1114" s="18"/>
      <c r="CC1114" s="20"/>
      <c r="CD1114" s="154"/>
    </row>
    <row r="1115" spans="35:82">
      <c r="AI1115" s="19"/>
      <c r="AO1115" s="19"/>
      <c r="AY1115" s="145"/>
      <c r="AZ1115" s="16"/>
      <c r="BC1115" s="16"/>
      <c r="BD1115" s="20"/>
      <c r="BE1115" s="17"/>
      <c r="BF1115" s="20"/>
      <c r="BG1115" s="146"/>
      <c r="BH1115" s="146"/>
      <c r="BI1115" s="146"/>
      <c r="BJ1115" s="20"/>
      <c r="BK1115" s="20"/>
      <c r="BL1115" s="154"/>
      <c r="BP1115" s="20"/>
      <c r="BQ1115" s="154"/>
      <c r="BR1115" s="18"/>
      <c r="BS1115" s="16"/>
      <c r="BT1115" s="18"/>
      <c r="BU1115" s="18"/>
      <c r="BV1115" s="18"/>
      <c r="BW1115" s="20"/>
      <c r="BX1115" s="154"/>
      <c r="BY1115" s="18"/>
      <c r="BZ1115" s="146"/>
      <c r="CA1115" s="18"/>
      <c r="CB1115" s="18"/>
      <c r="CC1115" s="20"/>
      <c r="CD1115" s="154"/>
    </row>
    <row r="1116" spans="35:82">
      <c r="AI1116" s="19"/>
      <c r="AO1116" s="19"/>
      <c r="AY1116" s="145"/>
      <c r="AZ1116" s="16"/>
      <c r="BC1116" s="16"/>
      <c r="BD1116" s="20"/>
      <c r="BE1116" s="17"/>
      <c r="BF1116" s="20"/>
      <c r="BG1116" s="146"/>
      <c r="BH1116" s="146"/>
      <c r="BI1116" s="146"/>
      <c r="BJ1116" s="20"/>
      <c r="BK1116" s="20"/>
      <c r="BL1116" s="154"/>
      <c r="BP1116" s="20"/>
      <c r="BQ1116" s="154"/>
      <c r="BR1116" s="18"/>
      <c r="BS1116" s="16"/>
      <c r="BT1116" s="18"/>
      <c r="BU1116" s="18"/>
      <c r="BV1116" s="18"/>
      <c r="BW1116" s="20"/>
      <c r="BX1116" s="154"/>
      <c r="BY1116" s="18"/>
      <c r="BZ1116" s="146"/>
      <c r="CA1116" s="18"/>
      <c r="CB1116" s="18"/>
      <c r="CC1116" s="20"/>
      <c r="CD1116" s="154"/>
    </row>
    <row r="1117" spans="35:82">
      <c r="AI1117" s="19"/>
      <c r="AO1117" s="19"/>
      <c r="AY1117" s="145"/>
      <c r="AZ1117" s="16"/>
      <c r="BC1117" s="16"/>
      <c r="BD1117" s="20"/>
      <c r="BE1117" s="17"/>
      <c r="BF1117" s="20"/>
      <c r="BG1117" s="146"/>
      <c r="BH1117" s="146"/>
      <c r="BI1117" s="146"/>
      <c r="BJ1117" s="20"/>
      <c r="BK1117" s="20"/>
      <c r="BL1117" s="154"/>
      <c r="BP1117" s="20"/>
      <c r="BQ1117" s="154"/>
      <c r="BR1117" s="18"/>
      <c r="BS1117" s="16"/>
      <c r="BT1117" s="18"/>
      <c r="BU1117" s="18"/>
      <c r="BV1117" s="18"/>
      <c r="BW1117" s="20"/>
      <c r="BX1117" s="154"/>
      <c r="BY1117" s="18"/>
      <c r="BZ1117" s="146"/>
      <c r="CA1117" s="18"/>
      <c r="CB1117" s="18"/>
      <c r="CC1117" s="20"/>
      <c r="CD1117" s="154"/>
    </row>
    <row r="1118" spans="35:82">
      <c r="AI1118" s="19"/>
      <c r="AO1118" s="19"/>
      <c r="AY1118" s="145"/>
      <c r="AZ1118" s="16"/>
      <c r="BC1118" s="16"/>
      <c r="BD1118" s="20"/>
      <c r="BE1118" s="17"/>
      <c r="BF1118" s="20"/>
      <c r="BG1118" s="146"/>
      <c r="BH1118" s="146"/>
      <c r="BI1118" s="146"/>
      <c r="BJ1118" s="20"/>
      <c r="BK1118" s="20"/>
      <c r="BL1118" s="154"/>
      <c r="BP1118" s="20"/>
      <c r="BQ1118" s="154"/>
      <c r="BR1118" s="18"/>
      <c r="BS1118" s="16"/>
      <c r="BT1118" s="18"/>
      <c r="BU1118" s="18"/>
      <c r="BV1118" s="18"/>
      <c r="BW1118" s="20"/>
      <c r="BX1118" s="154"/>
      <c r="BY1118" s="18"/>
      <c r="BZ1118" s="146"/>
      <c r="CA1118" s="18"/>
      <c r="CB1118" s="18"/>
      <c r="CC1118" s="20"/>
      <c r="CD1118" s="154"/>
    </row>
    <row r="1119" spans="35:82">
      <c r="AI1119" s="19"/>
      <c r="AO1119" s="19"/>
      <c r="AY1119" s="145"/>
      <c r="AZ1119" s="16"/>
      <c r="BC1119" s="16"/>
      <c r="BD1119" s="20"/>
      <c r="BE1119" s="17"/>
      <c r="BF1119" s="20"/>
      <c r="BG1119" s="146"/>
      <c r="BH1119" s="146"/>
      <c r="BI1119" s="146"/>
      <c r="BJ1119" s="20"/>
      <c r="BK1119" s="20"/>
      <c r="BL1119" s="154"/>
      <c r="BP1119" s="20"/>
      <c r="BQ1119" s="154"/>
      <c r="BR1119" s="18"/>
      <c r="BS1119" s="16"/>
      <c r="BT1119" s="18"/>
      <c r="BU1119" s="18"/>
      <c r="BV1119" s="18"/>
      <c r="BW1119" s="20"/>
      <c r="BX1119" s="154"/>
      <c r="BY1119" s="18"/>
      <c r="BZ1119" s="146"/>
      <c r="CA1119" s="18"/>
      <c r="CB1119" s="18"/>
      <c r="CC1119" s="20"/>
      <c r="CD1119" s="154"/>
    </row>
    <row r="1120" spans="35:82">
      <c r="AI1120" s="19"/>
      <c r="AO1120" s="19"/>
      <c r="AY1120" s="145"/>
      <c r="AZ1120" s="16"/>
      <c r="BC1120" s="16"/>
      <c r="BD1120" s="20"/>
      <c r="BE1120" s="17"/>
      <c r="BF1120" s="20"/>
      <c r="BG1120" s="146"/>
      <c r="BH1120" s="146"/>
      <c r="BI1120" s="146"/>
      <c r="BJ1120" s="20"/>
      <c r="BK1120" s="20"/>
      <c r="BL1120" s="154"/>
      <c r="BP1120" s="20"/>
      <c r="BQ1120" s="154"/>
      <c r="BR1120" s="18"/>
      <c r="BS1120" s="16"/>
      <c r="BT1120" s="18"/>
      <c r="BU1120" s="18"/>
      <c r="BV1120" s="18"/>
      <c r="BW1120" s="20"/>
      <c r="BX1120" s="154"/>
      <c r="BY1120" s="18"/>
      <c r="BZ1120" s="146"/>
      <c r="CA1120" s="18"/>
      <c r="CB1120" s="18"/>
      <c r="CC1120" s="20"/>
      <c r="CD1120" s="154"/>
    </row>
    <row r="1121" spans="35:82">
      <c r="AI1121" s="19"/>
      <c r="AO1121" s="19"/>
      <c r="AY1121" s="145"/>
      <c r="AZ1121" s="16"/>
      <c r="BC1121" s="16"/>
      <c r="BD1121" s="20"/>
      <c r="BE1121" s="17"/>
      <c r="BF1121" s="20"/>
      <c r="BG1121" s="146"/>
      <c r="BH1121" s="146"/>
      <c r="BI1121" s="146"/>
      <c r="BJ1121" s="20"/>
      <c r="BK1121" s="20"/>
      <c r="BL1121" s="154"/>
      <c r="BP1121" s="20"/>
      <c r="BQ1121" s="154"/>
      <c r="BR1121" s="18"/>
      <c r="BS1121" s="16"/>
      <c r="BT1121" s="18"/>
      <c r="BU1121" s="18"/>
      <c r="BV1121" s="18"/>
      <c r="BW1121" s="20"/>
      <c r="BX1121" s="154"/>
      <c r="BY1121" s="18"/>
      <c r="BZ1121" s="146"/>
      <c r="CA1121" s="18"/>
      <c r="CB1121" s="18"/>
      <c r="CC1121" s="20"/>
      <c r="CD1121" s="154"/>
    </row>
    <row r="1122" spans="35:82">
      <c r="AI1122" s="19"/>
      <c r="AO1122" s="19"/>
      <c r="AY1122" s="145"/>
      <c r="AZ1122" s="16"/>
      <c r="BC1122" s="16"/>
      <c r="BD1122" s="20"/>
      <c r="BE1122" s="17"/>
      <c r="BF1122" s="20"/>
      <c r="BG1122" s="146"/>
      <c r="BH1122" s="146"/>
      <c r="BI1122" s="146"/>
      <c r="BJ1122" s="20"/>
      <c r="BK1122" s="20"/>
      <c r="BL1122" s="154"/>
      <c r="BP1122" s="20"/>
      <c r="BQ1122" s="154"/>
      <c r="BR1122" s="18"/>
      <c r="BS1122" s="16"/>
      <c r="BT1122" s="18"/>
      <c r="BU1122" s="18"/>
      <c r="BV1122" s="18"/>
      <c r="BW1122" s="20"/>
      <c r="BX1122" s="154"/>
      <c r="BY1122" s="18"/>
      <c r="BZ1122" s="146"/>
      <c r="CA1122" s="18"/>
      <c r="CB1122" s="18"/>
      <c r="CC1122" s="20"/>
      <c r="CD1122" s="154"/>
    </row>
    <row r="1123" spans="35:82">
      <c r="AI1123" s="19"/>
      <c r="AO1123" s="19"/>
      <c r="AY1123" s="145"/>
      <c r="AZ1123" s="16"/>
      <c r="BC1123" s="16"/>
      <c r="BD1123" s="20"/>
      <c r="BE1123" s="17"/>
      <c r="BF1123" s="20"/>
      <c r="BG1123" s="146"/>
      <c r="BH1123" s="146"/>
      <c r="BI1123" s="146"/>
      <c r="BJ1123" s="20"/>
      <c r="BK1123" s="20"/>
      <c r="BL1123" s="154"/>
      <c r="BP1123" s="20"/>
      <c r="BQ1123" s="154"/>
      <c r="BR1123" s="18"/>
      <c r="BS1123" s="16"/>
      <c r="BT1123" s="18"/>
      <c r="BU1123" s="18"/>
      <c r="BV1123" s="18"/>
      <c r="BW1123" s="20"/>
      <c r="BX1123" s="154"/>
      <c r="BY1123" s="18"/>
      <c r="BZ1123" s="146"/>
      <c r="CA1123" s="18"/>
      <c r="CB1123" s="18"/>
      <c r="CC1123" s="20"/>
      <c r="CD1123" s="154"/>
    </row>
    <row r="1124" spans="35:82">
      <c r="AI1124" s="19"/>
      <c r="AO1124" s="19"/>
      <c r="AY1124" s="145"/>
      <c r="AZ1124" s="16"/>
      <c r="BC1124" s="16"/>
      <c r="BD1124" s="20"/>
      <c r="BE1124" s="17"/>
      <c r="BF1124" s="20"/>
      <c r="BG1124" s="146"/>
      <c r="BH1124" s="146"/>
      <c r="BI1124" s="146"/>
      <c r="BJ1124" s="20"/>
      <c r="BK1124" s="20"/>
      <c r="BL1124" s="154"/>
      <c r="BP1124" s="20"/>
      <c r="BQ1124" s="154"/>
      <c r="BR1124" s="18"/>
      <c r="BS1124" s="16"/>
      <c r="BT1124" s="18"/>
      <c r="BU1124" s="18"/>
      <c r="BV1124" s="18"/>
      <c r="BW1124" s="20"/>
      <c r="BX1124" s="154"/>
      <c r="BY1124" s="18"/>
      <c r="BZ1124" s="146"/>
      <c r="CA1124" s="18"/>
      <c r="CB1124" s="18"/>
      <c r="CC1124" s="20"/>
      <c r="CD1124" s="154"/>
    </row>
    <row r="1125" spans="35:82">
      <c r="AI1125" s="19"/>
      <c r="AO1125" s="19"/>
      <c r="AY1125" s="145"/>
      <c r="AZ1125" s="16"/>
      <c r="BC1125" s="16"/>
      <c r="BD1125" s="20"/>
      <c r="BE1125" s="17"/>
      <c r="BF1125" s="20"/>
      <c r="BG1125" s="146"/>
      <c r="BH1125" s="146"/>
      <c r="BI1125" s="146"/>
      <c r="BJ1125" s="20"/>
      <c r="BK1125" s="20"/>
      <c r="BL1125" s="154"/>
      <c r="BP1125" s="20"/>
      <c r="BQ1125" s="154"/>
      <c r="BR1125" s="18"/>
      <c r="BS1125" s="16"/>
      <c r="BT1125" s="18"/>
      <c r="BU1125" s="18"/>
      <c r="BV1125" s="18"/>
      <c r="BW1125" s="20"/>
      <c r="BX1125" s="154"/>
      <c r="BY1125" s="18"/>
      <c r="BZ1125" s="146"/>
      <c r="CA1125" s="18"/>
      <c r="CB1125" s="18"/>
      <c r="CC1125" s="20"/>
      <c r="CD1125" s="154"/>
    </row>
    <row r="1126" spans="35:82">
      <c r="AI1126" s="19"/>
      <c r="AO1126" s="19"/>
      <c r="AY1126" s="145"/>
      <c r="AZ1126" s="16"/>
      <c r="BC1126" s="16"/>
      <c r="BD1126" s="20"/>
      <c r="BE1126" s="17"/>
      <c r="BF1126" s="20"/>
      <c r="BG1126" s="146"/>
      <c r="BH1126" s="146"/>
      <c r="BI1126" s="146"/>
      <c r="BJ1126" s="20"/>
      <c r="BK1126" s="20"/>
      <c r="BL1126" s="154"/>
      <c r="BP1126" s="20"/>
      <c r="BQ1126" s="154"/>
      <c r="BR1126" s="18"/>
      <c r="BS1126" s="16"/>
      <c r="BT1126" s="18"/>
      <c r="BU1126" s="18"/>
      <c r="BV1126" s="18"/>
      <c r="BW1126" s="20"/>
      <c r="BX1126" s="154"/>
      <c r="BY1126" s="18"/>
      <c r="BZ1126" s="146"/>
      <c r="CA1126" s="18"/>
      <c r="CB1126" s="18"/>
      <c r="CC1126" s="20"/>
      <c r="CD1126" s="154"/>
    </row>
    <row r="1127" spans="35:82">
      <c r="AI1127" s="19"/>
      <c r="AO1127" s="19"/>
      <c r="AY1127" s="145"/>
      <c r="AZ1127" s="16"/>
      <c r="BC1127" s="16"/>
      <c r="BD1127" s="20"/>
      <c r="BE1127" s="17"/>
      <c r="BF1127" s="20"/>
      <c r="BG1127" s="146"/>
      <c r="BH1127" s="146"/>
      <c r="BI1127" s="146"/>
      <c r="BJ1127" s="20"/>
      <c r="BK1127" s="20"/>
      <c r="BL1127" s="154"/>
      <c r="BP1127" s="20"/>
      <c r="BQ1127" s="154"/>
      <c r="BR1127" s="18"/>
      <c r="BS1127" s="16"/>
      <c r="BT1127" s="18"/>
      <c r="BU1127" s="18"/>
      <c r="BV1127" s="18"/>
      <c r="BW1127" s="20"/>
      <c r="BX1127" s="154"/>
      <c r="BY1127" s="18"/>
      <c r="BZ1127" s="146"/>
      <c r="CA1127" s="18"/>
      <c r="CB1127" s="18"/>
      <c r="CC1127" s="20"/>
      <c r="CD1127" s="154"/>
    </row>
    <row r="1128" spans="35:82">
      <c r="AI1128" s="19"/>
      <c r="AO1128" s="19"/>
      <c r="AY1128" s="145"/>
      <c r="AZ1128" s="16"/>
      <c r="BC1128" s="16"/>
      <c r="BD1128" s="20"/>
      <c r="BE1128" s="17"/>
      <c r="BF1128" s="20"/>
      <c r="BG1128" s="146"/>
      <c r="BH1128" s="146"/>
      <c r="BI1128" s="146"/>
      <c r="BJ1128" s="20"/>
      <c r="BK1128" s="20"/>
      <c r="BL1128" s="154"/>
      <c r="BP1128" s="20"/>
      <c r="BQ1128" s="154"/>
      <c r="BR1128" s="18"/>
      <c r="BS1128" s="16"/>
      <c r="BT1128" s="18"/>
      <c r="BU1128" s="18"/>
      <c r="BV1128" s="18"/>
      <c r="BW1128" s="20"/>
      <c r="BX1128" s="154"/>
      <c r="BY1128" s="18"/>
      <c r="BZ1128" s="146"/>
      <c r="CA1128" s="18"/>
      <c r="CB1128" s="18"/>
      <c r="CC1128" s="20"/>
      <c r="CD1128" s="154"/>
    </row>
    <row r="1129" spans="35:82">
      <c r="AI1129" s="19"/>
      <c r="AO1129" s="19"/>
      <c r="AY1129" s="145"/>
      <c r="AZ1129" s="16"/>
      <c r="BC1129" s="16"/>
      <c r="BD1129" s="20"/>
      <c r="BE1129" s="17"/>
      <c r="BF1129" s="20"/>
      <c r="BG1129" s="146"/>
      <c r="BH1129" s="146"/>
      <c r="BI1129" s="146"/>
      <c r="BJ1129" s="20"/>
      <c r="BK1129" s="20"/>
      <c r="BL1129" s="154"/>
      <c r="BP1129" s="20"/>
      <c r="BQ1129" s="154"/>
      <c r="BR1129" s="18"/>
      <c r="BS1129" s="16"/>
      <c r="BT1129" s="18"/>
      <c r="BU1129" s="18"/>
      <c r="BV1129" s="18"/>
      <c r="BW1129" s="20"/>
      <c r="BX1129" s="154"/>
      <c r="BY1129" s="18"/>
      <c r="BZ1129" s="146"/>
      <c r="CA1129" s="18"/>
      <c r="CB1129" s="18"/>
      <c r="CC1129" s="20"/>
      <c r="CD1129" s="154"/>
    </row>
    <row r="1130" spans="35:82">
      <c r="AI1130" s="19"/>
      <c r="AO1130" s="19"/>
      <c r="AY1130" s="145"/>
      <c r="AZ1130" s="16"/>
      <c r="BC1130" s="16"/>
      <c r="BD1130" s="20"/>
      <c r="BE1130" s="17"/>
      <c r="BF1130" s="20"/>
      <c r="BG1130" s="146"/>
      <c r="BH1130" s="146"/>
      <c r="BI1130" s="146"/>
      <c r="BJ1130" s="20"/>
      <c r="BK1130" s="20"/>
      <c r="BL1130" s="154"/>
      <c r="BP1130" s="20"/>
      <c r="BQ1130" s="154"/>
      <c r="BR1130" s="18"/>
      <c r="BS1130" s="16"/>
      <c r="BT1130" s="18"/>
      <c r="BU1130" s="18"/>
      <c r="BV1130" s="18"/>
      <c r="BW1130" s="20"/>
      <c r="BX1130" s="154"/>
      <c r="BY1130" s="18"/>
      <c r="BZ1130" s="146"/>
      <c r="CA1130" s="18"/>
      <c r="CB1130" s="18"/>
      <c r="CC1130" s="20"/>
      <c r="CD1130" s="154"/>
    </row>
    <row r="1131" spans="35:82">
      <c r="AI1131" s="19"/>
      <c r="AO1131" s="19"/>
      <c r="AY1131" s="145"/>
      <c r="AZ1131" s="16"/>
      <c r="BC1131" s="16"/>
      <c r="BD1131" s="20"/>
      <c r="BE1131" s="17"/>
      <c r="BF1131" s="20"/>
      <c r="BG1131" s="146"/>
      <c r="BH1131" s="146"/>
      <c r="BI1131" s="146"/>
      <c r="BJ1131" s="20"/>
      <c r="BK1131" s="20"/>
      <c r="BL1131" s="154"/>
      <c r="BP1131" s="20"/>
      <c r="BQ1131" s="154"/>
      <c r="BR1131" s="18"/>
      <c r="BS1131" s="16"/>
      <c r="BT1131" s="18"/>
      <c r="BU1131" s="18"/>
      <c r="BV1131" s="18"/>
      <c r="BW1131" s="20"/>
      <c r="BX1131" s="154"/>
      <c r="BY1131" s="18"/>
      <c r="BZ1131" s="146"/>
      <c r="CA1131" s="18"/>
      <c r="CB1131" s="18"/>
      <c r="CC1131" s="20"/>
      <c r="CD1131" s="154"/>
    </row>
    <row r="1132" spans="35:82">
      <c r="AI1132" s="19"/>
      <c r="AO1132" s="19"/>
      <c r="AY1132" s="145"/>
      <c r="AZ1132" s="16"/>
      <c r="BC1132" s="16"/>
      <c r="BD1132" s="20"/>
      <c r="BE1132" s="17"/>
      <c r="BF1132" s="20"/>
      <c r="BG1132" s="146"/>
      <c r="BH1132" s="146"/>
      <c r="BI1132" s="146"/>
      <c r="BJ1132" s="20"/>
      <c r="BK1132" s="20"/>
      <c r="BL1132" s="154"/>
      <c r="BP1132" s="20"/>
      <c r="BQ1132" s="154"/>
      <c r="BR1132" s="18"/>
      <c r="BS1132" s="16"/>
      <c r="BT1132" s="18"/>
      <c r="BU1132" s="18"/>
      <c r="BV1132" s="18"/>
      <c r="BW1132" s="20"/>
      <c r="BX1132" s="154"/>
      <c r="BY1132" s="18"/>
      <c r="BZ1132" s="146"/>
      <c r="CA1132" s="18"/>
      <c r="CB1132" s="18"/>
      <c r="CC1132" s="20"/>
      <c r="CD1132" s="154"/>
    </row>
    <row r="1133" spans="35:82">
      <c r="AI1133" s="19"/>
      <c r="AO1133" s="19"/>
      <c r="AY1133" s="145"/>
      <c r="AZ1133" s="16"/>
      <c r="BC1133" s="16"/>
      <c r="BD1133" s="20"/>
      <c r="BE1133" s="17"/>
      <c r="BF1133" s="20"/>
      <c r="BG1133" s="146"/>
      <c r="BH1133" s="146"/>
      <c r="BI1133" s="146"/>
      <c r="BJ1133" s="20"/>
      <c r="BK1133" s="20"/>
      <c r="BL1133" s="154"/>
      <c r="BP1133" s="20"/>
      <c r="BQ1133" s="154"/>
      <c r="BR1133" s="18"/>
      <c r="BS1133" s="16"/>
      <c r="BT1133" s="18"/>
      <c r="BU1133" s="18"/>
      <c r="BV1133" s="18"/>
      <c r="BW1133" s="20"/>
      <c r="BX1133" s="154"/>
      <c r="BY1133" s="18"/>
      <c r="BZ1133" s="146"/>
      <c r="CA1133" s="18"/>
      <c r="CB1133" s="18"/>
      <c r="CC1133" s="20"/>
      <c r="CD1133" s="154"/>
    </row>
    <row r="1134" spans="35:82">
      <c r="AI1134" s="19"/>
      <c r="AO1134" s="19"/>
      <c r="AY1134" s="145"/>
      <c r="AZ1134" s="16"/>
      <c r="BC1134" s="16"/>
      <c r="BD1134" s="20"/>
      <c r="BE1134" s="17"/>
      <c r="BF1134" s="20"/>
      <c r="BG1134" s="146"/>
      <c r="BH1134" s="146"/>
      <c r="BI1134" s="146"/>
      <c r="BJ1134" s="20"/>
      <c r="BK1134" s="20"/>
      <c r="BL1134" s="154"/>
      <c r="BP1134" s="20"/>
      <c r="BQ1134" s="154"/>
      <c r="BR1134" s="18"/>
      <c r="BS1134" s="16"/>
      <c r="BT1134" s="18"/>
      <c r="BU1134" s="18"/>
      <c r="BV1134" s="18"/>
      <c r="BW1134" s="20"/>
      <c r="BX1134" s="154"/>
      <c r="BY1134" s="18"/>
      <c r="BZ1134" s="146"/>
      <c r="CA1134" s="18"/>
      <c r="CB1134" s="18"/>
      <c r="CC1134" s="20"/>
      <c r="CD1134" s="154"/>
    </row>
    <row r="1135" spans="35:82">
      <c r="AI1135" s="19"/>
      <c r="AO1135" s="19"/>
      <c r="AY1135" s="145"/>
      <c r="AZ1135" s="16"/>
      <c r="BC1135" s="16"/>
      <c r="BD1135" s="20"/>
      <c r="BE1135" s="17"/>
      <c r="BF1135" s="20"/>
      <c r="BG1135" s="146"/>
      <c r="BH1135" s="146"/>
      <c r="BI1135" s="146"/>
      <c r="BJ1135" s="20"/>
      <c r="BK1135" s="20"/>
      <c r="BL1135" s="154"/>
      <c r="BP1135" s="20"/>
      <c r="BQ1135" s="154"/>
      <c r="BR1135" s="18"/>
      <c r="BS1135" s="16"/>
      <c r="BT1135" s="18"/>
      <c r="BU1135" s="18"/>
      <c r="BV1135" s="18"/>
      <c r="BW1135" s="20"/>
      <c r="BX1135" s="154"/>
      <c r="BY1135" s="18"/>
      <c r="BZ1135" s="146"/>
      <c r="CA1135" s="18"/>
      <c r="CB1135" s="18"/>
      <c r="CC1135" s="20"/>
      <c r="CD1135" s="154"/>
    </row>
    <row r="1136" spans="35:82">
      <c r="AI1136" s="19"/>
      <c r="AO1136" s="19"/>
      <c r="AY1136" s="145"/>
      <c r="AZ1136" s="16"/>
      <c r="BC1136" s="16"/>
      <c r="BD1136" s="20"/>
      <c r="BE1136" s="17"/>
      <c r="BF1136" s="20"/>
      <c r="BG1136" s="146"/>
      <c r="BH1136" s="146"/>
      <c r="BI1136" s="146"/>
      <c r="BJ1136" s="20"/>
      <c r="BK1136" s="20"/>
      <c r="BL1136" s="154"/>
      <c r="BP1136" s="20"/>
      <c r="BQ1136" s="154"/>
      <c r="BR1136" s="18"/>
      <c r="BS1136" s="16"/>
      <c r="BT1136" s="18"/>
      <c r="BU1136" s="18"/>
      <c r="BV1136" s="18"/>
      <c r="BW1136" s="20"/>
      <c r="BX1136" s="154"/>
      <c r="BY1136" s="18"/>
      <c r="BZ1136" s="146"/>
      <c r="CA1136" s="18"/>
      <c r="CB1136" s="18"/>
      <c r="CC1136" s="20"/>
      <c r="CD1136" s="154"/>
    </row>
    <row r="1137" spans="35:82">
      <c r="AI1137" s="19"/>
      <c r="AO1137" s="19"/>
      <c r="AY1137" s="145"/>
      <c r="AZ1137" s="16"/>
      <c r="BC1137" s="16"/>
      <c r="BD1137" s="20"/>
      <c r="BE1137" s="17"/>
      <c r="BF1137" s="20"/>
      <c r="BG1137" s="146"/>
      <c r="BH1137" s="146"/>
      <c r="BI1137" s="146"/>
      <c r="BJ1137" s="20"/>
      <c r="BK1137" s="20"/>
      <c r="BL1137" s="154"/>
      <c r="BP1137" s="20"/>
      <c r="BQ1137" s="154"/>
      <c r="BR1137" s="18"/>
      <c r="BS1137" s="16"/>
      <c r="BT1137" s="18"/>
      <c r="BU1137" s="18"/>
      <c r="BV1137" s="18"/>
      <c r="BW1137" s="20"/>
      <c r="BX1137" s="154"/>
      <c r="BY1137" s="18"/>
      <c r="BZ1137" s="146"/>
      <c r="CA1137" s="18"/>
      <c r="CB1137" s="18"/>
      <c r="CC1137" s="20"/>
      <c r="CD1137" s="154"/>
    </row>
    <row r="1138" spans="35:82">
      <c r="AI1138" s="19"/>
      <c r="AO1138" s="19"/>
      <c r="AY1138" s="145"/>
      <c r="AZ1138" s="16"/>
      <c r="BC1138" s="16"/>
      <c r="BD1138" s="20"/>
      <c r="BE1138" s="17"/>
      <c r="BF1138" s="20"/>
      <c r="BG1138" s="146"/>
      <c r="BH1138" s="146"/>
      <c r="BI1138" s="146"/>
      <c r="BJ1138" s="20"/>
      <c r="BK1138" s="20"/>
      <c r="BL1138" s="154"/>
      <c r="BP1138" s="20"/>
      <c r="BQ1138" s="154"/>
      <c r="BR1138" s="18"/>
      <c r="BS1138" s="16"/>
      <c r="BT1138" s="18"/>
      <c r="BU1138" s="18"/>
      <c r="BV1138" s="18"/>
      <c r="BW1138" s="20"/>
      <c r="BX1138" s="154"/>
      <c r="BY1138" s="18"/>
      <c r="BZ1138" s="146"/>
      <c r="CA1138" s="18"/>
      <c r="CB1138" s="18"/>
      <c r="CC1138" s="20"/>
      <c r="CD1138" s="154"/>
    </row>
    <row r="1139" spans="35:82">
      <c r="AI1139" s="19"/>
      <c r="AO1139" s="19"/>
      <c r="AY1139" s="145"/>
      <c r="AZ1139" s="16"/>
      <c r="BC1139" s="16"/>
      <c r="BD1139" s="20"/>
      <c r="BE1139" s="17"/>
      <c r="BF1139" s="20"/>
      <c r="BG1139" s="146"/>
      <c r="BH1139" s="146"/>
      <c r="BI1139" s="146"/>
      <c r="BJ1139" s="20"/>
      <c r="BK1139" s="20"/>
      <c r="BL1139" s="154"/>
      <c r="BP1139" s="20"/>
      <c r="BQ1139" s="154"/>
      <c r="BR1139" s="18"/>
      <c r="BS1139" s="16"/>
      <c r="BT1139" s="18"/>
      <c r="BU1139" s="18"/>
      <c r="BV1139" s="18"/>
      <c r="BW1139" s="20"/>
      <c r="BX1139" s="154"/>
      <c r="BY1139" s="18"/>
      <c r="BZ1139" s="146"/>
      <c r="CA1139" s="18"/>
      <c r="CB1139" s="18"/>
      <c r="CC1139" s="20"/>
      <c r="CD1139" s="154"/>
    </row>
    <row r="1140" spans="35:82">
      <c r="AI1140" s="19"/>
      <c r="AO1140" s="19"/>
      <c r="AY1140" s="145"/>
      <c r="AZ1140" s="16"/>
      <c r="BC1140" s="16"/>
      <c r="BD1140" s="20"/>
      <c r="BE1140" s="17"/>
      <c r="BF1140" s="20"/>
      <c r="BG1140" s="146"/>
      <c r="BH1140" s="146"/>
      <c r="BI1140" s="146"/>
      <c r="BJ1140" s="20"/>
      <c r="BK1140" s="20"/>
      <c r="BL1140" s="154"/>
      <c r="BP1140" s="20"/>
      <c r="BQ1140" s="154"/>
      <c r="BR1140" s="18"/>
      <c r="BS1140" s="16"/>
      <c r="BT1140" s="18"/>
      <c r="BU1140" s="18"/>
      <c r="BV1140" s="18"/>
      <c r="BW1140" s="20"/>
      <c r="BX1140" s="154"/>
      <c r="BY1140" s="18"/>
      <c r="BZ1140" s="146"/>
      <c r="CA1140" s="18"/>
      <c r="CB1140" s="18"/>
      <c r="CC1140" s="20"/>
      <c r="CD1140" s="154"/>
    </row>
    <row r="1141" spans="35:82">
      <c r="AI1141" s="19"/>
      <c r="AO1141" s="19"/>
      <c r="AY1141" s="145"/>
      <c r="AZ1141" s="16"/>
      <c r="BC1141" s="16"/>
      <c r="BD1141" s="20"/>
      <c r="BE1141" s="17"/>
      <c r="BF1141" s="20"/>
      <c r="BG1141" s="146"/>
      <c r="BH1141" s="146"/>
      <c r="BI1141" s="146"/>
      <c r="BJ1141" s="20"/>
      <c r="BK1141" s="20"/>
      <c r="BL1141" s="154"/>
      <c r="BP1141" s="20"/>
      <c r="BQ1141" s="154"/>
      <c r="BR1141" s="18"/>
      <c r="BS1141" s="16"/>
      <c r="BT1141" s="18"/>
      <c r="BU1141" s="18"/>
      <c r="BV1141" s="18"/>
      <c r="BW1141" s="20"/>
      <c r="BX1141" s="154"/>
      <c r="BY1141" s="18"/>
      <c r="BZ1141" s="146"/>
      <c r="CA1141" s="18"/>
      <c r="CB1141" s="18"/>
      <c r="CC1141" s="20"/>
      <c r="CD1141" s="154"/>
    </row>
    <row r="1142" spans="35:82">
      <c r="AI1142" s="19"/>
      <c r="AO1142" s="19"/>
      <c r="AY1142" s="145"/>
      <c r="AZ1142" s="16"/>
      <c r="BC1142" s="16"/>
      <c r="BD1142" s="20"/>
      <c r="BE1142" s="17"/>
      <c r="BF1142" s="20"/>
      <c r="BG1142" s="146"/>
      <c r="BH1142" s="146"/>
      <c r="BI1142" s="146"/>
      <c r="BJ1142" s="20"/>
      <c r="BK1142" s="20"/>
      <c r="BL1142" s="154"/>
      <c r="BP1142" s="20"/>
      <c r="BQ1142" s="154"/>
      <c r="BR1142" s="18"/>
      <c r="BS1142" s="16"/>
      <c r="BT1142" s="18"/>
      <c r="BU1142" s="18"/>
      <c r="BV1142" s="18"/>
      <c r="BW1142" s="20"/>
      <c r="BX1142" s="154"/>
      <c r="BY1142" s="18"/>
      <c r="BZ1142" s="146"/>
      <c r="CA1142" s="18"/>
      <c r="CB1142" s="18"/>
      <c r="CC1142" s="20"/>
      <c r="CD1142" s="154"/>
    </row>
    <row r="1143" spans="35:82">
      <c r="AI1143" s="19"/>
      <c r="AO1143" s="19"/>
      <c r="AY1143" s="145"/>
      <c r="AZ1143" s="16"/>
      <c r="BC1143" s="16"/>
      <c r="BD1143" s="20"/>
      <c r="BE1143" s="17"/>
      <c r="BF1143" s="20"/>
      <c r="BG1143" s="146"/>
      <c r="BH1143" s="146"/>
      <c r="BI1143" s="146"/>
      <c r="BJ1143" s="20"/>
      <c r="BK1143" s="20"/>
      <c r="BL1143" s="154"/>
      <c r="BP1143" s="20"/>
      <c r="BQ1143" s="154"/>
      <c r="BR1143" s="18"/>
      <c r="BS1143" s="16"/>
      <c r="BT1143" s="18"/>
      <c r="BU1143" s="18"/>
      <c r="BV1143" s="18"/>
      <c r="BW1143" s="20"/>
      <c r="BX1143" s="154"/>
      <c r="BY1143" s="18"/>
      <c r="BZ1143" s="146"/>
      <c r="CA1143" s="18"/>
      <c r="CB1143" s="18"/>
      <c r="CC1143" s="20"/>
      <c r="CD1143" s="154"/>
    </row>
    <row r="1144" spans="35:82">
      <c r="AI1144" s="19"/>
      <c r="AO1144" s="19"/>
      <c r="AY1144" s="145"/>
      <c r="AZ1144" s="16"/>
      <c r="BC1144" s="16"/>
      <c r="BD1144" s="20"/>
      <c r="BE1144" s="17"/>
      <c r="BF1144" s="20"/>
      <c r="BG1144" s="146"/>
      <c r="BH1144" s="146"/>
      <c r="BI1144" s="146"/>
      <c r="BJ1144" s="20"/>
      <c r="BK1144" s="20"/>
      <c r="BL1144" s="154"/>
      <c r="BP1144" s="20"/>
      <c r="BQ1144" s="154"/>
      <c r="BR1144" s="18"/>
      <c r="BS1144" s="16"/>
      <c r="BT1144" s="18"/>
      <c r="BU1144" s="18"/>
      <c r="BV1144" s="18"/>
      <c r="BW1144" s="20"/>
      <c r="BX1144" s="154"/>
      <c r="BY1144" s="18"/>
      <c r="BZ1144" s="146"/>
      <c r="CA1144" s="18"/>
      <c r="CB1144" s="18"/>
      <c r="CC1144" s="20"/>
      <c r="CD1144" s="154"/>
    </row>
    <row r="1145" spans="35:82">
      <c r="AI1145" s="19"/>
      <c r="AO1145" s="19"/>
      <c r="AY1145" s="145"/>
      <c r="AZ1145" s="16"/>
      <c r="BC1145" s="16"/>
      <c r="BD1145" s="20"/>
      <c r="BE1145" s="17"/>
      <c r="BF1145" s="20"/>
      <c r="BG1145" s="146"/>
      <c r="BH1145" s="146"/>
      <c r="BI1145" s="146"/>
      <c r="BJ1145" s="20"/>
      <c r="BK1145" s="20"/>
      <c r="BL1145" s="154"/>
      <c r="BP1145" s="20"/>
      <c r="BQ1145" s="154"/>
      <c r="BR1145" s="18"/>
      <c r="BS1145" s="16"/>
      <c r="BT1145" s="18"/>
      <c r="BU1145" s="18"/>
      <c r="BV1145" s="18"/>
      <c r="BW1145" s="20"/>
      <c r="BX1145" s="154"/>
      <c r="BY1145" s="18"/>
      <c r="BZ1145" s="146"/>
      <c r="CA1145" s="18"/>
      <c r="CB1145" s="18"/>
      <c r="CC1145" s="20"/>
      <c r="CD1145" s="154"/>
    </row>
    <row r="1146" spans="35:82">
      <c r="AI1146" s="19"/>
      <c r="AO1146" s="19"/>
      <c r="AY1146" s="145"/>
      <c r="AZ1146" s="16"/>
      <c r="BC1146" s="16"/>
      <c r="BD1146" s="20"/>
      <c r="BE1146" s="17"/>
      <c r="BF1146" s="20"/>
      <c r="BG1146" s="146"/>
      <c r="BH1146" s="146"/>
      <c r="BI1146" s="146"/>
      <c r="BJ1146" s="20"/>
      <c r="BK1146" s="20"/>
      <c r="BL1146" s="154"/>
      <c r="BP1146" s="20"/>
      <c r="BQ1146" s="154"/>
      <c r="BR1146" s="18"/>
      <c r="BS1146" s="16"/>
      <c r="BT1146" s="18"/>
      <c r="BU1146" s="18"/>
      <c r="BV1146" s="18"/>
      <c r="BW1146" s="20"/>
      <c r="BX1146" s="154"/>
      <c r="BY1146" s="18"/>
      <c r="BZ1146" s="146"/>
      <c r="CA1146" s="18"/>
      <c r="CB1146" s="18"/>
      <c r="CC1146" s="20"/>
      <c r="CD1146" s="154"/>
    </row>
    <row r="1147" spans="35:82">
      <c r="AI1147" s="19"/>
      <c r="AO1147" s="19"/>
      <c r="AY1147" s="145"/>
      <c r="AZ1147" s="16"/>
      <c r="BC1147" s="16"/>
      <c r="BD1147" s="20"/>
      <c r="BE1147" s="17"/>
      <c r="BF1147" s="20"/>
      <c r="BG1147" s="146"/>
      <c r="BH1147" s="146"/>
      <c r="BI1147" s="146"/>
      <c r="BJ1147" s="20"/>
      <c r="BK1147" s="20"/>
      <c r="BL1147" s="154"/>
      <c r="BP1147" s="20"/>
      <c r="BQ1147" s="154"/>
      <c r="BR1147" s="18"/>
      <c r="BS1147" s="16"/>
      <c r="BT1147" s="18"/>
      <c r="BU1147" s="18"/>
      <c r="BV1147" s="18"/>
      <c r="BW1147" s="20"/>
      <c r="BX1147" s="154"/>
      <c r="BY1147" s="18"/>
      <c r="BZ1147" s="146"/>
      <c r="CA1147" s="18"/>
      <c r="CB1147" s="18"/>
      <c r="CC1147" s="20"/>
      <c r="CD1147" s="154"/>
    </row>
    <row r="1148" spans="35:82">
      <c r="AI1148" s="19"/>
      <c r="AO1148" s="19"/>
      <c r="AY1148" s="145"/>
      <c r="AZ1148" s="16"/>
      <c r="BC1148" s="16"/>
      <c r="BD1148" s="20"/>
      <c r="BE1148" s="17"/>
      <c r="BF1148" s="20"/>
      <c r="BG1148" s="146"/>
      <c r="BH1148" s="146"/>
      <c r="BI1148" s="146"/>
      <c r="BJ1148" s="20"/>
      <c r="BK1148" s="20"/>
      <c r="BL1148" s="154"/>
      <c r="BP1148" s="20"/>
      <c r="BQ1148" s="154"/>
      <c r="BR1148" s="18"/>
      <c r="BS1148" s="16"/>
      <c r="BT1148" s="18"/>
      <c r="BU1148" s="18"/>
      <c r="BV1148" s="18"/>
      <c r="BW1148" s="20"/>
      <c r="BX1148" s="154"/>
      <c r="BY1148" s="18"/>
      <c r="BZ1148" s="146"/>
      <c r="CA1148" s="18"/>
      <c r="CB1148" s="18"/>
      <c r="CC1148" s="20"/>
      <c r="CD1148" s="154"/>
    </row>
    <row r="1149" spans="35:82">
      <c r="AI1149" s="19"/>
      <c r="AO1149" s="19"/>
      <c r="AY1149" s="145"/>
      <c r="AZ1149" s="16"/>
      <c r="BC1149" s="16"/>
      <c r="BD1149" s="20"/>
      <c r="BE1149" s="17"/>
      <c r="BF1149" s="20"/>
      <c r="BG1149" s="146"/>
      <c r="BH1149" s="146"/>
      <c r="BI1149" s="146"/>
      <c r="BJ1149" s="20"/>
      <c r="BK1149" s="20"/>
      <c r="BL1149" s="154"/>
      <c r="BP1149" s="20"/>
      <c r="BQ1149" s="154"/>
      <c r="BR1149" s="18"/>
      <c r="BS1149" s="16"/>
      <c r="BT1149" s="18"/>
      <c r="BU1149" s="18"/>
      <c r="BV1149" s="18"/>
      <c r="BW1149" s="20"/>
      <c r="BX1149" s="154"/>
      <c r="BY1149" s="18"/>
      <c r="BZ1149" s="146"/>
      <c r="CA1149" s="18"/>
      <c r="CB1149" s="18"/>
      <c r="CC1149" s="20"/>
      <c r="CD1149" s="154"/>
    </row>
    <row r="1150" spans="35:82">
      <c r="AI1150" s="19"/>
      <c r="AO1150" s="19"/>
      <c r="AY1150" s="145"/>
      <c r="AZ1150" s="16"/>
      <c r="BC1150" s="16"/>
      <c r="BD1150" s="20"/>
      <c r="BE1150" s="17"/>
      <c r="BF1150" s="20"/>
      <c r="BG1150" s="146"/>
      <c r="BH1150" s="146"/>
      <c r="BI1150" s="146"/>
      <c r="BJ1150" s="20"/>
      <c r="BK1150" s="20"/>
      <c r="BL1150" s="154"/>
      <c r="BP1150" s="20"/>
      <c r="BQ1150" s="154"/>
      <c r="BR1150" s="18"/>
      <c r="BS1150" s="16"/>
      <c r="BT1150" s="18"/>
      <c r="BU1150" s="18"/>
      <c r="BV1150" s="18"/>
      <c r="BW1150" s="20"/>
      <c r="BX1150" s="154"/>
      <c r="BY1150" s="18"/>
      <c r="BZ1150" s="146"/>
      <c r="CA1150" s="18"/>
      <c r="CB1150" s="18"/>
      <c r="CC1150" s="20"/>
      <c r="CD1150" s="154"/>
    </row>
    <row r="1151" spans="35:82">
      <c r="AI1151" s="19"/>
      <c r="AO1151" s="19"/>
      <c r="AY1151" s="145"/>
      <c r="AZ1151" s="16"/>
      <c r="BC1151" s="16"/>
      <c r="BD1151" s="20"/>
      <c r="BE1151" s="17"/>
      <c r="BF1151" s="20"/>
      <c r="BG1151" s="146"/>
      <c r="BH1151" s="146"/>
      <c r="BI1151" s="146"/>
      <c r="BJ1151" s="20"/>
      <c r="BK1151" s="20"/>
      <c r="BL1151" s="154"/>
      <c r="BP1151" s="20"/>
      <c r="BQ1151" s="154"/>
      <c r="BR1151" s="18"/>
      <c r="BS1151" s="16"/>
      <c r="BT1151" s="18"/>
      <c r="BU1151" s="18"/>
      <c r="BV1151" s="18"/>
      <c r="BW1151" s="20"/>
      <c r="BX1151" s="154"/>
      <c r="BY1151" s="18"/>
      <c r="BZ1151" s="146"/>
      <c r="CA1151" s="18"/>
      <c r="CB1151" s="18"/>
      <c r="CC1151" s="20"/>
      <c r="CD1151" s="154"/>
    </row>
    <row r="1152" spans="35:82">
      <c r="AI1152" s="19"/>
      <c r="AO1152" s="19"/>
      <c r="AY1152" s="145"/>
      <c r="AZ1152" s="16"/>
      <c r="BC1152" s="16"/>
      <c r="BD1152" s="20"/>
      <c r="BE1152" s="17"/>
      <c r="BF1152" s="20"/>
      <c r="BG1152" s="146"/>
      <c r="BH1152" s="146"/>
      <c r="BI1152" s="146"/>
      <c r="BJ1152" s="20"/>
      <c r="BK1152" s="20"/>
      <c r="BL1152" s="154"/>
      <c r="BP1152" s="20"/>
      <c r="BQ1152" s="154"/>
      <c r="BR1152" s="18"/>
      <c r="BS1152" s="16"/>
      <c r="BT1152" s="18"/>
      <c r="BU1152" s="18"/>
      <c r="BV1152" s="18"/>
      <c r="BW1152" s="20"/>
      <c r="BX1152" s="154"/>
      <c r="BY1152" s="18"/>
      <c r="BZ1152" s="146"/>
      <c r="CA1152" s="18"/>
      <c r="CB1152" s="18"/>
      <c r="CC1152" s="20"/>
      <c r="CD1152" s="154"/>
    </row>
    <row r="1153" spans="35:82">
      <c r="AI1153" s="19"/>
      <c r="AO1153" s="19"/>
      <c r="AY1153" s="145"/>
      <c r="AZ1153" s="16"/>
      <c r="BC1153" s="16"/>
      <c r="BD1153" s="20"/>
      <c r="BE1153" s="17"/>
      <c r="BF1153" s="20"/>
      <c r="BG1153" s="146"/>
      <c r="BH1153" s="146"/>
      <c r="BI1153" s="146"/>
      <c r="BJ1153" s="20"/>
      <c r="BK1153" s="20"/>
      <c r="BL1153" s="154"/>
      <c r="BP1153" s="20"/>
      <c r="BQ1153" s="154"/>
      <c r="BR1153" s="18"/>
      <c r="BS1153" s="16"/>
      <c r="BT1153" s="18"/>
      <c r="BU1153" s="18"/>
      <c r="BV1153" s="18"/>
      <c r="BW1153" s="20"/>
      <c r="BX1153" s="154"/>
      <c r="BY1153" s="18"/>
      <c r="BZ1153" s="146"/>
      <c r="CA1153" s="18"/>
      <c r="CB1153" s="18"/>
      <c r="CC1153" s="20"/>
      <c r="CD1153" s="154"/>
    </row>
    <row r="1154" spans="35:82">
      <c r="AI1154" s="19"/>
      <c r="AO1154" s="19"/>
      <c r="AY1154" s="145"/>
      <c r="AZ1154" s="16"/>
      <c r="BC1154" s="16"/>
      <c r="BD1154" s="20"/>
      <c r="BE1154" s="17"/>
      <c r="BF1154" s="20"/>
      <c r="BG1154" s="146"/>
      <c r="BH1154" s="146"/>
      <c r="BI1154" s="146"/>
      <c r="BJ1154" s="20"/>
      <c r="BK1154" s="20"/>
      <c r="BL1154" s="154"/>
      <c r="BP1154" s="20"/>
      <c r="BQ1154" s="154"/>
      <c r="BR1154" s="18"/>
      <c r="BS1154" s="16"/>
      <c r="BT1154" s="18"/>
      <c r="BU1154" s="18"/>
      <c r="BV1154" s="18"/>
      <c r="BW1154" s="20"/>
      <c r="BX1154" s="154"/>
      <c r="BY1154" s="18"/>
      <c r="BZ1154" s="146"/>
      <c r="CA1154" s="18"/>
      <c r="CB1154" s="18"/>
      <c r="CC1154" s="20"/>
      <c r="CD1154" s="154"/>
    </row>
    <row r="1155" spans="35:82">
      <c r="AI1155" s="19"/>
      <c r="AO1155" s="19"/>
      <c r="AY1155" s="145"/>
      <c r="AZ1155" s="16"/>
      <c r="BC1155" s="16"/>
      <c r="BD1155" s="20"/>
      <c r="BE1155" s="17"/>
      <c r="BF1155" s="20"/>
      <c r="BG1155" s="146"/>
      <c r="BH1155" s="146"/>
      <c r="BI1155" s="146"/>
      <c r="BJ1155" s="20"/>
      <c r="BK1155" s="20"/>
      <c r="BL1155" s="154"/>
      <c r="BP1155" s="20"/>
      <c r="BQ1155" s="154"/>
      <c r="BR1155" s="18"/>
      <c r="BS1155" s="16"/>
      <c r="BT1155" s="18"/>
      <c r="BU1155" s="18"/>
      <c r="BV1155" s="18"/>
      <c r="BW1155" s="20"/>
      <c r="BX1155" s="154"/>
      <c r="BY1155" s="18"/>
      <c r="BZ1155" s="146"/>
      <c r="CA1155" s="18"/>
      <c r="CB1155" s="18"/>
      <c r="CC1155" s="20"/>
      <c r="CD1155" s="154"/>
    </row>
    <row r="1156" spans="35:82">
      <c r="AI1156" s="19"/>
      <c r="AO1156" s="19"/>
      <c r="AY1156" s="145"/>
      <c r="AZ1156" s="16"/>
      <c r="BC1156" s="16"/>
      <c r="BD1156" s="20"/>
      <c r="BE1156" s="17"/>
      <c r="BF1156" s="20"/>
      <c r="BG1156" s="146"/>
      <c r="BH1156" s="146"/>
      <c r="BI1156" s="146"/>
      <c r="BJ1156" s="20"/>
      <c r="BK1156" s="20"/>
      <c r="BL1156" s="154"/>
      <c r="BP1156" s="20"/>
      <c r="BQ1156" s="154"/>
      <c r="BR1156" s="18"/>
      <c r="BS1156" s="16"/>
      <c r="BT1156" s="18"/>
      <c r="BU1156" s="18"/>
      <c r="BV1156" s="18"/>
      <c r="BW1156" s="20"/>
      <c r="BX1156" s="154"/>
      <c r="BY1156" s="18"/>
      <c r="BZ1156" s="146"/>
      <c r="CA1156" s="18"/>
      <c r="CB1156" s="18"/>
      <c r="CC1156" s="20"/>
      <c r="CD1156" s="154"/>
    </row>
    <row r="1157" spans="35:82">
      <c r="AI1157" s="19"/>
      <c r="AO1157" s="19"/>
      <c r="AY1157" s="145"/>
      <c r="AZ1157" s="16"/>
      <c r="BC1157" s="16"/>
      <c r="BD1157" s="20"/>
      <c r="BE1157" s="17"/>
      <c r="BF1157" s="20"/>
      <c r="BG1157" s="146"/>
      <c r="BH1157" s="146"/>
      <c r="BI1157" s="146"/>
      <c r="BJ1157" s="20"/>
      <c r="BK1157" s="20"/>
      <c r="BL1157" s="154"/>
      <c r="BP1157" s="20"/>
      <c r="BQ1157" s="154"/>
      <c r="BR1157" s="18"/>
      <c r="BS1157" s="16"/>
      <c r="BT1157" s="18"/>
      <c r="BU1157" s="18"/>
      <c r="BV1157" s="18"/>
      <c r="BW1157" s="20"/>
      <c r="BX1157" s="154"/>
      <c r="BY1157" s="18"/>
      <c r="BZ1157" s="146"/>
      <c r="CA1157" s="18"/>
      <c r="CB1157" s="18"/>
      <c r="CC1157" s="20"/>
      <c r="CD1157" s="154"/>
    </row>
    <row r="1158" spans="35:82">
      <c r="AI1158" s="19"/>
      <c r="AO1158" s="19"/>
      <c r="AY1158" s="145"/>
      <c r="AZ1158" s="16"/>
      <c r="BC1158" s="16"/>
      <c r="BD1158" s="20"/>
      <c r="BE1158" s="17"/>
      <c r="BF1158" s="20"/>
      <c r="BG1158" s="146"/>
      <c r="BH1158" s="146"/>
      <c r="BI1158" s="146"/>
      <c r="BJ1158" s="20"/>
      <c r="BK1158" s="20"/>
      <c r="BL1158" s="154"/>
      <c r="BP1158" s="20"/>
      <c r="BQ1158" s="154"/>
      <c r="BR1158" s="18"/>
      <c r="BS1158" s="16"/>
      <c r="BT1158" s="18"/>
      <c r="BU1158" s="18"/>
      <c r="BV1158" s="18"/>
      <c r="BW1158" s="20"/>
      <c r="BX1158" s="154"/>
      <c r="BY1158" s="18"/>
      <c r="BZ1158" s="146"/>
      <c r="CA1158" s="18"/>
      <c r="CB1158" s="18"/>
      <c r="CC1158" s="20"/>
      <c r="CD1158" s="154"/>
    </row>
    <row r="1159" spans="35:82">
      <c r="AI1159" s="19"/>
      <c r="AO1159" s="19"/>
      <c r="AY1159" s="145"/>
      <c r="AZ1159" s="16"/>
      <c r="BC1159" s="16"/>
      <c r="BD1159" s="20"/>
      <c r="BE1159" s="17"/>
      <c r="BF1159" s="20"/>
      <c r="BG1159" s="146"/>
      <c r="BH1159" s="146"/>
      <c r="BI1159" s="146"/>
      <c r="BJ1159" s="20"/>
      <c r="BK1159" s="20"/>
      <c r="BL1159" s="154"/>
      <c r="BP1159" s="20"/>
      <c r="BQ1159" s="154"/>
      <c r="BR1159" s="18"/>
      <c r="BS1159" s="16"/>
      <c r="BT1159" s="18"/>
      <c r="BU1159" s="18"/>
      <c r="BV1159" s="18"/>
      <c r="BW1159" s="20"/>
      <c r="BX1159" s="154"/>
      <c r="BY1159" s="18"/>
      <c r="BZ1159" s="146"/>
      <c r="CA1159" s="18"/>
      <c r="CB1159" s="18"/>
      <c r="CC1159" s="20"/>
      <c r="CD1159" s="154"/>
    </row>
    <row r="1160" spans="35:82">
      <c r="AI1160" s="19"/>
      <c r="AO1160" s="19"/>
      <c r="AY1160" s="145"/>
      <c r="AZ1160" s="16"/>
      <c r="BC1160" s="16"/>
      <c r="BD1160" s="20"/>
      <c r="BE1160" s="17"/>
      <c r="BF1160" s="20"/>
      <c r="BG1160" s="146"/>
      <c r="BH1160" s="146"/>
      <c r="BI1160" s="146"/>
      <c r="BJ1160" s="20"/>
      <c r="BK1160" s="20"/>
      <c r="BL1160" s="154"/>
      <c r="BP1160" s="20"/>
      <c r="BQ1160" s="154"/>
      <c r="BR1160" s="18"/>
      <c r="BS1160" s="16"/>
      <c r="BT1160" s="18"/>
      <c r="BU1160" s="18"/>
      <c r="BV1160" s="18"/>
      <c r="BW1160" s="20"/>
      <c r="BX1160" s="154"/>
      <c r="BY1160" s="18"/>
      <c r="BZ1160" s="146"/>
      <c r="CA1160" s="18"/>
      <c r="CB1160" s="18"/>
      <c r="CC1160" s="20"/>
      <c r="CD1160" s="154"/>
    </row>
    <row r="1161" spans="35:82">
      <c r="AI1161" s="19"/>
      <c r="AO1161" s="19"/>
      <c r="AY1161" s="145"/>
      <c r="AZ1161" s="16"/>
      <c r="BC1161" s="16"/>
      <c r="BD1161" s="20"/>
      <c r="BE1161" s="17"/>
      <c r="BF1161" s="20"/>
      <c r="BG1161" s="146"/>
      <c r="BH1161" s="146"/>
      <c r="BI1161" s="146"/>
      <c r="BJ1161" s="20"/>
      <c r="BK1161" s="20"/>
      <c r="BL1161" s="154"/>
      <c r="BP1161" s="20"/>
      <c r="BQ1161" s="154"/>
      <c r="BR1161" s="18"/>
      <c r="BS1161" s="16"/>
      <c r="BT1161" s="18"/>
      <c r="BU1161" s="18"/>
      <c r="BV1161" s="18"/>
      <c r="BW1161" s="20"/>
      <c r="BX1161" s="154"/>
      <c r="BY1161" s="18"/>
      <c r="BZ1161" s="146"/>
      <c r="CA1161" s="18"/>
      <c r="CB1161" s="18"/>
      <c r="CC1161" s="20"/>
      <c r="CD1161" s="154"/>
    </row>
    <row r="1162" spans="35:82">
      <c r="AI1162" s="19"/>
      <c r="AO1162" s="19"/>
      <c r="AY1162" s="145"/>
      <c r="AZ1162" s="16"/>
      <c r="BC1162" s="16"/>
      <c r="BD1162" s="20"/>
      <c r="BE1162" s="17"/>
      <c r="BF1162" s="20"/>
      <c r="BG1162" s="146"/>
      <c r="BH1162" s="146"/>
      <c r="BI1162" s="146"/>
      <c r="BJ1162" s="20"/>
      <c r="BK1162" s="20"/>
      <c r="BL1162" s="154"/>
      <c r="BP1162" s="20"/>
      <c r="BQ1162" s="154"/>
      <c r="BR1162" s="18"/>
      <c r="BS1162" s="16"/>
      <c r="BT1162" s="18"/>
      <c r="BU1162" s="18"/>
      <c r="BV1162" s="18"/>
      <c r="BW1162" s="20"/>
      <c r="BX1162" s="154"/>
      <c r="BY1162" s="18"/>
      <c r="BZ1162" s="146"/>
      <c r="CA1162" s="18"/>
      <c r="CB1162" s="18"/>
      <c r="CC1162" s="20"/>
      <c r="CD1162" s="154"/>
    </row>
    <row r="1163" spans="35:82">
      <c r="AI1163" s="19"/>
      <c r="AO1163" s="19"/>
      <c r="AY1163" s="145"/>
      <c r="AZ1163" s="16"/>
      <c r="BC1163" s="16"/>
      <c r="BD1163" s="20"/>
      <c r="BE1163" s="17"/>
      <c r="BF1163" s="20"/>
      <c r="BG1163" s="146"/>
      <c r="BH1163" s="146"/>
      <c r="BI1163" s="146"/>
      <c r="BJ1163" s="20"/>
      <c r="BK1163" s="20"/>
      <c r="BL1163" s="154"/>
      <c r="BP1163" s="20"/>
      <c r="BQ1163" s="154"/>
      <c r="BR1163" s="18"/>
      <c r="BS1163" s="16"/>
      <c r="BT1163" s="18"/>
      <c r="BU1163" s="18"/>
      <c r="BV1163" s="18"/>
      <c r="BW1163" s="20"/>
      <c r="BX1163" s="154"/>
      <c r="BY1163" s="18"/>
      <c r="BZ1163" s="146"/>
      <c r="CA1163" s="18"/>
      <c r="CB1163" s="18"/>
      <c r="CC1163" s="20"/>
      <c r="CD1163" s="154"/>
    </row>
    <row r="1164" spans="35:82">
      <c r="AI1164" s="19"/>
      <c r="AO1164" s="19"/>
      <c r="AY1164" s="145"/>
      <c r="AZ1164" s="16"/>
      <c r="BC1164" s="16"/>
      <c r="BD1164" s="20"/>
      <c r="BE1164" s="17"/>
      <c r="BF1164" s="20"/>
      <c r="BG1164" s="146"/>
      <c r="BH1164" s="146"/>
      <c r="BI1164" s="146"/>
      <c r="BJ1164" s="20"/>
      <c r="BK1164" s="20"/>
      <c r="BL1164" s="154"/>
      <c r="BP1164" s="20"/>
      <c r="BQ1164" s="154"/>
      <c r="BR1164" s="18"/>
      <c r="BS1164" s="16"/>
      <c r="BT1164" s="18"/>
      <c r="BU1164" s="18"/>
      <c r="BV1164" s="18"/>
      <c r="BW1164" s="20"/>
      <c r="BX1164" s="154"/>
      <c r="BY1164" s="18"/>
      <c r="BZ1164" s="146"/>
      <c r="CA1164" s="18"/>
      <c r="CB1164" s="18"/>
      <c r="CC1164" s="20"/>
      <c r="CD1164" s="154"/>
    </row>
    <row r="1165" spans="35:82">
      <c r="AI1165" s="19"/>
      <c r="AO1165" s="19"/>
      <c r="AY1165" s="145"/>
      <c r="AZ1165" s="16"/>
      <c r="BC1165" s="16"/>
      <c r="BD1165" s="20"/>
      <c r="BE1165" s="17"/>
      <c r="BF1165" s="20"/>
      <c r="BG1165" s="146"/>
      <c r="BH1165" s="146"/>
      <c r="BI1165" s="146"/>
      <c r="BJ1165" s="20"/>
      <c r="BK1165" s="20"/>
      <c r="BL1165" s="154"/>
      <c r="BP1165" s="20"/>
      <c r="BQ1165" s="154"/>
      <c r="BR1165" s="18"/>
      <c r="BS1165" s="16"/>
      <c r="BT1165" s="18"/>
      <c r="BU1165" s="18"/>
      <c r="BV1165" s="18"/>
      <c r="BW1165" s="20"/>
      <c r="BX1165" s="154"/>
      <c r="BY1165" s="18"/>
      <c r="BZ1165" s="146"/>
      <c r="CA1165" s="18"/>
      <c r="CB1165" s="18"/>
      <c r="CC1165" s="20"/>
      <c r="CD1165" s="154"/>
    </row>
    <row r="1166" spans="35:82">
      <c r="AI1166" s="19"/>
      <c r="AO1166" s="19"/>
      <c r="AY1166" s="145"/>
      <c r="AZ1166" s="16"/>
      <c r="BC1166" s="16"/>
      <c r="BD1166" s="20"/>
      <c r="BE1166" s="17"/>
      <c r="BF1166" s="20"/>
      <c r="BG1166" s="146"/>
      <c r="BH1166" s="146"/>
      <c r="BI1166" s="146"/>
      <c r="BJ1166" s="20"/>
      <c r="BK1166" s="20"/>
      <c r="BL1166" s="154"/>
      <c r="BP1166" s="20"/>
      <c r="BQ1166" s="154"/>
      <c r="BR1166" s="18"/>
      <c r="BS1166" s="16"/>
      <c r="BT1166" s="18"/>
      <c r="BU1166" s="18"/>
      <c r="BV1166" s="18"/>
      <c r="BW1166" s="20"/>
      <c r="BX1166" s="154"/>
      <c r="BY1166" s="18"/>
      <c r="BZ1166" s="146"/>
      <c r="CA1166" s="18"/>
      <c r="CB1166" s="18"/>
      <c r="CC1166" s="20"/>
      <c r="CD1166" s="154"/>
    </row>
    <row r="1167" spans="35:82">
      <c r="AI1167" s="19"/>
      <c r="AO1167" s="19"/>
      <c r="AY1167" s="145"/>
      <c r="AZ1167" s="16"/>
      <c r="BC1167" s="16"/>
      <c r="BD1167" s="20"/>
      <c r="BE1167" s="17"/>
      <c r="BF1167" s="20"/>
      <c r="BG1167" s="146"/>
      <c r="BH1167" s="146"/>
      <c r="BI1167" s="146"/>
      <c r="BJ1167" s="20"/>
      <c r="BK1167" s="20"/>
      <c r="BL1167" s="154"/>
      <c r="BP1167" s="20"/>
      <c r="BQ1167" s="154"/>
      <c r="BR1167" s="18"/>
      <c r="BS1167" s="16"/>
      <c r="BT1167" s="18"/>
      <c r="BU1167" s="18"/>
      <c r="BV1167" s="18"/>
      <c r="BW1167" s="20"/>
      <c r="BX1167" s="154"/>
      <c r="BY1167" s="18"/>
      <c r="BZ1167" s="146"/>
      <c r="CA1167" s="18"/>
      <c r="CB1167" s="18"/>
      <c r="CC1167" s="20"/>
      <c r="CD1167" s="154"/>
    </row>
    <row r="1168" spans="35:82">
      <c r="AI1168" s="19"/>
      <c r="AO1168" s="19"/>
      <c r="AY1168" s="145"/>
      <c r="AZ1168" s="16"/>
      <c r="BC1168" s="16"/>
      <c r="BD1168" s="20"/>
      <c r="BE1168" s="17"/>
      <c r="BF1168" s="20"/>
      <c r="BG1168" s="146"/>
      <c r="BH1168" s="146"/>
      <c r="BI1168" s="146"/>
      <c r="BJ1168" s="20"/>
      <c r="BK1168" s="20"/>
      <c r="BL1168" s="154"/>
      <c r="BP1168" s="20"/>
      <c r="BQ1168" s="154"/>
      <c r="BR1168" s="18"/>
      <c r="BS1168" s="16"/>
      <c r="BT1168" s="18"/>
      <c r="BU1168" s="18"/>
      <c r="BV1168" s="18"/>
      <c r="BW1168" s="20"/>
      <c r="BX1168" s="154"/>
      <c r="BY1168" s="18"/>
      <c r="BZ1168" s="146"/>
      <c r="CA1168" s="18"/>
      <c r="CB1168" s="18"/>
      <c r="CC1168" s="20"/>
      <c r="CD1168" s="154"/>
    </row>
    <row r="1169" spans="35:82">
      <c r="AI1169" s="19"/>
      <c r="AO1169" s="19"/>
      <c r="AY1169" s="145"/>
      <c r="AZ1169" s="16"/>
      <c r="BC1169" s="16"/>
      <c r="BD1169" s="20"/>
      <c r="BE1169" s="17"/>
      <c r="BF1169" s="20"/>
      <c r="BG1169" s="146"/>
      <c r="BH1169" s="146"/>
      <c r="BI1169" s="146"/>
      <c r="BJ1169" s="20"/>
      <c r="BK1169" s="20"/>
      <c r="BL1169" s="154"/>
      <c r="BP1169" s="20"/>
      <c r="BQ1169" s="154"/>
      <c r="BR1169" s="18"/>
      <c r="BS1169" s="16"/>
      <c r="BT1169" s="18"/>
      <c r="BU1169" s="18"/>
      <c r="BV1169" s="18"/>
      <c r="BW1169" s="20"/>
      <c r="BX1169" s="154"/>
      <c r="BY1169" s="18"/>
      <c r="BZ1169" s="146"/>
      <c r="CA1169" s="18"/>
      <c r="CB1169" s="18"/>
      <c r="CC1169" s="20"/>
      <c r="CD1169" s="154"/>
    </row>
    <row r="1170" spans="35:82">
      <c r="AI1170" s="19"/>
      <c r="AO1170" s="19"/>
      <c r="AY1170" s="145"/>
      <c r="AZ1170" s="16"/>
      <c r="BC1170" s="16"/>
      <c r="BD1170" s="20"/>
      <c r="BE1170" s="17"/>
      <c r="BF1170" s="20"/>
      <c r="BG1170" s="146"/>
      <c r="BH1170" s="146"/>
      <c r="BI1170" s="146"/>
      <c r="BJ1170" s="20"/>
      <c r="BK1170" s="20"/>
      <c r="BL1170" s="154"/>
      <c r="BP1170" s="20"/>
      <c r="BQ1170" s="154"/>
      <c r="BR1170" s="18"/>
      <c r="BS1170" s="16"/>
      <c r="BT1170" s="18"/>
      <c r="BU1170" s="18"/>
      <c r="BV1170" s="18"/>
      <c r="BW1170" s="20"/>
      <c r="BX1170" s="154"/>
      <c r="BY1170" s="18"/>
      <c r="BZ1170" s="146"/>
      <c r="CA1170" s="18"/>
      <c r="CB1170" s="18"/>
      <c r="CC1170" s="20"/>
      <c r="CD1170" s="154"/>
    </row>
    <row r="1171" spans="35:82">
      <c r="AI1171" s="19"/>
      <c r="AO1171" s="19"/>
      <c r="AY1171" s="145"/>
      <c r="AZ1171" s="16"/>
      <c r="BC1171" s="16"/>
      <c r="BD1171" s="20"/>
      <c r="BE1171" s="17"/>
      <c r="BF1171" s="20"/>
      <c r="BG1171" s="146"/>
      <c r="BH1171" s="146"/>
      <c r="BI1171" s="146"/>
      <c r="BJ1171" s="20"/>
      <c r="BK1171" s="20"/>
      <c r="BL1171" s="154"/>
      <c r="BP1171" s="20"/>
      <c r="BQ1171" s="154"/>
      <c r="BR1171" s="18"/>
      <c r="BS1171" s="16"/>
      <c r="BT1171" s="18"/>
      <c r="BU1171" s="18"/>
      <c r="BV1171" s="18"/>
      <c r="BW1171" s="20"/>
      <c r="BX1171" s="154"/>
      <c r="BY1171" s="18"/>
      <c r="BZ1171" s="146"/>
      <c r="CA1171" s="18"/>
      <c r="CB1171" s="18"/>
      <c r="CC1171" s="20"/>
      <c r="CD1171" s="154"/>
    </row>
    <row r="1172" spans="35:82">
      <c r="AI1172" s="19"/>
      <c r="AO1172" s="19"/>
      <c r="AY1172" s="145"/>
      <c r="AZ1172" s="16"/>
      <c r="BC1172" s="16"/>
      <c r="BD1172" s="20"/>
      <c r="BE1172" s="17"/>
      <c r="BF1172" s="20"/>
      <c r="BG1172" s="146"/>
      <c r="BH1172" s="146"/>
      <c r="BI1172" s="146"/>
      <c r="BJ1172" s="20"/>
      <c r="BK1172" s="20"/>
      <c r="BL1172" s="154"/>
      <c r="BP1172" s="20"/>
      <c r="BQ1172" s="154"/>
      <c r="BR1172" s="18"/>
      <c r="BS1172" s="16"/>
      <c r="BT1172" s="18"/>
      <c r="BU1172" s="18"/>
      <c r="BV1172" s="18"/>
      <c r="BW1172" s="20"/>
      <c r="BX1172" s="154"/>
      <c r="BY1172" s="18"/>
      <c r="BZ1172" s="146"/>
      <c r="CA1172" s="18"/>
      <c r="CB1172" s="18"/>
      <c r="CC1172" s="20"/>
      <c r="CD1172" s="154"/>
    </row>
    <row r="1173" spans="35:82">
      <c r="AI1173" s="19"/>
      <c r="AO1173" s="19"/>
      <c r="AY1173" s="145"/>
      <c r="AZ1173" s="16"/>
      <c r="BC1173" s="16"/>
      <c r="BD1173" s="20"/>
      <c r="BE1173" s="17"/>
      <c r="BF1173" s="20"/>
      <c r="BG1173" s="146"/>
      <c r="BH1173" s="146"/>
      <c r="BI1173" s="146"/>
      <c r="BJ1173" s="20"/>
      <c r="BK1173" s="20"/>
      <c r="BL1173" s="154"/>
      <c r="BP1173" s="20"/>
      <c r="BQ1173" s="154"/>
      <c r="BR1173" s="18"/>
      <c r="BS1173" s="16"/>
      <c r="BT1173" s="18"/>
      <c r="BU1173" s="18"/>
      <c r="BV1173" s="18"/>
      <c r="BW1173" s="20"/>
      <c r="BX1173" s="154"/>
      <c r="BY1173" s="18"/>
      <c r="BZ1173" s="146"/>
      <c r="CA1173" s="18"/>
      <c r="CB1173" s="18"/>
      <c r="CC1173" s="20"/>
      <c r="CD1173" s="154"/>
    </row>
    <row r="1174" spans="35:82">
      <c r="AI1174" s="19"/>
      <c r="AO1174" s="19"/>
      <c r="AY1174" s="145"/>
      <c r="AZ1174" s="16"/>
      <c r="BC1174" s="16"/>
      <c r="BD1174" s="20"/>
      <c r="BE1174" s="17"/>
      <c r="BF1174" s="20"/>
      <c r="BG1174" s="146"/>
      <c r="BH1174" s="146"/>
      <c r="BI1174" s="146"/>
      <c r="BJ1174" s="20"/>
      <c r="BK1174" s="20"/>
      <c r="BL1174" s="154"/>
      <c r="BP1174" s="20"/>
      <c r="BQ1174" s="154"/>
      <c r="BR1174" s="18"/>
      <c r="BS1174" s="16"/>
      <c r="BT1174" s="18"/>
      <c r="BU1174" s="18"/>
      <c r="BV1174" s="18"/>
      <c r="BW1174" s="20"/>
      <c r="BX1174" s="154"/>
      <c r="BY1174" s="18"/>
      <c r="BZ1174" s="146"/>
      <c r="CA1174" s="18"/>
      <c r="CB1174" s="18"/>
      <c r="CC1174" s="20"/>
      <c r="CD1174" s="154"/>
    </row>
    <row r="1175" spans="35:82">
      <c r="AI1175" s="19"/>
      <c r="AO1175" s="19"/>
      <c r="AY1175" s="145"/>
      <c r="AZ1175" s="16"/>
      <c r="BC1175" s="16"/>
      <c r="BD1175" s="20"/>
      <c r="BE1175" s="17"/>
      <c r="BF1175" s="20"/>
      <c r="BG1175" s="146"/>
      <c r="BH1175" s="146"/>
      <c r="BI1175" s="146"/>
      <c r="BJ1175" s="20"/>
      <c r="BK1175" s="20"/>
      <c r="BL1175" s="154"/>
      <c r="BP1175" s="20"/>
      <c r="BQ1175" s="154"/>
      <c r="BR1175" s="18"/>
      <c r="BS1175" s="16"/>
      <c r="BT1175" s="18"/>
      <c r="BU1175" s="18"/>
      <c r="BV1175" s="18"/>
      <c r="BW1175" s="20"/>
      <c r="BX1175" s="154"/>
      <c r="BY1175" s="18"/>
      <c r="BZ1175" s="146"/>
      <c r="CA1175" s="18"/>
      <c r="CB1175" s="18"/>
      <c r="CC1175" s="20"/>
      <c r="CD1175" s="154"/>
    </row>
    <row r="1176" spans="35:82">
      <c r="AI1176" s="19"/>
      <c r="AO1176" s="19"/>
      <c r="AY1176" s="145"/>
      <c r="AZ1176" s="16"/>
      <c r="BC1176" s="16"/>
      <c r="BD1176" s="20"/>
      <c r="BE1176" s="17"/>
      <c r="BF1176" s="20"/>
      <c r="BG1176" s="146"/>
      <c r="BH1176" s="146"/>
      <c r="BI1176" s="146"/>
      <c r="BJ1176" s="20"/>
      <c r="BK1176" s="20"/>
      <c r="BL1176" s="154"/>
      <c r="BP1176" s="20"/>
      <c r="BQ1176" s="154"/>
      <c r="BR1176" s="18"/>
      <c r="BS1176" s="16"/>
      <c r="BT1176" s="18"/>
      <c r="BU1176" s="18"/>
      <c r="BV1176" s="18"/>
      <c r="BW1176" s="20"/>
      <c r="BX1176" s="154"/>
      <c r="BY1176" s="18"/>
      <c r="BZ1176" s="146"/>
      <c r="CA1176" s="18"/>
      <c r="CB1176" s="18"/>
      <c r="CC1176" s="20"/>
      <c r="CD1176" s="154"/>
    </row>
    <row r="1177" spans="35:82">
      <c r="AI1177" s="19"/>
      <c r="AO1177" s="19"/>
      <c r="AY1177" s="145"/>
      <c r="AZ1177" s="16"/>
      <c r="BC1177" s="16"/>
      <c r="BD1177" s="20"/>
      <c r="BE1177" s="17"/>
      <c r="BF1177" s="20"/>
      <c r="BG1177" s="146"/>
      <c r="BH1177" s="146"/>
      <c r="BI1177" s="146"/>
      <c r="BJ1177" s="20"/>
      <c r="BK1177" s="20"/>
      <c r="BL1177" s="154"/>
      <c r="BP1177" s="20"/>
      <c r="BQ1177" s="154"/>
      <c r="BR1177" s="18"/>
      <c r="BS1177" s="16"/>
      <c r="BT1177" s="18"/>
      <c r="BU1177" s="18"/>
      <c r="BV1177" s="18"/>
      <c r="BW1177" s="20"/>
      <c r="BX1177" s="154"/>
      <c r="BY1177" s="18"/>
      <c r="BZ1177" s="146"/>
      <c r="CA1177" s="18"/>
      <c r="CB1177" s="18"/>
      <c r="CC1177" s="20"/>
      <c r="CD1177" s="154"/>
    </row>
    <row r="1178" spans="35:82">
      <c r="AI1178" s="19"/>
      <c r="AO1178" s="19"/>
      <c r="AY1178" s="145"/>
      <c r="AZ1178" s="16"/>
      <c r="BC1178" s="16"/>
      <c r="BD1178" s="20"/>
      <c r="BE1178" s="17"/>
      <c r="BF1178" s="20"/>
      <c r="BG1178" s="146"/>
      <c r="BH1178" s="146"/>
      <c r="BI1178" s="146"/>
      <c r="BJ1178" s="20"/>
      <c r="BK1178" s="20"/>
      <c r="BL1178" s="154"/>
      <c r="BP1178" s="20"/>
      <c r="BQ1178" s="154"/>
      <c r="BR1178" s="18"/>
      <c r="BS1178" s="16"/>
      <c r="BT1178" s="18"/>
      <c r="BU1178" s="18"/>
      <c r="BV1178" s="18"/>
      <c r="BW1178" s="20"/>
      <c r="BX1178" s="154"/>
      <c r="BY1178" s="18"/>
      <c r="BZ1178" s="146"/>
      <c r="CA1178" s="18"/>
      <c r="CB1178" s="18"/>
      <c r="CC1178" s="20"/>
      <c r="CD1178" s="154"/>
    </row>
    <row r="1179" spans="35:82">
      <c r="AI1179" s="19"/>
      <c r="AO1179" s="19"/>
      <c r="AY1179" s="145"/>
      <c r="AZ1179" s="16"/>
      <c r="BC1179" s="16"/>
      <c r="BD1179" s="20"/>
      <c r="BE1179" s="17"/>
      <c r="BF1179" s="20"/>
      <c r="BG1179" s="146"/>
      <c r="BH1179" s="146"/>
      <c r="BI1179" s="146"/>
      <c r="BJ1179" s="20"/>
      <c r="BK1179" s="20"/>
      <c r="BL1179" s="154"/>
      <c r="BP1179" s="20"/>
      <c r="BQ1179" s="154"/>
      <c r="BR1179" s="18"/>
      <c r="BS1179" s="16"/>
      <c r="BT1179" s="18"/>
      <c r="BU1179" s="18"/>
      <c r="BV1179" s="18"/>
      <c r="BW1179" s="20"/>
      <c r="BX1179" s="154"/>
      <c r="BY1179" s="18"/>
      <c r="BZ1179" s="146"/>
      <c r="CA1179" s="18"/>
      <c r="CB1179" s="18"/>
      <c r="CC1179" s="20"/>
      <c r="CD1179" s="154"/>
    </row>
    <row r="1180" spans="35:82">
      <c r="AI1180" s="19"/>
      <c r="AO1180" s="19"/>
      <c r="AY1180" s="145"/>
      <c r="AZ1180" s="16"/>
      <c r="BC1180" s="16"/>
      <c r="BD1180" s="20"/>
      <c r="BE1180" s="17"/>
      <c r="BF1180" s="20"/>
      <c r="BG1180" s="146"/>
      <c r="BH1180" s="146"/>
      <c r="BI1180" s="146"/>
      <c r="BJ1180" s="20"/>
      <c r="BK1180" s="20"/>
      <c r="BL1180" s="154"/>
      <c r="BP1180" s="20"/>
      <c r="BQ1180" s="154"/>
      <c r="BR1180" s="18"/>
      <c r="BS1180" s="16"/>
      <c r="BT1180" s="18"/>
      <c r="BU1180" s="18"/>
      <c r="BV1180" s="18"/>
      <c r="BW1180" s="20"/>
      <c r="BX1180" s="154"/>
      <c r="BY1180" s="18"/>
      <c r="BZ1180" s="146"/>
      <c r="CA1180" s="18"/>
      <c r="CB1180" s="18"/>
      <c r="CC1180" s="20"/>
      <c r="CD1180" s="154"/>
    </row>
    <row r="1181" spans="35:82">
      <c r="AI1181" s="19"/>
      <c r="AO1181" s="19"/>
      <c r="AY1181" s="145"/>
      <c r="AZ1181" s="16"/>
      <c r="BC1181" s="16"/>
      <c r="BD1181" s="20"/>
      <c r="BE1181" s="17"/>
      <c r="BF1181" s="20"/>
      <c r="BG1181" s="146"/>
      <c r="BH1181" s="146"/>
      <c r="BI1181" s="146"/>
      <c r="BJ1181" s="20"/>
      <c r="BK1181" s="20"/>
      <c r="BL1181" s="154"/>
      <c r="BP1181" s="20"/>
      <c r="BQ1181" s="154"/>
      <c r="BR1181" s="18"/>
      <c r="BS1181" s="16"/>
      <c r="BT1181" s="18"/>
      <c r="BU1181" s="18"/>
      <c r="BV1181" s="18"/>
      <c r="BW1181" s="20"/>
      <c r="BX1181" s="154"/>
      <c r="BY1181" s="18"/>
      <c r="BZ1181" s="146"/>
      <c r="CA1181" s="18"/>
      <c r="CB1181" s="18"/>
      <c r="CC1181" s="20"/>
      <c r="CD1181" s="154"/>
    </row>
    <row r="1182" spans="35:82">
      <c r="AI1182" s="19"/>
      <c r="AO1182" s="19"/>
      <c r="AY1182" s="145"/>
      <c r="AZ1182" s="16"/>
      <c r="BC1182" s="16"/>
      <c r="BD1182" s="20"/>
      <c r="BE1182" s="17"/>
      <c r="BF1182" s="20"/>
      <c r="BG1182" s="146"/>
      <c r="BH1182" s="146"/>
      <c r="BI1182" s="146"/>
      <c r="BJ1182" s="20"/>
      <c r="BK1182" s="20"/>
      <c r="BL1182" s="154"/>
      <c r="BP1182" s="20"/>
      <c r="BQ1182" s="154"/>
      <c r="BR1182" s="18"/>
      <c r="BS1182" s="16"/>
      <c r="BT1182" s="18"/>
      <c r="BU1182" s="18"/>
      <c r="BV1182" s="18"/>
      <c r="BW1182" s="20"/>
      <c r="BX1182" s="154"/>
      <c r="BY1182" s="18"/>
      <c r="BZ1182" s="146"/>
      <c r="CA1182" s="18"/>
      <c r="CB1182" s="18"/>
      <c r="CC1182" s="20"/>
      <c r="CD1182" s="154"/>
    </row>
    <row r="1183" spans="35:82">
      <c r="AI1183" s="19"/>
      <c r="AO1183" s="19"/>
      <c r="AY1183" s="145"/>
      <c r="AZ1183" s="16"/>
      <c r="BC1183" s="16"/>
      <c r="BD1183" s="20"/>
      <c r="BE1183" s="17"/>
      <c r="BF1183" s="20"/>
      <c r="BG1183" s="146"/>
      <c r="BH1183" s="146"/>
      <c r="BI1183" s="146"/>
      <c r="BJ1183" s="20"/>
      <c r="BK1183" s="20"/>
      <c r="BL1183" s="154"/>
      <c r="BP1183" s="20"/>
      <c r="BQ1183" s="154"/>
      <c r="BR1183" s="18"/>
      <c r="BS1183" s="16"/>
      <c r="BT1183" s="18"/>
      <c r="BU1183" s="18"/>
      <c r="BV1183" s="18"/>
      <c r="BW1183" s="20"/>
      <c r="BX1183" s="154"/>
      <c r="BY1183" s="18"/>
      <c r="BZ1183" s="146"/>
      <c r="CA1183" s="18"/>
      <c r="CB1183" s="18"/>
      <c r="CC1183" s="20"/>
      <c r="CD1183" s="154"/>
    </row>
    <row r="1184" spans="35:82">
      <c r="AI1184" s="19"/>
      <c r="AO1184" s="19"/>
      <c r="AY1184" s="145"/>
      <c r="AZ1184" s="16"/>
      <c r="BC1184" s="16"/>
      <c r="BD1184" s="20"/>
      <c r="BE1184" s="17"/>
      <c r="BF1184" s="20"/>
      <c r="BG1184" s="146"/>
      <c r="BH1184" s="146"/>
      <c r="BI1184" s="146"/>
      <c r="BJ1184" s="20"/>
      <c r="BK1184" s="20"/>
      <c r="BL1184" s="154"/>
      <c r="BP1184" s="20"/>
      <c r="BQ1184" s="154"/>
      <c r="BR1184" s="18"/>
      <c r="BS1184" s="16"/>
      <c r="BT1184" s="18"/>
      <c r="BU1184" s="18"/>
      <c r="BV1184" s="18"/>
      <c r="BW1184" s="20"/>
      <c r="BX1184" s="154"/>
      <c r="BY1184" s="18"/>
      <c r="BZ1184" s="146"/>
      <c r="CA1184" s="18"/>
      <c r="CB1184" s="18"/>
      <c r="CC1184" s="20"/>
      <c r="CD1184" s="154"/>
    </row>
    <row r="1185" spans="35:82">
      <c r="AI1185" s="19"/>
      <c r="AO1185" s="19"/>
      <c r="AY1185" s="145"/>
      <c r="AZ1185" s="16"/>
      <c r="BC1185" s="16"/>
      <c r="BD1185" s="20"/>
      <c r="BE1185" s="17"/>
      <c r="BF1185" s="20"/>
      <c r="BG1185" s="146"/>
      <c r="BH1185" s="146"/>
      <c r="BI1185" s="146"/>
      <c r="BJ1185" s="20"/>
      <c r="BK1185" s="20"/>
      <c r="BL1185" s="154"/>
      <c r="BP1185" s="20"/>
      <c r="BQ1185" s="154"/>
      <c r="BR1185" s="18"/>
      <c r="BS1185" s="16"/>
      <c r="BT1185" s="18"/>
      <c r="BU1185" s="18"/>
      <c r="BV1185" s="18"/>
      <c r="BW1185" s="20"/>
      <c r="BX1185" s="154"/>
      <c r="BY1185" s="18"/>
      <c r="BZ1185" s="146"/>
      <c r="CA1185" s="18"/>
      <c r="CB1185" s="18"/>
      <c r="CC1185" s="20"/>
      <c r="CD1185" s="154"/>
    </row>
    <row r="1186" spans="35:82">
      <c r="AI1186" s="19"/>
      <c r="AO1186" s="19"/>
      <c r="AY1186" s="145"/>
      <c r="AZ1186" s="16"/>
      <c r="BC1186" s="16"/>
      <c r="BD1186" s="20"/>
      <c r="BE1186" s="17"/>
      <c r="BF1186" s="20"/>
      <c r="BG1186" s="146"/>
      <c r="BH1186" s="146"/>
      <c r="BI1186" s="146"/>
      <c r="BJ1186" s="20"/>
      <c r="BK1186" s="20"/>
      <c r="BL1186" s="154"/>
      <c r="BP1186" s="20"/>
      <c r="BQ1186" s="154"/>
      <c r="BR1186" s="18"/>
      <c r="BS1186" s="16"/>
      <c r="BT1186" s="18"/>
      <c r="BU1186" s="18"/>
      <c r="BV1186" s="18"/>
      <c r="BW1186" s="20"/>
      <c r="BX1186" s="154"/>
      <c r="BY1186" s="18"/>
      <c r="BZ1186" s="146"/>
      <c r="CA1186" s="18"/>
      <c r="CB1186" s="18"/>
      <c r="CC1186" s="20"/>
      <c r="CD1186" s="154"/>
    </row>
    <row r="1187" spans="35:82">
      <c r="AI1187" s="19"/>
      <c r="AO1187" s="19"/>
      <c r="AY1187" s="145"/>
      <c r="AZ1187" s="16"/>
      <c r="BC1187" s="16"/>
      <c r="BD1187" s="20"/>
      <c r="BE1187" s="17"/>
      <c r="BF1187" s="20"/>
      <c r="BG1187" s="146"/>
      <c r="BH1187" s="146"/>
      <c r="BI1187" s="146"/>
      <c r="BJ1187" s="20"/>
      <c r="BK1187" s="20"/>
      <c r="BL1187" s="154"/>
      <c r="BP1187" s="20"/>
      <c r="BQ1187" s="154"/>
      <c r="BR1187" s="18"/>
      <c r="BS1187" s="16"/>
      <c r="BT1187" s="18"/>
      <c r="BU1187" s="18"/>
      <c r="BV1187" s="18"/>
      <c r="BW1187" s="20"/>
      <c r="BX1187" s="154"/>
      <c r="BY1187" s="18"/>
      <c r="BZ1187" s="146"/>
      <c r="CA1187" s="18"/>
      <c r="CB1187" s="18"/>
      <c r="CC1187" s="20"/>
      <c r="CD1187" s="154"/>
    </row>
    <row r="1188" spans="35:82">
      <c r="AI1188" s="19"/>
      <c r="AO1188" s="19"/>
      <c r="AY1188" s="145"/>
      <c r="AZ1188" s="16"/>
      <c r="BC1188" s="16"/>
      <c r="BD1188" s="20"/>
      <c r="BE1188" s="17"/>
      <c r="BF1188" s="20"/>
      <c r="BG1188" s="146"/>
      <c r="BH1188" s="146"/>
      <c r="BI1188" s="146"/>
      <c r="BJ1188" s="20"/>
      <c r="BK1188" s="20"/>
      <c r="BL1188" s="154"/>
      <c r="BP1188" s="20"/>
      <c r="BQ1188" s="154"/>
      <c r="BR1188" s="18"/>
      <c r="BS1188" s="16"/>
      <c r="BT1188" s="18"/>
      <c r="BU1188" s="18"/>
      <c r="BV1188" s="18"/>
      <c r="BW1188" s="20"/>
      <c r="BX1188" s="154"/>
      <c r="BY1188" s="18"/>
      <c r="BZ1188" s="146"/>
      <c r="CA1188" s="18"/>
      <c r="CB1188" s="18"/>
      <c r="CC1188" s="20"/>
      <c r="CD1188" s="154"/>
    </row>
    <row r="1189" spans="35:82">
      <c r="AI1189" s="19"/>
      <c r="AO1189" s="19"/>
      <c r="AY1189" s="145"/>
      <c r="AZ1189" s="16"/>
      <c r="BC1189" s="16"/>
      <c r="BD1189" s="20"/>
      <c r="BE1189" s="17"/>
      <c r="BF1189" s="20"/>
      <c r="BG1189" s="146"/>
      <c r="BH1189" s="146"/>
      <c r="BI1189" s="146"/>
      <c r="BJ1189" s="20"/>
      <c r="BK1189" s="20"/>
      <c r="BL1189" s="154"/>
      <c r="BP1189" s="20"/>
      <c r="BQ1189" s="154"/>
      <c r="BR1189" s="18"/>
      <c r="BS1189" s="16"/>
      <c r="BT1189" s="18"/>
      <c r="BU1189" s="18"/>
      <c r="BV1189" s="18"/>
      <c r="BW1189" s="20"/>
      <c r="BX1189" s="154"/>
      <c r="BY1189" s="18"/>
      <c r="BZ1189" s="146"/>
      <c r="CA1189" s="18"/>
      <c r="CB1189" s="18"/>
      <c r="CC1189" s="20"/>
      <c r="CD1189" s="154"/>
    </row>
    <row r="1190" spans="35:82">
      <c r="AI1190" s="19"/>
      <c r="AO1190" s="19"/>
      <c r="AY1190" s="145"/>
      <c r="AZ1190" s="16"/>
      <c r="BC1190" s="16"/>
      <c r="BD1190" s="20"/>
      <c r="BE1190" s="17"/>
      <c r="BF1190" s="20"/>
      <c r="BG1190" s="146"/>
      <c r="BH1190" s="146"/>
      <c r="BI1190" s="146"/>
      <c r="BJ1190" s="20"/>
      <c r="BK1190" s="20"/>
      <c r="BL1190" s="154"/>
      <c r="BP1190" s="20"/>
      <c r="BQ1190" s="154"/>
      <c r="BR1190" s="18"/>
      <c r="BS1190" s="16"/>
      <c r="BT1190" s="18"/>
      <c r="BU1190" s="18"/>
      <c r="BV1190" s="18"/>
      <c r="BW1190" s="20"/>
      <c r="BX1190" s="154"/>
      <c r="BY1190" s="18"/>
      <c r="BZ1190" s="146"/>
      <c r="CA1190" s="18"/>
      <c r="CB1190" s="18"/>
      <c r="CC1190" s="20"/>
      <c r="CD1190" s="154"/>
    </row>
    <row r="1191" spans="35:82">
      <c r="AI1191" s="19"/>
      <c r="AO1191" s="19"/>
      <c r="AY1191" s="145"/>
      <c r="AZ1191" s="16"/>
      <c r="BC1191" s="16"/>
      <c r="BD1191" s="20"/>
      <c r="BE1191" s="17"/>
      <c r="BF1191" s="20"/>
      <c r="BG1191" s="146"/>
      <c r="BH1191" s="146"/>
      <c r="BI1191" s="146"/>
      <c r="BJ1191" s="20"/>
      <c r="BK1191" s="20"/>
      <c r="BL1191" s="154"/>
      <c r="BP1191" s="20"/>
      <c r="BQ1191" s="154"/>
      <c r="BR1191" s="18"/>
      <c r="BS1191" s="16"/>
      <c r="BT1191" s="18"/>
      <c r="BU1191" s="18"/>
      <c r="BV1191" s="18"/>
      <c r="BW1191" s="20"/>
      <c r="BX1191" s="154"/>
      <c r="BY1191" s="18"/>
      <c r="BZ1191" s="146"/>
      <c r="CA1191" s="18"/>
      <c r="CB1191" s="18"/>
      <c r="CC1191" s="20"/>
      <c r="CD1191" s="154"/>
    </row>
    <row r="1192" spans="35:82">
      <c r="AI1192" s="19"/>
      <c r="AO1192" s="19"/>
      <c r="AY1192" s="145"/>
      <c r="AZ1192" s="16"/>
      <c r="BC1192" s="16"/>
      <c r="BD1192" s="20"/>
      <c r="BE1192" s="17"/>
      <c r="BF1192" s="20"/>
      <c r="BG1192" s="146"/>
      <c r="BH1192" s="146"/>
      <c r="BI1192" s="146"/>
      <c r="BJ1192" s="20"/>
      <c r="BK1192" s="20"/>
      <c r="BL1192" s="154"/>
      <c r="BP1192" s="20"/>
      <c r="BQ1192" s="154"/>
      <c r="BR1192" s="18"/>
      <c r="BS1192" s="16"/>
      <c r="BT1192" s="18"/>
      <c r="BU1192" s="18"/>
      <c r="BV1192" s="18"/>
      <c r="BW1192" s="20"/>
      <c r="BX1192" s="154"/>
      <c r="BY1192" s="18"/>
      <c r="BZ1192" s="146"/>
      <c r="CA1192" s="18"/>
      <c r="CB1192" s="18"/>
      <c r="CC1192" s="20"/>
      <c r="CD1192" s="154"/>
    </row>
    <row r="1193" spans="35:82">
      <c r="AI1193" s="19"/>
      <c r="AO1193" s="19"/>
      <c r="AY1193" s="145"/>
      <c r="AZ1193" s="16"/>
      <c r="BC1193" s="16"/>
      <c r="BD1193" s="20"/>
      <c r="BE1193" s="17"/>
      <c r="BF1193" s="20"/>
      <c r="BG1193" s="146"/>
      <c r="BH1193" s="146"/>
      <c r="BI1193" s="146"/>
      <c r="BJ1193" s="20"/>
      <c r="BK1193" s="20"/>
      <c r="BL1193" s="154"/>
      <c r="BP1193" s="20"/>
      <c r="BQ1193" s="154"/>
      <c r="BR1193" s="18"/>
      <c r="BS1193" s="16"/>
      <c r="BT1193" s="18"/>
      <c r="BU1193" s="18"/>
      <c r="BV1193" s="18"/>
      <c r="BW1193" s="20"/>
      <c r="BX1193" s="154"/>
      <c r="BY1193" s="18"/>
      <c r="BZ1193" s="146"/>
      <c r="CA1193" s="18"/>
      <c r="CB1193" s="18"/>
      <c r="CC1193" s="20"/>
      <c r="CD1193" s="154"/>
    </row>
    <row r="1194" spans="35:82">
      <c r="AI1194" s="19"/>
      <c r="AO1194" s="19"/>
      <c r="AY1194" s="145"/>
      <c r="AZ1194" s="16"/>
      <c r="BC1194" s="16"/>
      <c r="BD1194" s="20"/>
      <c r="BE1194" s="17"/>
      <c r="BF1194" s="20"/>
      <c r="BG1194" s="146"/>
      <c r="BH1194" s="146"/>
      <c r="BI1194" s="146"/>
      <c r="BJ1194" s="20"/>
      <c r="BK1194" s="20"/>
      <c r="BL1194" s="154"/>
      <c r="BP1194" s="20"/>
      <c r="BQ1194" s="154"/>
      <c r="BR1194" s="18"/>
      <c r="BS1194" s="16"/>
      <c r="BT1194" s="18"/>
      <c r="BU1194" s="18"/>
      <c r="BV1194" s="18"/>
      <c r="BW1194" s="20"/>
      <c r="BX1194" s="154"/>
      <c r="BY1194" s="18"/>
      <c r="BZ1194" s="146"/>
      <c r="CA1194" s="18"/>
      <c r="CB1194" s="18"/>
      <c r="CC1194" s="20"/>
      <c r="CD1194" s="154"/>
    </row>
    <row r="1195" spans="35:82">
      <c r="AI1195" s="19"/>
      <c r="AO1195" s="19"/>
      <c r="AY1195" s="145"/>
      <c r="AZ1195" s="16"/>
      <c r="BC1195" s="16"/>
      <c r="BD1195" s="20"/>
      <c r="BE1195" s="17"/>
      <c r="BF1195" s="20"/>
      <c r="BG1195" s="146"/>
      <c r="BH1195" s="146"/>
      <c r="BI1195" s="146"/>
      <c r="BJ1195" s="20"/>
      <c r="BK1195" s="20"/>
      <c r="BL1195" s="154"/>
      <c r="BP1195" s="20"/>
      <c r="BQ1195" s="154"/>
      <c r="BR1195" s="18"/>
      <c r="BS1195" s="16"/>
      <c r="BT1195" s="18"/>
      <c r="BU1195" s="18"/>
      <c r="BV1195" s="18"/>
      <c r="BW1195" s="20"/>
      <c r="BX1195" s="154"/>
      <c r="BY1195" s="18"/>
      <c r="BZ1195" s="146"/>
      <c r="CA1195" s="18"/>
      <c r="CB1195" s="18"/>
      <c r="CC1195" s="20"/>
      <c r="CD1195" s="154"/>
    </row>
    <row r="1196" spans="35:82">
      <c r="AI1196" s="19"/>
      <c r="AO1196" s="19"/>
      <c r="AY1196" s="145"/>
      <c r="AZ1196" s="16"/>
      <c r="BC1196" s="16"/>
      <c r="BD1196" s="20"/>
      <c r="BE1196" s="17"/>
      <c r="BF1196" s="20"/>
      <c r="BG1196" s="146"/>
      <c r="BH1196" s="146"/>
      <c r="BI1196" s="146"/>
      <c r="BJ1196" s="20"/>
      <c r="BK1196" s="20"/>
      <c r="BL1196" s="154"/>
      <c r="BP1196" s="20"/>
      <c r="BQ1196" s="154"/>
      <c r="BR1196" s="18"/>
      <c r="BS1196" s="16"/>
      <c r="BT1196" s="18"/>
      <c r="BU1196" s="18"/>
      <c r="BV1196" s="18"/>
      <c r="BW1196" s="20"/>
      <c r="BX1196" s="154"/>
      <c r="BY1196" s="18"/>
      <c r="BZ1196" s="146"/>
      <c r="CA1196" s="18"/>
      <c r="CB1196" s="18"/>
      <c r="CC1196" s="20"/>
      <c r="CD1196" s="154"/>
    </row>
    <row r="1197" spans="35:82">
      <c r="AI1197" s="19"/>
      <c r="AO1197" s="19"/>
      <c r="AY1197" s="145"/>
      <c r="AZ1197" s="16"/>
      <c r="BC1197" s="16"/>
      <c r="BD1197" s="20"/>
      <c r="BE1197" s="17"/>
      <c r="BF1197" s="20"/>
      <c r="BG1197" s="146"/>
      <c r="BH1197" s="146"/>
      <c r="BI1197" s="146"/>
      <c r="BJ1197" s="20"/>
      <c r="BK1197" s="20"/>
      <c r="BL1197" s="154"/>
      <c r="BP1197" s="20"/>
      <c r="BQ1197" s="154"/>
      <c r="BR1197" s="18"/>
      <c r="BS1197" s="16"/>
      <c r="BT1197" s="18"/>
      <c r="BU1197" s="18"/>
      <c r="BV1197" s="18"/>
      <c r="BW1197" s="20"/>
      <c r="BX1197" s="154"/>
      <c r="BY1197" s="18"/>
      <c r="BZ1197" s="146"/>
      <c r="CA1197" s="18"/>
      <c r="CB1197" s="18"/>
      <c r="CC1197" s="20"/>
      <c r="CD1197" s="154"/>
    </row>
    <row r="1198" spans="35:82">
      <c r="AI1198" s="19"/>
      <c r="AO1198" s="19"/>
      <c r="AY1198" s="145"/>
      <c r="AZ1198" s="16"/>
      <c r="BC1198" s="16"/>
      <c r="BD1198" s="20"/>
      <c r="BE1198" s="17"/>
      <c r="BF1198" s="20"/>
      <c r="BG1198" s="146"/>
      <c r="BH1198" s="146"/>
      <c r="BI1198" s="146"/>
      <c r="BJ1198" s="20"/>
      <c r="BK1198" s="20"/>
      <c r="BL1198" s="154"/>
      <c r="BP1198" s="20"/>
      <c r="BQ1198" s="154"/>
      <c r="BR1198" s="18"/>
      <c r="BS1198" s="16"/>
      <c r="BT1198" s="18"/>
      <c r="BU1198" s="18"/>
      <c r="BV1198" s="18"/>
      <c r="BW1198" s="20"/>
      <c r="BX1198" s="154"/>
      <c r="BY1198" s="18"/>
      <c r="BZ1198" s="146"/>
      <c r="CA1198" s="18"/>
      <c r="CB1198" s="18"/>
      <c r="CC1198" s="20"/>
      <c r="CD1198" s="154"/>
    </row>
    <row r="1199" spans="35:82">
      <c r="AI1199" s="19"/>
      <c r="AO1199" s="19"/>
      <c r="AY1199" s="145"/>
      <c r="AZ1199" s="16"/>
      <c r="BC1199" s="16"/>
      <c r="BD1199" s="20"/>
      <c r="BE1199" s="17"/>
      <c r="BF1199" s="20"/>
      <c r="BG1199" s="146"/>
      <c r="BH1199" s="146"/>
      <c r="BI1199" s="146"/>
      <c r="BJ1199" s="20"/>
      <c r="BK1199" s="20"/>
      <c r="BL1199" s="154"/>
      <c r="BP1199" s="20"/>
      <c r="BQ1199" s="154"/>
      <c r="BR1199" s="18"/>
      <c r="BS1199" s="16"/>
      <c r="BT1199" s="18"/>
      <c r="BU1199" s="18"/>
      <c r="BV1199" s="18"/>
      <c r="BW1199" s="20"/>
      <c r="BX1199" s="154"/>
      <c r="BY1199" s="18"/>
      <c r="BZ1199" s="146"/>
      <c r="CA1199" s="18"/>
      <c r="CB1199" s="18"/>
      <c r="CC1199" s="20"/>
      <c r="CD1199" s="154"/>
    </row>
    <row r="1200" spans="35:82">
      <c r="AI1200" s="19"/>
      <c r="AO1200" s="19"/>
      <c r="AY1200" s="145"/>
      <c r="AZ1200" s="16"/>
      <c r="BC1200" s="16"/>
      <c r="BD1200" s="20"/>
      <c r="BE1200" s="17"/>
      <c r="BF1200" s="20"/>
      <c r="BG1200" s="146"/>
      <c r="BH1200" s="146"/>
      <c r="BI1200" s="146"/>
      <c r="BJ1200" s="20"/>
      <c r="BK1200" s="20"/>
      <c r="BL1200" s="154"/>
      <c r="BP1200" s="20"/>
      <c r="BQ1200" s="154"/>
      <c r="BR1200" s="18"/>
      <c r="BS1200" s="16"/>
      <c r="BT1200" s="18"/>
      <c r="BU1200" s="18"/>
      <c r="BV1200" s="18"/>
      <c r="BW1200" s="20"/>
      <c r="BX1200" s="154"/>
      <c r="BY1200" s="18"/>
      <c r="BZ1200" s="146"/>
      <c r="CA1200" s="18"/>
      <c r="CB1200" s="18"/>
      <c r="CC1200" s="20"/>
      <c r="CD1200" s="154"/>
    </row>
    <row r="1201" spans="35:82">
      <c r="AI1201" s="19"/>
      <c r="AO1201" s="19"/>
      <c r="AY1201" s="145"/>
      <c r="AZ1201" s="16"/>
      <c r="BC1201" s="16"/>
      <c r="BD1201" s="20"/>
      <c r="BE1201" s="17"/>
      <c r="BF1201" s="20"/>
      <c r="BG1201" s="146"/>
      <c r="BH1201" s="146"/>
      <c r="BI1201" s="146"/>
      <c r="BJ1201" s="20"/>
      <c r="BK1201" s="20"/>
      <c r="BL1201" s="154"/>
      <c r="BP1201" s="20"/>
      <c r="BQ1201" s="154"/>
      <c r="BR1201" s="18"/>
      <c r="BS1201" s="16"/>
      <c r="BT1201" s="18"/>
      <c r="BU1201" s="18"/>
      <c r="BV1201" s="18"/>
      <c r="BW1201" s="20"/>
      <c r="BX1201" s="154"/>
      <c r="BY1201" s="18"/>
      <c r="BZ1201" s="146"/>
      <c r="CA1201" s="18"/>
      <c r="CB1201" s="18"/>
      <c r="CC1201" s="20"/>
      <c r="CD1201" s="154"/>
    </row>
    <row r="1202" spans="35:82">
      <c r="AI1202" s="19"/>
      <c r="AO1202" s="19"/>
      <c r="AY1202" s="145"/>
      <c r="AZ1202" s="16"/>
      <c r="BC1202" s="16"/>
      <c r="BD1202" s="20"/>
      <c r="BE1202" s="17"/>
      <c r="BF1202" s="20"/>
      <c r="BG1202" s="146"/>
      <c r="BH1202" s="146"/>
      <c r="BI1202" s="146"/>
      <c r="BJ1202" s="20"/>
      <c r="BK1202" s="20"/>
      <c r="BL1202" s="154"/>
      <c r="BP1202" s="20"/>
      <c r="BQ1202" s="154"/>
      <c r="BR1202" s="18"/>
      <c r="BS1202" s="16"/>
      <c r="BT1202" s="18"/>
      <c r="BU1202" s="18"/>
      <c r="BV1202" s="18"/>
      <c r="BW1202" s="20"/>
      <c r="BX1202" s="154"/>
      <c r="BY1202" s="18"/>
      <c r="BZ1202" s="146"/>
      <c r="CA1202" s="18"/>
      <c r="CB1202" s="18"/>
      <c r="CC1202" s="20"/>
      <c r="CD1202" s="154"/>
    </row>
    <row r="1203" spans="35:82">
      <c r="AI1203" s="19"/>
      <c r="AO1203" s="19"/>
      <c r="AY1203" s="145"/>
      <c r="AZ1203" s="16"/>
      <c r="BC1203" s="16"/>
      <c r="BD1203" s="20"/>
      <c r="BE1203" s="17"/>
      <c r="BF1203" s="20"/>
      <c r="BG1203" s="146"/>
      <c r="BH1203" s="146"/>
      <c r="BI1203" s="146"/>
      <c r="BJ1203" s="20"/>
      <c r="BK1203" s="20"/>
      <c r="BL1203" s="154"/>
      <c r="BP1203" s="20"/>
      <c r="BQ1203" s="154"/>
      <c r="BR1203" s="18"/>
      <c r="BS1203" s="16"/>
      <c r="BT1203" s="18"/>
      <c r="BU1203" s="18"/>
      <c r="BV1203" s="18"/>
      <c r="BW1203" s="20"/>
      <c r="BX1203" s="154"/>
      <c r="BY1203" s="18"/>
      <c r="BZ1203" s="146"/>
      <c r="CA1203" s="18"/>
      <c r="CB1203" s="18"/>
      <c r="CC1203" s="20"/>
      <c r="CD1203" s="154"/>
    </row>
    <row r="1204" spans="35:82">
      <c r="AI1204" s="19"/>
      <c r="AO1204" s="19"/>
      <c r="AY1204" s="145"/>
      <c r="AZ1204" s="16"/>
      <c r="BC1204" s="16"/>
      <c r="BD1204" s="20"/>
      <c r="BE1204" s="17"/>
      <c r="BF1204" s="20"/>
      <c r="BG1204" s="146"/>
      <c r="BH1204" s="146"/>
      <c r="BI1204" s="146"/>
      <c r="BJ1204" s="20"/>
      <c r="BK1204" s="20"/>
      <c r="BL1204" s="154"/>
      <c r="BP1204" s="20"/>
      <c r="BQ1204" s="154"/>
      <c r="BR1204" s="18"/>
      <c r="BS1204" s="16"/>
      <c r="BT1204" s="18"/>
      <c r="BU1204" s="18"/>
      <c r="BV1204" s="18"/>
      <c r="BW1204" s="20"/>
      <c r="BX1204" s="154"/>
      <c r="BY1204" s="18"/>
      <c r="BZ1204" s="146"/>
      <c r="CA1204" s="18"/>
      <c r="CB1204" s="18"/>
      <c r="CC1204" s="20"/>
      <c r="CD1204" s="154"/>
    </row>
    <row r="1205" spans="35:82">
      <c r="AI1205" s="19"/>
      <c r="AO1205" s="19"/>
      <c r="AY1205" s="145"/>
      <c r="AZ1205" s="16"/>
      <c r="BC1205" s="16"/>
      <c r="BD1205" s="20"/>
      <c r="BE1205" s="17"/>
      <c r="BF1205" s="20"/>
      <c r="BG1205" s="146"/>
      <c r="BH1205" s="146"/>
      <c r="BI1205" s="146"/>
      <c r="BJ1205" s="20"/>
      <c r="BK1205" s="20"/>
      <c r="BL1205" s="154"/>
      <c r="BP1205" s="20"/>
      <c r="BQ1205" s="154"/>
      <c r="BR1205" s="18"/>
      <c r="BS1205" s="16"/>
      <c r="BT1205" s="18"/>
      <c r="BU1205" s="18"/>
      <c r="BV1205" s="18"/>
      <c r="BW1205" s="20"/>
      <c r="BX1205" s="154"/>
      <c r="BY1205" s="18"/>
      <c r="BZ1205" s="146"/>
      <c r="CA1205" s="18"/>
      <c r="CB1205" s="18"/>
      <c r="CC1205" s="20"/>
      <c r="CD1205" s="154"/>
    </row>
    <row r="1206" spans="35:82">
      <c r="AI1206" s="19"/>
      <c r="AO1206" s="19"/>
      <c r="AY1206" s="145"/>
      <c r="AZ1206" s="16"/>
      <c r="BC1206" s="16"/>
      <c r="BD1206" s="20"/>
      <c r="BE1206" s="17"/>
      <c r="BF1206" s="20"/>
      <c r="BG1206" s="146"/>
      <c r="BH1206" s="146"/>
      <c r="BI1206" s="146"/>
      <c r="BJ1206" s="20"/>
      <c r="BK1206" s="20"/>
      <c r="BL1206" s="154"/>
      <c r="BP1206" s="20"/>
      <c r="BQ1206" s="154"/>
      <c r="BR1206" s="18"/>
      <c r="BS1206" s="16"/>
      <c r="BT1206" s="18"/>
      <c r="BU1206" s="18"/>
      <c r="BV1206" s="18"/>
      <c r="BW1206" s="20"/>
      <c r="BX1206" s="154"/>
      <c r="BY1206" s="18"/>
      <c r="BZ1206" s="146"/>
      <c r="CA1206" s="18"/>
      <c r="CB1206" s="18"/>
      <c r="CC1206" s="20"/>
      <c r="CD1206" s="154"/>
    </row>
    <row r="1207" spans="35:82">
      <c r="AI1207" s="19"/>
      <c r="AO1207" s="19"/>
      <c r="AY1207" s="145"/>
      <c r="AZ1207" s="16"/>
      <c r="BC1207" s="16"/>
      <c r="BD1207" s="20"/>
      <c r="BE1207" s="17"/>
      <c r="BF1207" s="20"/>
      <c r="BG1207" s="146"/>
      <c r="BH1207" s="146"/>
      <c r="BI1207" s="146"/>
      <c r="BJ1207" s="20"/>
      <c r="BK1207" s="20"/>
      <c r="BL1207" s="154"/>
      <c r="BP1207" s="20"/>
      <c r="BQ1207" s="154"/>
      <c r="BR1207" s="18"/>
      <c r="BS1207" s="16"/>
      <c r="BT1207" s="18"/>
      <c r="BU1207" s="18"/>
      <c r="BV1207" s="18"/>
      <c r="BW1207" s="20"/>
      <c r="BX1207" s="154"/>
      <c r="BY1207" s="18"/>
      <c r="BZ1207" s="146"/>
      <c r="CA1207" s="18"/>
      <c r="CB1207" s="18"/>
      <c r="CC1207" s="20"/>
      <c r="CD1207" s="154"/>
    </row>
    <row r="1208" spans="35:82">
      <c r="AI1208" s="19"/>
      <c r="AO1208" s="19"/>
      <c r="AY1208" s="145"/>
      <c r="AZ1208" s="16"/>
      <c r="BC1208" s="16"/>
      <c r="BD1208" s="20"/>
      <c r="BE1208" s="17"/>
      <c r="BF1208" s="20"/>
      <c r="BG1208" s="146"/>
      <c r="BH1208" s="146"/>
      <c r="BI1208" s="146"/>
      <c r="BJ1208" s="20"/>
      <c r="BK1208" s="20"/>
      <c r="BL1208" s="154"/>
      <c r="BP1208" s="20"/>
      <c r="BQ1208" s="154"/>
      <c r="BR1208" s="18"/>
      <c r="BS1208" s="16"/>
      <c r="BT1208" s="18"/>
      <c r="BU1208" s="18"/>
      <c r="BV1208" s="18"/>
      <c r="BW1208" s="20"/>
      <c r="BX1208" s="154"/>
      <c r="BY1208" s="18"/>
      <c r="BZ1208" s="146"/>
      <c r="CA1208" s="18"/>
      <c r="CB1208" s="18"/>
      <c r="CC1208" s="20"/>
      <c r="CD1208" s="154"/>
    </row>
    <row r="1209" spans="35:82">
      <c r="AI1209" s="19"/>
      <c r="AO1209" s="19"/>
      <c r="AY1209" s="145"/>
      <c r="AZ1209" s="16"/>
      <c r="BC1209" s="16"/>
      <c r="BD1209" s="20"/>
      <c r="BE1209" s="17"/>
      <c r="BF1209" s="20"/>
      <c r="BG1209" s="146"/>
      <c r="BH1209" s="146"/>
      <c r="BI1209" s="146"/>
      <c r="BJ1209" s="20"/>
      <c r="BK1209" s="20"/>
      <c r="BL1209" s="154"/>
      <c r="BP1209" s="20"/>
      <c r="BQ1209" s="154"/>
      <c r="BR1209" s="18"/>
      <c r="BS1209" s="16"/>
      <c r="BT1209" s="18"/>
      <c r="BU1209" s="18"/>
      <c r="BV1209" s="18"/>
      <c r="BW1209" s="20"/>
      <c r="BX1209" s="154"/>
      <c r="BY1209" s="18"/>
      <c r="BZ1209" s="146"/>
      <c r="CA1209" s="18"/>
      <c r="CB1209" s="18"/>
      <c r="CC1209" s="20"/>
      <c r="CD1209" s="154"/>
    </row>
    <row r="1210" spans="35:82">
      <c r="AI1210" s="19"/>
      <c r="AO1210" s="19"/>
      <c r="AY1210" s="145"/>
      <c r="AZ1210" s="16"/>
      <c r="BC1210" s="16"/>
      <c r="BD1210" s="20"/>
      <c r="BE1210" s="17"/>
      <c r="BF1210" s="20"/>
      <c r="BG1210" s="146"/>
      <c r="BH1210" s="146"/>
      <c r="BI1210" s="146"/>
      <c r="BJ1210" s="20"/>
      <c r="BK1210" s="20"/>
      <c r="BL1210" s="154"/>
      <c r="BP1210" s="20"/>
      <c r="BQ1210" s="154"/>
      <c r="BR1210" s="18"/>
      <c r="BS1210" s="16"/>
      <c r="BT1210" s="18"/>
      <c r="BU1210" s="18"/>
      <c r="BV1210" s="18"/>
      <c r="BW1210" s="20"/>
      <c r="BX1210" s="154"/>
      <c r="BY1210" s="18"/>
      <c r="BZ1210" s="146"/>
      <c r="CA1210" s="18"/>
      <c r="CB1210" s="18"/>
      <c r="CC1210" s="20"/>
      <c r="CD1210" s="154"/>
    </row>
    <row r="1211" spans="35:82">
      <c r="AI1211" s="19"/>
      <c r="AO1211" s="19"/>
      <c r="AY1211" s="145"/>
      <c r="AZ1211" s="16"/>
      <c r="BC1211" s="16"/>
      <c r="BD1211" s="20"/>
      <c r="BE1211" s="17"/>
      <c r="BF1211" s="20"/>
      <c r="BG1211" s="146"/>
      <c r="BH1211" s="146"/>
      <c r="BI1211" s="146"/>
      <c r="BJ1211" s="20"/>
      <c r="BK1211" s="20"/>
      <c r="BL1211" s="154"/>
      <c r="BP1211" s="20"/>
      <c r="BQ1211" s="154"/>
      <c r="BR1211" s="18"/>
      <c r="BS1211" s="16"/>
      <c r="BT1211" s="18"/>
      <c r="BU1211" s="18"/>
      <c r="BV1211" s="18"/>
      <c r="BW1211" s="20"/>
      <c r="BX1211" s="154"/>
      <c r="BY1211" s="18"/>
      <c r="BZ1211" s="146"/>
      <c r="CA1211" s="18"/>
      <c r="CB1211" s="18"/>
      <c r="CC1211" s="20"/>
      <c r="CD1211" s="154"/>
    </row>
    <row r="1212" spans="35:82">
      <c r="AI1212" s="19"/>
      <c r="AO1212" s="19"/>
      <c r="AY1212" s="145"/>
      <c r="AZ1212" s="16"/>
      <c r="BC1212" s="16"/>
      <c r="BD1212" s="20"/>
      <c r="BE1212" s="17"/>
      <c r="BF1212" s="20"/>
      <c r="BG1212" s="146"/>
      <c r="BH1212" s="146"/>
      <c r="BI1212" s="146"/>
      <c r="BJ1212" s="20"/>
      <c r="BK1212" s="20"/>
      <c r="BL1212" s="154"/>
      <c r="BP1212" s="20"/>
      <c r="BQ1212" s="154"/>
      <c r="BR1212" s="18"/>
      <c r="BS1212" s="16"/>
      <c r="BT1212" s="18"/>
      <c r="BU1212" s="18"/>
      <c r="BV1212" s="18"/>
      <c r="BW1212" s="20"/>
      <c r="BX1212" s="154"/>
      <c r="BY1212" s="18"/>
      <c r="BZ1212" s="146"/>
      <c r="CA1212" s="18"/>
      <c r="CB1212" s="18"/>
      <c r="CC1212" s="20"/>
      <c r="CD1212" s="154"/>
    </row>
    <row r="1213" spans="35:82">
      <c r="AI1213" s="19"/>
      <c r="AO1213" s="19"/>
      <c r="AY1213" s="145"/>
      <c r="AZ1213" s="16"/>
      <c r="BC1213" s="16"/>
      <c r="BD1213" s="20"/>
      <c r="BE1213" s="17"/>
      <c r="BF1213" s="20"/>
      <c r="BG1213" s="146"/>
      <c r="BH1213" s="146"/>
      <c r="BI1213" s="146"/>
      <c r="BJ1213" s="20"/>
      <c r="BK1213" s="20"/>
      <c r="BL1213" s="154"/>
      <c r="BP1213" s="20"/>
      <c r="BQ1213" s="154"/>
      <c r="BR1213" s="18"/>
      <c r="BS1213" s="16"/>
      <c r="BT1213" s="18"/>
      <c r="BU1213" s="18"/>
      <c r="BV1213" s="18"/>
      <c r="BW1213" s="20"/>
      <c r="BX1213" s="154"/>
      <c r="BY1213" s="18"/>
      <c r="BZ1213" s="146"/>
      <c r="CA1213" s="18"/>
      <c r="CB1213" s="18"/>
      <c r="CC1213" s="20"/>
      <c r="CD1213" s="154"/>
    </row>
    <row r="1214" spans="35:82">
      <c r="AI1214" s="19"/>
      <c r="AO1214" s="19"/>
      <c r="AY1214" s="145"/>
      <c r="AZ1214" s="16"/>
      <c r="BC1214" s="16"/>
      <c r="BD1214" s="20"/>
      <c r="BE1214" s="17"/>
      <c r="BF1214" s="20"/>
      <c r="BG1214" s="146"/>
      <c r="BH1214" s="146"/>
      <c r="BI1214" s="146"/>
      <c r="BJ1214" s="20"/>
      <c r="BK1214" s="20"/>
      <c r="BL1214" s="154"/>
      <c r="BP1214" s="20"/>
      <c r="BQ1214" s="154"/>
      <c r="BR1214" s="18"/>
      <c r="BS1214" s="16"/>
      <c r="BT1214" s="18"/>
      <c r="BU1214" s="18"/>
      <c r="BV1214" s="18"/>
      <c r="BW1214" s="20"/>
      <c r="BX1214" s="154"/>
      <c r="BY1214" s="18"/>
      <c r="BZ1214" s="146"/>
      <c r="CA1214" s="18"/>
      <c r="CB1214" s="18"/>
      <c r="CC1214" s="20"/>
      <c r="CD1214" s="154"/>
    </row>
    <row r="1215" spans="35:82">
      <c r="AI1215" s="19"/>
      <c r="AO1215" s="19"/>
      <c r="AY1215" s="145"/>
      <c r="AZ1215" s="16"/>
      <c r="BC1215" s="16"/>
      <c r="BD1215" s="20"/>
      <c r="BE1215" s="17"/>
      <c r="BF1215" s="20"/>
      <c r="BG1215" s="146"/>
      <c r="BH1215" s="146"/>
      <c r="BI1215" s="146"/>
      <c r="BJ1215" s="20"/>
      <c r="BK1215" s="20"/>
      <c r="BL1215" s="154"/>
      <c r="BP1215" s="20"/>
      <c r="BQ1215" s="154"/>
      <c r="BR1215" s="18"/>
      <c r="BS1215" s="16"/>
      <c r="BT1215" s="18"/>
      <c r="BU1215" s="18"/>
      <c r="BV1215" s="18"/>
      <c r="BW1215" s="20"/>
      <c r="BX1215" s="154"/>
      <c r="BY1215" s="18"/>
      <c r="BZ1215" s="146"/>
      <c r="CA1215" s="18"/>
      <c r="CB1215" s="18"/>
      <c r="CC1215" s="20"/>
      <c r="CD1215" s="154"/>
    </row>
    <row r="1216" spans="35:82">
      <c r="AI1216" s="19"/>
      <c r="AO1216" s="19"/>
      <c r="AY1216" s="145"/>
      <c r="AZ1216" s="16"/>
      <c r="BC1216" s="16"/>
      <c r="BD1216" s="20"/>
      <c r="BE1216" s="17"/>
      <c r="BF1216" s="20"/>
      <c r="BG1216" s="146"/>
      <c r="BH1216" s="146"/>
      <c r="BI1216" s="146"/>
      <c r="BJ1216" s="20"/>
      <c r="BK1216" s="20"/>
      <c r="BL1216" s="154"/>
      <c r="BP1216" s="20"/>
      <c r="BQ1216" s="154"/>
      <c r="BR1216" s="18"/>
      <c r="BS1216" s="16"/>
      <c r="BT1216" s="18"/>
      <c r="BU1216" s="18"/>
      <c r="BV1216" s="18"/>
      <c r="BW1216" s="20"/>
      <c r="BX1216" s="154"/>
      <c r="BY1216" s="18"/>
      <c r="BZ1216" s="146"/>
      <c r="CA1216" s="18"/>
      <c r="CB1216" s="18"/>
      <c r="CC1216" s="20"/>
      <c r="CD1216" s="154"/>
    </row>
    <row r="1217" spans="35:82">
      <c r="AI1217" s="19"/>
      <c r="AO1217" s="19"/>
      <c r="AY1217" s="145"/>
      <c r="AZ1217" s="16"/>
      <c r="BC1217" s="16"/>
      <c r="BD1217" s="20"/>
      <c r="BE1217" s="17"/>
      <c r="BF1217" s="20"/>
      <c r="BG1217" s="146"/>
      <c r="BH1217" s="146"/>
      <c r="BI1217" s="146"/>
      <c r="BJ1217" s="20"/>
      <c r="BK1217" s="20"/>
      <c r="BL1217" s="154"/>
      <c r="BP1217" s="20"/>
      <c r="BQ1217" s="154"/>
      <c r="BR1217" s="18"/>
      <c r="BS1217" s="16"/>
      <c r="BT1217" s="18"/>
      <c r="BU1217" s="18"/>
      <c r="BV1217" s="18"/>
      <c r="BW1217" s="20"/>
      <c r="BX1217" s="154"/>
      <c r="BY1217" s="18"/>
      <c r="BZ1217" s="146"/>
      <c r="CA1217" s="18"/>
      <c r="CB1217" s="18"/>
      <c r="CC1217" s="20"/>
      <c r="CD1217" s="154"/>
    </row>
    <row r="1218" spans="35:82">
      <c r="AI1218" s="19"/>
      <c r="AO1218" s="19"/>
      <c r="AY1218" s="145"/>
      <c r="AZ1218" s="16"/>
      <c r="BC1218" s="16"/>
      <c r="BD1218" s="20"/>
      <c r="BE1218" s="17"/>
      <c r="BF1218" s="20"/>
      <c r="BG1218" s="146"/>
      <c r="BH1218" s="146"/>
      <c r="BI1218" s="146"/>
      <c r="BJ1218" s="20"/>
      <c r="BK1218" s="20"/>
      <c r="BL1218" s="154"/>
      <c r="BP1218" s="20"/>
      <c r="BQ1218" s="154"/>
      <c r="BR1218" s="18"/>
      <c r="BS1218" s="16"/>
      <c r="BT1218" s="18"/>
      <c r="BU1218" s="18"/>
      <c r="BV1218" s="18"/>
      <c r="BW1218" s="20"/>
      <c r="BX1218" s="154"/>
      <c r="BY1218" s="18"/>
      <c r="BZ1218" s="146"/>
      <c r="CA1218" s="18"/>
      <c r="CB1218" s="18"/>
      <c r="CC1218" s="20"/>
      <c r="CD1218" s="154"/>
    </row>
    <row r="1219" spans="35:82">
      <c r="AI1219" s="19"/>
      <c r="AO1219" s="19"/>
      <c r="AY1219" s="145"/>
      <c r="AZ1219" s="16"/>
      <c r="BC1219" s="16"/>
      <c r="BD1219" s="20"/>
      <c r="BE1219" s="17"/>
      <c r="BF1219" s="20"/>
      <c r="BG1219" s="146"/>
      <c r="BH1219" s="146"/>
      <c r="BI1219" s="146"/>
      <c r="BJ1219" s="20"/>
      <c r="BK1219" s="20"/>
      <c r="BL1219" s="154"/>
      <c r="BP1219" s="20"/>
      <c r="BQ1219" s="154"/>
      <c r="BR1219" s="18"/>
      <c r="BS1219" s="16"/>
      <c r="BT1219" s="18"/>
      <c r="BU1219" s="18"/>
      <c r="BV1219" s="18"/>
      <c r="BW1219" s="20"/>
      <c r="BX1219" s="154"/>
      <c r="BY1219" s="18"/>
      <c r="BZ1219" s="146"/>
      <c r="CA1219" s="18"/>
      <c r="CB1219" s="18"/>
      <c r="CC1219" s="20"/>
      <c r="CD1219" s="154"/>
    </row>
    <row r="1220" spans="35:82">
      <c r="AI1220" s="19"/>
      <c r="AO1220" s="19"/>
      <c r="AY1220" s="145"/>
      <c r="AZ1220" s="16"/>
      <c r="BC1220" s="16"/>
      <c r="BD1220" s="20"/>
      <c r="BE1220" s="17"/>
      <c r="BF1220" s="20"/>
      <c r="BG1220" s="146"/>
      <c r="BH1220" s="146"/>
      <c r="BI1220" s="146"/>
      <c r="BJ1220" s="20"/>
      <c r="BK1220" s="20"/>
      <c r="BL1220" s="154"/>
      <c r="BP1220" s="20"/>
      <c r="BQ1220" s="154"/>
      <c r="BR1220" s="18"/>
      <c r="BS1220" s="16"/>
      <c r="BT1220" s="18"/>
      <c r="BU1220" s="18"/>
      <c r="BV1220" s="18"/>
      <c r="BW1220" s="20"/>
      <c r="BX1220" s="154"/>
      <c r="BY1220" s="18"/>
      <c r="BZ1220" s="146"/>
      <c r="CA1220" s="18"/>
      <c r="CB1220" s="18"/>
      <c r="CC1220" s="20"/>
      <c r="CD1220" s="154"/>
    </row>
    <row r="1221" spans="35:82">
      <c r="AI1221" s="19"/>
      <c r="AO1221" s="19"/>
      <c r="AY1221" s="145"/>
      <c r="AZ1221" s="16"/>
      <c r="BC1221" s="16"/>
      <c r="BD1221" s="20"/>
      <c r="BE1221" s="17"/>
      <c r="BF1221" s="20"/>
      <c r="BG1221" s="146"/>
      <c r="BH1221" s="146"/>
      <c r="BI1221" s="146"/>
      <c r="BJ1221" s="20"/>
      <c r="BK1221" s="20"/>
      <c r="BL1221" s="154"/>
      <c r="BP1221" s="20"/>
      <c r="BQ1221" s="154"/>
      <c r="BR1221" s="18"/>
      <c r="BS1221" s="16"/>
      <c r="BT1221" s="18"/>
      <c r="BU1221" s="18"/>
      <c r="BV1221" s="18"/>
      <c r="BW1221" s="20"/>
      <c r="BX1221" s="154"/>
      <c r="BY1221" s="18"/>
      <c r="BZ1221" s="146"/>
      <c r="CA1221" s="18"/>
      <c r="CB1221" s="18"/>
      <c r="CC1221" s="20"/>
      <c r="CD1221" s="154"/>
    </row>
    <row r="1222" spans="35:82">
      <c r="AI1222" s="19"/>
      <c r="AO1222" s="19"/>
      <c r="AY1222" s="145"/>
      <c r="AZ1222" s="16"/>
      <c r="BC1222" s="16"/>
      <c r="BD1222" s="20"/>
      <c r="BE1222" s="17"/>
      <c r="BF1222" s="20"/>
      <c r="BG1222" s="146"/>
      <c r="BH1222" s="146"/>
      <c r="BI1222" s="146"/>
      <c r="BJ1222" s="20"/>
      <c r="BK1222" s="20"/>
      <c r="BL1222" s="154"/>
      <c r="BP1222" s="20"/>
      <c r="BQ1222" s="154"/>
      <c r="BR1222" s="18"/>
      <c r="BS1222" s="16"/>
      <c r="BT1222" s="18"/>
      <c r="BU1222" s="18"/>
      <c r="BV1222" s="18"/>
      <c r="BW1222" s="20"/>
      <c r="BX1222" s="154"/>
      <c r="BY1222" s="18"/>
      <c r="BZ1222" s="146"/>
      <c r="CA1222" s="18"/>
      <c r="CB1222" s="18"/>
      <c r="CC1222" s="20"/>
      <c r="CD1222" s="154"/>
    </row>
    <row r="1223" spans="35:82">
      <c r="AI1223" s="19"/>
      <c r="AO1223" s="19"/>
      <c r="AY1223" s="145"/>
      <c r="AZ1223" s="16"/>
      <c r="BC1223" s="16"/>
      <c r="BD1223" s="20"/>
      <c r="BE1223" s="17"/>
      <c r="BF1223" s="20"/>
      <c r="BG1223" s="146"/>
      <c r="BH1223" s="146"/>
      <c r="BI1223" s="146"/>
      <c r="BJ1223" s="20"/>
      <c r="BK1223" s="20"/>
      <c r="BL1223" s="154"/>
      <c r="BP1223" s="20"/>
      <c r="BQ1223" s="154"/>
      <c r="BR1223" s="18"/>
      <c r="BS1223" s="16"/>
      <c r="BT1223" s="18"/>
      <c r="BU1223" s="18"/>
      <c r="BV1223" s="18"/>
      <c r="BW1223" s="20"/>
      <c r="BX1223" s="154"/>
      <c r="BY1223" s="18"/>
      <c r="BZ1223" s="146"/>
      <c r="CA1223" s="18"/>
      <c r="CB1223" s="18"/>
      <c r="CC1223" s="20"/>
      <c r="CD1223" s="154"/>
    </row>
    <row r="1224" spans="35:82">
      <c r="AI1224" s="19"/>
      <c r="AO1224" s="19"/>
      <c r="AY1224" s="145"/>
      <c r="AZ1224" s="16"/>
      <c r="BC1224" s="16"/>
      <c r="BD1224" s="20"/>
      <c r="BE1224" s="17"/>
      <c r="BF1224" s="20"/>
      <c r="BG1224" s="146"/>
      <c r="BH1224" s="146"/>
      <c r="BI1224" s="146"/>
      <c r="BJ1224" s="20"/>
      <c r="BK1224" s="20"/>
      <c r="BL1224" s="154"/>
      <c r="BP1224" s="20"/>
      <c r="BQ1224" s="154"/>
      <c r="BR1224" s="18"/>
      <c r="BS1224" s="16"/>
      <c r="BT1224" s="18"/>
      <c r="BU1224" s="18"/>
      <c r="BV1224" s="18"/>
      <c r="BW1224" s="20"/>
      <c r="BX1224" s="154"/>
      <c r="BY1224" s="18"/>
      <c r="BZ1224" s="146"/>
      <c r="CA1224" s="18"/>
      <c r="CB1224" s="18"/>
      <c r="CC1224" s="20"/>
      <c r="CD1224" s="154"/>
    </row>
    <row r="1225" spans="35:82">
      <c r="AI1225" s="19"/>
      <c r="AO1225" s="19"/>
      <c r="AY1225" s="145"/>
      <c r="AZ1225" s="16"/>
      <c r="BC1225" s="16"/>
      <c r="BD1225" s="20"/>
      <c r="BE1225" s="17"/>
      <c r="BF1225" s="20"/>
      <c r="BG1225" s="146"/>
      <c r="BH1225" s="146"/>
      <c r="BI1225" s="146"/>
      <c r="BJ1225" s="20"/>
      <c r="BK1225" s="20"/>
      <c r="BL1225" s="154"/>
      <c r="BP1225" s="20"/>
      <c r="BQ1225" s="154"/>
      <c r="BR1225" s="18"/>
      <c r="BS1225" s="16"/>
      <c r="BT1225" s="18"/>
      <c r="BU1225" s="18"/>
      <c r="BV1225" s="18"/>
      <c r="BW1225" s="20"/>
      <c r="BX1225" s="154"/>
      <c r="BY1225" s="18"/>
      <c r="BZ1225" s="146"/>
      <c r="CA1225" s="18"/>
      <c r="CB1225" s="18"/>
      <c r="CC1225" s="20"/>
      <c r="CD1225" s="154"/>
    </row>
    <row r="1226" spans="35:82">
      <c r="AI1226" s="19"/>
      <c r="AO1226" s="19"/>
      <c r="AY1226" s="145"/>
      <c r="AZ1226" s="16"/>
      <c r="BC1226" s="16"/>
      <c r="BD1226" s="20"/>
      <c r="BE1226" s="17"/>
      <c r="BF1226" s="20"/>
      <c r="BG1226" s="146"/>
      <c r="BH1226" s="146"/>
      <c r="BI1226" s="146"/>
      <c r="BJ1226" s="20"/>
      <c r="BK1226" s="20"/>
      <c r="BL1226" s="154"/>
      <c r="BP1226" s="20"/>
      <c r="BQ1226" s="154"/>
      <c r="BR1226" s="18"/>
      <c r="BS1226" s="16"/>
      <c r="BT1226" s="18"/>
      <c r="BU1226" s="18"/>
      <c r="BV1226" s="18"/>
      <c r="BW1226" s="20"/>
      <c r="BX1226" s="154"/>
      <c r="BY1226" s="18"/>
      <c r="BZ1226" s="146"/>
      <c r="CA1226" s="18"/>
      <c r="CB1226" s="18"/>
      <c r="CC1226" s="20"/>
      <c r="CD1226" s="154"/>
    </row>
    <row r="1227" spans="35:82">
      <c r="AI1227" s="19"/>
      <c r="AO1227" s="19"/>
      <c r="AY1227" s="145"/>
      <c r="AZ1227" s="16"/>
      <c r="BC1227" s="16"/>
      <c r="BD1227" s="20"/>
      <c r="BE1227" s="17"/>
      <c r="BF1227" s="20"/>
      <c r="BG1227" s="146"/>
      <c r="BH1227" s="146"/>
      <c r="BI1227" s="146"/>
      <c r="BJ1227" s="20"/>
      <c r="BK1227" s="20"/>
      <c r="BL1227" s="154"/>
      <c r="BP1227" s="20"/>
      <c r="BQ1227" s="154"/>
      <c r="BR1227" s="18"/>
      <c r="BS1227" s="16"/>
      <c r="BT1227" s="18"/>
      <c r="BU1227" s="18"/>
      <c r="BV1227" s="18"/>
      <c r="BW1227" s="20"/>
      <c r="BX1227" s="154"/>
      <c r="BY1227" s="18"/>
      <c r="BZ1227" s="146"/>
      <c r="CA1227" s="18"/>
      <c r="CB1227" s="18"/>
      <c r="CC1227" s="20"/>
      <c r="CD1227" s="154"/>
    </row>
    <row r="1228" spans="35:82">
      <c r="AI1228" s="19"/>
      <c r="AO1228" s="19"/>
      <c r="AY1228" s="145"/>
      <c r="AZ1228" s="16"/>
      <c r="BC1228" s="16"/>
      <c r="BD1228" s="20"/>
      <c r="BE1228" s="17"/>
      <c r="BF1228" s="20"/>
      <c r="BG1228" s="146"/>
      <c r="BH1228" s="146"/>
      <c r="BI1228" s="146"/>
      <c r="BJ1228" s="20"/>
      <c r="BK1228" s="20"/>
      <c r="BL1228" s="154"/>
      <c r="BP1228" s="20"/>
      <c r="BQ1228" s="154"/>
      <c r="BR1228" s="18"/>
      <c r="BS1228" s="16"/>
      <c r="BT1228" s="18"/>
      <c r="BU1228" s="18"/>
      <c r="BV1228" s="18"/>
      <c r="BW1228" s="20"/>
      <c r="BX1228" s="154"/>
      <c r="BY1228" s="18"/>
      <c r="BZ1228" s="146"/>
      <c r="CA1228" s="18"/>
      <c r="CB1228" s="18"/>
      <c r="CC1228" s="20"/>
      <c r="CD1228" s="154"/>
    </row>
    <row r="1229" spans="35:82">
      <c r="AI1229" s="19"/>
      <c r="AO1229" s="19"/>
      <c r="AY1229" s="145"/>
      <c r="AZ1229" s="16"/>
      <c r="BC1229" s="16"/>
      <c r="BD1229" s="20"/>
      <c r="BE1229" s="17"/>
      <c r="BF1229" s="20"/>
      <c r="BG1229" s="146"/>
      <c r="BH1229" s="146"/>
      <c r="BI1229" s="146"/>
      <c r="BJ1229" s="20"/>
      <c r="BK1229" s="20"/>
      <c r="BL1229" s="154"/>
      <c r="BP1229" s="20"/>
      <c r="BQ1229" s="154"/>
      <c r="BR1229" s="18"/>
      <c r="BS1229" s="16"/>
      <c r="BT1229" s="18"/>
      <c r="BU1229" s="18"/>
      <c r="BV1229" s="18"/>
      <c r="BW1229" s="20"/>
      <c r="BX1229" s="154"/>
      <c r="BY1229" s="18"/>
      <c r="BZ1229" s="146"/>
      <c r="CA1229" s="18"/>
      <c r="CB1229" s="18"/>
      <c r="CC1229" s="20"/>
      <c r="CD1229" s="154"/>
    </row>
    <row r="1230" spans="35:82">
      <c r="AI1230" s="19"/>
      <c r="AO1230" s="19"/>
      <c r="AY1230" s="145"/>
      <c r="AZ1230" s="16"/>
      <c r="BC1230" s="16"/>
      <c r="BD1230" s="20"/>
      <c r="BE1230" s="17"/>
      <c r="BF1230" s="20"/>
      <c r="BG1230" s="146"/>
      <c r="BH1230" s="146"/>
      <c r="BI1230" s="146"/>
      <c r="BJ1230" s="20"/>
      <c r="BK1230" s="20"/>
      <c r="BL1230" s="154"/>
      <c r="BP1230" s="20"/>
      <c r="BQ1230" s="154"/>
      <c r="BR1230" s="18"/>
      <c r="BS1230" s="16"/>
      <c r="BT1230" s="18"/>
      <c r="BU1230" s="18"/>
      <c r="BV1230" s="18"/>
      <c r="BW1230" s="20"/>
      <c r="BX1230" s="154"/>
      <c r="BY1230" s="18"/>
      <c r="BZ1230" s="146"/>
      <c r="CA1230" s="18"/>
      <c r="CB1230" s="18"/>
      <c r="CC1230" s="20"/>
      <c r="CD1230" s="154"/>
    </row>
    <row r="1231" spans="35:82">
      <c r="AI1231" s="19"/>
      <c r="AO1231" s="19"/>
      <c r="AY1231" s="145"/>
      <c r="AZ1231" s="16"/>
      <c r="BC1231" s="16"/>
      <c r="BD1231" s="20"/>
      <c r="BE1231" s="17"/>
      <c r="BF1231" s="20"/>
      <c r="BG1231" s="146"/>
      <c r="BH1231" s="146"/>
      <c r="BI1231" s="146"/>
      <c r="BJ1231" s="20"/>
      <c r="BK1231" s="20"/>
      <c r="BL1231" s="154"/>
      <c r="BP1231" s="20"/>
      <c r="BQ1231" s="154"/>
      <c r="BR1231" s="18"/>
      <c r="BS1231" s="16"/>
      <c r="BT1231" s="18"/>
      <c r="BU1231" s="18"/>
      <c r="BV1231" s="18"/>
      <c r="BW1231" s="20"/>
      <c r="BX1231" s="154"/>
      <c r="BY1231" s="18"/>
      <c r="BZ1231" s="146"/>
      <c r="CA1231" s="18"/>
      <c r="CB1231" s="18"/>
      <c r="CC1231" s="20"/>
      <c r="CD1231" s="154"/>
    </row>
    <row r="1232" spans="35:82">
      <c r="AI1232" s="19"/>
      <c r="AO1232" s="19"/>
      <c r="AY1232" s="145"/>
      <c r="AZ1232" s="16"/>
      <c r="BC1232" s="16"/>
      <c r="BD1232" s="20"/>
      <c r="BE1232" s="17"/>
      <c r="BF1232" s="20"/>
      <c r="BG1232" s="146"/>
      <c r="BH1232" s="146"/>
      <c r="BI1232" s="146"/>
      <c r="BJ1232" s="20"/>
      <c r="BK1232" s="20"/>
      <c r="BL1232" s="154"/>
      <c r="BP1232" s="20"/>
      <c r="BQ1232" s="154"/>
      <c r="BR1232" s="18"/>
      <c r="BS1232" s="16"/>
      <c r="BT1232" s="18"/>
      <c r="BU1232" s="18"/>
      <c r="BV1232" s="18"/>
      <c r="BW1232" s="20"/>
      <c r="BX1232" s="154"/>
      <c r="BY1232" s="18"/>
      <c r="BZ1232" s="146"/>
      <c r="CA1232" s="18"/>
      <c r="CB1232" s="18"/>
      <c r="CC1232" s="20"/>
      <c r="CD1232" s="154"/>
    </row>
    <row r="1233" spans="35:82">
      <c r="AI1233" s="19"/>
      <c r="AO1233" s="19"/>
      <c r="AY1233" s="145"/>
      <c r="AZ1233" s="16"/>
      <c r="BC1233" s="16"/>
      <c r="BD1233" s="20"/>
      <c r="BE1233" s="17"/>
      <c r="BF1233" s="20"/>
      <c r="BG1233" s="146"/>
      <c r="BH1233" s="146"/>
      <c r="BI1233" s="146"/>
      <c r="BJ1233" s="20"/>
      <c r="BK1233" s="20"/>
      <c r="BL1233" s="154"/>
      <c r="BP1233" s="20"/>
      <c r="BQ1233" s="154"/>
      <c r="BR1233" s="18"/>
      <c r="BS1233" s="16"/>
      <c r="BT1233" s="18"/>
      <c r="BU1233" s="18"/>
      <c r="BV1233" s="18"/>
      <c r="BW1233" s="20"/>
      <c r="BX1233" s="154"/>
      <c r="BY1233" s="18"/>
      <c r="BZ1233" s="146"/>
      <c r="CA1233" s="18"/>
      <c r="CB1233" s="18"/>
      <c r="CC1233" s="20"/>
      <c r="CD1233" s="154"/>
    </row>
    <row r="1234" spans="35:82">
      <c r="AI1234" s="19"/>
      <c r="AO1234" s="19"/>
      <c r="AY1234" s="145"/>
      <c r="AZ1234" s="16"/>
      <c r="BC1234" s="16"/>
      <c r="BD1234" s="20"/>
      <c r="BE1234" s="17"/>
      <c r="BF1234" s="20"/>
      <c r="BG1234" s="146"/>
      <c r="BH1234" s="146"/>
      <c r="BI1234" s="146"/>
      <c r="BJ1234" s="20"/>
      <c r="BK1234" s="20"/>
      <c r="BL1234" s="154"/>
      <c r="BP1234" s="20"/>
      <c r="BQ1234" s="154"/>
      <c r="BR1234" s="18"/>
      <c r="BS1234" s="16"/>
      <c r="BT1234" s="18"/>
      <c r="BU1234" s="18"/>
      <c r="BV1234" s="18"/>
      <c r="BW1234" s="20"/>
      <c r="BX1234" s="154"/>
      <c r="BY1234" s="18"/>
      <c r="BZ1234" s="146"/>
      <c r="CA1234" s="18"/>
      <c r="CB1234" s="18"/>
      <c r="CC1234" s="20"/>
      <c r="CD1234" s="154"/>
    </row>
    <row r="1235" spans="35:82">
      <c r="AI1235" s="19"/>
      <c r="AO1235" s="19"/>
      <c r="AY1235" s="145"/>
      <c r="AZ1235" s="16"/>
      <c r="BC1235" s="16"/>
      <c r="BD1235" s="20"/>
      <c r="BE1235" s="17"/>
      <c r="BF1235" s="20"/>
      <c r="BG1235" s="146"/>
      <c r="BH1235" s="146"/>
      <c r="BI1235" s="146"/>
      <c r="BJ1235" s="20"/>
      <c r="BK1235" s="20"/>
      <c r="BL1235" s="154"/>
      <c r="BP1235" s="20"/>
      <c r="BQ1235" s="154"/>
      <c r="BR1235" s="18"/>
      <c r="BS1235" s="16"/>
      <c r="BT1235" s="18"/>
      <c r="BU1235" s="18"/>
      <c r="BV1235" s="18"/>
      <c r="BW1235" s="20"/>
      <c r="BX1235" s="154"/>
      <c r="BY1235" s="18"/>
      <c r="BZ1235" s="146"/>
      <c r="CA1235" s="18"/>
      <c r="CB1235" s="18"/>
      <c r="CC1235" s="20"/>
      <c r="CD1235" s="154"/>
    </row>
    <row r="1236" spans="35:82">
      <c r="AI1236" s="19"/>
      <c r="AO1236" s="19"/>
      <c r="AY1236" s="145"/>
      <c r="AZ1236" s="16"/>
      <c r="BC1236" s="16"/>
      <c r="BD1236" s="20"/>
      <c r="BE1236" s="17"/>
      <c r="BF1236" s="20"/>
      <c r="BG1236" s="146"/>
      <c r="BH1236" s="146"/>
      <c r="BI1236" s="146"/>
      <c r="BJ1236" s="20"/>
      <c r="BK1236" s="20"/>
      <c r="BL1236" s="154"/>
      <c r="BP1236" s="20"/>
      <c r="BQ1236" s="154"/>
      <c r="BR1236" s="18"/>
      <c r="BS1236" s="16"/>
      <c r="BT1236" s="18"/>
      <c r="BU1236" s="18"/>
      <c r="BV1236" s="18"/>
      <c r="BW1236" s="20"/>
      <c r="BX1236" s="154"/>
      <c r="BY1236" s="18"/>
      <c r="BZ1236" s="146"/>
      <c r="CA1236" s="18"/>
      <c r="CB1236" s="18"/>
      <c r="CC1236" s="20"/>
      <c r="CD1236" s="154"/>
    </row>
    <row r="1237" spans="35:82">
      <c r="AI1237" s="19"/>
      <c r="AO1237" s="19"/>
      <c r="AY1237" s="145"/>
      <c r="AZ1237" s="16"/>
      <c r="BC1237" s="16"/>
      <c r="BD1237" s="20"/>
      <c r="BE1237" s="17"/>
      <c r="BF1237" s="20"/>
      <c r="BG1237" s="146"/>
      <c r="BH1237" s="146"/>
      <c r="BI1237" s="146"/>
      <c r="BJ1237" s="20"/>
      <c r="BK1237" s="20"/>
      <c r="BL1237" s="154"/>
      <c r="BP1237" s="20"/>
      <c r="BQ1237" s="154"/>
      <c r="BR1237" s="18"/>
      <c r="BS1237" s="16"/>
      <c r="BT1237" s="18"/>
      <c r="BU1237" s="18"/>
      <c r="BV1237" s="18"/>
      <c r="BW1237" s="20"/>
      <c r="BX1237" s="154"/>
      <c r="BY1237" s="18"/>
      <c r="BZ1237" s="146"/>
      <c r="CA1237" s="18"/>
      <c r="CB1237" s="18"/>
      <c r="CC1237" s="20"/>
      <c r="CD1237" s="154"/>
    </row>
    <row r="1238" spans="35:82">
      <c r="AI1238" s="19"/>
      <c r="AO1238" s="19"/>
      <c r="AY1238" s="145"/>
      <c r="AZ1238" s="16"/>
      <c r="BC1238" s="16"/>
      <c r="BD1238" s="20"/>
      <c r="BE1238" s="17"/>
      <c r="BF1238" s="20"/>
      <c r="BG1238" s="146"/>
      <c r="BH1238" s="146"/>
      <c r="BI1238" s="146"/>
      <c r="BJ1238" s="20"/>
      <c r="BK1238" s="20"/>
      <c r="BL1238" s="154"/>
      <c r="BP1238" s="20"/>
      <c r="BQ1238" s="154"/>
      <c r="BR1238" s="18"/>
      <c r="BS1238" s="16"/>
      <c r="BT1238" s="18"/>
      <c r="BU1238" s="18"/>
      <c r="BV1238" s="18"/>
      <c r="BW1238" s="20"/>
      <c r="BX1238" s="154"/>
      <c r="BY1238" s="18"/>
      <c r="BZ1238" s="146"/>
      <c r="CA1238" s="18"/>
      <c r="CB1238" s="18"/>
      <c r="CC1238" s="20"/>
      <c r="CD1238" s="154"/>
    </row>
    <row r="1239" spans="35:82">
      <c r="AI1239" s="19"/>
      <c r="AO1239" s="19"/>
      <c r="AY1239" s="145"/>
      <c r="AZ1239" s="16"/>
      <c r="BC1239" s="16"/>
      <c r="BD1239" s="20"/>
      <c r="BE1239" s="17"/>
      <c r="BF1239" s="20"/>
      <c r="BG1239" s="146"/>
      <c r="BH1239" s="146"/>
      <c r="BI1239" s="146"/>
      <c r="BJ1239" s="20"/>
      <c r="BK1239" s="20"/>
      <c r="BL1239" s="154"/>
      <c r="BP1239" s="20"/>
      <c r="BQ1239" s="154"/>
      <c r="BR1239" s="18"/>
      <c r="BS1239" s="16"/>
      <c r="BT1239" s="18"/>
      <c r="BU1239" s="18"/>
      <c r="BV1239" s="18"/>
      <c r="BW1239" s="20"/>
      <c r="BX1239" s="154"/>
      <c r="BY1239" s="18"/>
      <c r="BZ1239" s="146"/>
      <c r="CA1239" s="18"/>
      <c r="CB1239" s="18"/>
      <c r="CC1239" s="20"/>
      <c r="CD1239" s="154"/>
    </row>
    <row r="1240" spans="35:82">
      <c r="AI1240" s="19"/>
      <c r="AO1240" s="19"/>
      <c r="AY1240" s="145"/>
      <c r="AZ1240" s="16"/>
      <c r="BC1240" s="16"/>
      <c r="BD1240" s="20"/>
      <c r="BE1240" s="17"/>
      <c r="BF1240" s="20"/>
      <c r="BG1240" s="146"/>
      <c r="BH1240" s="146"/>
      <c r="BI1240" s="146"/>
      <c r="BJ1240" s="20"/>
      <c r="BK1240" s="20"/>
      <c r="BL1240" s="154"/>
      <c r="BP1240" s="20"/>
      <c r="BQ1240" s="154"/>
      <c r="BR1240" s="18"/>
      <c r="BS1240" s="16"/>
      <c r="BT1240" s="18"/>
      <c r="BU1240" s="18"/>
      <c r="BV1240" s="18"/>
      <c r="BW1240" s="20"/>
      <c r="BX1240" s="154"/>
      <c r="BY1240" s="18"/>
      <c r="BZ1240" s="146"/>
      <c r="CA1240" s="18"/>
      <c r="CB1240" s="18"/>
      <c r="CC1240" s="20"/>
      <c r="CD1240" s="154"/>
    </row>
    <row r="1241" spans="35:82">
      <c r="AI1241" s="19"/>
      <c r="AO1241" s="19"/>
      <c r="AY1241" s="145"/>
      <c r="AZ1241" s="16"/>
      <c r="BC1241" s="16"/>
      <c r="BD1241" s="20"/>
      <c r="BE1241" s="17"/>
      <c r="BF1241" s="20"/>
      <c r="BG1241" s="146"/>
      <c r="BH1241" s="146"/>
      <c r="BI1241" s="146"/>
      <c r="BJ1241" s="20"/>
      <c r="BK1241" s="20"/>
      <c r="BL1241" s="154"/>
      <c r="BP1241" s="20"/>
      <c r="BQ1241" s="154"/>
      <c r="BR1241" s="18"/>
      <c r="BS1241" s="16"/>
      <c r="BT1241" s="18"/>
      <c r="BU1241" s="18"/>
      <c r="BV1241" s="18"/>
      <c r="BW1241" s="20"/>
      <c r="BX1241" s="154"/>
      <c r="BY1241" s="18"/>
      <c r="BZ1241" s="146"/>
      <c r="CA1241" s="18"/>
      <c r="CB1241" s="18"/>
      <c r="CC1241" s="20"/>
      <c r="CD1241" s="154"/>
    </row>
    <row r="1242" spans="35:82">
      <c r="AI1242" s="19"/>
      <c r="AO1242" s="19"/>
      <c r="AY1242" s="145"/>
      <c r="AZ1242" s="16"/>
      <c r="BC1242" s="16"/>
      <c r="BD1242" s="20"/>
      <c r="BE1242" s="17"/>
      <c r="BF1242" s="20"/>
      <c r="BG1242" s="146"/>
      <c r="BH1242" s="146"/>
      <c r="BI1242" s="146"/>
      <c r="BJ1242" s="20"/>
      <c r="BK1242" s="20"/>
      <c r="BL1242" s="154"/>
      <c r="BP1242" s="20"/>
      <c r="BQ1242" s="154"/>
      <c r="BR1242" s="18"/>
      <c r="BS1242" s="16"/>
      <c r="BT1242" s="18"/>
      <c r="BU1242" s="18"/>
      <c r="BV1242" s="18"/>
      <c r="BW1242" s="20"/>
      <c r="BX1242" s="154"/>
      <c r="BY1242" s="18"/>
      <c r="BZ1242" s="146"/>
      <c r="CA1242" s="18"/>
      <c r="CB1242" s="18"/>
      <c r="CC1242" s="20"/>
      <c r="CD1242" s="154"/>
    </row>
    <row r="1243" spans="35:82">
      <c r="AI1243" s="19"/>
      <c r="AO1243" s="19"/>
      <c r="AY1243" s="145"/>
      <c r="AZ1243" s="16"/>
      <c r="BC1243" s="16"/>
      <c r="BD1243" s="20"/>
      <c r="BE1243" s="17"/>
      <c r="BF1243" s="20"/>
      <c r="BG1243" s="146"/>
      <c r="BH1243" s="146"/>
      <c r="BI1243" s="146"/>
      <c r="BJ1243" s="20"/>
      <c r="BK1243" s="20"/>
      <c r="BL1243" s="154"/>
      <c r="BP1243" s="20"/>
      <c r="BQ1243" s="154"/>
      <c r="BR1243" s="18"/>
      <c r="BS1243" s="16"/>
      <c r="BT1243" s="18"/>
      <c r="BU1243" s="18"/>
      <c r="BV1243" s="18"/>
      <c r="BW1243" s="20"/>
      <c r="BX1243" s="154"/>
      <c r="BY1243" s="18"/>
      <c r="BZ1243" s="146"/>
      <c r="CA1243" s="18"/>
      <c r="CB1243" s="18"/>
      <c r="CC1243" s="20"/>
      <c r="CD1243" s="154"/>
    </row>
    <row r="1244" spans="35:82">
      <c r="AI1244" s="19"/>
      <c r="AO1244" s="19"/>
      <c r="AY1244" s="145"/>
      <c r="AZ1244" s="16"/>
      <c r="BC1244" s="16"/>
      <c r="BD1244" s="20"/>
      <c r="BE1244" s="17"/>
      <c r="BF1244" s="20"/>
      <c r="BG1244" s="146"/>
      <c r="BH1244" s="146"/>
      <c r="BI1244" s="146"/>
      <c r="BJ1244" s="20"/>
      <c r="BK1244" s="20"/>
      <c r="BL1244" s="154"/>
      <c r="BP1244" s="20"/>
      <c r="BQ1244" s="154"/>
      <c r="BR1244" s="18"/>
      <c r="BS1244" s="16"/>
      <c r="BT1244" s="18"/>
      <c r="BU1244" s="18"/>
      <c r="BV1244" s="18"/>
      <c r="BW1244" s="20"/>
      <c r="BX1244" s="154"/>
      <c r="BY1244" s="18"/>
      <c r="BZ1244" s="146"/>
      <c r="CA1244" s="18"/>
      <c r="CB1244" s="18"/>
      <c r="CC1244" s="20"/>
      <c r="CD1244" s="154"/>
    </row>
    <row r="1245" spans="35:82">
      <c r="AI1245" s="19"/>
      <c r="AO1245" s="19"/>
      <c r="AY1245" s="145"/>
      <c r="AZ1245" s="16"/>
      <c r="BC1245" s="16"/>
      <c r="BD1245" s="20"/>
      <c r="BE1245" s="17"/>
      <c r="BF1245" s="20"/>
      <c r="BG1245" s="146"/>
      <c r="BH1245" s="146"/>
      <c r="BI1245" s="146"/>
      <c r="BJ1245" s="20"/>
      <c r="BK1245" s="20"/>
      <c r="BL1245" s="154"/>
      <c r="BP1245" s="20"/>
      <c r="BQ1245" s="154"/>
      <c r="BR1245" s="18"/>
      <c r="BS1245" s="16"/>
      <c r="BT1245" s="18"/>
      <c r="BU1245" s="18"/>
      <c r="BV1245" s="18"/>
      <c r="BW1245" s="20"/>
      <c r="BX1245" s="154"/>
      <c r="BY1245" s="18"/>
      <c r="BZ1245" s="146"/>
      <c r="CA1245" s="18"/>
      <c r="CB1245" s="18"/>
      <c r="CC1245" s="20"/>
      <c r="CD1245" s="154"/>
    </row>
    <row r="1246" spans="35:82">
      <c r="AI1246" s="19"/>
      <c r="AO1246" s="19"/>
      <c r="AY1246" s="145"/>
      <c r="AZ1246" s="16"/>
      <c r="BC1246" s="16"/>
      <c r="BD1246" s="20"/>
      <c r="BE1246" s="17"/>
      <c r="BF1246" s="20"/>
      <c r="BG1246" s="146"/>
      <c r="BH1246" s="146"/>
      <c r="BI1246" s="146"/>
      <c r="BJ1246" s="20"/>
      <c r="BK1246" s="20"/>
      <c r="BL1246" s="154"/>
      <c r="BP1246" s="20"/>
      <c r="BQ1246" s="154"/>
      <c r="BR1246" s="18"/>
      <c r="BS1246" s="16"/>
      <c r="BT1246" s="18"/>
      <c r="BU1246" s="18"/>
      <c r="BV1246" s="18"/>
      <c r="BW1246" s="20"/>
      <c r="BX1246" s="154"/>
      <c r="BY1246" s="18"/>
      <c r="BZ1246" s="146"/>
      <c r="CA1246" s="18"/>
      <c r="CB1246" s="18"/>
      <c r="CC1246" s="20"/>
      <c r="CD1246" s="154"/>
    </row>
    <row r="1247" spans="35:82">
      <c r="AI1247" s="19"/>
      <c r="AO1247" s="19"/>
      <c r="AY1247" s="145"/>
      <c r="AZ1247" s="16"/>
      <c r="BC1247" s="16"/>
      <c r="BD1247" s="20"/>
      <c r="BE1247" s="17"/>
      <c r="BF1247" s="20"/>
      <c r="BG1247" s="146"/>
      <c r="BH1247" s="146"/>
      <c r="BI1247" s="146"/>
      <c r="BJ1247" s="20"/>
      <c r="BK1247" s="20"/>
      <c r="BL1247" s="154"/>
      <c r="BP1247" s="20"/>
      <c r="BQ1247" s="154"/>
      <c r="BR1247" s="18"/>
      <c r="BS1247" s="16"/>
      <c r="BT1247" s="18"/>
      <c r="BU1247" s="18"/>
      <c r="BV1247" s="18"/>
      <c r="BW1247" s="20"/>
      <c r="BX1247" s="154"/>
      <c r="BY1247" s="18"/>
      <c r="BZ1247" s="146"/>
      <c r="CA1247" s="18"/>
      <c r="CB1247" s="18"/>
      <c r="CC1247" s="20"/>
      <c r="CD1247" s="154"/>
    </row>
    <row r="1248" spans="35:82">
      <c r="AI1248" s="19"/>
      <c r="AO1248" s="19"/>
      <c r="AY1248" s="145"/>
      <c r="AZ1248" s="16"/>
      <c r="BC1248" s="16"/>
      <c r="BD1248" s="20"/>
      <c r="BE1248" s="17"/>
      <c r="BF1248" s="20"/>
      <c r="BG1248" s="146"/>
      <c r="BH1248" s="146"/>
      <c r="BI1248" s="146"/>
      <c r="BJ1248" s="20"/>
      <c r="BK1248" s="20"/>
      <c r="BL1248" s="154"/>
      <c r="BP1248" s="20"/>
      <c r="BQ1248" s="154"/>
      <c r="BR1248" s="18"/>
      <c r="BS1248" s="16"/>
      <c r="BT1248" s="18"/>
      <c r="BU1248" s="18"/>
      <c r="BV1248" s="18"/>
      <c r="BW1248" s="20"/>
      <c r="BX1248" s="154"/>
      <c r="BY1248" s="18"/>
      <c r="BZ1248" s="146"/>
      <c r="CA1248" s="18"/>
      <c r="CB1248" s="18"/>
      <c r="CC1248" s="20"/>
      <c r="CD1248" s="154"/>
    </row>
    <row r="1249" spans="35:82">
      <c r="AI1249" s="19"/>
      <c r="AO1249" s="19"/>
      <c r="AY1249" s="145"/>
      <c r="AZ1249" s="16"/>
      <c r="BC1249" s="16"/>
      <c r="BD1249" s="20"/>
      <c r="BE1249" s="17"/>
      <c r="BF1249" s="20"/>
      <c r="BG1249" s="146"/>
      <c r="BH1249" s="146"/>
      <c r="BI1249" s="146"/>
      <c r="BJ1249" s="20"/>
      <c r="BK1249" s="20"/>
      <c r="BL1249" s="154"/>
      <c r="BP1249" s="20"/>
      <c r="BQ1249" s="154"/>
      <c r="BR1249" s="18"/>
      <c r="BS1249" s="16"/>
      <c r="BT1249" s="18"/>
      <c r="BU1249" s="18"/>
      <c r="BV1249" s="18"/>
      <c r="BW1249" s="20"/>
      <c r="BX1249" s="154"/>
      <c r="BY1249" s="18"/>
      <c r="BZ1249" s="146"/>
      <c r="CA1249" s="18"/>
      <c r="CB1249" s="18"/>
      <c r="CC1249" s="20"/>
      <c r="CD1249" s="154"/>
    </row>
    <row r="1250" spans="35:82">
      <c r="AI1250" s="19"/>
      <c r="AO1250" s="19"/>
      <c r="AY1250" s="145"/>
      <c r="AZ1250" s="16"/>
      <c r="BC1250" s="16"/>
      <c r="BD1250" s="20"/>
      <c r="BE1250" s="17"/>
      <c r="BF1250" s="20"/>
      <c r="BG1250" s="146"/>
      <c r="BH1250" s="146"/>
      <c r="BI1250" s="146"/>
      <c r="BJ1250" s="20"/>
      <c r="BK1250" s="20"/>
      <c r="BL1250" s="154"/>
      <c r="BP1250" s="20"/>
      <c r="BQ1250" s="154"/>
      <c r="BR1250" s="18"/>
      <c r="BS1250" s="16"/>
      <c r="BT1250" s="18"/>
      <c r="BU1250" s="18"/>
      <c r="BV1250" s="18"/>
      <c r="BW1250" s="20"/>
      <c r="BX1250" s="154"/>
      <c r="BY1250" s="18"/>
      <c r="BZ1250" s="146"/>
      <c r="CA1250" s="18"/>
      <c r="CB1250" s="18"/>
      <c r="CC1250" s="20"/>
      <c r="CD1250" s="154"/>
    </row>
    <row r="1251" spans="35:82">
      <c r="AI1251" s="19"/>
      <c r="AO1251" s="19"/>
      <c r="AY1251" s="145"/>
      <c r="AZ1251" s="16"/>
      <c r="BC1251" s="16"/>
      <c r="BD1251" s="20"/>
      <c r="BE1251" s="17"/>
      <c r="BF1251" s="20"/>
      <c r="BG1251" s="146"/>
      <c r="BH1251" s="146"/>
      <c r="BI1251" s="146"/>
      <c r="BJ1251" s="20"/>
      <c r="BK1251" s="20"/>
      <c r="BL1251" s="154"/>
      <c r="BP1251" s="20"/>
      <c r="BQ1251" s="154"/>
      <c r="BR1251" s="18"/>
      <c r="BS1251" s="16"/>
      <c r="BT1251" s="18"/>
      <c r="BU1251" s="18"/>
      <c r="BV1251" s="18"/>
      <c r="BW1251" s="20"/>
      <c r="BX1251" s="154"/>
      <c r="BY1251" s="18"/>
      <c r="BZ1251" s="146"/>
      <c r="CA1251" s="18"/>
      <c r="CB1251" s="18"/>
      <c r="CC1251" s="20"/>
      <c r="CD1251" s="154"/>
    </row>
    <row r="1252" spans="35:82">
      <c r="AI1252" s="19"/>
      <c r="AO1252" s="19"/>
      <c r="AY1252" s="145"/>
      <c r="AZ1252" s="16"/>
      <c r="BC1252" s="16"/>
      <c r="BD1252" s="20"/>
      <c r="BE1252" s="17"/>
      <c r="BF1252" s="20"/>
      <c r="BG1252" s="146"/>
      <c r="BH1252" s="146"/>
      <c r="BI1252" s="146"/>
      <c r="BJ1252" s="20"/>
      <c r="BK1252" s="20"/>
      <c r="BL1252" s="154"/>
      <c r="BP1252" s="20"/>
      <c r="BQ1252" s="154"/>
      <c r="BR1252" s="18"/>
      <c r="BS1252" s="16"/>
      <c r="BT1252" s="18"/>
      <c r="BU1252" s="18"/>
      <c r="BV1252" s="18"/>
      <c r="BW1252" s="20"/>
      <c r="BX1252" s="154"/>
      <c r="BY1252" s="18"/>
      <c r="BZ1252" s="146"/>
      <c r="CA1252" s="18"/>
      <c r="CB1252" s="18"/>
      <c r="CC1252" s="20"/>
      <c r="CD1252" s="154"/>
    </row>
    <row r="1253" spans="35:82">
      <c r="AI1253" s="19"/>
      <c r="AO1253" s="19"/>
      <c r="AY1253" s="145"/>
      <c r="AZ1253" s="16"/>
      <c r="BC1253" s="16"/>
      <c r="BD1253" s="20"/>
      <c r="BE1253" s="17"/>
      <c r="BF1253" s="20"/>
      <c r="BG1253" s="146"/>
      <c r="BH1253" s="146"/>
      <c r="BI1253" s="146"/>
      <c r="BJ1253" s="20"/>
      <c r="BK1253" s="20"/>
      <c r="BL1253" s="154"/>
      <c r="BP1253" s="20"/>
      <c r="BQ1253" s="154"/>
      <c r="BR1253" s="18"/>
      <c r="BS1253" s="16"/>
      <c r="BT1253" s="18"/>
      <c r="BU1253" s="18"/>
      <c r="BV1253" s="18"/>
      <c r="BW1253" s="20"/>
      <c r="BX1253" s="154"/>
      <c r="BY1253" s="18"/>
      <c r="BZ1253" s="146"/>
      <c r="CA1253" s="18"/>
      <c r="CB1253" s="18"/>
      <c r="CC1253" s="20"/>
      <c r="CD1253" s="154"/>
    </row>
    <row r="1254" spans="35:82">
      <c r="AI1254" s="19"/>
      <c r="AO1254" s="19"/>
      <c r="AY1254" s="145"/>
      <c r="AZ1254" s="16"/>
      <c r="BC1254" s="16"/>
      <c r="BD1254" s="20"/>
      <c r="BE1254" s="17"/>
      <c r="BF1254" s="20"/>
      <c r="BG1254" s="146"/>
      <c r="BH1254" s="146"/>
      <c r="BI1254" s="146"/>
      <c r="BJ1254" s="20"/>
      <c r="BK1254" s="20"/>
      <c r="BL1254" s="154"/>
      <c r="BP1254" s="20"/>
      <c r="BQ1254" s="154"/>
      <c r="BR1254" s="18"/>
      <c r="BS1254" s="16"/>
      <c r="BT1254" s="18"/>
      <c r="BU1254" s="18"/>
      <c r="BV1254" s="18"/>
      <c r="BW1254" s="20"/>
      <c r="BX1254" s="154"/>
      <c r="BY1254" s="18"/>
      <c r="BZ1254" s="146"/>
      <c r="CA1254" s="18"/>
      <c r="CB1254" s="18"/>
      <c r="CC1254" s="20"/>
      <c r="CD1254" s="154"/>
    </row>
    <row r="1255" spans="35:82">
      <c r="AI1255" s="19"/>
      <c r="AO1255" s="19"/>
      <c r="AY1255" s="145"/>
      <c r="AZ1255" s="16"/>
      <c r="BC1255" s="16"/>
      <c r="BD1255" s="20"/>
      <c r="BE1255" s="17"/>
      <c r="BF1255" s="20"/>
      <c r="BG1255" s="146"/>
      <c r="BH1255" s="146"/>
      <c r="BI1255" s="146"/>
      <c r="BJ1255" s="20"/>
      <c r="BK1255" s="20"/>
      <c r="BL1255" s="154"/>
      <c r="BP1255" s="20"/>
      <c r="BQ1255" s="154"/>
      <c r="BR1255" s="18"/>
      <c r="BS1255" s="16"/>
      <c r="BT1255" s="18"/>
      <c r="BU1255" s="18"/>
      <c r="BV1255" s="18"/>
      <c r="BW1255" s="20"/>
      <c r="BX1255" s="154"/>
      <c r="BY1255" s="18"/>
      <c r="BZ1255" s="146"/>
      <c r="CA1255" s="18"/>
      <c r="CB1255" s="18"/>
      <c r="CC1255" s="20"/>
      <c r="CD1255" s="154"/>
    </row>
    <row r="1256" spans="35:82">
      <c r="AI1256" s="19"/>
      <c r="AO1256" s="19"/>
      <c r="AY1256" s="145"/>
      <c r="AZ1256" s="16"/>
      <c r="BC1256" s="16"/>
      <c r="BD1256" s="20"/>
      <c r="BE1256" s="17"/>
      <c r="BF1256" s="20"/>
      <c r="BG1256" s="146"/>
      <c r="BH1256" s="146"/>
      <c r="BI1256" s="146"/>
      <c r="BJ1256" s="20"/>
      <c r="BK1256" s="20"/>
      <c r="BL1256" s="154"/>
      <c r="BP1256" s="20"/>
      <c r="BQ1256" s="154"/>
      <c r="BR1256" s="18"/>
      <c r="BS1256" s="16"/>
      <c r="BT1256" s="18"/>
      <c r="BU1256" s="18"/>
      <c r="BV1256" s="18"/>
      <c r="BW1256" s="20"/>
      <c r="BX1256" s="154"/>
      <c r="BY1256" s="18"/>
      <c r="BZ1256" s="146"/>
      <c r="CA1256" s="18"/>
      <c r="CB1256" s="18"/>
      <c r="CC1256" s="20"/>
      <c r="CD1256" s="154"/>
    </row>
    <row r="1257" spans="35:82">
      <c r="AI1257" s="19"/>
      <c r="AO1257" s="19"/>
      <c r="AY1257" s="145"/>
      <c r="AZ1257" s="16"/>
      <c r="BC1257" s="16"/>
      <c r="BD1257" s="20"/>
      <c r="BE1257" s="17"/>
      <c r="BF1257" s="20"/>
      <c r="BG1257" s="146"/>
      <c r="BH1257" s="146"/>
      <c r="BI1257" s="146"/>
      <c r="BJ1257" s="20"/>
      <c r="BK1257" s="20"/>
      <c r="BL1257" s="154"/>
      <c r="BP1257" s="20"/>
      <c r="BQ1257" s="154"/>
      <c r="BR1257" s="18"/>
      <c r="BS1257" s="16"/>
      <c r="BT1257" s="18"/>
      <c r="BU1257" s="18"/>
      <c r="BV1257" s="18"/>
      <c r="BW1257" s="20"/>
      <c r="BX1257" s="154"/>
      <c r="BY1257" s="18"/>
      <c r="BZ1257" s="146"/>
      <c r="CA1257" s="18"/>
      <c r="CB1257" s="18"/>
      <c r="CC1257" s="20"/>
      <c r="CD1257" s="154"/>
    </row>
    <row r="1258" spans="35:82">
      <c r="AI1258" s="19"/>
      <c r="AO1258" s="19"/>
      <c r="AY1258" s="145"/>
      <c r="AZ1258" s="16"/>
      <c r="BC1258" s="16"/>
      <c r="BD1258" s="20"/>
      <c r="BE1258" s="17"/>
      <c r="BF1258" s="20"/>
      <c r="BG1258" s="146"/>
      <c r="BH1258" s="146"/>
      <c r="BI1258" s="146"/>
      <c r="BJ1258" s="20"/>
      <c r="BK1258" s="20"/>
      <c r="BL1258" s="154"/>
      <c r="BP1258" s="20"/>
      <c r="BQ1258" s="154"/>
      <c r="BR1258" s="18"/>
      <c r="BS1258" s="16"/>
      <c r="BT1258" s="18"/>
      <c r="BU1258" s="18"/>
      <c r="BV1258" s="18"/>
      <c r="BW1258" s="20"/>
      <c r="BX1258" s="154"/>
      <c r="BY1258" s="18"/>
      <c r="BZ1258" s="146"/>
      <c r="CA1258" s="18"/>
      <c r="CB1258" s="18"/>
      <c r="CC1258" s="20"/>
      <c r="CD1258" s="154"/>
    </row>
    <row r="1259" spans="35:82">
      <c r="AI1259" s="19"/>
      <c r="AO1259" s="19"/>
      <c r="AY1259" s="145"/>
      <c r="AZ1259" s="16"/>
      <c r="BC1259" s="16"/>
      <c r="BD1259" s="20"/>
      <c r="BE1259" s="17"/>
      <c r="BF1259" s="20"/>
      <c r="BG1259" s="146"/>
      <c r="BH1259" s="146"/>
      <c r="BI1259" s="146"/>
      <c r="BJ1259" s="20"/>
      <c r="BK1259" s="20"/>
      <c r="BL1259" s="154"/>
      <c r="BP1259" s="20"/>
      <c r="BQ1259" s="154"/>
      <c r="BR1259" s="18"/>
      <c r="BS1259" s="16"/>
      <c r="BT1259" s="18"/>
      <c r="BU1259" s="18"/>
      <c r="BV1259" s="18"/>
      <c r="BW1259" s="20"/>
      <c r="BX1259" s="154"/>
      <c r="BY1259" s="18"/>
      <c r="BZ1259" s="146"/>
      <c r="CA1259" s="18"/>
      <c r="CB1259" s="18"/>
      <c r="CC1259" s="20"/>
      <c r="CD1259" s="154"/>
    </row>
    <row r="1260" spans="35:82">
      <c r="AI1260" s="19"/>
      <c r="AO1260" s="19"/>
      <c r="AY1260" s="145"/>
      <c r="AZ1260" s="16"/>
      <c r="BC1260" s="16"/>
      <c r="BD1260" s="20"/>
      <c r="BE1260" s="17"/>
      <c r="BF1260" s="20"/>
      <c r="BG1260" s="146"/>
      <c r="BH1260" s="146"/>
      <c r="BI1260" s="146"/>
      <c r="BJ1260" s="20"/>
      <c r="BK1260" s="20"/>
      <c r="BL1260" s="154"/>
      <c r="BP1260" s="20"/>
      <c r="BQ1260" s="154"/>
      <c r="BR1260" s="18"/>
      <c r="BS1260" s="16"/>
      <c r="BT1260" s="18"/>
      <c r="BU1260" s="18"/>
      <c r="BV1260" s="18"/>
      <c r="BW1260" s="20"/>
      <c r="BX1260" s="154"/>
      <c r="BY1260" s="18"/>
      <c r="BZ1260" s="146"/>
      <c r="CA1260" s="18"/>
      <c r="CB1260" s="18"/>
      <c r="CC1260" s="20"/>
      <c r="CD1260" s="154"/>
    </row>
    <row r="1261" spans="35:82">
      <c r="AI1261" s="19"/>
      <c r="AO1261" s="19"/>
      <c r="AY1261" s="145"/>
      <c r="AZ1261" s="16"/>
      <c r="BC1261" s="16"/>
      <c r="BD1261" s="20"/>
      <c r="BE1261" s="17"/>
      <c r="BF1261" s="20"/>
      <c r="BG1261" s="146"/>
      <c r="BH1261" s="146"/>
      <c r="BI1261" s="146"/>
      <c r="BJ1261" s="20"/>
      <c r="BK1261" s="20"/>
      <c r="BL1261" s="154"/>
      <c r="BP1261" s="20"/>
      <c r="BQ1261" s="154"/>
      <c r="BR1261" s="18"/>
      <c r="BS1261" s="16"/>
      <c r="BT1261" s="18"/>
      <c r="BU1261" s="18"/>
      <c r="BV1261" s="18"/>
      <c r="BW1261" s="20"/>
      <c r="BX1261" s="154"/>
      <c r="BY1261" s="18"/>
      <c r="BZ1261" s="146"/>
      <c r="CA1261" s="18"/>
      <c r="CB1261" s="18"/>
      <c r="CC1261" s="20"/>
      <c r="CD1261" s="154"/>
    </row>
    <row r="1262" spans="35:82">
      <c r="AI1262" s="19"/>
      <c r="AO1262" s="19"/>
      <c r="AY1262" s="145"/>
      <c r="AZ1262" s="16"/>
      <c r="BC1262" s="16"/>
      <c r="BD1262" s="20"/>
      <c r="BE1262" s="17"/>
      <c r="BF1262" s="20"/>
      <c r="BG1262" s="146"/>
      <c r="BH1262" s="146"/>
      <c r="BI1262" s="146"/>
      <c r="BJ1262" s="20"/>
      <c r="BK1262" s="20"/>
      <c r="BL1262" s="154"/>
      <c r="BP1262" s="20"/>
      <c r="BQ1262" s="154"/>
      <c r="BR1262" s="18"/>
      <c r="BS1262" s="16"/>
      <c r="BT1262" s="18"/>
      <c r="BU1262" s="18"/>
      <c r="BV1262" s="18"/>
      <c r="BW1262" s="20"/>
      <c r="BX1262" s="154"/>
      <c r="BY1262" s="18"/>
      <c r="BZ1262" s="146"/>
      <c r="CA1262" s="18"/>
      <c r="CB1262" s="18"/>
      <c r="CC1262" s="20"/>
      <c r="CD1262" s="154"/>
    </row>
    <row r="1263" spans="35:82">
      <c r="AI1263" s="19"/>
      <c r="AO1263" s="19"/>
      <c r="AY1263" s="145"/>
      <c r="AZ1263" s="16"/>
      <c r="BC1263" s="16"/>
      <c r="BD1263" s="20"/>
      <c r="BE1263" s="17"/>
      <c r="BF1263" s="20"/>
      <c r="BG1263" s="146"/>
      <c r="BH1263" s="146"/>
      <c r="BI1263" s="146"/>
      <c r="BJ1263" s="20"/>
      <c r="BK1263" s="20"/>
      <c r="BL1263" s="154"/>
      <c r="BP1263" s="20"/>
      <c r="BQ1263" s="154"/>
      <c r="BR1263" s="18"/>
      <c r="BS1263" s="16"/>
      <c r="BT1263" s="18"/>
      <c r="BU1263" s="18"/>
      <c r="BV1263" s="18"/>
      <c r="BW1263" s="20"/>
      <c r="BX1263" s="154"/>
      <c r="BY1263" s="18"/>
      <c r="BZ1263" s="146"/>
      <c r="CA1263" s="18"/>
      <c r="CB1263" s="18"/>
      <c r="CC1263" s="20"/>
      <c r="CD1263" s="154"/>
    </row>
    <row r="1264" spans="35:82">
      <c r="AI1264" s="19"/>
      <c r="AO1264" s="19"/>
      <c r="AY1264" s="145"/>
      <c r="AZ1264" s="16"/>
      <c r="BC1264" s="16"/>
      <c r="BD1264" s="20"/>
      <c r="BE1264" s="17"/>
      <c r="BF1264" s="20"/>
      <c r="BG1264" s="146"/>
      <c r="BH1264" s="146"/>
      <c r="BI1264" s="146"/>
      <c r="BJ1264" s="20"/>
      <c r="BK1264" s="20"/>
      <c r="BL1264" s="154"/>
      <c r="BP1264" s="20"/>
      <c r="BQ1264" s="154"/>
      <c r="BR1264" s="18"/>
      <c r="BS1264" s="16"/>
      <c r="BT1264" s="18"/>
      <c r="BU1264" s="18"/>
      <c r="BV1264" s="18"/>
      <c r="BW1264" s="20"/>
      <c r="BX1264" s="154"/>
      <c r="BY1264" s="18"/>
      <c r="BZ1264" s="146"/>
      <c r="CA1264" s="18"/>
      <c r="CB1264" s="18"/>
      <c r="CC1264" s="20"/>
      <c r="CD1264" s="154"/>
    </row>
    <row r="1265" spans="35:82">
      <c r="AI1265" s="19"/>
      <c r="AO1265" s="19"/>
      <c r="AY1265" s="145"/>
      <c r="AZ1265" s="16"/>
      <c r="BC1265" s="16"/>
      <c r="BD1265" s="20"/>
      <c r="BE1265" s="17"/>
      <c r="BF1265" s="20"/>
      <c r="BG1265" s="146"/>
      <c r="BH1265" s="146"/>
      <c r="BI1265" s="146"/>
      <c r="BJ1265" s="20"/>
      <c r="BK1265" s="20"/>
      <c r="BL1265" s="154"/>
      <c r="BP1265" s="20"/>
      <c r="BQ1265" s="154"/>
      <c r="BR1265" s="18"/>
      <c r="BS1265" s="16"/>
      <c r="BT1265" s="18"/>
      <c r="BU1265" s="18"/>
      <c r="BV1265" s="18"/>
      <c r="BW1265" s="20"/>
      <c r="BX1265" s="154"/>
      <c r="BY1265" s="18"/>
      <c r="BZ1265" s="146"/>
      <c r="CA1265" s="18"/>
      <c r="CB1265" s="18"/>
      <c r="CC1265" s="20"/>
      <c r="CD1265" s="154"/>
    </row>
    <row r="1266" spans="35:82">
      <c r="AI1266" s="19"/>
      <c r="AO1266" s="19"/>
      <c r="AY1266" s="145"/>
      <c r="AZ1266" s="16"/>
      <c r="BC1266" s="16"/>
      <c r="BD1266" s="20"/>
      <c r="BE1266" s="17"/>
      <c r="BF1266" s="20"/>
      <c r="BG1266" s="146"/>
      <c r="BH1266" s="146"/>
      <c r="BI1266" s="146"/>
      <c r="BJ1266" s="20"/>
      <c r="BK1266" s="20"/>
      <c r="BL1266" s="154"/>
      <c r="BP1266" s="20"/>
      <c r="BQ1266" s="154"/>
      <c r="BR1266" s="18"/>
      <c r="BS1266" s="16"/>
      <c r="BT1266" s="18"/>
      <c r="BU1266" s="18"/>
      <c r="BV1266" s="18"/>
      <c r="BW1266" s="20"/>
      <c r="BX1266" s="154"/>
      <c r="BY1266" s="18"/>
      <c r="BZ1266" s="146"/>
      <c r="CA1266" s="18"/>
      <c r="CB1266" s="18"/>
      <c r="CC1266" s="20"/>
      <c r="CD1266" s="154"/>
    </row>
    <row r="1267" spans="35:82">
      <c r="AI1267" s="19"/>
      <c r="AO1267" s="19"/>
      <c r="AY1267" s="145"/>
      <c r="AZ1267" s="16"/>
      <c r="BC1267" s="16"/>
      <c r="BD1267" s="20"/>
      <c r="BE1267" s="17"/>
      <c r="BF1267" s="20"/>
      <c r="BG1267" s="146"/>
      <c r="BH1267" s="146"/>
      <c r="BI1267" s="146"/>
      <c r="BJ1267" s="20"/>
      <c r="BK1267" s="20"/>
      <c r="BL1267" s="154"/>
      <c r="BP1267" s="20"/>
      <c r="BQ1267" s="154"/>
      <c r="BR1267" s="18"/>
      <c r="BS1267" s="16"/>
      <c r="BT1267" s="18"/>
      <c r="BU1267" s="18"/>
      <c r="BV1267" s="18"/>
      <c r="BW1267" s="20"/>
      <c r="BX1267" s="154"/>
      <c r="BY1267" s="18"/>
      <c r="BZ1267" s="146"/>
      <c r="CA1267" s="18"/>
      <c r="CB1267" s="18"/>
      <c r="CC1267" s="20"/>
      <c r="CD1267" s="154"/>
    </row>
    <row r="1268" spans="35:82">
      <c r="AI1268" s="19"/>
      <c r="AO1268" s="19"/>
      <c r="AY1268" s="145"/>
      <c r="AZ1268" s="16"/>
      <c r="BC1268" s="16"/>
      <c r="BD1268" s="20"/>
      <c r="BE1268" s="17"/>
      <c r="BF1268" s="20"/>
      <c r="BG1268" s="146"/>
      <c r="BH1268" s="146"/>
      <c r="BI1268" s="146"/>
      <c r="BJ1268" s="20"/>
      <c r="BK1268" s="20"/>
      <c r="BL1268" s="154"/>
      <c r="BP1268" s="20"/>
      <c r="BQ1268" s="154"/>
      <c r="BR1268" s="18"/>
      <c r="BS1268" s="16"/>
      <c r="BT1268" s="18"/>
      <c r="BU1268" s="18"/>
      <c r="BV1268" s="18"/>
      <c r="BW1268" s="20"/>
      <c r="BX1268" s="154"/>
      <c r="BY1268" s="18"/>
      <c r="BZ1268" s="146"/>
      <c r="CA1268" s="18"/>
      <c r="CB1268" s="18"/>
      <c r="CC1268" s="20"/>
      <c r="CD1268" s="154"/>
    </row>
    <row r="1269" spans="35:82">
      <c r="AI1269" s="19"/>
      <c r="AO1269" s="19"/>
      <c r="AY1269" s="145"/>
      <c r="AZ1269" s="16"/>
      <c r="BC1269" s="16"/>
      <c r="BD1269" s="20"/>
      <c r="BE1269" s="17"/>
      <c r="BF1269" s="20"/>
      <c r="BG1269" s="146"/>
      <c r="BH1269" s="146"/>
      <c r="BI1269" s="146"/>
      <c r="BJ1269" s="20"/>
      <c r="BK1269" s="20"/>
      <c r="BL1269" s="154"/>
      <c r="BP1269" s="20"/>
      <c r="BQ1269" s="154"/>
      <c r="BR1269" s="18"/>
      <c r="BS1269" s="16"/>
      <c r="BT1269" s="18"/>
      <c r="BU1269" s="18"/>
      <c r="BV1269" s="18"/>
      <c r="BW1269" s="20"/>
      <c r="BX1269" s="154"/>
      <c r="BY1269" s="18"/>
      <c r="BZ1269" s="146"/>
      <c r="CA1269" s="18"/>
      <c r="CB1269" s="18"/>
      <c r="CC1269" s="20"/>
      <c r="CD1269" s="154"/>
    </row>
    <row r="1270" spans="35:82">
      <c r="AI1270" s="19"/>
      <c r="AO1270" s="19"/>
      <c r="AY1270" s="145"/>
      <c r="AZ1270" s="16"/>
      <c r="BC1270" s="16"/>
      <c r="BD1270" s="20"/>
      <c r="BE1270" s="17"/>
      <c r="BF1270" s="20"/>
      <c r="BG1270" s="146"/>
      <c r="BH1270" s="146"/>
      <c r="BI1270" s="146"/>
      <c r="BJ1270" s="20"/>
      <c r="BK1270" s="20"/>
      <c r="BL1270" s="154"/>
      <c r="BP1270" s="20"/>
      <c r="BQ1270" s="154"/>
      <c r="BR1270" s="18"/>
      <c r="BS1270" s="16"/>
      <c r="BT1270" s="18"/>
      <c r="BU1270" s="18"/>
      <c r="BV1270" s="18"/>
      <c r="BW1270" s="20"/>
      <c r="BX1270" s="154"/>
      <c r="BY1270" s="18"/>
      <c r="BZ1270" s="146"/>
      <c r="CA1270" s="18"/>
      <c r="CB1270" s="18"/>
      <c r="CC1270" s="20"/>
      <c r="CD1270" s="154"/>
    </row>
    <row r="1271" spans="35:82">
      <c r="AI1271" s="19"/>
      <c r="AO1271" s="19"/>
      <c r="AY1271" s="145"/>
      <c r="AZ1271" s="16"/>
      <c r="BC1271" s="16"/>
      <c r="BD1271" s="20"/>
      <c r="BE1271" s="17"/>
      <c r="BF1271" s="20"/>
      <c r="BG1271" s="146"/>
      <c r="BH1271" s="146"/>
      <c r="BI1271" s="146"/>
      <c r="BJ1271" s="20"/>
      <c r="BK1271" s="20"/>
      <c r="BL1271" s="154"/>
      <c r="BP1271" s="20"/>
      <c r="BQ1271" s="154"/>
      <c r="BR1271" s="18"/>
      <c r="BS1271" s="16"/>
      <c r="BT1271" s="18"/>
      <c r="BU1271" s="18"/>
      <c r="BV1271" s="18"/>
      <c r="BW1271" s="20"/>
      <c r="BX1271" s="154"/>
      <c r="BY1271" s="18"/>
      <c r="BZ1271" s="146"/>
      <c r="CA1271" s="18"/>
      <c r="CB1271" s="18"/>
      <c r="CC1271" s="20"/>
      <c r="CD1271" s="154"/>
    </row>
    <row r="1272" spans="35:82">
      <c r="AI1272" s="19"/>
      <c r="AO1272" s="19"/>
      <c r="AY1272" s="145"/>
      <c r="AZ1272" s="16"/>
      <c r="BC1272" s="16"/>
      <c r="BD1272" s="20"/>
      <c r="BE1272" s="17"/>
      <c r="BF1272" s="20"/>
      <c r="BG1272" s="146"/>
      <c r="BH1272" s="146"/>
      <c r="BI1272" s="146"/>
      <c r="BJ1272" s="20"/>
      <c r="BK1272" s="20"/>
      <c r="BL1272" s="154"/>
      <c r="BP1272" s="20"/>
      <c r="BQ1272" s="154"/>
      <c r="BR1272" s="18"/>
      <c r="BS1272" s="16"/>
      <c r="BT1272" s="18"/>
      <c r="BU1272" s="18"/>
      <c r="BV1272" s="18"/>
      <c r="BW1272" s="20"/>
      <c r="BX1272" s="154"/>
      <c r="BY1272" s="18"/>
      <c r="BZ1272" s="146"/>
      <c r="CA1272" s="18"/>
      <c r="CB1272" s="18"/>
      <c r="CC1272" s="20"/>
      <c r="CD1272" s="154"/>
    </row>
    <row r="1273" spans="35:82">
      <c r="AI1273" s="19"/>
      <c r="AO1273" s="19"/>
      <c r="AY1273" s="145"/>
      <c r="AZ1273" s="16"/>
      <c r="BC1273" s="16"/>
      <c r="BD1273" s="20"/>
      <c r="BE1273" s="17"/>
      <c r="BF1273" s="20"/>
      <c r="BG1273" s="146"/>
      <c r="BH1273" s="146"/>
      <c r="BI1273" s="146"/>
      <c r="BJ1273" s="20"/>
      <c r="BK1273" s="20"/>
      <c r="BL1273" s="154"/>
      <c r="BP1273" s="20"/>
      <c r="BQ1273" s="154"/>
      <c r="BR1273" s="18"/>
      <c r="BS1273" s="16"/>
      <c r="BT1273" s="18"/>
      <c r="BU1273" s="18"/>
      <c r="BV1273" s="18"/>
      <c r="BW1273" s="20"/>
      <c r="BX1273" s="154"/>
      <c r="BY1273" s="18"/>
      <c r="BZ1273" s="146"/>
      <c r="CA1273" s="18"/>
      <c r="CB1273" s="18"/>
      <c r="CC1273" s="20"/>
      <c r="CD1273" s="154"/>
    </row>
    <row r="1274" spans="35:82">
      <c r="AI1274" s="19"/>
      <c r="AO1274" s="19"/>
      <c r="AY1274" s="145"/>
      <c r="AZ1274" s="16"/>
      <c r="BC1274" s="16"/>
      <c r="BD1274" s="20"/>
      <c r="BE1274" s="17"/>
      <c r="BF1274" s="20"/>
      <c r="BG1274" s="146"/>
      <c r="BH1274" s="146"/>
      <c r="BI1274" s="146"/>
      <c r="BJ1274" s="20"/>
      <c r="BK1274" s="20"/>
      <c r="BL1274" s="154"/>
      <c r="BP1274" s="20"/>
      <c r="BQ1274" s="154"/>
      <c r="BR1274" s="18"/>
      <c r="BS1274" s="16"/>
      <c r="BT1274" s="18"/>
      <c r="BU1274" s="18"/>
      <c r="BV1274" s="18"/>
      <c r="BW1274" s="20"/>
      <c r="BX1274" s="154"/>
      <c r="BY1274" s="18"/>
      <c r="BZ1274" s="146"/>
      <c r="CA1274" s="18"/>
      <c r="CB1274" s="18"/>
      <c r="CC1274" s="20"/>
      <c r="CD1274" s="154"/>
    </row>
    <row r="1275" spans="35:82">
      <c r="AI1275" s="19"/>
      <c r="AO1275" s="19"/>
      <c r="AY1275" s="145"/>
      <c r="AZ1275" s="16"/>
      <c r="BC1275" s="16"/>
      <c r="BD1275" s="20"/>
      <c r="BE1275" s="17"/>
      <c r="BF1275" s="20"/>
      <c r="BG1275" s="146"/>
      <c r="BH1275" s="146"/>
      <c r="BI1275" s="146"/>
      <c r="BJ1275" s="20"/>
      <c r="BK1275" s="20"/>
      <c r="BL1275" s="154"/>
      <c r="BP1275" s="20"/>
      <c r="BQ1275" s="154"/>
      <c r="BR1275" s="18"/>
      <c r="BS1275" s="16"/>
      <c r="BT1275" s="18"/>
      <c r="BU1275" s="18"/>
      <c r="BV1275" s="18"/>
      <c r="BW1275" s="20"/>
      <c r="BX1275" s="154"/>
      <c r="BY1275" s="18"/>
      <c r="BZ1275" s="146"/>
      <c r="CA1275" s="18"/>
      <c r="CB1275" s="18"/>
      <c r="CC1275" s="20"/>
      <c r="CD1275" s="154"/>
    </row>
    <row r="1276" spans="35:82">
      <c r="AI1276" s="19"/>
      <c r="AO1276" s="19"/>
      <c r="AY1276" s="145"/>
      <c r="AZ1276" s="16"/>
      <c r="BC1276" s="16"/>
      <c r="BD1276" s="20"/>
      <c r="BE1276" s="17"/>
      <c r="BF1276" s="20"/>
      <c r="BG1276" s="146"/>
      <c r="BH1276" s="146"/>
      <c r="BI1276" s="146"/>
      <c r="BJ1276" s="20"/>
      <c r="BK1276" s="20"/>
      <c r="BL1276" s="154"/>
      <c r="BP1276" s="20"/>
      <c r="BQ1276" s="154"/>
      <c r="BR1276" s="18"/>
      <c r="BS1276" s="16"/>
      <c r="BT1276" s="18"/>
      <c r="BU1276" s="18"/>
      <c r="BV1276" s="18"/>
      <c r="BW1276" s="20"/>
      <c r="BX1276" s="154"/>
      <c r="BY1276" s="18"/>
      <c r="BZ1276" s="146"/>
      <c r="CA1276" s="18"/>
      <c r="CB1276" s="18"/>
      <c r="CC1276" s="20"/>
      <c r="CD1276" s="154"/>
    </row>
    <row r="1277" spans="35:82">
      <c r="AI1277" s="19"/>
      <c r="AO1277" s="19"/>
      <c r="AY1277" s="145"/>
      <c r="AZ1277" s="16"/>
      <c r="BC1277" s="16"/>
      <c r="BD1277" s="20"/>
      <c r="BE1277" s="17"/>
      <c r="BF1277" s="20"/>
      <c r="BG1277" s="146"/>
      <c r="BH1277" s="146"/>
      <c r="BI1277" s="146"/>
      <c r="BJ1277" s="20"/>
      <c r="BK1277" s="20"/>
      <c r="BL1277" s="154"/>
      <c r="BP1277" s="20"/>
      <c r="BQ1277" s="154"/>
      <c r="BR1277" s="18"/>
      <c r="BS1277" s="16"/>
      <c r="BT1277" s="18"/>
      <c r="BU1277" s="18"/>
      <c r="BV1277" s="18"/>
      <c r="BW1277" s="20"/>
      <c r="BX1277" s="154"/>
      <c r="BY1277" s="18"/>
      <c r="BZ1277" s="146"/>
      <c r="CA1277" s="18"/>
      <c r="CB1277" s="18"/>
      <c r="CC1277" s="20"/>
      <c r="CD1277" s="154"/>
    </row>
    <row r="1278" spans="35:82">
      <c r="AI1278" s="19"/>
      <c r="AO1278" s="19"/>
      <c r="AY1278" s="145"/>
      <c r="AZ1278" s="16"/>
      <c r="BC1278" s="16"/>
      <c r="BD1278" s="20"/>
      <c r="BE1278" s="17"/>
      <c r="BF1278" s="20"/>
      <c r="BG1278" s="146"/>
      <c r="BH1278" s="146"/>
      <c r="BI1278" s="146"/>
      <c r="BJ1278" s="20"/>
      <c r="BK1278" s="20"/>
      <c r="BL1278" s="154"/>
      <c r="BP1278" s="20"/>
      <c r="BQ1278" s="154"/>
      <c r="BR1278" s="18"/>
      <c r="BS1278" s="16"/>
      <c r="BT1278" s="18"/>
      <c r="BU1278" s="18"/>
      <c r="BV1278" s="18"/>
      <c r="BW1278" s="20"/>
      <c r="BX1278" s="154"/>
      <c r="BY1278" s="18"/>
      <c r="BZ1278" s="146"/>
      <c r="CA1278" s="18"/>
      <c r="CB1278" s="18"/>
      <c r="CC1278" s="20"/>
      <c r="CD1278" s="154"/>
    </row>
    <row r="1279" spans="35:82">
      <c r="AI1279" s="19"/>
      <c r="AO1279" s="19"/>
      <c r="AY1279" s="145"/>
      <c r="AZ1279" s="16"/>
      <c r="BC1279" s="16"/>
      <c r="BD1279" s="20"/>
      <c r="BE1279" s="17"/>
      <c r="BF1279" s="20"/>
      <c r="BG1279" s="146"/>
      <c r="BH1279" s="146"/>
      <c r="BI1279" s="146"/>
      <c r="BJ1279" s="20"/>
      <c r="BK1279" s="20"/>
      <c r="BL1279" s="154"/>
      <c r="BP1279" s="20"/>
      <c r="BQ1279" s="154"/>
      <c r="BR1279" s="18"/>
      <c r="BS1279" s="16"/>
      <c r="BT1279" s="18"/>
      <c r="BU1279" s="18"/>
      <c r="BV1279" s="18"/>
      <c r="BW1279" s="20"/>
      <c r="BX1279" s="154"/>
      <c r="BY1279" s="18"/>
      <c r="BZ1279" s="146"/>
      <c r="CA1279" s="18"/>
      <c r="CB1279" s="18"/>
      <c r="CC1279" s="20"/>
      <c r="CD1279" s="154"/>
    </row>
    <row r="1280" spans="35:82">
      <c r="AI1280" s="19"/>
      <c r="AO1280" s="19"/>
      <c r="AY1280" s="145"/>
      <c r="AZ1280" s="16"/>
      <c r="BC1280" s="16"/>
      <c r="BD1280" s="20"/>
      <c r="BE1280" s="17"/>
      <c r="BF1280" s="20"/>
      <c r="BG1280" s="146"/>
      <c r="BH1280" s="146"/>
      <c r="BI1280" s="146"/>
      <c r="BJ1280" s="20"/>
      <c r="BK1280" s="20"/>
      <c r="BL1280" s="154"/>
      <c r="BP1280" s="20"/>
      <c r="BQ1280" s="154"/>
      <c r="BR1280" s="18"/>
      <c r="BS1280" s="16"/>
      <c r="BT1280" s="18"/>
      <c r="BU1280" s="18"/>
      <c r="BV1280" s="18"/>
      <c r="BW1280" s="20"/>
      <c r="BX1280" s="154"/>
      <c r="BY1280" s="18"/>
      <c r="BZ1280" s="146"/>
      <c r="CA1280" s="18"/>
      <c r="CB1280" s="18"/>
      <c r="CC1280" s="20"/>
      <c r="CD1280" s="154"/>
    </row>
    <row r="1281" spans="35:82">
      <c r="AI1281" s="19"/>
      <c r="AO1281" s="19"/>
      <c r="AY1281" s="145"/>
      <c r="AZ1281" s="16"/>
      <c r="BC1281" s="16"/>
      <c r="BD1281" s="20"/>
      <c r="BE1281" s="17"/>
      <c r="BF1281" s="20"/>
      <c r="BG1281" s="146"/>
      <c r="BH1281" s="146"/>
      <c r="BI1281" s="146"/>
      <c r="BJ1281" s="20"/>
      <c r="BK1281" s="20"/>
      <c r="BL1281" s="154"/>
      <c r="BP1281" s="20"/>
      <c r="BQ1281" s="154"/>
      <c r="BR1281" s="18"/>
      <c r="BS1281" s="16"/>
      <c r="BT1281" s="18"/>
      <c r="BU1281" s="18"/>
      <c r="BV1281" s="18"/>
      <c r="BW1281" s="20"/>
      <c r="BX1281" s="154"/>
      <c r="BY1281" s="18"/>
      <c r="BZ1281" s="146"/>
      <c r="CA1281" s="18"/>
      <c r="CB1281" s="18"/>
      <c r="CC1281" s="20"/>
      <c r="CD1281" s="154"/>
    </row>
    <row r="1282" spans="35:82">
      <c r="AI1282" s="19"/>
      <c r="AO1282" s="19"/>
      <c r="AY1282" s="145"/>
      <c r="AZ1282" s="16"/>
      <c r="BC1282" s="16"/>
      <c r="BD1282" s="20"/>
      <c r="BE1282" s="17"/>
      <c r="BF1282" s="20"/>
      <c r="BG1282" s="146"/>
      <c r="BH1282" s="146"/>
      <c r="BI1282" s="146"/>
      <c r="BJ1282" s="20"/>
      <c r="BK1282" s="20"/>
      <c r="BL1282" s="154"/>
      <c r="BP1282" s="20"/>
      <c r="BQ1282" s="154"/>
      <c r="BR1282" s="18"/>
      <c r="BS1282" s="16"/>
      <c r="BT1282" s="18"/>
      <c r="BU1282" s="18"/>
      <c r="BV1282" s="18"/>
      <c r="BW1282" s="20"/>
      <c r="BX1282" s="154"/>
      <c r="BY1282" s="18"/>
      <c r="BZ1282" s="146"/>
      <c r="CA1282" s="18"/>
      <c r="CB1282" s="18"/>
      <c r="CC1282" s="20"/>
      <c r="CD1282" s="154"/>
    </row>
    <row r="1283" spans="35:82">
      <c r="AI1283" s="19"/>
      <c r="AO1283" s="19"/>
      <c r="AY1283" s="145"/>
      <c r="AZ1283" s="16"/>
      <c r="BC1283" s="16"/>
      <c r="BD1283" s="20"/>
      <c r="BE1283" s="17"/>
      <c r="BF1283" s="20"/>
      <c r="BG1283" s="146"/>
      <c r="BH1283" s="146"/>
      <c r="BI1283" s="146"/>
      <c r="BJ1283" s="20"/>
      <c r="BK1283" s="20"/>
      <c r="BL1283" s="154"/>
      <c r="BP1283" s="20"/>
      <c r="BQ1283" s="154"/>
      <c r="BR1283" s="18"/>
      <c r="BS1283" s="16"/>
      <c r="BT1283" s="18"/>
      <c r="BU1283" s="18"/>
      <c r="BV1283" s="18"/>
      <c r="BW1283" s="20"/>
      <c r="BX1283" s="154"/>
      <c r="BY1283" s="18"/>
      <c r="BZ1283" s="146"/>
      <c r="CA1283" s="18"/>
      <c r="CB1283" s="18"/>
      <c r="CC1283" s="20"/>
      <c r="CD1283" s="154"/>
    </row>
    <row r="1284" spans="35:82">
      <c r="AI1284" s="19"/>
      <c r="AO1284" s="19"/>
      <c r="AY1284" s="145"/>
      <c r="AZ1284" s="16"/>
      <c r="BC1284" s="16"/>
      <c r="BD1284" s="20"/>
      <c r="BE1284" s="17"/>
      <c r="BF1284" s="20"/>
      <c r="BG1284" s="146"/>
      <c r="BH1284" s="146"/>
      <c r="BI1284" s="146"/>
      <c r="BJ1284" s="20"/>
      <c r="BK1284" s="20"/>
      <c r="BL1284" s="154"/>
      <c r="BP1284" s="20"/>
      <c r="BQ1284" s="154"/>
      <c r="BR1284" s="18"/>
      <c r="BS1284" s="16"/>
      <c r="BT1284" s="18"/>
      <c r="BU1284" s="18"/>
      <c r="BV1284" s="18"/>
      <c r="BW1284" s="20"/>
      <c r="BX1284" s="154"/>
      <c r="BY1284" s="18"/>
      <c r="BZ1284" s="146"/>
      <c r="CA1284" s="18"/>
      <c r="CB1284" s="18"/>
      <c r="CC1284" s="20"/>
      <c r="CD1284" s="154"/>
    </row>
    <row r="1285" spans="35:82">
      <c r="AI1285" s="19"/>
      <c r="AO1285" s="19"/>
      <c r="AY1285" s="145"/>
      <c r="AZ1285" s="16"/>
      <c r="BC1285" s="16"/>
      <c r="BD1285" s="20"/>
      <c r="BE1285" s="17"/>
      <c r="BF1285" s="20"/>
      <c r="BG1285" s="146"/>
      <c r="BH1285" s="146"/>
      <c r="BI1285" s="146"/>
      <c r="BJ1285" s="20"/>
      <c r="BK1285" s="20"/>
      <c r="BL1285" s="154"/>
      <c r="BP1285" s="20"/>
      <c r="BQ1285" s="154"/>
      <c r="BR1285" s="18"/>
      <c r="BS1285" s="16"/>
      <c r="BT1285" s="18"/>
      <c r="BU1285" s="18"/>
      <c r="BV1285" s="18"/>
      <c r="BW1285" s="20"/>
      <c r="BX1285" s="154"/>
      <c r="BY1285" s="18"/>
      <c r="BZ1285" s="146"/>
      <c r="CA1285" s="18"/>
      <c r="CB1285" s="18"/>
      <c r="CC1285" s="20"/>
      <c r="CD1285" s="154"/>
    </row>
    <row r="1286" spans="35:82">
      <c r="AI1286" s="19"/>
      <c r="AO1286" s="19"/>
      <c r="AY1286" s="145"/>
      <c r="AZ1286" s="16"/>
      <c r="BC1286" s="16"/>
      <c r="BD1286" s="20"/>
      <c r="BE1286" s="17"/>
      <c r="BF1286" s="20"/>
      <c r="BG1286" s="146"/>
      <c r="BH1286" s="146"/>
      <c r="BI1286" s="146"/>
      <c r="BJ1286" s="20"/>
      <c r="BK1286" s="20"/>
      <c r="BL1286" s="154"/>
      <c r="BP1286" s="20"/>
      <c r="BQ1286" s="154"/>
      <c r="BR1286" s="18"/>
      <c r="BS1286" s="16"/>
      <c r="BT1286" s="18"/>
      <c r="BU1286" s="18"/>
      <c r="BV1286" s="18"/>
      <c r="BW1286" s="20"/>
      <c r="BX1286" s="154"/>
      <c r="BY1286" s="18"/>
      <c r="BZ1286" s="146"/>
      <c r="CA1286" s="18"/>
      <c r="CB1286" s="18"/>
      <c r="CC1286" s="20"/>
      <c r="CD1286" s="154"/>
    </row>
    <row r="1287" spans="35:82">
      <c r="AI1287" s="19"/>
      <c r="AO1287" s="19"/>
      <c r="AY1287" s="145"/>
      <c r="AZ1287" s="16"/>
      <c r="BC1287" s="16"/>
      <c r="BD1287" s="20"/>
      <c r="BE1287" s="17"/>
      <c r="BF1287" s="20"/>
      <c r="BG1287" s="146"/>
      <c r="BH1287" s="146"/>
      <c r="BI1287" s="146"/>
      <c r="BJ1287" s="20"/>
      <c r="BK1287" s="20"/>
      <c r="BL1287" s="154"/>
      <c r="BP1287" s="20"/>
      <c r="BQ1287" s="154"/>
      <c r="BR1287" s="18"/>
      <c r="BS1287" s="16"/>
      <c r="BT1287" s="18"/>
      <c r="BU1287" s="18"/>
      <c r="BV1287" s="18"/>
      <c r="BW1287" s="20"/>
      <c r="BX1287" s="154"/>
      <c r="BY1287" s="18"/>
      <c r="BZ1287" s="146"/>
      <c r="CA1287" s="18"/>
      <c r="CB1287" s="18"/>
      <c r="CC1287" s="20"/>
      <c r="CD1287" s="154"/>
    </row>
    <row r="1288" spans="35:82">
      <c r="AI1288" s="19"/>
      <c r="AO1288" s="19"/>
      <c r="AY1288" s="145"/>
      <c r="AZ1288" s="16"/>
      <c r="BC1288" s="16"/>
      <c r="BD1288" s="20"/>
      <c r="BE1288" s="17"/>
      <c r="BF1288" s="20"/>
      <c r="BG1288" s="146"/>
      <c r="BH1288" s="146"/>
      <c r="BI1288" s="146"/>
      <c r="BJ1288" s="20"/>
      <c r="BK1288" s="20"/>
      <c r="BL1288" s="154"/>
      <c r="BP1288" s="20"/>
      <c r="BQ1288" s="154"/>
      <c r="BR1288" s="18"/>
      <c r="BS1288" s="16"/>
      <c r="BT1288" s="18"/>
      <c r="BU1288" s="18"/>
      <c r="BV1288" s="18"/>
      <c r="BW1288" s="20"/>
      <c r="BX1288" s="154"/>
      <c r="BY1288" s="18"/>
      <c r="BZ1288" s="146"/>
      <c r="CA1288" s="18"/>
      <c r="CB1288" s="18"/>
      <c r="CC1288" s="20"/>
      <c r="CD1288" s="154"/>
    </row>
    <row r="1289" spans="35:82">
      <c r="AI1289" s="19"/>
      <c r="AO1289" s="19"/>
      <c r="AY1289" s="145"/>
      <c r="AZ1289" s="16"/>
      <c r="BC1289" s="16"/>
      <c r="BD1289" s="20"/>
      <c r="BE1289" s="17"/>
      <c r="BF1289" s="20"/>
      <c r="BG1289" s="146"/>
      <c r="BH1289" s="146"/>
      <c r="BI1289" s="146"/>
      <c r="BJ1289" s="20"/>
      <c r="BK1289" s="20"/>
      <c r="BL1289" s="154"/>
      <c r="BP1289" s="20"/>
      <c r="BQ1289" s="154"/>
      <c r="BR1289" s="18"/>
      <c r="BS1289" s="16"/>
      <c r="BT1289" s="18"/>
      <c r="BU1289" s="18"/>
      <c r="BV1289" s="18"/>
      <c r="BW1289" s="20"/>
      <c r="BX1289" s="154"/>
      <c r="BY1289" s="18"/>
      <c r="BZ1289" s="146"/>
      <c r="CA1289" s="18"/>
      <c r="CB1289" s="18"/>
      <c r="CC1289" s="20"/>
      <c r="CD1289" s="154"/>
    </row>
    <row r="1290" spans="35:82">
      <c r="AI1290" s="19"/>
      <c r="AO1290" s="19"/>
      <c r="AY1290" s="145"/>
      <c r="AZ1290" s="16"/>
      <c r="BC1290" s="16"/>
      <c r="BD1290" s="20"/>
      <c r="BE1290" s="17"/>
      <c r="BF1290" s="20"/>
      <c r="BG1290" s="146"/>
      <c r="BH1290" s="146"/>
      <c r="BI1290" s="146"/>
      <c r="BJ1290" s="20"/>
      <c r="BK1290" s="20"/>
      <c r="BL1290" s="154"/>
      <c r="BP1290" s="20"/>
      <c r="BQ1290" s="154"/>
      <c r="BR1290" s="18"/>
      <c r="BS1290" s="16"/>
      <c r="BT1290" s="18"/>
      <c r="BU1290" s="18"/>
      <c r="BV1290" s="18"/>
      <c r="BW1290" s="20"/>
      <c r="BX1290" s="154"/>
      <c r="BY1290" s="18"/>
      <c r="BZ1290" s="146"/>
      <c r="CA1290" s="18"/>
      <c r="CB1290" s="18"/>
      <c r="CC1290" s="20"/>
      <c r="CD1290" s="154"/>
    </row>
    <row r="1291" spans="35:82">
      <c r="AI1291" s="19"/>
      <c r="AO1291" s="19"/>
      <c r="AY1291" s="145"/>
      <c r="AZ1291" s="16"/>
      <c r="BC1291" s="16"/>
      <c r="BD1291" s="20"/>
      <c r="BE1291" s="17"/>
      <c r="BF1291" s="20"/>
      <c r="BG1291" s="146"/>
      <c r="BH1291" s="146"/>
      <c r="BI1291" s="146"/>
      <c r="BJ1291" s="20"/>
      <c r="BK1291" s="20"/>
      <c r="BL1291" s="154"/>
      <c r="BP1291" s="20"/>
      <c r="BQ1291" s="154"/>
      <c r="BR1291" s="18"/>
      <c r="BS1291" s="16"/>
      <c r="BT1291" s="18"/>
      <c r="BU1291" s="18"/>
      <c r="BV1291" s="18"/>
      <c r="BW1291" s="20"/>
      <c r="BX1291" s="154"/>
      <c r="BY1291" s="18"/>
      <c r="BZ1291" s="146"/>
      <c r="CA1291" s="18"/>
      <c r="CB1291" s="18"/>
      <c r="CC1291" s="20"/>
      <c r="CD1291" s="154"/>
    </row>
    <row r="1292" spans="35:82">
      <c r="AI1292" s="19"/>
      <c r="AO1292" s="19"/>
      <c r="AY1292" s="145"/>
      <c r="AZ1292" s="16"/>
      <c r="BC1292" s="16"/>
      <c r="BD1292" s="20"/>
      <c r="BE1292" s="17"/>
      <c r="BF1292" s="20"/>
      <c r="BG1292" s="146"/>
      <c r="BH1292" s="146"/>
      <c r="BI1292" s="146"/>
      <c r="BJ1292" s="20"/>
      <c r="BK1292" s="20"/>
      <c r="BL1292" s="154"/>
      <c r="BP1292" s="20"/>
      <c r="BQ1292" s="154"/>
      <c r="BR1292" s="18"/>
      <c r="BS1292" s="16"/>
      <c r="BT1292" s="18"/>
      <c r="BU1292" s="18"/>
      <c r="BV1292" s="18"/>
      <c r="BW1292" s="20"/>
      <c r="BX1292" s="154"/>
      <c r="BY1292" s="18"/>
      <c r="BZ1292" s="146"/>
      <c r="CA1292" s="18"/>
      <c r="CB1292" s="18"/>
      <c r="CC1292" s="20"/>
      <c r="CD1292" s="154"/>
    </row>
    <row r="1293" spans="35:82">
      <c r="AI1293" s="19"/>
      <c r="AO1293" s="19"/>
      <c r="AY1293" s="145"/>
      <c r="AZ1293" s="16"/>
      <c r="BC1293" s="16"/>
      <c r="BD1293" s="20"/>
      <c r="BE1293" s="17"/>
      <c r="BF1293" s="20"/>
      <c r="BG1293" s="146"/>
      <c r="BH1293" s="146"/>
      <c r="BI1293" s="146"/>
      <c r="BJ1293" s="20"/>
      <c r="BK1293" s="20"/>
      <c r="BL1293" s="154"/>
      <c r="BP1293" s="20"/>
      <c r="BQ1293" s="154"/>
      <c r="BR1293" s="18"/>
      <c r="BS1293" s="16"/>
      <c r="BT1293" s="18"/>
      <c r="BU1293" s="18"/>
      <c r="BV1293" s="18"/>
      <c r="BW1293" s="20"/>
      <c r="BX1293" s="154"/>
      <c r="BY1293" s="18"/>
      <c r="BZ1293" s="146"/>
      <c r="CA1293" s="18"/>
      <c r="CB1293" s="18"/>
      <c r="CC1293" s="20"/>
      <c r="CD1293" s="154"/>
    </row>
    <row r="1294" spans="35:82">
      <c r="AI1294" s="19"/>
      <c r="AO1294" s="19"/>
      <c r="AY1294" s="145"/>
      <c r="AZ1294" s="16"/>
      <c r="BC1294" s="16"/>
      <c r="BD1294" s="20"/>
      <c r="BE1294" s="17"/>
      <c r="BF1294" s="20"/>
      <c r="BG1294" s="146"/>
      <c r="BH1294" s="146"/>
      <c r="BI1294" s="146"/>
      <c r="BJ1294" s="20"/>
      <c r="BK1294" s="20"/>
      <c r="BL1294" s="154"/>
      <c r="BP1294" s="20"/>
      <c r="BQ1294" s="154"/>
      <c r="BR1294" s="18"/>
      <c r="BS1294" s="16"/>
      <c r="BT1294" s="18"/>
      <c r="BU1294" s="18"/>
      <c r="BV1294" s="18"/>
      <c r="BW1294" s="20"/>
      <c r="BX1294" s="154"/>
      <c r="BY1294" s="18"/>
      <c r="BZ1294" s="146"/>
      <c r="CA1294" s="18"/>
      <c r="CB1294" s="18"/>
      <c r="CC1294" s="20"/>
      <c r="CD1294" s="154"/>
    </row>
    <row r="1295" spans="35:82">
      <c r="AI1295" s="19"/>
      <c r="AO1295" s="19"/>
      <c r="AY1295" s="145"/>
      <c r="AZ1295" s="16"/>
      <c r="BC1295" s="16"/>
      <c r="BD1295" s="20"/>
      <c r="BE1295" s="17"/>
      <c r="BF1295" s="20"/>
      <c r="BG1295" s="146"/>
      <c r="BH1295" s="146"/>
      <c r="BI1295" s="146"/>
      <c r="BJ1295" s="20"/>
      <c r="BK1295" s="20"/>
      <c r="BL1295" s="154"/>
      <c r="BP1295" s="20"/>
      <c r="BQ1295" s="154"/>
      <c r="BR1295" s="18"/>
      <c r="BS1295" s="16"/>
      <c r="BT1295" s="18"/>
      <c r="BU1295" s="18"/>
      <c r="BV1295" s="18"/>
      <c r="BW1295" s="20"/>
      <c r="BX1295" s="154"/>
      <c r="BY1295" s="18"/>
      <c r="BZ1295" s="146"/>
      <c r="CA1295" s="18"/>
      <c r="CB1295" s="18"/>
      <c r="CC1295" s="20"/>
      <c r="CD1295" s="154"/>
    </row>
    <row r="1296" spans="35:82">
      <c r="AI1296" s="19"/>
      <c r="AO1296" s="19"/>
      <c r="AY1296" s="145"/>
      <c r="AZ1296" s="16"/>
      <c r="BC1296" s="16"/>
      <c r="BD1296" s="20"/>
      <c r="BE1296" s="17"/>
      <c r="BF1296" s="20"/>
      <c r="BG1296" s="146"/>
      <c r="BH1296" s="146"/>
      <c r="BI1296" s="146"/>
      <c r="BJ1296" s="20"/>
      <c r="BK1296" s="20"/>
      <c r="BL1296" s="154"/>
      <c r="BP1296" s="20"/>
      <c r="BQ1296" s="154"/>
      <c r="BR1296" s="18"/>
      <c r="BS1296" s="16"/>
      <c r="BT1296" s="18"/>
      <c r="BU1296" s="18"/>
      <c r="BV1296" s="18"/>
      <c r="BW1296" s="20"/>
      <c r="BX1296" s="154"/>
      <c r="BY1296" s="18"/>
      <c r="BZ1296" s="146"/>
      <c r="CA1296" s="18"/>
      <c r="CB1296" s="18"/>
      <c r="CC1296" s="20"/>
      <c r="CD1296" s="154"/>
    </row>
    <row r="1297" spans="35:82">
      <c r="AI1297" s="19"/>
      <c r="AO1297" s="19"/>
      <c r="AY1297" s="145"/>
      <c r="AZ1297" s="16"/>
      <c r="BC1297" s="16"/>
      <c r="BD1297" s="20"/>
      <c r="BE1297" s="17"/>
      <c r="BF1297" s="20"/>
      <c r="BG1297" s="146"/>
      <c r="BH1297" s="146"/>
      <c r="BI1297" s="146"/>
      <c r="BJ1297" s="20"/>
      <c r="BK1297" s="20"/>
      <c r="BL1297" s="154"/>
      <c r="BP1297" s="20"/>
      <c r="BQ1297" s="154"/>
      <c r="BR1297" s="18"/>
      <c r="BS1297" s="16"/>
      <c r="BT1297" s="18"/>
      <c r="BU1297" s="18"/>
      <c r="BV1297" s="18"/>
      <c r="BW1297" s="20"/>
      <c r="BX1297" s="154"/>
      <c r="BY1297" s="18"/>
      <c r="BZ1297" s="146"/>
      <c r="CA1297" s="18"/>
      <c r="CB1297" s="18"/>
      <c r="CC1297" s="20"/>
      <c r="CD1297" s="154"/>
    </row>
    <row r="1298" spans="35:82">
      <c r="AI1298" s="19"/>
      <c r="AO1298" s="19"/>
      <c r="AY1298" s="145"/>
      <c r="AZ1298" s="16"/>
      <c r="BC1298" s="16"/>
      <c r="BD1298" s="20"/>
      <c r="BE1298" s="17"/>
      <c r="BF1298" s="20"/>
      <c r="BG1298" s="146"/>
      <c r="BH1298" s="146"/>
      <c r="BI1298" s="146"/>
      <c r="BJ1298" s="20"/>
      <c r="BK1298" s="20"/>
      <c r="BL1298" s="154"/>
      <c r="BP1298" s="20"/>
      <c r="BQ1298" s="154"/>
      <c r="BR1298" s="18"/>
      <c r="BS1298" s="16"/>
      <c r="BT1298" s="18"/>
      <c r="BU1298" s="18"/>
      <c r="BV1298" s="18"/>
      <c r="BW1298" s="20"/>
      <c r="BX1298" s="154"/>
      <c r="BY1298" s="18"/>
      <c r="BZ1298" s="146"/>
      <c r="CA1298" s="18"/>
      <c r="CB1298" s="18"/>
      <c r="CC1298" s="20"/>
      <c r="CD1298" s="154"/>
    </row>
    <row r="1299" spans="35:82">
      <c r="AI1299" s="19"/>
      <c r="AO1299" s="19"/>
      <c r="AY1299" s="145"/>
      <c r="AZ1299" s="16"/>
      <c r="BC1299" s="16"/>
      <c r="BD1299" s="20"/>
      <c r="BE1299" s="17"/>
      <c r="BF1299" s="20"/>
      <c r="BG1299" s="146"/>
      <c r="BH1299" s="146"/>
      <c r="BI1299" s="146"/>
      <c r="BJ1299" s="20"/>
      <c r="BK1299" s="20"/>
      <c r="BL1299" s="154"/>
      <c r="BP1299" s="20"/>
      <c r="BQ1299" s="154"/>
      <c r="BR1299" s="18"/>
      <c r="BS1299" s="16"/>
      <c r="BT1299" s="18"/>
      <c r="BU1299" s="18"/>
      <c r="BV1299" s="18"/>
      <c r="BW1299" s="20"/>
      <c r="BX1299" s="154"/>
      <c r="BY1299" s="18"/>
      <c r="BZ1299" s="146"/>
      <c r="CA1299" s="18"/>
      <c r="CB1299" s="18"/>
      <c r="CC1299" s="20"/>
      <c r="CD1299" s="154"/>
    </row>
    <row r="1300" spans="35:82">
      <c r="AI1300" s="19"/>
      <c r="AO1300" s="19"/>
      <c r="AY1300" s="145"/>
      <c r="AZ1300" s="16"/>
      <c r="BC1300" s="16"/>
      <c r="BD1300" s="20"/>
      <c r="BE1300" s="17"/>
      <c r="BF1300" s="20"/>
      <c r="BG1300" s="146"/>
      <c r="BH1300" s="146"/>
      <c r="BI1300" s="146"/>
      <c r="BJ1300" s="20"/>
      <c r="BK1300" s="20"/>
      <c r="BL1300" s="154"/>
      <c r="BP1300" s="20"/>
      <c r="BQ1300" s="154"/>
      <c r="BR1300" s="18"/>
      <c r="BS1300" s="16"/>
      <c r="BT1300" s="18"/>
      <c r="BU1300" s="18"/>
      <c r="BV1300" s="18"/>
      <c r="BW1300" s="20"/>
      <c r="BX1300" s="154"/>
      <c r="BY1300" s="18"/>
      <c r="BZ1300" s="146"/>
      <c r="CA1300" s="18"/>
      <c r="CB1300" s="18"/>
      <c r="CC1300" s="20"/>
      <c r="CD1300" s="154"/>
    </row>
    <row r="1301" spans="35:82">
      <c r="AI1301" s="19"/>
      <c r="AO1301" s="19"/>
      <c r="AY1301" s="145"/>
      <c r="AZ1301" s="16"/>
      <c r="BC1301" s="16"/>
      <c r="BD1301" s="20"/>
      <c r="BE1301" s="17"/>
      <c r="BF1301" s="20"/>
      <c r="BG1301" s="146"/>
      <c r="BH1301" s="146"/>
      <c r="BI1301" s="146"/>
      <c r="BJ1301" s="20"/>
      <c r="BK1301" s="20"/>
      <c r="BL1301" s="154"/>
      <c r="BP1301" s="20"/>
      <c r="BQ1301" s="154"/>
      <c r="BR1301" s="18"/>
      <c r="BS1301" s="16"/>
      <c r="BT1301" s="18"/>
      <c r="BU1301" s="18"/>
      <c r="BV1301" s="18"/>
      <c r="BW1301" s="20"/>
      <c r="BX1301" s="154"/>
      <c r="BY1301" s="18"/>
      <c r="BZ1301" s="146"/>
      <c r="CA1301" s="18"/>
      <c r="CB1301" s="18"/>
      <c r="CC1301" s="20"/>
      <c r="CD1301" s="154"/>
    </row>
    <row r="1302" spans="35:82">
      <c r="AI1302" s="19"/>
      <c r="AO1302" s="19"/>
      <c r="AY1302" s="145"/>
      <c r="AZ1302" s="16"/>
      <c r="BC1302" s="16"/>
      <c r="BD1302" s="20"/>
      <c r="BE1302" s="17"/>
      <c r="BF1302" s="20"/>
      <c r="BG1302" s="146"/>
      <c r="BH1302" s="146"/>
      <c r="BI1302" s="146"/>
      <c r="BJ1302" s="20"/>
      <c r="BK1302" s="20"/>
      <c r="BL1302" s="154"/>
      <c r="BP1302" s="20"/>
      <c r="BQ1302" s="154"/>
      <c r="BR1302" s="18"/>
      <c r="BS1302" s="16"/>
      <c r="BT1302" s="18"/>
      <c r="BU1302" s="18"/>
      <c r="BV1302" s="18"/>
      <c r="BW1302" s="20"/>
      <c r="BX1302" s="154"/>
      <c r="BY1302" s="18"/>
      <c r="BZ1302" s="146"/>
      <c r="CA1302" s="18"/>
      <c r="CB1302" s="18"/>
      <c r="CC1302" s="20"/>
      <c r="CD1302" s="154"/>
    </row>
    <row r="1303" spans="35:82">
      <c r="AI1303" s="19"/>
      <c r="AO1303" s="19"/>
      <c r="AY1303" s="145"/>
      <c r="AZ1303" s="16"/>
      <c r="BC1303" s="16"/>
      <c r="BD1303" s="20"/>
      <c r="BE1303" s="17"/>
      <c r="BF1303" s="20"/>
      <c r="BG1303" s="146"/>
      <c r="BH1303" s="146"/>
      <c r="BI1303" s="146"/>
      <c r="BJ1303" s="20"/>
      <c r="BK1303" s="20"/>
      <c r="BL1303" s="154"/>
      <c r="BP1303" s="20"/>
      <c r="BQ1303" s="154"/>
      <c r="BR1303" s="18"/>
      <c r="BS1303" s="16"/>
      <c r="BT1303" s="18"/>
      <c r="BU1303" s="18"/>
      <c r="BV1303" s="18"/>
      <c r="BW1303" s="20"/>
      <c r="BX1303" s="154"/>
      <c r="BY1303" s="18"/>
      <c r="BZ1303" s="146"/>
      <c r="CA1303" s="18"/>
      <c r="CB1303" s="18"/>
      <c r="CC1303" s="20"/>
      <c r="CD1303" s="154"/>
    </row>
    <row r="1304" spans="35:82">
      <c r="AI1304" s="19"/>
      <c r="AO1304" s="19"/>
      <c r="AY1304" s="145"/>
      <c r="AZ1304" s="16"/>
      <c r="BC1304" s="16"/>
      <c r="BD1304" s="20"/>
      <c r="BE1304" s="17"/>
      <c r="BF1304" s="20"/>
      <c r="BG1304" s="146"/>
      <c r="BH1304" s="146"/>
      <c r="BI1304" s="146"/>
      <c r="BJ1304" s="20"/>
      <c r="BK1304" s="20"/>
      <c r="BL1304" s="154"/>
      <c r="BP1304" s="20"/>
      <c r="BQ1304" s="154"/>
      <c r="BR1304" s="18"/>
      <c r="BS1304" s="16"/>
      <c r="BT1304" s="18"/>
      <c r="BU1304" s="18"/>
      <c r="BV1304" s="18"/>
      <c r="BW1304" s="20"/>
      <c r="BX1304" s="154"/>
      <c r="BY1304" s="18"/>
      <c r="BZ1304" s="146"/>
      <c r="CA1304" s="18"/>
      <c r="CB1304" s="18"/>
      <c r="CC1304" s="20"/>
      <c r="CD1304" s="154"/>
    </row>
    <row r="1305" spans="35:82">
      <c r="AI1305" s="19"/>
      <c r="AO1305" s="19"/>
      <c r="AY1305" s="145"/>
      <c r="AZ1305" s="16"/>
      <c r="BC1305" s="16"/>
      <c r="BD1305" s="20"/>
      <c r="BE1305" s="17"/>
      <c r="BF1305" s="20"/>
      <c r="BG1305" s="146"/>
      <c r="BH1305" s="146"/>
      <c r="BI1305" s="146"/>
      <c r="BJ1305" s="20"/>
      <c r="BK1305" s="20"/>
      <c r="BL1305" s="154"/>
      <c r="BP1305" s="20"/>
      <c r="BQ1305" s="154"/>
      <c r="BR1305" s="18"/>
      <c r="BS1305" s="16"/>
      <c r="BT1305" s="18"/>
      <c r="BU1305" s="18"/>
      <c r="BV1305" s="18"/>
      <c r="BW1305" s="20"/>
      <c r="BX1305" s="154"/>
      <c r="BY1305" s="18"/>
      <c r="BZ1305" s="146"/>
      <c r="CA1305" s="18"/>
      <c r="CB1305" s="18"/>
      <c r="CC1305" s="20"/>
      <c r="CD1305" s="154"/>
    </row>
    <row r="1306" spans="35:82">
      <c r="AI1306" s="19"/>
      <c r="AO1306" s="19"/>
      <c r="AY1306" s="145"/>
      <c r="AZ1306" s="16"/>
      <c r="BC1306" s="16"/>
      <c r="BD1306" s="20"/>
      <c r="BE1306" s="17"/>
      <c r="BF1306" s="20"/>
      <c r="BG1306" s="146"/>
      <c r="BH1306" s="146"/>
      <c r="BI1306" s="146"/>
      <c r="BJ1306" s="20"/>
      <c r="BK1306" s="20"/>
      <c r="BL1306" s="154"/>
      <c r="BP1306" s="20"/>
      <c r="BQ1306" s="154"/>
      <c r="BR1306" s="18"/>
      <c r="BS1306" s="16"/>
      <c r="BT1306" s="18"/>
      <c r="BU1306" s="18"/>
      <c r="BV1306" s="18"/>
      <c r="BW1306" s="20"/>
      <c r="BX1306" s="154"/>
      <c r="BY1306" s="18"/>
      <c r="BZ1306" s="146"/>
      <c r="CA1306" s="18"/>
      <c r="CB1306" s="18"/>
      <c r="CC1306" s="20"/>
      <c r="CD1306" s="154"/>
    </row>
    <row r="1307" spans="35:82">
      <c r="AI1307" s="19"/>
      <c r="AO1307" s="19"/>
      <c r="AY1307" s="145"/>
      <c r="AZ1307" s="16"/>
      <c r="BC1307" s="16"/>
      <c r="BD1307" s="20"/>
      <c r="BE1307" s="17"/>
      <c r="BF1307" s="20"/>
      <c r="BG1307" s="146"/>
      <c r="BH1307" s="146"/>
      <c r="BI1307" s="146"/>
      <c r="BJ1307" s="20"/>
      <c r="BK1307" s="20"/>
      <c r="BL1307" s="154"/>
      <c r="BP1307" s="20"/>
      <c r="BQ1307" s="154"/>
      <c r="BR1307" s="18"/>
      <c r="BS1307" s="16"/>
      <c r="BT1307" s="18"/>
      <c r="BU1307" s="18"/>
      <c r="BV1307" s="18"/>
      <c r="BW1307" s="20"/>
      <c r="BX1307" s="154"/>
      <c r="BY1307" s="18"/>
      <c r="BZ1307" s="146"/>
      <c r="CA1307" s="18"/>
      <c r="CB1307" s="18"/>
      <c r="CC1307" s="20"/>
      <c r="CD1307" s="154"/>
    </row>
    <row r="1308" spans="35:82">
      <c r="AI1308" s="19"/>
      <c r="AO1308" s="19"/>
      <c r="AY1308" s="145"/>
      <c r="AZ1308" s="16"/>
      <c r="BC1308" s="16"/>
      <c r="BD1308" s="20"/>
      <c r="BE1308" s="17"/>
      <c r="BF1308" s="20"/>
      <c r="BG1308" s="146"/>
      <c r="BH1308" s="146"/>
      <c r="BI1308" s="146"/>
      <c r="BJ1308" s="20"/>
      <c r="BK1308" s="20"/>
      <c r="BL1308" s="154"/>
      <c r="BP1308" s="20"/>
      <c r="BQ1308" s="154"/>
      <c r="BR1308" s="18"/>
      <c r="BS1308" s="16"/>
      <c r="BT1308" s="18"/>
      <c r="BU1308" s="18"/>
      <c r="BV1308" s="18"/>
      <c r="BW1308" s="20"/>
      <c r="BX1308" s="154"/>
      <c r="BY1308" s="18"/>
      <c r="BZ1308" s="146"/>
      <c r="CA1308" s="18"/>
      <c r="CB1308" s="18"/>
      <c r="CC1308" s="20"/>
      <c r="CD1308" s="154"/>
    </row>
    <row r="1309" spans="35:82">
      <c r="AI1309" s="19"/>
      <c r="AO1309" s="19"/>
      <c r="AY1309" s="145"/>
      <c r="AZ1309" s="16"/>
      <c r="BC1309" s="16"/>
      <c r="BD1309" s="20"/>
      <c r="BE1309" s="17"/>
      <c r="BF1309" s="20"/>
      <c r="BG1309" s="146"/>
      <c r="BH1309" s="146"/>
      <c r="BI1309" s="146"/>
      <c r="BJ1309" s="20"/>
      <c r="BK1309" s="20"/>
      <c r="BL1309" s="154"/>
      <c r="BP1309" s="20"/>
      <c r="BQ1309" s="154"/>
      <c r="BR1309" s="18"/>
      <c r="BS1309" s="16"/>
      <c r="BT1309" s="18"/>
      <c r="BU1309" s="18"/>
      <c r="BV1309" s="18"/>
      <c r="BW1309" s="20"/>
      <c r="BX1309" s="154"/>
      <c r="BY1309" s="18"/>
      <c r="BZ1309" s="146"/>
      <c r="CA1309" s="18"/>
      <c r="CB1309" s="18"/>
      <c r="CC1309" s="20"/>
      <c r="CD1309" s="154"/>
    </row>
    <row r="1310" spans="35:82">
      <c r="AI1310" s="19"/>
      <c r="AO1310" s="19"/>
      <c r="AY1310" s="145"/>
      <c r="AZ1310" s="16"/>
      <c r="BC1310" s="16"/>
      <c r="BD1310" s="20"/>
      <c r="BE1310" s="17"/>
      <c r="BF1310" s="20"/>
      <c r="BG1310" s="146"/>
      <c r="BH1310" s="146"/>
      <c r="BI1310" s="146"/>
      <c r="BJ1310" s="20"/>
      <c r="BK1310" s="20"/>
      <c r="BL1310" s="154"/>
      <c r="BP1310" s="20"/>
      <c r="BQ1310" s="154"/>
      <c r="BR1310" s="18"/>
      <c r="BS1310" s="16"/>
      <c r="BT1310" s="18"/>
      <c r="BU1310" s="18"/>
      <c r="BV1310" s="18"/>
      <c r="BW1310" s="20"/>
      <c r="BX1310" s="154"/>
      <c r="BY1310" s="18"/>
      <c r="BZ1310" s="146"/>
      <c r="CA1310" s="18"/>
      <c r="CB1310" s="18"/>
      <c r="CC1310" s="20"/>
      <c r="CD1310" s="154"/>
    </row>
    <row r="1311" spans="35:82">
      <c r="AI1311" s="19"/>
      <c r="AO1311" s="19"/>
      <c r="AY1311" s="145"/>
      <c r="AZ1311" s="16"/>
      <c r="BC1311" s="16"/>
      <c r="BD1311" s="20"/>
      <c r="BE1311" s="17"/>
      <c r="BF1311" s="20"/>
      <c r="BG1311" s="146"/>
      <c r="BH1311" s="146"/>
      <c r="BI1311" s="146"/>
      <c r="BJ1311" s="20"/>
      <c r="BK1311" s="20"/>
      <c r="BL1311" s="154"/>
      <c r="BP1311" s="20"/>
      <c r="BQ1311" s="154"/>
      <c r="BR1311" s="18"/>
      <c r="BS1311" s="16"/>
      <c r="BT1311" s="18"/>
      <c r="BU1311" s="18"/>
      <c r="BV1311" s="18"/>
      <c r="BW1311" s="20"/>
      <c r="BX1311" s="154"/>
      <c r="BY1311" s="18"/>
      <c r="BZ1311" s="146"/>
      <c r="CA1311" s="18"/>
      <c r="CB1311" s="18"/>
      <c r="CC1311" s="20"/>
      <c r="CD1311" s="154"/>
    </row>
    <row r="1312" spans="35:82">
      <c r="AI1312" s="19"/>
      <c r="AO1312" s="19"/>
      <c r="AY1312" s="145"/>
      <c r="AZ1312" s="16"/>
      <c r="BC1312" s="16"/>
      <c r="BD1312" s="20"/>
      <c r="BE1312" s="17"/>
      <c r="BF1312" s="20"/>
      <c r="BG1312" s="146"/>
      <c r="BH1312" s="146"/>
      <c r="BI1312" s="146"/>
      <c r="BJ1312" s="20"/>
      <c r="BK1312" s="20"/>
      <c r="BL1312" s="154"/>
      <c r="BP1312" s="20"/>
      <c r="BQ1312" s="154"/>
      <c r="BR1312" s="18"/>
      <c r="BS1312" s="16"/>
      <c r="BT1312" s="18"/>
      <c r="BU1312" s="18"/>
      <c r="BV1312" s="18"/>
      <c r="BW1312" s="20"/>
      <c r="BX1312" s="154"/>
      <c r="BY1312" s="18"/>
      <c r="BZ1312" s="146"/>
      <c r="CA1312" s="18"/>
      <c r="CB1312" s="18"/>
      <c r="CC1312" s="20"/>
      <c r="CD1312" s="154"/>
    </row>
    <row r="1313" spans="35:82">
      <c r="AI1313" s="19"/>
      <c r="AO1313" s="19"/>
      <c r="AY1313" s="145"/>
      <c r="AZ1313" s="16"/>
      <c r="BC1313" s="16"/>
      <c r="BD1313" s="20"/>
      <c r="BE1313" s="17"/>
      <c r="BF1313" s="20"/>
      <c r="BG1313" s="146"/>
      <c r="BH1313" s="146"/>
      <c r="BI1313" s="146"/>
      <c r="BJ1313" s="20"/>
      <c r="BK1313" s="20"/>
      <c r="BL1313" s="154"/>
      <c r="BP1313" s="20"/>
      <c r="BQ1313" s="154"/>
      <c r="BR1313" s="18"/>
      <c r="BS1313" s="16"/>
      <c r="BT1313" s="18"/>
      <c r="BU1313" s="18"/>
      <c r="BV1313" s="18"/>
      <c r="BW1313" s="20"/>
      <c r="BX1313" s="154"/>
      <c r="BY1313" s="18"/>
      <c r="BZ1313" s="146"/>
      <c r="CA1313" s="18"/>
      <c r="CB1313" s="18"/>
      <c r="CC1313" s="20"/>
      <c r="CD1313" s="154"/>
    </row>
    <row r="1314" spans="35:82">
      <c r="AI1314" s="19"/>
      <c r="AO1314" s="19"/>
      <c r="AY1314" s="145"/>
      <c r="AZ1314" s="16"/>
      <c r="BC1314" s="16"/>
      <c r="BD1314" s="20"/>
      <c r="BE1314" s="17"/>
      <c r="BF1314" s="20"/>
      <c r="BG1314" s="146"/>
      <c r="BH1314" s="146"/>
      <c r="BI1314" s="146"/>
      <c r="BJ1314" s="20"/>
      <c r="BK1314" s="20"/>
      <c r="BL1314" s="154"/>
      <c r="BP1314" s="20"/>
      <c r="BQ1314" s="154"/>
      <c r="BR1314" s="18"/>
      <c r="BS1314" s="16"/>
      <c r="BT1314" s="18"/>
      <c r="BU1314" s="18"/>
      <c r="BV1314" s="18"/>
      <c r="BW1314" s="20"/>
      <c r="BX1314" s="154"/>
      <c r="BY1314" s="18"/>
      <c r="BZ1314" s="146"/>
      <c r="CA1314" s="18"/>
      <c r="CB1314" s="18"/>
      <c r="CC1314" s="20"/>
      <c r="CD1314" s="154"/>
    </row>
    <row r="1315" spans="35:82">
      <c r="AI1315" s="19"/>
      <c r="AO1315" s="19"/>
      <c r="AY1315" s="145"/>
      <c r="AZ1315" s="16"/>
      <c r="BC1315" s="16"/>
      <c r="BD1315" s="20"/>
      <c r="BE1315" s="17"/>
      <c r="BF1315" s="20"/>
      <c r="BG1315" s="146"/>
      <c r="BH1315" s="146"/>
      <c r="BI1315" s="146"/>
      <c r="BJ1315" s="20"/>
      <c r="BK1315" s="20"/>
      <c r="BL1315" s="154"/>
      <c r="BP1315" s="20"/>
      <c r="BQ1315" s="154"/>
      <c r="BR1315" s="18"/>
      <c r="BS1315" s="16"/>
      <c r="BT1315" s="18"/>
      <c r="BU1315" s="18"/>
      <c r="BV1315" s="18"/>
      <c r="BW1315" s="20"/>
      <c r="BX1315" s="154"/>
      <c r="BY1315" s="18"/>
      <c r="BZ1315" s="146"/>
      <c r="CA1315" s="18"/>
      <c r="CB1315" s="18"/>
      <c r="CC1315" s="20"/>
      <c r="CD1315" s="154"/>
    </row>
    <row r="1316" spans="35:82">
      <c r="AI1316" s="19"/>
      <c r="AO1316" s="19"/>
      <c r="AY1316" s="145"/>
      <c r="AZ1316" s="16"/>
      <c r="BC1316" s="16"/>
      <c r="BD1316" s="20"/>
      <c r="BE1316" s="17"/>
      <c r="BF1316" s="20"/>
      <c r="BG1316" s="146"/>
      <c r="BH1316" s="146"/>
      <c r="BI1316" s="146"/>
      <c r="BJ1316" s="20"/>
      <c r="BK1316" s="20"/>
      <c r="BL1316" s="154"/>
      <c r="BP1316" s="20"/>
      <c r="BQ1316" s="154"/>
      <c r="BR1316" s="18"/>
      <c r="BS1316" s="16"/>
      <c r="BT1316" s="18"/>
      <c r="BU1316" s="18"/>
      <c r="BV1316" s="18"/>
      <c r="BW1316" s="20"/>
      <c r="BX1316" s="154"/>
      <c r="BY1316" s="18"/>
      <c r="BZ1316" s="146"/>
      <c r="CA1316" s="18"/>
      <c r="CB1316" s="18"/>
      <c r="CC1316" s="20"/>
      <c r="CD1316" s="154"/>
    </row>
    <row r="1317" spans="35:82">
      <c r="AI1317" s="19"/>
      <c r="AO1317" s="19"/>
      <c r="AY1317" s="145"/>
      <c r="AZ1317" s="16"/>
      <c r="BC1317" s="16"/>
      <c r="BD1317" s="20"/>
      <c r="BE1317" s="17"/>
      <c r="BF1317" s="20"/>
      <c r="BG1317" s="146"/>
      <c r="BH1317" s="146"/>
      <c r="BI1317" s="146"/>
      <c r="BJ1317" s="20"/>
      <c r="BK1317" s="20"/>
      <c r="BL1317" s="154"/>
      <c r="BP1317" s="20"/>
      <c r="BQ1317" s="154"/>
      <c r="BR1317" s="18"/>
      <c r="BS1317" s="16"/>
      <c r="BT1317" s="18"/>
      <c r="BU1317" s="18"/>
      <c r="BV1317" s="18"/>
      <c r="BW1317" s="20"/>
      <c r="BX1317" s="154"/>
      <c r="BY1317" s="18"/>
      <c r="BZ1317" s="146"/>
      <c r="CA1317" s="18"/>
      <c r="CB1317" s="18"/>
      <c r="CC1317" s="20"/>
      <c r="CD1317" s="154"/>
    </row>
    <row r="1318" spans="35:82">
      <c r="AI1318" s="19"/>
      <c r="AO1318" s="19"/>
      <c r="AY1318" s="145"/>
      <c r="AZ1318" s="16"/>
      <c r="BC1318" s="16"/>
      <c r="BD1318" s="20"/>
      <c r="BE1318" s="17"/>
      <c r="BF1318" s="20"/>
      <c r="BG1318" s="146"/>
      <c r="BH1318" s="146"/>
      <c r="BI1318" s="146"/>
      <c r="BJ1318" s="20"/>
      <c r="BK1318" s="20"/>
      <c r="BL1318" s="154"/>
      <c r="BP1318" s="20"/>
      <c r="BQ1318" s="154"/>
      <c r="BR1318" s="18"/>
      <c r="BS1318" s="16"/>
      <c r="BT1318" s="18"/>
      <c r="BU1318" s="18"/>
      <c r="BV1318" s="18"/>
      <c r="BW1318" s="20"/>
      <c r="BX1318" s="154"/>
      <c r="BY1318" s="18"/>
      <c r="BZ1318" s="146"/>
      <c r="CA1318" s="18"/>
      <c r="CB1318" s="18"/>
      <c r="CC1318" s="20"/>
      <c r="CD1318" s="154"/>
    </row>
    <row r="1319" spans="35:82">
      <c r="AI1319" s="19"/>
      <c r="AO1319" s="19"/>
      <c r="AY1319" s="145"/>
      <c r="AZ1319" s="16"/>
      <c r="BC1319" s="16"/>
      <c r="BD1319" s="20"/>
      <c r="BE1319" s="17"/>
      <c r="BF1319" s="20"/>
      <c r="BG1319" s="146"/>
      <c r="BH1319" s="146"/>
      <c r="BI1319" s="146"/>
      <c r="BJ1319" s="20"/>
      <c r="BK1319" s="20"/>
      <c r="BL1319" s="154"/>
      <c r="BP1319" s="20"/>
      <c r="BQ1319" s="154"/>
      <c r="BR1319" s="18"/>
      <c r="BS1319" s="16"/>
      <c r="BT1319" s="18"/>
      <c r="BU1319" s="18"/>
      <c r="BV1319" s="18"/>
      <c r="BW1319" s="20"/>
      <c r="BX1319" s="154"/>
      <c r="BY1319" s="18"/>
      <c r="BZ1319" s="146"/>
      <c r="CA1319" s="18"/>
      <c r="CB1319" s="18"/>
      <c r="CC1319" s="20"/>
      <c r="CD1319" s="154"/>
    </row>
    <row r="1320" spans="35:82">
      <c r="AI1320" s="19"/>
      <c r="AO1320" s="19"/>
      <c r="AY1320" s="145"/>
      <c r="AZ1320" s="16"/>
      <c r="BC1320" s="16"/>
      <c r="BD1320" s="20"/>
      <c r="BE1320" s="17"/>
      <c r="BF1320" s="20"/>
      <c r="BG1320" s="146"/>
      <c r="BH1320" s="146"/>
      <c r="BI1320" s="146"/>
      <c r="BJ1320" s="20"/>
      <c r="BK1320" s="20"/>
      <c r="BL1320" s="154"/>
      <c r="BP1320" s="20"/>
      <c r="BQ1320" s="154"/>
      <c r="BR1320" s="18"/>
      <c r="BS1320" s="16"/>
      <c r="BT1320" s="18"/>
      <c r="BU1320" s="18"/>
      <c r="BV1320" s="18"/>
      <c r="BW1320" s="20"/>
      <c r="BX1320" s="154"/>
      <c r="BY1320" s="18"/>
      <c r="BZ1320" s="146"/>
      <c r="CA1320" s="18"/>
      <c r="CB1320" s="18"/>
      <c r="CC1320" s="20"/>
      <c r="CD1320" s="154"/>
    </row>
    <row r="1321" spans="35:82">
      <c r="AI1321" s="19"/>
      <c r="AO1321" s="19"/>
      <c r="AY1321" s="145"/>
      <c r="AZ1321" s="16"/>
      <c r="BC1321" s="16"/>
      <c r="BD1321" s="20"/>
      <c r="BE1321" s="17"/>
      <c r="BF1321" s="20"/>
      <c r="BG1321" s="146"/>
      <c r="BH1321" s="146"/>
      <c r="BI1321" s="146"/>
      <c r="BJ1321" s="20"/>
      <c r="BK1321" s="20"/>
      <c r="BL1321" s="154"/>
      <c r="BP1321" s="20"/>
      <c r="BQ1321" s="154"/>
      <c r="BR1321" s="18"/>
      <c r="BS1321" s="16"/>
      <c r="BT1321" s="18"/>
      <c r="BU1321" s="18"/>
      <c r="BV1321" s="18"/>
      <c r="BW1321" s="20"/>
      <c r="BX1321" s="154"/>
      <c r="BY1321" s="18"/>
      <c r="BZ1321" s="146"/>
      <c r="CA1321" s="18"/>
      <c r="CB1321" s="18"/>
      <c r="CC1321" s="20"/>
      <c r="CD1321" s="154"/>
    </row>
    <row r="1322" spans="35:82">
      <c r="AI1322" s="19"/>
      <c r="AO1322" s="19"/>
      <c r="AY1322" s="145"/>
      <c r="AZ1322" s="16"/>
      <c r="BC1322" s="16"/>
      <c r="BD1322" s="20"/>
      <c r="BE1322" s="17"/>
      <c r="BF1322" s="20"/>
      <c r="BG1322" s="146"/>
      <c r="BH1322" s="146"/>
      <c r="BI1322" s="146"/>
      <c r="BJ1322" s="20"/>
      <c r="BK1322" s="20"/>
      <c r="BL1322" s="154"/>
      <c r="BP1322" s="20"/>
      <c r="BQ1322" s="154"/>
      <c r="BR1322" s="18"/>
      <c r="BS1322" s="16"/>
      <c r="BT1322" s="18"/>
      <c r="BU1322" s="18"/>
      <c r="BV1322" s="18"/>
      <c r="BW1322" s="20"/>
      <c r="BX1322" s="154"/>
      <c r="BY1322" s="18"/>
      <c r="BZ1322" s="146"/>
      <c r="CA1322" s="18"/>
      <c r="CB1322" s="18"/>
      <c r="CC1322" s="20"/>
      <c r="CD1322" s="154"/>
    </row>
    <row r="1323" spans="35:82">
      <c r="AI1323" s="19"/>
      <c r="AO1323" s="19"/>
      <c r="AY1323" s="145"/>
      <c r="AZ1323" s="16"/>
      <c r="BC1323" s="16"/>
      <c r="BD1323" s="20"/>
      <c r="BE1323" s="17"/>
      <c r="BF1323" s="20"/>
      <c r="BG1323" s="146"/>
      <c r="BH1323" s="146"/>
      <c r="BI1323" s="146"/>
      <c r="BJ1323" s="20"/>
      <c r="BK1323" s="20"/>
      <c r="BL1323" s="154"/>
      <c r="BP1323" s="20"/>
      <c r="BQ1323" s="154"/>
      <c r="BR1323" s="18"/>
      <c r="BS1323" s="16"/>
      <c r="BT1323" s="18"/>
      <c r="BU1323" s="18"/>
      <c r="BV1323" s="18"/>
      <c r="BW1323" s="20"/>
      <c r="BX1323" s="154"/>
      <c r="BY1323" s="18"/>
      <c r="BZ1323" s="146"/>
      <c r="CA1323" s="18"/>
      <c r="CB1323" s="18"/>
      <c r="CC1323" s="20"/>
      <c r="CD1323" s="154"/>
    </row>
    <row r="1324" spans="35:82">
      <c r="AI1324" s="19"/>
      <c r="AO1324" s="19"/>
      <c r="AY1324" s="145"/>
      <c r="AZ1324" s="16"/>
      <c r="BC1324" s="16"/>
      <c r="BD1324" s="20"/>
      <c r="BE1324" s="17"/>
      <c r="BF1324" s="20"/>
      <c r="BG1324" s="146"/>
      <c r="BH1324" s="146"/>
      <c r="BI1324" s="146"/>
      <c r="BJ1324" s="20"/>
      <c r="BK1324" s="20"/>
      <c r="BL1324" s="154"/>
      <c r="BP1324" s="20"/>
      <c r="BQ1324" s="154"/>
      <c r="BR1324" s="18"/>
      <c r="BS1324" s="16"/>
      <c r="BT1324" s="18"/>
      <c r="BU1324" s="18"/>
      <c r="BV1324" s="18"/>
      <c r="BW1324" s="20"/>
      <c r="BX1324" s="154"/>
      <c r="BY1324" s="18"/>
      <c r="BZ1324" s="146"/>
      <c r="CA1324" s="18"/>
      <c r="CB1324" s="18"/>
      <c r="CC1324" s="20"/>
      <c r="CD1324" s="154"/>
    </row>
    <row r="1325" spans="35:82">
      <c r="AI1325" s="19"/>
      <c r="AO1325" s="19"/>
      <c r="AY1325" s="145"/>
      <c r="AZ1325" s="16"/>
      <c r="BC1325" s="16"/>
      <c r="BD1325" s="20"/>
      <c r="BE1325" s="17"/>
      <c r="BF1325" s="20"/>
      <c r="BG1325" s="146"/>
      <c r="BH1325" s="146"/>
      <c r="BI1325" s="146"/>
      <c r="BJ1325" s="20"/>
      <c r="BK1325" s="20"/>
      <c r="BL1325" s="154"/>
      <c r="BP1325" s="20"/>
      <c r="BQ1325" s="154"/>
      <c r="BR1325" s="18"/>
      <c r="BS1325" s="16"/>
      <c r="BT1325" s="18"/>
      <c r="BU1325" s="18"/>
      <c r="BV1325" s="18"/>
      <c r="BW1325" s="20"/>
      <c r="BX1325" s="154"/>
      <c r="BY1325" s="18"/>
      <c r="BZ1325" s="146"/>
      <c r="CA1325" s="18"/>
      <c r="CB1325" s="18"/>
      <c r="CC1325" s="20"/>
      <c r="CD1325" s="154"/>
    </row>
    <row r="1326" spans="35:82">
      <c r="AI1326" s="19"/>
      <c r="AO1326" s="19"/>
      <c r="AY1326" s="145"/>
      <c r="AZ1326" s="16"/>
      <c r="BC1326" s="16"/>
      <c r="BD1326" s="20"/>
      <c r="BE1326" s="17"/>
      <c r="BF1326" s="20"/>
      <c r="BG1326" s="146"/>
      <c r="BH1326" s="146"/>
      <c r="BI1326" s="146"/>
      <c r="BJ1326" s="20"/>
      <c r="BK1326" s="20"/>
      <c r="BL1326" s="154"/>
      <c r="BP1326" s="20"/>
      <c r="BQ1326" s="154"/>
      <c r="BR1326" s="18"/>
      <c r="BS1326" s="16"/>
      <c r="BT1326" s="18"/>
      <c r="BU1326" s="18"/>
      <c r="BV1326" s="18"/>
      <c r="BW1326" s="20"/>
      <c r="BX1326" s="154"/>
      <c r="BY1326" s="18"/>
      <c r="BZ1326" s="146"/>
      <c r="CA1326" s="18"/>
      <c r="CB1326" s="18"/>
      <c r="CC1326" s="20"/>
      <c r="CD1326" s="154"/>
    </row>
    <row r="1327" spans="35:82">
      <c r="AI1327" s="19"/>
      <c r="AO1327" s="19"/>
      <c r="AY1327" s="145"/>
      <c r="AZ1327" s="16"/>
      <c r="BC1327" s="16"/>
      <c r="BD1327" s="20"/>
      <c r="BE1327" s="17"/>
      <c r="BF1327" s="20"/>
      <c r="BG1327" s="146"/>
      <c r="BH1327" s="146"/>
      <c r="BI1327" s="146"/>
      <c r="BJ1327" s="20"/>
      <c r="BK1327" s="20"/>
      <c r="BL1327" s="154"/>
      <c r="BP1327" s="20"/>
      <c r="BQ1327" s="154"/>
      <c r="BR1327" s="18"/>
      <c r="BS1327" s="16"/>
      <c r="BT1327" s="18"/>
      <c r="BU1327" s="18"/>
      <c r="BV1327" s="18"/>
      <c r="BW1327" s="20"/>
      <c r="BX1327" s="154"/>
      <c r="BY1327" s="18"/>
      <c r="BZ1327" s="146"/>
      <c r="CA1327" s="18"/>
      <c r="CB1327" s="18"/>
      <c r="CC1327" s="20"/>
      <c r="CD1327" s="154"/>
    </row>
    <row r="1328" spans="35:82">
      <c r="AI1328" s="19"/>
      <c r="AO1328" s="19"/>
      <c r="AY1328" s="145"/>
      <c r="AZ1328" s="16"/>
      <c r="BC1328" s="16"/>
      <c r="BD1328" s="20"/>
      <c r="BE1328" s="17"/>
      <c r="BF1328" s="20"/>
      <c r="BG1328" s="146"/>
      <c r="BH1328" s="146"/>
      <c r="BI1328" s="146"/>
      <c r="BJ1328" s="20"/>
      <c r="BK1328" s="20"/>
      <c r="BL1328" s="154"/>
      <c r="BP1328" s="20"/>
      <c r="BQ1328" s="154"/>
      <c r="BR1328" s="18"/>
      <c r="BS1328" s="16"/>
      <c r="BT1328" s="18"/>
      <c r="BU1328" s="18"/>
      <c r="BV1328" s="18"/>
      <c r="BW1328" s="20"/>
      <c r="BX1328" s="154"/>
      <c r="BY1328" s="18"/>
      <c r="BZ1328" s="146"/>
      <c r="CA1328" s="18"/>
      <c r="CB1328" s="18"/>
      <c r="CC1328" s="20"/>
      <c r="CD1328" s="154"/>
    </row>
    <row r="1329" spans="35:82">
      <c r="AI1329" s="19"/>
      <c r="AO1329" s="19"/>
      <c r="AY1329" s="145"/>
      <c r="AZ1329" s="16"/>
      <c r="BC1329" s="16"/>
      <c r="BD1329" s="20"/>
      <c r="BE1329" s="17"/>
      <c r="BF1329" s="20"/>
      <c r="BG1329" s="146"/>
      <c r="BH1329" s="146"/>
      <c r="BI1329" s="146"/>
      <c r="BJ1329" s="20"/>
      <c r="BK1329" s="20"/>
      <c r="BL1329" s="154"/>
      <c r="BP1329" s="20"/>
      <c r="BQ1329" s="154"/>
      <c r="BR1329" s="18"/>
      <c r="BS1329" s="16"/>
      <c r="BT1329" s="18"/>
      <c r="BU1329" s="18"/>
      <c r="BV1329" s="18"/>
      <c r="BW1329" s="20"/>
      <c r="BX1329" s="154"/>
      <c r="BY1329" s="18"/>
      <c r="BZ1329" s="146"/>
      <c r="CA1329" s="18"/>
      <c r="CB1329" s="18"/>
      <c r="CC1329" s="20"/>
      <c r="CD1329" s="154"/>
    </row>
    <row r="1330" spans="35:82">
      <c r="AI1330" s="19"/>
      <c r="AO1330" s="19"/>
      <c r="AY1330" s="145"/>
      <c r="AZ1330" s="16"/>
      <c r="BC1330" s="16"/>
      <c r="BD1330" s="20"/>
      <c r="BE1330" s="17"/>
      <c r="BF1330" s="20"/>
      <c r="BG1330" s="146"/>
      <c r="BH1330" s="146"/>
      <c r="BI1330" s="146"/>
      <c r="BJ1330" s="20"/>
      <c r="BK1330" s="20"/>
      <c r="BL1330" s="154"/>
      <c r="BP1330" s="20"/>
      <c r="BQ1330" s="154"/>
      <c r="BR1330" s="18"/>
      <c r="BS1330" s="16"/>
      <c r="BT1330" s="18"/>
      <c r="BU1330" s="18"/>
      <c r="BV1330" s="18"/>
      <c r="BW1330" s="20"/>
      <c r="BX1330" s="154"/>
      <c r="BY1330" s="18"/>
      <c r="BZ1330" s="146"/>
      <c r="CA1330" s="18"/>
      <c r="CB1330" s="18"/>
      <c r="CC1330" s="20"/>
      <c r="CD1330" s="154"/>
    </row>
    <row r="1331" spans="35:82">
      <c r="AI1331" s="19"/>
      <c r="AO1331" s="19"/>
      <c r="AY1331" s="145"/>
      <c r="AZ1331" s="16"/>
      <c r="BC1331" s="16"/>
      <c r="BD1331" s="20"/>
      <c r="BE1331" s="17"/>
      <c r="BF1331" s="20"/>
      <c r="BG1331" s="146"/>
      <c r="BH1331" s="146"/>
      <c r="BI1331" s="146"/>
      <c r="BJ1331" s="20"/>
      <c r="BK1331" s="20"/>
      <c r="BL1331" s="154"/>
      <c r="BP1331" s="20"/>
      <c r="BQ1331" s="154"/>
      <c r="BR1331" s="18"/>
      <c r="BS1331" s="16"/>
      <c r="BT1331" s="18"/>
      <c r="BU1331" s="18"/>
      <c r="BV1331" s="18"/>
      <c r="BW1331" s="20"/>
      <c r="BX1331" s="154"/>
      <c r="BY1331" s="18"/>
      <c r="BZ1331" s="146"/>
      <c r="CA1331" s="18"/>
      <c r="CB1331" s="18"/>
      <c r="CC1331" s="20"/>
      <c r="CD1331" s="154"/>
    </row>
    <row r="1332" spans="35:82">
      <c r="AI1332" s="19"/>
      <c r="AO1332" s="19"/>
      <c r="AY1332" s="145"/>
      <c r="AZ1332" s="16"/>
      <c r="BC1332" s="16"/>
      <c r="BD1332" s="20"/>
      <c r="BE1332" s="17"/>
      <c r="BF1332" s="20"/>
      <c r="BG1332" s="146"/>
      <c r="BH1332" s="146"/>
      <c r="BI1332" s="146"/>
      <c r="BJ1332" s="20"/>
      <c r="BK1332" s="20"/>
      <c r="BL1332" s="154"/>
      <c r="BP1332" s="20"/>
      <c r="BQ1332" s="154"/>
      <c r="BR1332" s="18"/>
      <c r="BS1332" s="16"/>
      <c r="BT1332" s="18"/>
      <c r="BU1332" s="18"/>
      <c r="BV1332" s="18"/>
      <c r="BW1332" s="20"/>
      <c r="BX1332" s="154"/>
      <c r="BY1332" s="18"/>
      <c r="BZ1332" s="146"/>
      <c r="CA1332" s="18"/>
      <c r="CB1332" s="18"/>
      <c r="CC1332" s="20"/>
      <c r="CD1332" s="154"/>
    </row>
    <row r="1333" spans="35:82">
      <c r="AI1333" s="19"/>
      <c r="AO1333" s="19"/>
      <c r="AY1333" s="145"/>
      <c r="AZ1333" s="16"/>
      <c r="BC1333" s="16"/>
      <c r="BD1333" s="20"/>
      <c r="BE1333" s="17"/>
      <c r="BF1333" s="20"/>
      <c r="BG1333" s="146"/>
      <c r="BH1333" s="146"/>
      <c r="BI1333" s="146"/>
      <c r="BJ1333" s="20"/>
      <c r="BK1333" s="20"/>
      <c r="BL1333" s="154"/>
      <c r="BP1333" s="20"/>
      <c r="BQ1333" s="154"/>
      <c r="BR1333" s="18"/>
      <c r="BS1333" s="16"/>
      <c r="BT1333" s="18"/>
      <c r="BU1333" s="18"/>
      <c r="BV1333" s="18"/>
      <c r="BW1333" s="20"/>
      <c r="BX1333" s="154"/>
      <c r="BY1333" s="18"/>
      <c r="BZ1333" s="146"/>
      <c r="CA1333" s="18"/>
      <c r="CB1333" s="18"/>
      <c r="CC1333" s="20"/>
      <c r="CD1333" s="154"/>
    </row>
    <row r="1334" spans="35:82">
      <c r="AI1334" s="19"/>
      <c r="AO1334" s="19"/>
      <c r="AY1334" s="145"/>
      <c r="AZ1334" s="16"/>
      <c r="BC1334" s="16"/>
      <c r="BD1334" s="20"/>
      <c r="BE1334" s="17"/>
      <c r="BF1334" s="20"/>
      <c r="BG1334" s="146"/>
      <c r="BH1334" s="146"/>
      <c r="BI1334" s="146"/>
      <c r="BJ1334" s="20"/>
      <c r="BK1334" s="20"/>
      <c r="BL1334" s="154"/>
      <c r="BP1334" s="20"/>
      <c r="BQ1334" s="154"/>
      <c r="BR1334" s="18"/>
      <c r="BS1334" s="16"/>
      <c r="BT1334" s="18"/>
      <c r="BU1334" s="18"/>
      <c r="BV1334" s="18"/>
      <c r="BW1334" s="20"/>
      <c r="BX1334" s="154"/>
      <c r="BY1334" s="18"/>
      <c r="BZ1334" s="146"/>
      <c r="CA1334" s="18"/>
      <c r="CB1334" s="18"/>
      <c r="CC1334" s="20"/>
      <c r="CD1334" s="154"/>
    </row>
    <row r="1335" spans="35:82">
      <c r="AI1335" s="19"/>
      <c r="AO1335" s="19"/>
      <c r="AY1335" s="145"/>
      <c r="AZ1335" s="16"/>
      <c r="BC1335" s="16"/>
      <c r="BD1335" s="20"/>
      <c r="BE1335" s="17"/>
      <c r="BF1335" s="20"/>
      <c r="BG1335" s="146"/>
      <c r="BH1335" s="146"/>
      <c r="BI1335" s="146"/>
      <c r="BJ1335" s="20"/>
      <c r="BK1335" s="20"/>
      <c r="BL1335" s="154"/>
      <c r="BP1335" s="20"/>
      <c r="BQ1335" s="154"/>
      <c r="BR1335" s="18"/>
      <c r="BS1335" s="16"/>
      <c r="BT1335" s="18"/>
      <c r="BU1335" s="18"/>
      <c r="BV1335" s="18"/>
      <c r="BW1335" s="20"/>
      <c r="BX1335" s="154"/>
      <c r="BY1335" s="18"/>
      <c r="BZ1335" s="146"/>
      <c r="CA1335" s="18"/>
      <c r="CB1335" s="18"/>
      <c r="CC1335" s="20"/>
      <c r="CD1335" s="154"/>
    </row>
    <row r="1336" spans="35:82">
      <c r="AI1336" s="19"/>
      <c r="AO1336" s="19"/>
      <c r="AY1336" s="145"/>
      <c r="AZ1336" s="16"/>
      <c r="BC1336" s="16"/>
      <c r="BD1336" s="20"/>
      <c r="BE1336" s="17"/>
      <c r="BF1336" s="20"/>
      <c r="BG1336" s="146"/>
      <c r="BH1336" s="146"/>
      <c r="BI1336" s="146"/>
      <c r="BJ1336" s="20"/>
      <c r="BK1336" s="20"/>
      <c r="BL1336" s="154"/>
      <c r="BP1336" s="20"/>
      <c r="BQ1336" s="154"/>
      <c r="BR1336" s="18"/>
      <c r="BS1336" s="16"/>
      <c r="BT1336" s="18"/>
      <c r="BU1336" s="18"/>
      <c r="BV1336" s="18"/>
      <c r="BW1336" s="20"/>
      <c r="BX1336" s="154"/>
      <c r="BY1336" s="18"/>
      <c r="BZ1336" s="146"/>
      <c r="CA1336" s="18"/>
      <c r="CB1336" s="18"/>
      <c r="CC1336" s="20"/>
      <c r="CD1336" s="154"/>
    </row>
    <row r="1337" spans="35:82">
      <c r="AI1337" s="19"/>
      <c r="AO1337" s="19"/>
      <c r="AY1337" s="145"/>
      <c r="AZ1337" s="16"/>
      <c r="BC1337" s="16"/>
      <c r="BD1337" s="20"/>
      <c r="BE1337" s="17"/>
      <c r="BF1337" s="20"/>
      <c r="BG1337" s="146"/>
      <c r="BH1337" s="146"/>
      <c r="BI1337" s="146"/>
      <c r="BJ1337" s="20"/>
      <c r="BK1337" s="20"/>
      <c r="BL1337" s="154"/>
      <c r="BP1337" s="20"/>
      <c r="BQ1337" s="154"/>
      <c r="BR1337" s="18"/>
      <c r="BS1337" s="16"/>
      <c r="BT1337" s="18"/>
      <c r="BU1337" s="18"/>
      <c r="BV1337" s="18"/>
      <c r="BW1337" s="20"/>
      <c r="BX1337" s="154"/>
      <c r="BY1337" s="18"/>
      <c r="BZ1337" s="146"/>
      <c r="CA1337" s="18"/>
      <c r="CB1337" s="18"/>
      <c r="CC1337" s="20"/>
      <c r="CD1337" s="154"/>
    </row>
    <row r="1338" spans="35:82">
      <c r="AI1338" s="19"/>
      <c r="AO1338" s="19"/>
      <c r="AY1338" s="145"/>
      <c r="AZ1338" s="16"/>
      <c r="BC1338" s="16"/>
      <c r="BD1338" s="20"/>
      <c r="BE1338" s="17"/>
      <c r="BF1338" s="20"/>
      <c r="BG1338" s="146"/>
      <c r="BH1338" s="146"/>
      <c r="BI1338" s="146"/>
      <c r="BJ1338" s="20"/>
      <c r="BK1338" s="20"/>
      <c r="BL1338" s="154"/>
      <c r="BP1338" s="20"/>
      <c r="BQ1338" s="154"/>
      <c r="BR1338" s="18"/>
      <c r="BS1338" s="16"/>
      <c r="BT1338" s="18"/>
      <c r="BU1338" s="18"/>
      <c r="BV1338" s="18"/>
      <c r="BW1338" s="20"/>
      <c r="BX1338" s="154"/>
      <c r="BY1338" s="18"/>
      <c r="BZ1338" s="146"/>
      <c r="CA1338" s="18"/>
      <c r="CB1338" s="18"/>
      <c r="CC1338" s="20"/>
      <c r="CD1338" s="154"/>
    </row>
    <row r="1339" spans="35:82">
      <c r="AI1339" s="19"/>
      <c r="AO1339" s="19"/>
      <c r="AY1339" s="145"/>
      <c r="AZ1339" s="16"/>
      <c r="BC1339" s="16"/>
      <c r="BD1339" s="20"/>
      <c r="BE1339" s="17"/>
      <c r="BF1339" s="20"/>
      <c r="BG1339" s="146"/>
      <c r="BH1339" s="146"/>
      <c r="BI1339" s="146"/>
      <c r="BJ1339" s="20"/>
      <c r="BK1339" s="20"/>
      <c r="BL1339" s="154"/>
      <c r="BP1339" s="20"/>
      <c r="BQ1339" s="154"/>
      <c r="BR1339" s="18"/>
      <c r="BS1339" s="16"/>
      <c r="BT1339" s="18"/>
      <c r="BU1339" s="18"/>
      <c r="BV1339" s="18"/>
      <c r="BW1339" s="20"/>
      <c r="BX1339" s="154"/>
      <c r="BY1339" s="18"/>
      <c r="BZ1339" s="146"/>
      <c r="CA1339" s="18"/>
      <c r="CB1339" s="18"/>
      <c r="CC1339" s="20"/>
      <c r="CD1339" s="154"/>
    </row>
    <row r="1340" spans="35:82">
      <c r="AI1340" s="19"/>
      <c r="AO1340" s="19"/>
      <c r="AY1340" s="145"/>
      <c r="AZ1340" s="16"/>
      <c r="BC1340" s="16"/>
      <c r="BD1340" s="20"/>
      <c r="BE1340" s="17"/>
      <c r="BF1340" s="20"/>
      <c r="BG1340" s="146"/>
      <c r="BH1340" s="146"/>
      <c r="BI1340" s="146"/>
      <c r="BJ1340" s="20"/>
      <c r="BK1340" s="20"/>
      <c r="BL1340" s="154"/>
      <c r="BP1340" s="20"/>
      <c r="BQ1340" s="154"/>
      <c r="BR1340" s="18"/>
      <c r="BS1340" s="16"/>
      <c r="BT1340" s="18"/>
      <c r="BU1340" s="18"/>
      <c r="BV1340" s="18"/>
      <c r="BW1340" s="20"/>
      <c r="BX1340" s="154"/>
      <c r="BY1340" s="18"/>
      <c r="BZ1340" s="146"/>
      <c r="CA1340" s="18"/>
      <c r="CB1340" s="18"/>
      <c r="CC1340" s="20"/>
      <c r="CD1340" s="154"/>
    </row>
    <row r="1341" spans="35:82">
      <c r="AI1341" s="19"/>
      <c r="AO1341" s="19"/>
      <c r="AY1341" s="145"/>
      <c r="AZ1341" s="16"/>
      <c r="BC1341" s="16"/>
      <c r="BD1341" s="20"/>
      <c r="BE1341" s="17"/>
      <c r="BF1341" s="20"/>
      <c r="BG1341" s="146"/>
      <c r="BH1341" s="146"/>
      <c r="BI1341" s="146"/>
      <c r="BJ1341" s="20"/>
      <c r="BK1341" s="20"/>
      <c r="BL1341" s="154"/>
      <c r="BP1341" s="20"/>
      <c r="BQ1341" s="154"/>
      <c r="BR1341" s="18"/>
      <c r="BS1341" s="16"/>
      <c r="BT1341" s="18"/>
      <c r="BU1341" s="18"/>
      <c r="BV1341" s="18"/>
      <c r="BW1341" s="20"/>
      <c r="BX1341" s="154"/>
      <c r="BY1341" s="18"/>
      <c r="BZ1341" s="146"/>
      <c r="CA1341" s="18"/>
      <c r="CB1341" s="18"/>
      <c r="CC1341" s="20"/>
      <c r="CD1341" s="154"/>
    </row>
    <row r="1342" spans="35:82">
      <c r="AI1342" s="19"/>
      <c r="AO1342" s="19"/>
      <c r="AY1342" s="145"/>
      <c r="AZ1342" s="16"/>
      <c r="BC1342" s="16"/>
      <c r="BD1342" s="20"/>
      <c r="BE1342" s="17"/>
      <c r="BF1342" s="20"/>
      <c r="BG1342" s="146"/>
      <c r="BH1342" s="146"/>
      <c r="BI1342" s="146"/>
      <c r="BJ1342" s="20"/>
      <c r="BK1342" s="20"/>
      <c r="BL1342" s="154"/>
      <c r="BP1342" s="20"/>
      <c r="BQ1342" s="154"/>
      <c r="BR1342" s="18"/>
      <c r="BS1342" s="16"/>
      <c r="BT1342" s="18"/>
      <c r="BU1342" s="18"/>
      <c r="BV1342" s="18"/>
      <c r="BW1342" s="20"/>
      <c r="BX1342" s="154"/>
      <c r="BY1342" s="18"/>
      <c r="BZ1342" s="146"/>
      <c r="CA1342" s="18"/>
      <c r="CB1342" s="18"/>
      <c r="CC1342" s="20"/>
      <c r="CD1342" s="154"/>
    </row>
    <row r="1343" spans="35:82">
      <c r="AI1343" s="19"/>
      <c r="AO1343" s="19"/>
      <c r="AY1343" s="145"/>
      <c r="AZ1343" s="16"/>
      <c r="BC1343" s="16"/>
      <c r="BD1343" s="20"/>
      <c r="BE1343" s="17"/>
      <c r="BF1343" s="20"/>
      <c r="BG1343" s="146"/>
      <c r="BH1343" s="146"/>
      <c r="BI1343" s="146"/>
      <c r="BJ1343" s="20"/>
      <c r="BK1343" s="20"/>
      <c r="BL1343" s="154"/>
      <c r="BP1343" s="20"/>
      <c r="BQ1343" s="154"/>
      <c r="BR1343" s="18"/>
      <c r="BS1343" s="16"/>
      <c r="BT1343" s="18"/>
      <c r="BU1343" s="18"/>
      <c r="BV1343" s="18"/>
      <c r="BW1343" s="20"/>
      <c r="BX1343" s="154"/>
      <c r="BY1343" s="18"/>
      <c r="BZ1343" s="146"/>
      <c r="CA1343" s="18"/>
      <c r="CB1343" s="18"/>
      <c r="CC1343" s="20"/>
      <c r="CD1343" s="154"/>
    </row>
    <row r="1344" spans="35:82">
      <c r="AI1344" s="19"/>
      <c r="AO1344" s="19"/>
      <c r="AY1344" s="145"/>
      <c r="AZ1344" s="16"/>
      <c r="BC1344" s="16"/>
      <c r="BD1344" s="20"/>
      <c r="BE1344" s="17"/>
      <c r="BF1344" s="20"/>
      <c r="BG1344" s="146"/>
      <c r="BH1344" s="146"/>
      <c r="BI1344" s="146"/>
      <c r="BJ1344" s="20"/>
      <c r="BK1344" s="20"/>
      <c r="BL1344" s="154"/>
      <c r="BP1344" s="20"/>
      <c r="BQ1344" s="154"/>
      <c r="BR1344" s="18"/>
      <c r="BS1344" s="16"/>
      <c r="BT1344" s="18"/>
      <c r="BU1344" s="18"/>
      <c r="BV1344" s="18"/>
      <c r="BW1344" s="20"/>
      <c r="BX1344" s="154"/>
      <c r="BY1344" s="18"/>
      <c r="BZ1344" s="146"/>
      <c r="CA1344" s="18"/>
      <c r="CB1344" s="18"/>
      <c r="CC1344" s="20"/>
      <c r="CD1344" s="154"/>
    </row>
    <row r="1345" spans="35:82">
      <c r="AI1345" s="19"/>
      <c r="AO1345" s="19"/>
      <c r="AY1345" s="145"/>
      <c r="AZ1345" s="16"/>
      <c r="BC1345" s="16"/>
      <c r="BD1345" s="20"/>
      <c r="BE1345" s="17"/>
      <c r="BF1345" s="20"/>
      <c r="BG1345" s="146"/>
      <c r="BH1345" s="146"/>
      <c r="BI1345" s="146"/>
      <c r="BJ1345" s="20"/>
      <c r="BK1345" s="20"/>
      <c r="BL1345" s="154"/>
      <c r="BP1345" s="20"/>
      <c r="BQ1345" s="154"/>
      <c r="BR1345" s="18"/>
      <c r="BS1345" s="16"/>
      <c r="BT1345" s="18"/>
      <c r="BU1345" s="18"/>
      <c r="BV1345" s="18"/>
      <c r="BW1345" s="20"/>
      <c r="BX1345" s="154"/>
      <c r="BY1345" s="18"/>
      <c r="BZ1345" s="146"/>
      <c r="CA1345" s="18"/>
      <c r="CB1345" s="18"/>
      <c r="CC1345" s="20"/>
      <c r="CD1345" s="154"/>
    </row>
    <row r="1346" spans="35:82">
      <c r="AI1346" s="19"/>
      <c r="AO1346" s="19"/>
      <c r="AY1346" s="145"/>
      <c r="AZ1346" s="16"/>
      <c r="BC1346" s="16"/>
      <c r="BD1346" s="20"/>
      <c r="BE1346" s="17"/>
      <c r="BF1346" s="20"/>
      <c r="BG1346" s="146"/>
      <c r="BH1346" s="146"/>
      <c r="BI1346" s="146"/>
      <c r="BJ1346" s="20"/>
      <c r="BK1346" s="20"/>
      <c r="BL1346" s="154"/>
      <c r="BP1346" s="20"/>
      <c r="BQ1346" s="154"/>
      <c r="BR1346" s="18"/>
      <c r="BS1346" s="16"/>
      <c r="BT1346" s="18"/>
      <c r="BU1346" s="18"/>
      <c r="BV1346" s="18"/>
      <c r="BW1346" s="20"/>
      <c r="BX1346" s="154"/>
      <c r="BY1346" s="18"/>
      <c r="BZ1346" s="146"/>
      <c r="CA1346" s="18"/>
      <c r="CB1346" s="18"/>
      <c r="CC1346" s="20"/>
      <c r="CD1346" s="154"/>
    </row>
    <row r="1347" spans="35:82">
      <c r="AI1347" s="19"/>
      <c r="AO1347" s="19"/>
      <c r="AY1347" s="145"/>
      <c r="AZ1347" s="16"/>
      <c r="BC1347" s="16"/>
      <c r="BD1347" s="20"/>
      <c r="BE1347" s="17"/>
      <c r="BF1347" s="20"/>
      <c r="BG1347" s="146"/>
      <c r="BH1347" s="146"/>
      <c r="BI1347" s="146"/>
      <c r="BJ1347" s="20"/>
      <c r="BK1347" s="20"/>
      <c r="BL1347" s="154"/>
      <c r="BP1347" s="20"/>
      <c r="BQ1347" s="154"/>
      <c r="BR1347" s="18"/>
      <c r="BS1347" s="16"/>
      <c r="BT1347" s="18"/>
      <c r="BU1347" s="18"/>
      <c r="BV1347" s="18"/>
      <c r="BW1347" s="20"/>
      <c r="BX1347" s="154"/>
      <c r="BY1347" s="18"/>
      <c r="BZ1347" s="146"/>
      <c r="CA1347" s="18"/>
      <c r="CB1347" s="18"/>
      <c r="CC1347" s="20"/>
      <c r="CD1347" s="154"/>
    </row>
    <row r="1348" spans="35:82">
      <c r="AI1348" s="19"/>
      <c r="AO1348" s="19"/>
      <c r="AY1348" s="145"/>
      <c r="AZ1348" s="16"/>
      <c r="BC1348" s="16"/>
      <c r="BD1348" s="20"/>
      <c r="BE1348" s="17"/>
      <c r="BF1348" s="20"/>
      <c r="BG1348" s="146"/>
      <c r="BH1348" s="146"/>
      <c r="BI1348" s="146"/>
      <c r="BJ1348" s="20"/>
      <c r="BK1348" s="20"/>
      <c r="BL1348" s="154"/>
      <c r="BP1348" s="20"/>
      <c r="BQ1348" s="154"/>
      <c r="BR1348" s="18"/>
      <c r="BS1348" s="16"/>
      <c r="BT1348" s="18"/>
      <c r="BU1348" s="18"/>
      <c r="BV1348" s="18"/>
      <c r="BW1348" s="20"/>
      <c r="BX1348" s="154"/>
      <c r="BY1348" s="18"/>
      <c r="BZ1348" s="146"/>
      <c r="CA1348" s="18"/>
      <c r="CB1348" s="18"/>
      <c r="CC1348" s="20"/>
      <c r="CD1348" s="154"/>
    </row>
    <row r="1349" spans="35:82">
      <c r="AI1349" s="19"/>
      <c r="AO1349" s="19"/>
      <c r="AY1349" s="145"/>
      <c r="AZ1349" s="16"/>
      <c r="BC1349" s="16"/>
      <c r="BD1349" s="20"/>
      <c r="BE1349" s="17"/>
      <c r="BF1349" s="20"/>
      <c r="BG1349" s="146"/>
      <c r="BH1349" s="146"/>
      <c r="BI1349" s="146"/>
      <c r="BJ1349" s="20"/>
      <c r="BK1349" s="20"/>
      <c r="BL1349" s="154"/>
      <c r="BP1349" s="20"/>
      <c r="BQ1349" s="154"/>
      <c r="BR1349" s="18"/>
      <c r="BS1349" s="16"/>
      <c r="BT1349" s="18"/>
      <c r="BU1349" s="18"/>
      <c r="BV1349" s="18"/>
      <c r="BW1349" s="20"/>
      <c r="BX1349" s="154"/>
      <c r="BY1349" s="18"/>
      <c r="BZ1349" s="146"/>
      <c r="CA1349" s="18"/>
      <c r="CB1349" s="18"/>
      <c r="CC1349" s="20"/>
      <c r="CD1349" s="154"/>
    </row>
    <row r="1350" spans="35:82">
      <c r="AI1350" s="19"/>
      <c r="AO1350" s="19"/>
      <c r="AY1350" s="145"/>
      <c r="AZ1350" s="16"/>
      <c r="BC1350" s="16"/>
      <c r="BD1350" s="20"/>
      <c r="BE1350" s="17"/>
      <c r="BF1350" s="20"/>
      <c r="BG1350" s="146"/>
      <c r="BH1350" s="146"/>
      <c r="BI1350" s="146"/>
      <c r="BJ1350" s="20"/>
      <c r="BK1350" s="20"/>
      <c r="BL1350" s="154"/>
      <c r="BP1350" s="20"/>
      <c r="BQ1350" s="154"/>
      <c r="BR1350" s="18"/>
      <c r="BS1350" s="16"/>
      <c r="BT1350" s="18"/>
      <c r="BU1350" s="18"/>
      <c r="BV1350" s="18"/>
      <c r="BW1350" s="20"/>
      <c r="BX1350" s="154"/>
      <c r="BY1350" s="18"/>
      <c r="BZ1350" s="146"/>
      <c r="CA1350" s="18"/>
      <c r="CB1350" s="18"/>
      <c r="CC1350" s="20"/>
      <c r="CD1350" s="154"/>
    </row>
    <row r="1351" spans="35:82">
      <c r="AI1351" s="19"/>
      <c r="AO1351" s="19"/>
      <c r="AY1351" s="145"/>
      <c r="AZ1351" s="16"/>
      <c r="BC1351" s="16"/>
      <c r="BD1351" s="20"/>
      <c r="BE1351" s="17"/>
      <c r="BF1351" s="20"/>
      <c r="BG1351" s="146"/>
      <c r="BH1351" s="146"/>
      <c r="BI1351" s="146"/>
      <c r="BJ1351" s="20"/>
      <c r="BK1351" s="20"/>
      <c r="BL1351" s="154"/>
      <c r="BP1351" s="20"/>
      <c r="BQ1351" s="154"/>
      <c r="BR1351" s="18"/>
      <c r="BS1351" s="16"/>
      <c r="BT1351" s="18"/>
      <c r="BU1351" s="18"/>
      <c r="BV1351" s="18"/>
      <c r="BW1351" s="20"/>
      <c r="BX1351" s="154"/>
      <c r="BY1351" s="18"/>
      <c r="BZ1351" s="146"/>
      <c r="CA1351" s="18"/>
      <c r="CB1351" s="18"/>
      <c r="CC1351" s="20"/>
      <c r="CD1351" s="154"/>
    </row>
    <row r="1352" spans="35:82">
      <c r="AI1352" s="19"/>
      <c r="AO1352" s="19"/>
      <c r="AY1352" s="145"/>
      <c r="AZ1352" s="16"/>
      <c r="BC1352" s="16"/>
      <c r="BD1352" s="20"/>
      <c r="BE1352" s="17"/>
      <c r="BF1352" s="20"/>
      <c r="BG1352" s="146"/>
      <c r="BH1352" s="146"/>
      <c r="BI1352" s="146"/>
      <c r="BJ1352" s="20"/>
      <c r="BK1352" s="20"/>
      <c r="BL1352" s="154"/>
      <c r="BP1352" s="20"/>
      <c r="BQ1352" s="154"/>
      <c r="BR1352" s="18"/>
      <c r="BS1352" s="16"/>
      <c r="BT1352" s="18"/>
      <c r="BU1352" s="18"/>
      <c r="BV1352" s="18"/>
      <c r="BW1352" s="20"/>
      <c r="BX1352" s="154"/>
      <c r="BY1352" s="18"/>
      <c r="BZ1352" s="146"/>
      <c r="CA1352" s="18"/>
      <c r="CB1352" s="18"/>
      <c r="CC1352" s="20"/>
      <c r="CD1352" s="154"/>
    </row>
    <row r="1353" spans="35:82">
      <c r="AI1353" s="19"/>
      <c r="AO1353" s="19"/>
      <c r="AY1353" s="145"/>
      <c r="AZ1353" s="16"/>
      <c r="BC1353" s="16"/>
      <c r="BD1353" s="20"/>
      <c r="BE1353" s="17"/>
      <c r="BF1353" s="20"/>
      <c r="BG1353" s="146"/>
      <c r="BH1353" s="146"/>
      <c r="BI1353" s="146"/>
      <c r="BJ1353" s="20"/>
      <c r="BK1353" s="20"/>
      <c r="BL1353" s="154"/>
      <c r="BP1353" s="20"/>
      <c r="BQ1353" s="154"/>
      <c r="BR1353" s="18"/>
      <c r="BS1353" s="16"/>
      <c r="BT1353" s="18"/>
      <c r="BU1353" s="18"/>
      <c r="BV1353" s="18"/>
      <c r="BW1353" s="20"/>
      <c r="BX1353" s="154"/>
      <c r="BY1353" s="18"/>
      <c r="BZ1353" s="146"/>
      <c r="CA1353" s="18"/>
      <c r="CB1353" s="18"/>
      <c r="CC1353" s="20"/>
      <c r="CD1353" s="154"/>
    </row>
    <row r="1354" spans="35:82">
      <c r="AI1354" s="19"/>
      <c r="AO1354" s="19"/>
      <c r="AY1354" s="145"/>
      <c r="AZ1354" s="16"/>
      <c r="BC1354" s="16"/>
      <c r="BD1354" s="20"/>
      <c r="BE1354" s="17"/>
      <c r="BF1354" s="20"/>
      <c r="BG1354" s="146"/>
      <c r="BH1354" s="146"/>
      <c r="BI1354" s="146"/>
      <c r="BJ1354" s="20"/>
      <c r="BK1354" s="20"/>
      <c r="BL1354" s="154"/>
      <c r="BP1354" s="20"/>
      <c r="BQ1354" s="154"/>
      <c r="BR1354" s="18"/>
      <c r="BS1354" s="16"/>
      <c r="BT1354" s="18"/>
      <c r="BU1354" s="18"/>
      <c r="BV1354" s="18"/>
      <c r="BW1354" s="20"/>
      <c r="BX1354" s="154"/>
      <c r="BY1354" s="18"/>
      <c r="BZ1354" s="146"/>
      <c r="CA1354" s="18"/>
      <c r="CB1354" s="18"/>
      <c r="CC1354" s="20"/>
      <c r="CD1354" s="154"/>
    </row>
    <row r="1355" spans="35:82">
      <c r="AI1355" s="19"/>
      <c r="AO1355" s="19"/>
      <c r="AY1355" s="145"/>
      <c r="AZ1355" s="16"/>
      <c r="BC1355" s="16"/>
      <c r="BD1355" s="20"/>
      <c r="BE1355" s="17"/>
      <c r="BF1355" s="20"/>
      <c r="BG1355" s="146"/>
      <c r="BH1355" s="146"/>
      <c r="BI1355" s="146"/>
      <c r="BJ1355" s="20"/>
      <c r="BK1355" s="20"/>
      <c r="BL1355" s="154"/>
      <c r="BP1355" s="20"/>
      <c r="BQ1355" s="154"/>
      <c r="BR1355" s="18"/>
      <c r="BS1355" s="16"/>
      <c r="BT1355" s="18"/>
      <c r="BU1355" s="18"/>
      <c r="BV1355" s="18"/>
      <c r="BW1355" s="20"/>
      <c r="BX1355" s="154"/>
      <c r="BY1355" s="18"/>
      <c r="BZ1355" s="146"/>
      <c r="CA1355" s="18"/>
      <c r="CB1355" s="18"/>
      <c r="CC1355" s="20"/>
      <c r="CD1355" s="154"/>
    </row>
    <row r="1356" spans="35:82">
      <c r="AI1356" s="19"/>
      <c r="AO1356" s="19"/>
      <c r="AY1356" s="145"/>
      <c r="AZ1356" s="16"/>
      <c r="BC1356" s="16"/>
      <c r="BD1356" s="20"/>
      <c r="BE1356" s="17"/>
      <c r="BF1356" s="20"/>
      <c r="BG1356" s="146"/>
      <c r="BH1356" s="146"/>
      <c r="BI1356" s="146"/>
      <c r="BJ1356" s="20"/>
      <c r="BK1356" s="20"/>
      <c r="BL1356" s="154"/>
      <c r="BP1356" s="20"/>
      <c r="BQ1356" s="154"/>
      <c r="BR1356" s="18"/>
      <c r="BS1356" s="16"/>
      <c r="BT1356" s="18"/>
      <c r="BU1356" s="18"/>
      <c r="BV1356" s="18"/>
      <c r="BW1356" s="20"/>
      <c r="BX1356" s="154"/>
      <c r="BY1356" s="18"/>
      <c r="BZ1356" s="146"/>
      <c r="CA1356" s="18"/>
      <c r="CB1356" s="18"/>
      <c r="CC1356" s="20"/>
      <c r="CD1356" s="154"/>
    </row>
    <row r="1357" spans="35:82">
      <c r="AI1357" s="19"/>
      <c r="AO1357" s="19"/>
      <c r="AY1357" s="145"/>
      <c r="AZ1357" s="16"/>
      <c r="BC1357" s="16"/>
      <c r="BD1357" s="20"/>
      <c r="BE1357" s="17"/>
      <c r="BF1357" s="20"/>
      <c r="BG1357" s="146"/>
      <c r="BH1357" s="146"/>
      <c r="BI1357" s="146"/>
      <c r="BJ1357" s="20"/>
      <c r="BK1357" s="20"/>
      <c r="BL1357" s="154"/>
      <c r="BP1357" s="20"/>
      <c r="BQ1357" s="154"/>
      <c r="BR1357" s="18"/>
      <c r="BS1357" s="16"/>
      <c r="BT1357" s="18"/>
      <c r="BU1357" s="18"/>
      <c r="BV1357" s="18"/>
      <c r="BW1357" s="20"/>
      <c r="BX1357" s="154"/>
      <c r="BY1357" s="18"/>
      <c r="BZ1357" s="146"/>
      <c r="CA1357" s="18"/>
      <c r="CB1357" s="18"/>
      <c r="CC1357" s="20"/>
      <c r="CD1357" s="154"/>
    </row>
    <row r="1358" spans="35:82">
      <c r="AI1358" s="19"/>
      <c r="AO1358" s="19"/>
      <c r="AY1358" s="145"/>
      <c r="AZ1358" s="16"/>
      <c r="BC1358" s="16"/>
      <c r="BD1358" s="20"/>
      <c r="BE1358" s="17"/>
      <c r="BF1358" s="20"/>
      <c r="BG1358" s="146"/>
      <c r="BH1358" s="146"/>
      <c r="BI1358" s="146"/>
      <c r="BJ1358" s="20"/>
      <c r="BK1358" s="20"/>
      <c r="BL1358" s="154"/>
      <c r="BP1358" s="20"/>
      <c r="BQ1358" s="154"/>
      <c r="BR1358" s="18"/>
      <c r="BS1358" s="16"/>
      <c r="BT1358" s="18"/>
      <c r="BU1358" s="18"/>
      <c r="BV1358" s="18"/>
      <c r="BW1358" s="20"/>
      <c r="BX1358" s="154"/>
      <c r="BY1358" s="18"/>
      <c r="BZ1358" s="146"/>
      <c r="CA1358" s="18"/>
      <c r="CB1358" s="18"/>
      <c r="CC1358" s="20"/>
      <c r="CD1358" s="154"/>
    </row>
    <row r="1359" spans="35:82">
      <c r="AI1359" s="19"/>
      <c r="AO1359" s="19"/>
      <c r="AY1359" s="145"/>
      <c r="AZ1359" s="16"/>
      <c r="BC1359" s="16"/>
      <c r="BD1359" s="20"/>
      <c r="BE1359" s="17"/>
      <c r="BF1359" s="20"/>
      <c r="BG1359" s="146"/>
      <c r="BH1359" s="146"/>
      <c r="BI1359" s="146"/>
      <c r="BJ1359" s="20"/>
      <c r="BK1359" s="20"/>
      <c r="BL1359" s="154"/>
      <c r="BP1359" s="20"/>
      <c r="BQ1359" s="154"/>
      <c r="BR1359" s="18"/>
      <c r="BS1359" s="16"/>
      <c r="BT1359" s="18"/>
      <c r="BU1359" s="18"/>
      <c r="BV1359" s="18"/>
      <c r="BW1359" s="20"/>
      <c r="BX1359" s="154"/>
      <c r="BY1359" s="18"/>
      <c r="BZ1359" s="146"/>
      <c r="CA1359" s="18"/>
      <c r="CB1359" s="18"/>
      <c r="CC1359" s="20"/>
      <c r="CD1359" s="154"/>
    </row>
    <row r="1360" spans="35:82">
      <c r="AI1360" s="19"/>
      <c r="AO1360" s="19"/>
      <c r="AY1360" s="145"/>
      <c r="AZ1360" s="16"/>
      <c r="BC1360" s="16"/>
      <c r="BD1360" s="20"/>
      <c r="BE1360" s="17"/>
      <c r="BF1360" s="20"/>
      <c r="BG1360" s="146"/>
      <c r="BH1360" s="146"/>
      <c r="BI1360" s="146"/>
      <c r="BJ1360" s="20"/>
      <c r="BK1360" s="20"/>
      <c r="BL1360" s="154"/>
      <c r="BP1360" s="20"/>
      <c r="BQ1360" s="154"/>
      <c r="BR1360" s="18"/>
      <c r="BS1360" s="16"/>
      <c r="BT1360" s="18"/>
      <c r="BU1360" s="18"/>
      <c r="BV1360" s="18"/>
      <c r="BW1360" s="20"/>
      <c r="BX1360" s="154"/>
      <c r="BY1360" s="18"/>
      <c r="BZ1360" s="146"/>
      <c r="CA1360" s="18"/>
      <c r="CB1360" s="18"/>
      <c r="CC1360" s="20"/>
      <c r="CD1360" s="154"/>
    </row>
    <row r="1361" spans="35:82">
      <c r="AI1361" s="19"/>
      <c r="AO1361" s="19"/>
      <c r="AY1361" s="145"/>
      <c r="AZ1361" s="16"/>
      <c r="BC1361" s="16"/>
      <c r="BD1361" s="20"/>
      <c r="BE1361" s="17"/>
      <c r="BF1361" s="20"/>
      <c r="BG1361" s="146"/>
      <c r="BH1361" s="146"/>
      <c r="BI1361" s="146"/>
      <c r="BJ1361" s="20"/>
      <c r="BK1361" s="20"/>
      <c r="BL1361" s="154"/>
      <c r="BP1361" s="20"/>
      <c r="BQ1361" s="154"/>
      <c r="BR1361" s="18"/>
      <c r="BS1361" s="16"/>
      <c r="BT1361" s="18"/>
      <c r="BU1361" s="18"/>
      <c r="BV1361" s="18"/>
      <c r="BW1361" s="20"/>
      <c r="BX1361" s="154"/>
      <c r="BY1361" s="18"/>
      <c r="BZ1361" s="146"/>
      <c r="CA1361" s="18"/>
      <c r="CB1361" s="18"/>
      <c r="CC1361" s="20"/>
      <c r="CD1361" s="154"/>
    </row>
    <row r="1362" spans="35:82">
      <c r="AI1362" s="19"/>
      <c r="AO1362" s="19"/>
      <c r="AY1362" s="145"/>
      <c r="AZ1362" s="16"/>
      <c r="BC1362" s="16"/>
      <c r="BD1362" s="20"/>
      <c r="BE1362" s="17"/>
      <c r="BF1362" s="20"/>
      <c r="BG1362" s="146"/>
      <c r="BH1362" s="146"/>
      <c r="BI1362" s="146"/>
      <c r="BJ1362" s="20"/>
      <c r="BK1362" s="20"/>
      <c r="BL1362" s="154"/>
      <c r="BP1362" s="20"/>
      <c r="BQ1362" s="154"/>
      <c r="BR1362" s="18"/>
      <c r="BS1362" s="16"/>
      <c r="BT1362" s="18"/>
      <c r="BU1362" s="18"/>
      <c r="BV1362" s="18"/>
      <c r="BW1362" s="20"/>
      <c r="BX1362" s="154"/>
      <c r="BY1362" s="18"/>
      <c r="BZ1362" s="146"/>
      <c r="CA1362" s="18"/>
      <c r="CB1362" s="18"/>
      <c r="CC1362" s="20"/>
      <c r="CD1362" s="154"/>
    </row>
    <row r="1363" spans="35:82">
      <c r="AI1363" s="19"/>
      <c r="AO1363" s="19"/>
      <c r="AY1363" s="145"/>
      <c r="AZ1363" s="16"/>
      <c r="BC1363" s="16"/>
      <c r="BD1363" s="20"/>
      <c r="BE1363" s="17"/>
      <c r="BF1363" s="20"/>
      <c r="BG1363" s="146"/>
      <c r="BH1363" s="146"/>
      <c r="BI1363" s="146"/>
      <c r="BJ1363" s="20"/>
      <c r="BK1363" s="20"/>
      <c r="BL1363" s="154"/>
      <c r="BP1363" s="20"/>
      <c r="BQ1363" s="154"/>
      <c r="BR1363" s="18"/>
      <c r="BS1363" s="16"/>
      <c r="BT1363" s="18"/>
      <c r="BU1363" s="18"/>
      <c r="BV1363" s="18"/>
      <c r="BW1363" s="20"/>
      <c r="BX1363" s="154"/>
      <c r="BY1363" s="18"/>
      <c r="BZ1363" s="146"/>
      <c r="CA1363" s="18"/>
      <c r="CB1363" s="18"/>
      <c r="CC1363" s="20"/>
      <c r="CD1363" s="154"/>
    </row>
    <row r="1364" spans="35:82">
      <c r="AI1364" s="19"/>
      <c r="AO1364" s="19"/>
      <c r="AY1364" s="145"/>
      <c r="AZ1364" s="16"/>
      <c r="BC1364" s="16"/>
      <c r="BD1364" s="20"/>
      <c r="BE1364" s="17"/>
      <c r="BF1364" s="20"/>
      <c r="BG1364" s="146"/>
      <c r="BH1364" s="146"/>
      <c r="BI1364" s="146"/>
      <c r="BJ1364" s="20"/>
      <c r="BK1364" s="20"/>
      <c r="BL1364" s="154"/>
      <c r="BP1364" s="20"/>
      <c r="BQ1364" s="154"/>
      <c r="BR1364" s="18"/>
      <c r="BS1364" s="16"/>
      <c r="BT1364" s="18"/>
      <c r="BU1364" s="18"/>
      <c r="BV1364" s="18"/>
      <c r="BW1364" s="20"/>
      <c r="BX1364" s="154"/>
      <c r="BY1364" s="18"/>
      <c r="BZ1364" s="146"/>
      <c r="CA1364" s="18"/>
      <c r="CB1364" s="18"/>
      <c r="CC1364" s="20"/>
      <c r="CD1364" s="154"/>
    </row>
    <row r="1365" spans="35:82">
      <c r="AI1365" s="19"/>
      <c r="AO1365" s="19"/>
      <c r="AY1365" s="145"/>
      <c r="AZ1365" s="16"/>
      <c r="BC1365" s="16"/>
      <c r="BD1365" s="20"/>
      <c r="BE1365" s="17"/>
      <c r="BF1365" s="20"/>
      <c r="BG1365" s="146"/>
      <c r="BH1365" s="146"/>
      <c r="BI1365" s="146"/>
      <c r="BJ1365" s="20"/>
      <c r="BK1365" s="20"/>
      <c r="BL1365" s="154"/>
      <c r="BP1365" s="20"/>
      <c r="BQ1365" s="154"/>
      <c r="BR1365" s="18"/>
      <c r="BS1365" s="16"/>
      <c r="BT1365" s="18"/>
      <c r="BU1365" s="18"/>
      <c r="BV1365" s="18"/>
      <c r="BW1365" s="20"/>
      <c r="BX1365" s="154"/>
      <c r="BY1365" s="18"/>
      <c r="BZ1365" s="146"/>
      <c r="CA1365" s="18"/>
      <c r="CB1365" s="18"/>
      <c r="CC1365" s="20"/>
      <c r="CD1365" s="154"/>
    </row>
    <row r="1366" spans="35:82">
      <c r="AI1366" s="19"/>
      <c r="AO1366" s="19"/>
      <c r="AY1366" s="145"/>
      <c r="AZ1366" s="16"/>
      <c r="BC1366" s="16"/>
      <c r="BD1366" s="20"/>
      <c r="BE1366" s="17"/>
      <c r="BF1366" s="20"/>
      <c r="BG1366" s="146"/>
      <c r="BH1366" s="146"/>
      <c r="BI1366" s="146"/>
      <c r="BJ1366" s="20"/>
      <c r="BK1366" s="20"/>
      <c r="BL1366" s="154"/>
      <c r="BP1366" s="20"/>
      <c r="BQ1366" s="154"/>
      <c r="BR1366" s="18"/>
      <c r="BS1366" s="16"/>
      <c r="BT1366" s="18"/>
      <c r="BU1366" s="18"/>
      <c r="BV1366" s="18"/>
      <c r="BW1366" s="20"/>
      <c r="BX1366" s="154"/>
      <c r="BY1366" s="18"/>
      <c r="BZ1366" s="146"/>
      <c r="CA1366" s="18"/>
      <c r="CB1366" s="18"/>
      <c r="CC1366" s="20"/>
      <c r="CD1366" s="154"/>
    </row>
    <row r="1367" spans="35:82">
      <c r="AI1367" s="19"/>
      <c r="AO1367" s="19"/>
      <c r="AY1367" s="145"/>
      <c r="AZ1367" s="16"/>
      <c r="BC1367" s="16"/>
      <c r="BD1367" s="20"/>
      <c r="BE1367" s="17"/>
      <c r="BF1367" s="20"/>
      <c r="BG1367" s="146"/>
      <c r="BH1367" s="146"/>
      <c r="BI1367" s="146"/>
      <c r="BJ1367" s="20"/>
      <c r="BK1367" s="20"/>
      <c r="BL1367" s="154"/>
      <c r="BP1367" s="20"/>
      <c r="BQ1367" s="154"/>
      <c r="BR1367" s="18"/>
      <c r="BS1367" s="16"/>
      <c r="BT1367" s="18"/>
      <c r="BU1367" s="18"/>
      <c r="BV1367" s="18"/>
      <c r="BW1367" s="20"/>
      <c r="BX1367" s="154"/>
      <c r="BY1367" s="18"/>
      <c r="BZ1367" s="146"/>
      <c r="CA1367" s="18"/>
      <c r="CB1367" s="18"/>
      <c r="CC1367" s="20"/>
      <c r="CD1367" s="154"/>
    </row>
    <row r="1368" spans="35:82">
      <c r="AI1368" s="19"/>
      <c r="AO1368" s="19"/>
      <c r="AY1368" s="145"/>
      <c r="AZ1368" s="16"/>
      <c r="BC1368" s="16"/>
      <c r="BD1368" s="20"/>
      <c r="BE1368" s="17"/>
      <c r="BF1368" s="20"/>
      <c r="BG1368" s="146"/>
      <c r="BH1368" s="146"/>
      <c r="BI1368" s="146"/>
      <c r="BJ1368" s="20"/>
      <c r="BK1368" s="20"/>
      <c r="BL1368" s="154"/>
      <c r="BP1368" s="20"/>
      <c r="BQ1368" s="154"/>
      <c r="BR1368" s="18"/>
      <c r="BS1368" s="16"/>
      <c r="BT1368" s="18"/>
      <c r="BU1368" s="18"/>
      <c r="BV1368" s="18"/>
      <c r="BW1368" s="20"/>
      <c r="BX1368" s="154"/>
      <c r="BY1368" s="18"/>
      <c r="BZ1368" s="146"/>
      <c r="CA1368" s="18"/>
      <c r="CB1368" s="18"/>
      <c r="CC1368" s="20"/>
      <c r="CD1368" s="154"/>
    </row>
    <row r="1369" spans="35:82">
      <c r="AI1369" s="19"/>
      <c r="AO1369" s="19"/>
      <c r="AY1369" s="145"/>
      <c r="AZ1369" s="16"/>
      <c r="BC1369" s="16"/>
      <c r="BD1369" s="20"/>
      <c r="BE1369" s="17"/>
      <c r="BF1369" s="20"/>
      <c r="BG1369" s="146"/>
      <c r="BH1369" s="146"/>
      <c r="BI1369" s="146"/>
      <c r="BJ1369" s="20"/>
      <c r="BK1369" s="20"/>
      <c r="BL1369" s="154"/>
      <c r="BP1369" s="20"/>
      <c r="BQ1369" s="154"/>
      <c r="BR1369" s="18"/>
      <c r="BS1369" s="16"/>
      <c r="BT1369" s="18"/>
      <c r="BU1369" s="18"/>
      <c r="BV1369" s="18"/>
      <c r="BW1369" s="20"/>
      <c r="BX1369" s="154"/>
      <c r="BY1369" s="18"/>
      <c r="BZ1369" s="146"/>
      <c r="CA1369" s="18"/>
      <c r="CB1369" s="18"/>
      <c r="CC1369" s="20"/>
      <c r="CD1369" s="154"/>
    </row>
    <row r="1370" spans="35:82">
      <c r="AI1370" s="19"/>
      <c r="AO1370" s="19"/>
      <c r="AY1370" s="145"/>
      <c r="AZ1370" s="16"/>
      <c r="BC1370" s="16"/>
      <c r="BD1370" s="20"/>
      <c r="BE1370" s="17"/>
      <c r="BF1370" s="20"/>
      <c r="BG1370" s="146"/>
      <c r="BH1370" s="146"/>
      <c r="BI1370" s="146"/>
      <c r="BJ1370" s="20"/>
      <c r="BK1370" s="20"/>
      <c r="BL1370" s="154"/>
      <c r="BP1370" s="20"/>
      <c r="BQ1370" s="154"/>
      <c r="BR1370" s="18"/>
      <c r="BS1370" s="16"/>
      <c r="BT1370" s="18"/>
      <c r="BU1370" s="18"/>
      <c r="BV1370" s="18"/>
      <c r="BW1370" s="20"/>
      <c r="BX1370" s="154"/>
      <c r="BY1370" s="18"/>
      <c r="BZ1370" s="146"/>
      <c r="CA1370" s="18"/>
      <c r="CB1370" s="18"/>
      <c r="CC1370" s="20"/>
      <c r="CD1370" s="154"/>
    </row>
    <row r="1371" spans="35:82">
      <c r="AI1371" s="19"/>
      <c r="AO1371" s="19"/>
      <c r="AY1371" s="145"/>
      <c r="AZ1371" s="16"/>
      <c r="BC1371" s="16"/>
      <c r="BD1371" s="20"/>
      <c r="BE1371" s="17"/>
      <c r="BF1371" s="20"/>
      <c r="BG1371" s="146"/>
      <c r="BH1371" s="146"/>
      <c r="BI1371" s="146"/>
      <c r="BJ1371" s="20"/>
      <c r="BK1371" s="20"/>
      <c r="BL1371" s="154"/>
      <c r="BP1371" s="20"/>
      <c r="BQ1371" s="154"/>
      <c r="BR1371" s="18"/>
      <c r="BS1371" s="16"/>
      <c r="BT1371" s="18"/>
      <c r="BU1371" s="18"/>
      <c r="BV1371" s="18"/>
      <c r="BW1371" s="20"/>
      <c r="BX1371" s="154"/>
      <c r="BY1371" s="18"/>
      <c r="BZ1371" s="146"/>
      <c r="CA1371" s="18"/>
      <c r="CB1371" s="18"/>
      <c r="CC1371" s="20"/>
      <c r="CD1371" s="154"/>
    </row>
    <row r="1372" spans="35:82">
      <c r="AI1372" s="19"/>
      <c r="AO1372" s="19"/>
      <c r="AY1372" s="145"/>
      <c r="AZ1372" s="16"/>
      <c r="BC1372" s="16"/>
      <c r="BD1372" s="20"/>
      <c r="BE1372" s="17"/>
      <c r="BF1372" s="20"/>
      <c r="BG1372" s="146"/>
      <c r="BH1372" s="146"/>
      <c r="BI1372" s="146"/>
      <c r="BJ1372" s="20"/>
      <c r="BK1372" s="20"/>
      <c r="BL1372" s="154"/>
      <c r="BP1372" s="20"/>
      <c r="BQ1372" s="154"/>
      <c r="BR1372" s="18"/>
      <c r="BS1372" s="16"/>
      <c r="BT1372" s="18"/>
      <c r="BU1372" s="18"/>
      <c r="BV1372" s="18"/>
      <c r="BW1372" s="20"/>
      <c r="BX1372" s="154"/>
      <c r="BY1372" s="18"/>
      <c r="BZ1372" s="146"/>
      <c r="CA1372" s="18"/>
      <c r="CB1372" s="18"/>
      <c r="CC1372" s="20"/>
      <c r="CD1372" s="154"/>
    </row>
    <row r="1373" spans="35:82">
      <c r="AI1373" s="19"/>
      <c r="AO1373" s="19"/>
      <c r="AY1373" s="145"/>
      <c r="AZ1373" s="16"/>
      <c r="BC1373" s="16"/>
      <c r="BD1373" s="20"/>
      <c r="BE1373" s="17"/>
      <c r="BF1373" s="20"/>
      <c r="BG1373" s="146"/>
      <c r="BH1373" s="146"/>
      <c r="BI1373" s="146"/>
      <c r="BJ1373" s="20"/>
      <c r="BK1373" s="20"/>
      <c r="BL1373" s="154"/>
      <c r="BP1373" s="20"/>
      <c r="BQ1373" s="154"/>
      <c r="BR1373" s="18"/>
      <c r="BS1373" s="16"/>
      <c r="BT1373" s="18"/>
      <c r="BU1373" s="18"/>
      <c r="BV1373" s="18"/>
      <c r="BW1373" s="20"/>
      <c r="BX1373" s="154"/>
      <c r="BY1373" s="18"/>
      <c r="BZ1373" s="146"/>
      <c r="CA1373" s="18"/>
      <c r="CB1373" s="18"/>
      <c r="CC1373" s="20"/>
      <c r="CD1373" s="154"/>
    </row>
    <row r="1374" spans="35:82">
      <c r="AI1374" s="19"/>
      <c r="AO1374" s="19"/>
      <c r="AY1374" s="145"/>
      <c r="AZ1374" s="16"/>
      <c r="BC1374" s="16"/>
      <c r="BD1374" s="20"/>
      <c r="BE1374" s="17"/>
      <c r="BF1374" s="20"/>
      <c r="BG1374" s="146"/>
      <c r="BH1374" s="146"/>
      <c r="BI1374" s="146"/>
      <c r="BJ1374" s="20"/>
      <c r="BK1374" s="20"/>
      <c r="BL1374" s="154"/>
      <c r="BP1374" s="20"/>
      <c r="BQ1374" s="154"/>
      <c r="BR1374" s="18"/>
      <c r="BS1374" s="16"/>
      <c r="BT1374" s="18"/>
      <c r="BU1374" s="18"/>
      <c r="BV1374" s="18"/>
      <c r="BW1374" s="20"/>
      <c r="BX1374" s="154"/>
      <c r="BY1374" s="18"/>
      <c r="BZ1374" s="146"/>
      <c r="CA1374" s="18"/>
      <c r="CB1374" s="18"/>
      <c r="CC1374" s="20"/>
      <c r="CD1374" s="154"/>
    </row>
    <row r="1375" spans="35:82">
      <c r="AI1375" s="19"/>
      <c r="AO1375" s="19"/>
      <c r="AY1375" s="145"/>
      <c r="AZ1375" s="16"/>
      <c r="BC1375" s="16"/>
      <c r="BD1375" s="20"/>
      <c r="BE1375" s="17"/>
      <c r="BF1375" s="20"/>
      <c r="BG1375" s="146"/>
      <c r="BH1375" s="146"/>
      <c r="BI1375" s="146"/>
      <c r="BJ1375" s="20"/>
      <c r="BK1375" s="20"/>
      <c r="BL1375" s="154"/>
      <c r="BP1375" s="20"/>
      <c r="BQ1375" s="154"/>
      <c r="BR1375" s="18"/>
      <c r="BS1375" s="16"/>
      <c r="BT1375" s="18"/>
      <c r="BU1375" s="18"/>
      <c r="BV1375" s="18"/>
      <c r="BW1375" s="20"/>
      <c r="BX1375" s="154"/>
      <c r="BY1375" s="18"/>
      <c r="BZ1375" s="146"/>
      <c r="CA1375" s="18"/>
      <c r="CB1375" s="18"/>
      <c r="CC1375" s="20"/>
      <c r="CD1375" s="154"/>
    </row>
    <row r="1376" spans="35:82">
      <c r="AI1376" s="19"/>
      <c r="AO1376" s="19"/>
      <c r="AY1376" s="145"/>
      <c r="AZ1376" s="16"/>
      <c r="BC1376" s="16"/>
      <c r="BD1376" s="20"/>
      <c r="BE1376" s="17"/>
      <c r="BF1376" s="20"/>
      <c r="BG1376" s="146"/>
      <c r="BH1376" s="146"/>
      <c r="BI1376" s="146"/>
      <c r="BJ1376" s="20"/>
      <c r="BK1376" s="20"/>
      <c r="BL1376" s="154"/>
      <c r="BP1376" s="20"/>
      <c r="BQ1376" s="154"/>
      <c r="BR1376" s="18"/>
      <c r="BS1376" s="16"/>
      <c r="BT1376" s="18"/>
      <c r="BU1376" s="18"/>
      <c r="BV1376" s="18"/>
      <c r="BW1376" s="20"/>
      <c r="BX1376" s="154"/>
      <c r="BY1376" s="18"/>
      <c r="BZ1376" s="146"/>
      <c r="CA1376" s="18"/>
      <c r="CB1376" s="18"/>
      <c r="CC1376" s="20"/>
      <c r="CD1376" s="154"/>
    </row>
    <row r="1377" spans="35:82">
      <c r="AI1377" s="19"/>
      <c r="AO1377" s="19"/>
      <c r="AY1377" s="145"/>
      <c r="AZ1377" s="16"/>
      <c r="BC1377" s="16"/>
      <c r="BD1377" s="20"/>
      <c r="BE1377" s="17"/>
      <c r="BF1377" s="20"/>
      <c r="BG1377" s="146"/>
      <c r="BH1377" s="146"/>
      <c r="BI1377" s="146"/>
      <c r="BJ1377" s="20"/>
      <c r="BK1377" s="20"/>
      <c r="BL1377" s="154"/>
      <c r="BP1377" s="20"/>
      <c r="BQ1377" s="154"/>
      <c r="BR1377" s="18"/>
      <c r="BS1377" s="16"/>
      <c r="BT1377" s="18"/>
      <c r="BU1377" s="18"/>
      <c r="BV1377" s="18"/>
      <c r="BW1377" s="20"/>
      <c r="BX1377" s="154"/>
      <c r="BY1377" s="18"/>
      <c r="BZ1377" s="146"/>
      <c r="CA1377" s="18"/>
      <c r="CB1377" s="18"/>
      <c r="CC1377" s="20"/>
      <c r="CD1377" s="154"/>
    </row>
    <row r="1378" spans="35:82">
      <c r="AI1378" s="19"/>
      <c r="AO1378" s="19"/>
      <c r="AY1378" s="145"/>
      <c r="AZ1378" s="16"/>
      <c r="BC1378" s="16"/>
      <c r="BD1378" s="20"/>
      <c r="BE1378" s="17"/>
      <c r="BF1378" s="20"/>
      <c r="BG1378" s="146"/>
      <c r="BH1378" s="146"/>
      <c r="BI1378" s="146"/>
      <c r="BJ1378" s="20"/>
      <c r="BK1378" s="20"/>
      <c r="BL1378" s="154"/>
      <c r="BP1378" s="20"/>
      <c r="BQ1378" s="154"/>
      <c r="BR1378" s="18"/>
      <c r="BS1378" s="16"/>
      <c r="BT1378" s="18"/>
      <c r="BU1378" s="18"/>
      <c r="BV1378" s="18"/>
      <c r="BW1378" s="20"/>
      <c r="BX1378" s="154"/>
      <c r="BY1378" s="18"/>
      <c r="BZ1378" s="146"/>
      <c r="CA1378" s="18"/>
      <c r="CB1378" s="18"/>
      <c r="CC1378" s="20"/>
      <c r="CD1378" s="154"/>
    </row>
    <row r="1379" spans="35:82">
      <c r="AI1379" s="19"/>
      <c r="AO1379" s="19"/>
      <c r="AY1379" s="145"/>
      <c r="AZ1379" s="16"/>
      <c r="BC1379" s="16"/>
      <c r="BD1379" s="20"/>
      <c r="BE1379" s="17"/>
      <c r="BF1379" s="20"/>
      <c r="BG1379" s="146"/>
      <c r="BH1379" s="146"/>
      <c r="BI1379" s="146"/>
      <c r="BJ1379" s="20"/>
      <c r="BK1379" s="20"/>
      <c r="BL1379" s="154"/>
      <c r="BP1379" s="20"/>
      <c r="BQ1379" s="154"/>
      <c r="BR1379" s="18"/>
      <c r="BS1379" s="16"/>
      <c r="BT1379" s="18"/>
      <c r="BU1379" s="18"/>
      <c r="BV1379" s="18"/>
      <c r="BW1379" s="20"/>
      <c r="BX1379" s="154"/>
      <c r="BY1379" s="18"/>
      <c r="BZ1379" s="146"/>
      <c r="CA1379" s="18"/>
      <c r="CB1379" s="18"/>
      <c r="CC1379" s="20"/>
      <c r="CD1379" s="154"/>
    </row>
    <row r="1380" spans="35:82">
      <c r="AI1380" s="19"/>
      <c r="AO1380" s="19"/>
      <c r="AY1380" s="145"/>
      <c r="AZ1380" s="16"/>
      <c r="BC1380" s="16"/>
      <c r="BD1380" s="20"/>
      <c r="BE1380" s="17"/>
      <c r="BF1380" s="20"/>
      <c r="BG1380" s="146"/>
      <c r="BH1380" s="146"/>
      <c r="BI1380" s="146"/>
      <c r="BJ1380" s="20"/>
      <c r="BK1380" s="20"/>
      <c r="BL1380" s="154"/>
      <c r="BP1380" s="20"/>
      <c r="BQ1380" s="154"/>
      <c r="BR1380" s="18"/>
      <c r="BS1380" s="16"/>
      <c r="BT1380" s="18"/>
      <c r="BU1380" s="18"/>
      <c r="BV1380" s="18"/>
      <c r="BW1380" s="20"/>
      <c r="BX1380" s="154"/>
      <c r="BY1380" s="18"/>
      <c r="BZ1380" s="146"/>
      <c r="CA1380" s="18"/>
      <c r="CB1380" s="18"/>
      <c r="CC1380" s="20"/>
      <c r="CD1380" s="154"/>
    </row>
    <row r="1381" spans="35:82">
      <c r="AI1381" s="19"/>
      <c r="AO1381" s="19"/>
      <c r="AY1381" s="145"/>
      <c r="AZ1381" s="16"/>
      <c r="BC1381" s="16"/>
      <c r="BD1381" s="20"/>
      <c r="BE1381" s="17"/>
      <c r="BF1381" s="20"/>
      <c r="BG1381" s="146"/>
      <c r="BH1381" s="146"/>
      <c r="BI1381" s="146"/>
      <c r="BJ1381" s="20"/>
      <c r="BK1381" s="20"/>
      <c r="BL1381" s="154"/>
      <c r="BP1381" s="20"/>
      <c r="BQ1381" s="154"/>
      <c r="BR1381" s="18"/>
      <c r="BS1381" s="16"/>
      <c r="BT1381" s="18"/>
      <c r="BU1381" s="18"/>
      <c r="BV1381" s="18"/>
      <c r="BW1381" s="20"/>
      <c r="BX1381" s="154"/>
      <c r="BY1381" s="18"/>
      <c r="BZ1381" s="146"/>
      <c r="CA1381" s="18"/>
      <c r="CB1381" s="18"/>
      <c r="CC1381" s="20"/>
      <c r="CD1381" s="154"/>
    </row>
    <row r="1382" spans="35:82">
      <c r="AI1382" s="19"/>
      <c r="AO1382" s="19"/>
      <c r="AY1382" s="145"/>
      <c r="AZ1382" s="16"/>
      <c r="BC1382" s="16"/>
      <c r="BD1382" s="20"/>
      <c r="BE1382" s="17"/>
      <c r="BF1382" s="20"/>
      <c r="BG1382" s="146"/>
      <c r="BH1382" s="146"/>
      <c r="BI1382" s="146"/>
      <c r="BJ1382" s="20"/>
      <c r="BK1382" s="20"/>
      <c r="BL1382" s="154"/>
      <c r="BP1382" s="20"/>
      <c r="BQ1382" s="154"/>
      <c r="BR1382" s="18"/>
      <c r="BS1382" s="16"/>
      <c r="BT1382" s="18"/>
      <c r="BU1382" s="18"/>
      <c r="BV1382" s="18"/>
      <c r="BW1382" s="20"/>
      <c r="BX1382" s="154"/>
      <c r="BY1382" s="18"/>
      <c r="BZ1382" s="146"/>
      <c r="CA1382" s="18"/>
      <c r="CB1382" s="18"/>
      <c r="CC1382" s="20"/>
      <c r="CD1382" s="154"/>
    </row>
    <row r="1383" spans="35:82">
      <c r="AI1383" s="19"/>
      <c r="AO1383" s="19"/>
      <c r="AY1383" s="145"/>
      <c r="AZ1383" s="16"/>
      <c r="BC1383" s="16"/>
      <c r="BD1383" s="20"/>
      <c r="BE1383" s="17"/>
      <c r="BF1383" s="20"/>
      <c r="BG1383" s="146"/>
      <c r="BH1383" s="146"/>
      <c r="BI1383" s="146"/>
      <c r="BJ1383" s="20"/>
      <c r="BK1383" s="20"/>
      <c r="BL1383" s="154"/>
      <c r="BP1383" s="20"/>
      <c r="BQ1383" s="154"/>
      <c r="BR1383" s="18"/>
      <c r="BS1383" s="16"/>
      <c r="BT1383" s="18"/>
      <c r="BU1383" s="18"/>
      <c r="BV1383" s="18"/>
      <c r="BW1383" s="20"/>
      <c r="BX1383" s="154"/>
      <c r="BY1383" s="18"/>
      <c r="BZ1383" s="146"/>
      <c r="CA1383" s="18"/>
      <c r="CB1383" s="18"/>
      <c r="CC1383" s="20"/>
      <c r="CD1383" s="154"/>
    </row>
    <row r="1384" spans="35:82">
      <c r="AI1384" s="19"/>
      <c r="AO1384" s="19"/>
      <c r="AY1384" s="145"/>
      <c r="AZ1384" s="16"/>
      <c r="BC1384" s="16"/>
      <c r="BD1384" s="20"/>
      <c r="BE1384" s="17"/>
      <c r="BF1384" s="20"/>
      <c r="BG1384" s="146"/>
      <c r="BH1384" s="146"/>
      <c r="BI1384" s="146"/>
      <c r="BJ1384" s="20"/>
      <c r="BK1384" s="20"/>
      <c r="BL1384" s="154"/>
      <c r="BP1384" s="20"/>
      <c r="BQ1384" s="154"/>
      <c r="BR1384" s="18"/>
      <c r="BS1384" s="16"/>
      <c r="BT1384" s="18"/>
      <c r="BU1384" s="18"/>
      <c r="BV1384" s="18"/>
      <c r="BW1384" s="20"/>
      <c r="BX1384" s="154"/>
      <c r="BY1384" s="18"/>
      <c r="BZ1384" s="146"/>
      <c r="CA1384" s="18"/>
      <c r="CB1384" s="18"/>
      <c r="CC1384" s="20"/>
      <c r="CD1384" s="154"/>
    </row>
    <row r="1385" spans="35:82">
      <c r="AI1385" s="19"/>
      <c r="AO1385" s="19"/>
      <c r="AY1385" s="145"/>
      <c r="AZ1385" s="16"/>
      <c r="BC1385" s="16"/>
      <c r="BD1385" s="20"/>
      <c r="BE1385" s="17"/>
      <c r="BF1385" s="20"/>
      <c r="BG1385" s="146"/>
      <c r="BH1385" s="146"/>
      <c r="BI1385" s="146"/>
      <c r="BJ1385" s="20"/>
      <c r="BK1385" s="20"/>
      <c r="BL1385" s="154"/>
      <c r="BP1385" s="20"/>
      <c r="BQ1385" s="154"/>
      <c r="BR1385" s="18"/>
      <c r="BS1385" s="16"/>
      <c r="BT1385" s="18"/>
      <c r="BU1385" s="18"/>
      <c r="BV1385" s="18"/>
      <c r="BW1385" s="20"/>
      <c r="BX1385" s="154"/>
      <c r="BY1385" s="18"/>
      <c r="BZ1385" s="146"/>
      <c r="CA1385" s="18"/>
      <c r="CB1385" s="18"/>
      <c r="CC1385" s="20"/>
      <c r="CD1385" s="154"/>
    </row>
    <row r="1386" spans="35:82">
      <c r="AI1386" s="19"/>
      <c r="AO1386" s="19"/>
      <c r="AY1386" s="145"/>
      <c r="AZ1386" s="16"/>
      <c r="BC1386" s="16"/>
      <c r="BD1386" s="20"/>
      <c r="BE1386" s="17"/>
      <c r="BF1386" s="20"/>
      <c r="BG1386" s="146"/>
      <c r="BH1386" s="146"/>
      <c r="BI1386" s="146"/>
      <c r="BJ1386" s="20"/>
      <c r="BK1386" s="20"/>
      <c r="BL1386" s="154"/>
      <c r="BP1386" s="20"/>
      <c r="BQ1386" s="154"/>
      <c r="BR1386" s="18"/>
      <c r="BS1386" s="16"/>
      <c r="BT1386" s="18"/>
      <c r="BU1386" s="18"/>
      <c r="BV1386" s="18"/>
      <c r="BW1386" s="20"/>
      <c r="BX1386" s="154"/>
      <c r="BY1386" s="18"/>
      <c r="BZ1386" s="146"/>
      <c r="CA1386" s="18"/>
      <c r="CB1386" s="18"/>
      <c r="CC1386" s="20"/>
      <c r="CD1386" s="154"/>
    </row>
    <row r="1387" spans="35:82">
      <c r="AI1387" s="19"/>
      <c r="AO1387" s="19"/>
      <c r="AY1387" s="145"/>
      <c r="AZ1387" s="16"/>
      <c r="BC1387" s="16"/>
      <c r="BD1387" s="20"/>
      <c r="BE1387" s="17"/>
      <c r="BF1387" s="20"/>
      <c r="BG1387" s="146"/>
      <c r="BH1387" s="146"/>
      <c r="BI1387" s="146"/>
      <c r="BJ1387" s="20"/>
      <c r="BK1387" s="20"/>
      <c r="BL1387" s="154"/>
      <c r="BP1387" s="20"/>
      <c r="BQ1387" s="154"/>
      <c r="BR1387" s="18"/>
      <c r="BS1387" s="16"/>
      <c r="BT1387" s="18"/>
      <c r="BU1387" s="18"/>
      <c r="BV1387" s="18"/>
      <c r="BW1387" s="20"/>
      <c r="BX1387" s="154"/>
      <c r="BY1387" s="18"/>
      <c r="BZ1387" s="146"/>
      <c r="CA1387" s="18"/>
      <c r="CB1387" s="18"/>
      <c r="CC1387" s="20"/>
      <c r="CD1387" s="154"/>
    </row>
    <row r="1388" spans="35:82">
      <c r="AI1388" s="19"/>
      <c r="AO1388" s="19"/>
      <c r="AY1388" s="145"/>
      <c r="AZ1388" s="16"/>
      <c r="BC1388" s="16"/>
      <c r="BD1388" s="20"/>
      <c r="BE1388" s="17"/>
      <c r="BF1388" s="20"/>
      <c r="BG1388" s="146"/>
      <c r="BH1388" s="146"/>
      <c r="BI1388" s="146"/>
      <c r="BJ1388" s="20"/>
      <c r="BK1388" s="20"/>
      <c r="BL1388" s="154"/>
      <c r="BP1388" s="20"/>
      <c r="BQ1388" s="154"/>
      <c r="BR1388" s="18"/>
      <c r="BS1388" s="16"/>
      <c r="BT1388" s="18"/>
      <c r="BU1388" s="18"/>
      <c r="BV1388" s="18"/>
      <c r="BW1388" s="20"/>
      <c r="BX1388" s="154"/>
      <c r="BY1388" s="18"/>
      <c r="BZ1388" s="146"/>
      <c r="CA1388" s="18"/>
      <c r="CB1388" s="18"/>
      <c r="CC1388" s="20"/>
      <c r="CD1388" s="154"/>
    </row>
    <row r="1389" spans="35:82">
      <c r="AI1389" s="19"/>
      <c r="AO1389" s="19"/>
      <c r="AY1389" s="145"/>
      <c r="AZ1389" s="16"/>
      <c r="BC1389" s="16"/>
      <c r="BD1389" s="20"/>
      <c r="BE1389" s="17"/>
      <c r="BF1389" s="20"/>
      <c r="BG1389" s="146"/>
      <c r="BH1389" s="146"/>
      <c r="BI1389" s="146"/>
      <c r="BJ1389" s="20"/>
      <c r="BK1389" s="20"/>
      <c r="BL1389" s="154"/>
      <c r="BP1389" s="20"/>
      <c r="BQ1389" s="154"/>
      <c r="BR1389" s="18"/>
      <c r="BS1389" s="16"/>
      <c r="BT1389" s="18"/>
      <c r="BU1389" s="18"/>
      <c r="BV1389" s="18"/>
      <c r="BW1389" s="20"/>
      <c r="BX1389" s="154"/>
      <c r="BY1389" s="18"/>
      <c r="BZ1389" s="146"/>
      <c r="CA1389" s="18"/>
      <c r="CB1389" s="18"/>
      <c r="CC1389" s="20"/>
      <c r="CD1389" s="154"/>
    </row>
    <row r="1390" spans="35:82">
      <c r="AI1390" s="19"/>
      <c r="AO1390" s="19"/>
      <c r="AY1390" s="145"/>
      <c r="AZ1390" s="16"/>
      <c r="BC1390" s="16"/>
      <c r="BD1390" s="20"/>
      <c r="BE1390" s="17"/>
      <c r="BF1390" s="20"/>
      <c r="BG1390" s="146"/>
      <c r="BH1390" s="146"/>
      <c r="BI1390" s="146"/>
      <c r="BJ1390" s="20"/>
      <c r="BK1390" s="20"/>
      <c r="BL1390" s="154"/>
      <c r="BP1390" s="20"/>
      <c r="BQ1390" s="154"/>
      <c r="BR1390" s="18"/>
      <c r="BS1390" s="16"/>
      <c r="BT1390" s="18"/>
      <c r="BU1390" s="18"/>
      <c r="BV1390" s="18"/>
      <c r="BW1390" s="20"/>
      <c r="BX1390" s="154"/>
      <c r="BY1390" s="18"/>
      <c r="BZ1390" s="146"/>
      <c r="CA1390" s="18"/>
      <c r="CB1390" s="18"/>
      <c r="CC1390" s="20"/>
      <c r="CD1390" s="154"/>
    </row>
    <row r="1391" spans="35:82">
      <c r="AI1391" s="19"/>
      <c r="AO1391" s="19"/>
      <c r="AY1391" s="145"/>
      <c r="AZ1391" s="16"/>
      <c r="BC1391" s="16"/>
      <c r="BD1391" s="20"/>
      <c r="BE1391" s="17"/>
      <c r="BF1391" s="20"/>
      <c r="BG1391" s="146"/>
      <c r="BH1391" s="146"/>
      <c r="BI1391" s="146"/>
      <c r="BJ1391" s="20"/>
      <c r="BK1391" s="20"/>
      <c r="BL1391" s="154"/>
      <c r="BP1391" s="20"/>
      <c r="BQ1391" s="154"/>
      <c r="BR1391" s="18"/>
      <c r="BS1391" s="16"/>
      <c r="BT1391" s="18"/>
      <c r="BU1391" s="18"/>
      <c r="BV1391" s="18"/>
      <c r="BW1391" s="20"/>
      <c r="BX1391" s="154"/>
      <c r="BY1391" s="18"/>
      <c r="BZ1391" s="146"/>
      <c r="CA1391" s="18"/>
      <c r="CB1391" s="18"/>
      <c r="CC1391" s="20"/>
      <c r="CD1391" s="154"/>
    </row>
    <row r="1392" spans="35:82">
      <c r="AI1392" s="19"/>
      <c r="AO1392" s="19"/>
      <c r="AY1392" s="145"/>
      <c r="AZ1392" s="16"/>
      <c r="BC1392" s="16"/>
      <c r="BD1392" s="20"/>
      <c r="BE1392" s="17"/>
      <c r="BF1392" s="20"/>
      <c r="BG1392" s="146"/>
      <c r="BH1392" s="146"/>
      <c r="BI1392" s="146"/>
      <c r="BJ1392" s="20"/>
      <c r="BK1392" s="20"/>
      <c r="BL1392" s="154"/>
      <c r="BP1392" s="20"/>
      <c r="BQ1392" s="154"/>
      <c r="BR1392" s="18"/>
      <c r="BS1392" s="16"/>
      <c r="BT1392" s="18"/>
      <c r="BU1392" s="18"/>
      <c r="BV1392" s="18"/>
      <c r="BW1392" s="20"/>
      <c r="BX1392" s="154"/>
      <c r="BY1392" s="18"/>
      <c r="BZ1392" s="146"/>
      <c r="CA1392" s="18"/>
      <c r="CB1392" s="18"/>
      <c r="CC1392" s="20"/>
      <c r="CD1392" s="154"/>
    </row>
    <row r="1393" spans="35:82">
      <c r="AI1393" s="19"/>
      <c r="AO1393" s="19"/>
      <c r="AY1393" s="145"/>
      <c r="AZ1393" s="16"/>
      <c r="BC1393" s="16"/>
      <c r="BD1393" s="20"/>
      <c r="BE1393" s="17"/>
      <c r="BF1393" s="20"/>
      <c r="BG1393" s="146"/>
      <c r="BH1393" s="146"/>
      <c r="BI1393" s="146"/>
      <c r="BJ1393" s="20"/>
      <c r="BK1393" s="20"/>
      <c r="BL1393" s="154"/>
      <c r="BP1393" s="20"/>
      <c r="BQ1393" s="154"/>
      <c r="BR1393" s="18"/>
      <c r="BS1393" s="16"/>
      <c r="BT1393" s="18"/>
      <c r="BU1393" s="18"/>
      <c r="BV1393" s="18"/>
      <c r="BW1393" s="20"/>
      <c r="BX1393" s="154"/>
      <c r="BY1393" s="18"/>
      <c r="BZ1393" s="146"/>
      <c r="CA1393" s="18"/>
      <c r="CB1393" s="18"/>
      <c r="CC1393" s="20"/>
      <c r="CD1393" s="154"/>
    </row>
    <row r="1394" spans="35:82">
      <c r="AI1394" s="19"/>
      <c r="AO1394" s="19"/>
      <c r="AY1394" s="145"/>
      <c r="AZ1394" s="16"/>
      <c r="BC1394" s="16"/>
      <c r="BD1394" s="20"/>
      <c r="BE1394" s="17"/>
      <c r="BF1394" s="20"/>
      <c r="BG1394" s="146"/>
      <c r="BH1394" s="146"/>
      <c r="BI1394" s="146"/>
      <c r="BJ1394" s="20"/>
      <c r="BK1394" s="20"/>
      <c r="BL1394" s="154"/>
      <c r="BP1394" s="20"/>
      <c r="BQ1394" s="154"/>
      <c r="BR1394" s="18"/>
      <c r="BS1394" s="16"/>
      <c r="BT1394" s="18"/>
      <c r="BU1394" s="18"/>
      <c r="BV1394" s="18"/>
      <c r="BW1394" s="20"/>
      <c r="BX1394" s="154"/>
      <c r="BY1394" s="18"/>
      <c r="BZ1394" s="146"/>
      <c r="CA1394" s="18"/>
      <c r="CB1394" s="18"/>
      <c r="CC1394" s="20"/>
      <c r="CD1394" s="154"/>
    </row>
    <row r="1395" spans="35:82">
      <c r="AI1395" s="19"/>
      <c r="AO1395" s="19"/>
      <c r="AY1395" s="145"/>
      <c r="AZ1395" s="16"/>
      <c r="BC1395" s="16"/>
      <c r="BD1395" s="20"/>
      <c r="BE1395" s="17"/>
      <c r="BF1395" s="20"/>
      <c r="BG1395" s="146"/>
      <c r="BH1395" s="146"/>
      <c r="BI1395" s="146"/>
      <c r="BJ1395" s="20"/>
      <c r="BK1395" s="20"/>
      <c r="BL1395" s="154"/>
      <c r="BP1395" s="20"/>
      <c r="BQ1395" s="154"/>
      <c r="BR1395" s="18"/>
      <c r="BS1395" s="16"/>
      <c r="BT1395" s="18"/>
      <c r="BU1395" s="18"/>
      <c r="BV1395" s="18"/>
      <c r="BW1395" s="20"/>
      <c r="BX1395" s="154"/>
      <c r="BY1395" s="18"/>
      <c r="BZ1395" s="146"/>
      <c r="CA1395" s="18"/>
      <c r="CB1395" s="18"/>
      <c r="CC1395" s="20"/>
      <c r="CD1395" s="154"/>
    </row>
    <row r="1396" spans="35:82">
      <c r="AI1396" s="19"/>
      <c r="AO1396" s="19"/>
      <c r="AY1396" s="145"/>
      <c r="AZ1396" s="16"/>
      <c r="BC1396" s="16"/>
      <c r="BD1396" s="20"/>
      <c r="BE1396" s="17"/>
      <c r="BF1396" s="20"/>
      <c r="BG1396" s="146"/>
      <c r="BH1396" s="146"/>
      <c r="BI1396" s="146"/>
      <c r="BJ1396" s="20"/>
      <c r="BK1396" s="20"/>
      <c r="BL1396" s="154"/>
      <c r="BP1396" s="20"/>
      <c r="BQ1396" s="154"/>
      <c r="BR1396" s="18"/>
      <c r="BS1396" s="16"/>
      <c r="BT1396" s="18"/>
      <c r="BU1396" s="18"/>
      <c r="BV1396" s="18"/>
      <c r="BW1396" s="20"/>
      <c r="BX1396" s="154"/>
      <c r="BY1396" s="18"/>
      <c r="BZ1396" s="146"/>
      <c r="CA1396" s="18"/>
      <c r="CB1396" s="18"/>
      <c r="CC1396" s="20"/>
      <c r="CD1396" s="154"/>
    </row>
    <row r="1397" spans="35:82">
      <c r="AI1397" s="19"/>
      <c r="AO1397" s="19"/>
      <c r="AY1397" s="145"/>
      <c r="AZ1397" s="16"/>
      <c r="BC1397" s="16"/>
      <c r="BD1397" s="20"/>
      <c r="BE1397" s="17"/>
      <c r="BF1397" s="20"/>
      <c r="BG1397" s="146"/>
      <c r="BH1397" s="146"/>
      <c r="BI1397" s="146"/>
      <c r="BJ1397" s="20"/>
      <c r="BK1397" s="20"/>
      <c r="BL1397" s="154"/>
      <c r="BP1397" s="20"/>
      <c r="BQ1397" s="154"/>
      <c r="BR1397" s="18"/>
      <c r="BS1397" s="16"/>
      <c r="BT1397" s="18"/>
      <c r="BU1397" s="18"/>
      <c r="BV1397" s="18"/>
      <c r="BW1397" s="20"/>
      <c r="BX1397" s="154"/>
      <c r="BY1397" s="18"/>
      <c r="BZ1397" s="146"/>
      <c r="CA1397" s="18"/>
      <c r="CB1397" s="18"/>
      <c r="CC1397" s="20"/>
      <c r="CD1397" s="154"/>
    </row>
    <row r="1398" spans="35:82">
      <c r="AI1398" s="19"/>
      <c r="AO1398" s="19"/>
      <c r="AY1398" s="145"/>
      <c r="AZ1398" s="16"/>
      <c r="BC1398" s="16"/>
      <c r="BD1398" s="20"/>
      <c r="BE1398" s="17"/>
      <c r="BF1398" s="20"/>
      <c r="BG1398" s="146"/>
      <c r="BH1398" s="146"/>
      <c r="BI1398" s="146"/>
      <c r="BJ1398" s="20"/>
      <c r="BK1398" s="20"/>
      <c r="BL1398" s="154"/>
      <c r="BP1398" s="20"/>
      <c r="BQ1398" s="154"/>
      <c r="BR1398" s="18"/>
      <c r="BS1398" s="16"/>
      <c r="BT1398" s="18"/>
      <c r="BU1398" s="18"/>
      <c r="BV1398" s="18"/>
      <c r="BW1398" s="20"/>
      <c r="BX1398" s="154"/>
      <c r="BY1398" s="18"/>
      <c r="BZ1398" s="146"/>
      <c r="CA1398" s="18"/>
      <c r="CB1398" s="18"/>
      <c r="CC1398" s="20"/>
      <c r="CD1398" s="154"/>
    </row>
    <row r="1399" spans="35:82">
      <c r="AI1399" s="19"/>
      <c r="AO1399" s="19"/>
      <c r="AY1399" s="145"/>
      <c r="AZ1399" s="16"/>
      <c r="BC1399" s="16"/>
      <c r="BD1399" s="20"/>
      <c r="BE1399" s="17"/>
      <c r="BF1399" s="20"/>
      <c r="BG1399" s="146"/>
      <c r="BH1399" s="146"/>
      <c r="BI1399" s="146"/>
      <c r="BJ1399" s="20"/>
      <c r="BK1399" s="20"/>
      <c r="BL1399" s="154"/>
      <c r="BP1399" s="20"/>
      <c r="BQ1399" s="154"/>
      <c r="BR1399" s="18"/>
      <c r="BS1399" s="16"/>
      <c r="BT1399" s="18"/>
      <c r="BU1399" s="18"/>
      <c r="BV1399" s="18"/>
      <c r="BW1399" s="20"/>
      <c r="BX1399" s="154"/>
      <c r="BY1399" s="18"/>
      <c r="BZ1399" s="146"/>
      <c r="CA1399" s="18"/>
      <c r="CB1399" s="18"/>
      <c r="CC1399" s="20"/>
      <c r="CD1399" s="154"/>
    </row>
    <row r="1400" spans="35:82">
      <c r="AI1400" s="19"/>
      <c r="AO1400" s="19"/>
      <c r="AY1400" s="145"/>
      <c r="AZ1400" s="16"/>
      <c r="BC1400" s="16"/>
      <c r="BD1400" s="20"/>
      <c r="BE1400" s="17"/>
      <c r="BF1400" s="20"/>
      <c r="BG1400" s="146"/>
      <c r="BH1400" s="146"/>
      <c r="BI1400" s="146"/>
      <c r="BJ1400" s="20"/>
      <c r="BK1400" s="20"/>
      <c r="BL1400" s="154"/>
      <c r="BP1400" s="20"/>
      <c r="BQ1400" s="154"/>
      <c r="BR1400" s="18"/>
      <c r="BS1400" s="16"/>
      <c r="BT1400" s="18"/>
      <c r="BU1400" s="18"/>
      <c r="BV1400" s="18"/>
      <c r="BW1400" s="20"/>
      <c r="BX1400" s="154"/>
      <c r="BY1400" s="18"/>
      <c r="BZ1400" s="146"/>
      <c r="CA1400" s="18"/>
      <c r="CB1400" s="18"/>
      <c r="CC1400" s="20"/>
      <c r="CD1400" s="154"/>
    </row>
    <row r="1401" spans="35:82">
      <c r="AI1401" s="19"/>
      <c r="AO1401" s="19"/>
      <c r="AY1401" s="145"/>
      <c r="AZ1401" s="16"/>
      <c r="BC1401" s="16"/>
      <c r="BD1401" s="20"/>
      <c r="BE1401" s="17"/>
      <c r="BF1401" s="20"/>
      <c r="BG1401" s="146"/>
      <c r="BH1401" s="146"/>
      <c r="BI1401" s="146"/>
      <c r="BJ1401" s="20"/>
      <c r="BK1401" s="20"/>
      <c r="BL1401" s="154"/>
      <c r="BP1401" s="20"/>
      <c r="BQ1401" s="154"/>
      <c r="BR1401" s="18"/>
      <c r="BS1401" s="16"/>
      <c r="BT1401" s="18"/>
      <c r="BU1401" s="18"/>
      <c r="BV1401" s="18"/>
      <c r="BW1401" s="20"/>
      <c r="BX1401" s="154"/>
      <c r="BY1401" s="18"/>
      <c r="BZ1401" s="146"/>
      <c r="CA1401" s="18"/>
      <c r="CB1401" s="18"/>
      <c r="CC1401" s="20"/>
      <c r="CD1401" s="154"/>
    </row>
    <row r="1402" spans="35:82">
      <c r="AI1402" s="19"/>
      <c r="AO1402" s="19"/>
      <c r="AY1402" s="145"/>
      <c r="AZ1402" s="16"/>
      <c r="BC1402" s="16"/>
      <c r="BD1402" s="20"/>
      <c r="BE1402" s="17"/>
      <c r="BF1402" s="20"/>
      <c r="BG1402" s="146"/>
      <c r="BH1402" s="146"/>
      <c r="BI1402" s="146"/>
      <c r="BJ1402" s="20"/>
      <c r="BK1402" s="20"/>
      <c r="BL1402" s="154"/>
      <c r="BP1402" s="20"/>
      <c r="BQ1402" s="154"/>
      <c r="BR1402" s="18"/>
      <c r="BS1402" s="16"/>
      <c r="BT1402" s="18"/>
      <c r="BU1402" s="18"/>
      <c r="BV1402" s="18"/>
      <c r="BW1402" s="20"/>
      <c r="BX1402" s="154"/>
      <c r="BY1402" s="18"/>
      <c r="BZ1402" s="146"/>
      <c r="CA1402" s="18"/>
      <c r="CB1402" s="18"/>
      <c r="CC1402" s="20"/>
      <c r="CD1402" s="154"/>
    </row>
    <row r="1403" spans="35:82">
      <c r="AI1403" s="19"/>
      <c r="AO1403" s="19"/>
      <c r="AY1403" s="145"/>
      <c r="AZ1403" s="16"/>
      <c r="BC1403" s="16"/>
      <c r="BD1403" s="20"/>
      <c r="BE1403" s="17"/>
      <c r="BF1403" s="20"/>
      <c r="BG1403" s="146"/>
      <c r="BH1403" s="146"/>
      <c r="BI1403" s="146"/>
      <c r="BJ1403" s="20"/>
      <c r="BK1403" s="20"/>
      <c r="BL1403" s="154"/>
      <c r="BP1403" s="20"/>
      <c r="BQ1403" s="154"/>
      <c r="BR1403" s="18"/>
      <c r="BS1403" s="16"/>
      <c r="BT1403" s="18"/>
      <c r="BU1403" s="18"/>
      <c r="BV1403" s="18"/>
      <c r="BW1403" s="20"/>
      <c r="BX1403" s="154"/>
      <c r="BY1403" s="18"/>
      <c r="BZ1403" s="146"/>
      <c r="CA1403" s="18"/>
      <c r="CB1403" s="18"/>
      <c r="CC1403" s="20"/>
      <c r="CD1403" s="154"/>
    </row>
    <row r="1404" spans="35:82">
      <c r="AI1404" s="19"/>
      <c r="AO1404" s="19"/>
      <c r="AY1404" s="145"/>
      <c r="AZ1404" s="16"/>
      <c r="BC1404" s="16"/>
      <c r="BD1404" s="20"/>
      <c r="BE1404" s="17"/>
      <c r="BF1404" s="20"/>
      <c r="BG1404" s="146"/>
      <c r="BH1404" s="146"/>
      <c r="BI1404" s="146"/>
      <c r="BJ1404" s="20"/>
      <c r="BK1404" s="20"/>
      <c r="BL1404" s="154"/>
      <c r="BP1404" s="20"/>
      <c r="BQ1404" s="154"/>
      <c r="BR1404" s="18"/>
      <c r="BS1404" s="16"/>
      <c r="BT1404" s="18"/>
      <c r="BU1404" s="18"/>
      <c r="BV1404" s="18"/>
      <c r="BW1404" s="20"/>
      <c r="BX1404" s="154"/>
      <c r="BY1404" s="18"/>
      <c r="BZ1404" s="146"/>
      <c r="CA1404" s="18"/>
      <c r="CB1404" s="18"/>
      <c r="CC1404" s="20"/>
      <c r="CD1404" s="154"/>
    </row>
    <row r="1405" spans="35:82">
      <c r="AI1405" s="19"/>
      <c r="AO1405" s="19"/>
      <c r="AY1405" s="145"/>
      <c r="AZ1405" s="16"/>
      <c r="BC1405" s="16"/>
      <c r="BD1405" s="20"/>
      <c r="BE1405" s="17"/>
      <c r="BF1405" s="20"/>
      <c r="BG1405" s="146"/>
      <c r="BH1405" s="146"/>
      <c r="BI1405" s="146"/>
      <c r="BJ1405" s="20"/>
      <c r="BK1405" s="20"/>
      <c r="BL1405" s="154"/>
      <c r="BP1405" s="20"/>
      <c r="BQ1405" s="154"/>
      <c r="BR1405" s="18"/>
      <c r="BS1405" s="16"/>
      <c r="BT1405" s="18"/>
      <c r="BU1405" s="18"/>
      <c r="BV1405" s="18"/>
      <c r="BW1405" s="20"/>
      <c r="BX1405" s="154"/>
      <c r="BY1405" s="18"/>
      <c r="BZ1405" s="146"/>
      <c r="CA1405" s="18"/>
      <c r="CB1405" s="18"/>
      <c r="CC1405" s="20"/>
      <c r="CD1405" s="154"/>
    </row>
    <row r="1406" spans="35:82">
      <c r="AI1406" s="19"/>
      <c r="AO1406" s="19"/>
      <c r="AY1406" s="145"/>
      <c r="AZ1406" s="16"/>
      <c r="BC1406" s="16"/>
      <c r="BD1406" s="20"/>
      <c r="BE1406" s="17"/>
      <c r="BF1406" s="20"/>
      <c r="BG1406" s="146"/>
      <c r="BH1406" s="146"/>
      <c r="BI1406" s="146"/>
      <c r="BJ1406" s="20"/>
      <c r="BK1406" s="20"/>
      <c r="BL1406" s="154"/>
      <c r="BP1406" s="20"/>
      <c r="BQ1406" s="154"/>
      <c r="BR1406" s="18"/>
      <c r="BS1406" s="16"/>
      <c r="BT1406" s="18"/>
      <c r="BU1406" s="18"/>
      <c r="BV1406" s="18"/>
      <c r="BW1406" s="20"/>
      <c r="BX1406" s="154"/>
      <c r="BY1406" s="18"/>
      <c r="BZ1406" s="146"/>
      <c r="CA1406" s="18"/>
      <c r="CB1406" s="18"/>
      <c r="CC1406" s="20"/>
      <c r="CD1406" s="154"/>
    </row>
    <row r="1407" spans="35:82">
      <c r="AI1407" s="19"/>
      <c r="AO1407" s="19"/>
      <c r="AY1407" s="145"/>
      <c r="AZ1407" s="16"/>
      <c r="BC1407" s="16"/>
      <c r="BD1407" s="20"/>
      <c r="BE1407" s="17"/>
      <c r="BF1407" s="20"/>
      <c r="BG1407" s="146"/>
      <c r="BH1407" s="146"/>
      <c r="BI1407" s="146"/>
      <c r="BJ1407" s="20"/>
      <c r="BK1407" s="20"/>
      <c r="BL1407" s="154"/>
      <c r="BP1407" s="20"/>
      <c r="BQ1407" s="154"/>
      <c r="BR1407" s="18"/>
      <c r="BS1407" s="16"/>
      <c r="BT1407" s="18"/>
      <c r="BU1407" s="18"/>
      <c r="BV1407" s="18"/>
      <c r="BW1407" s="20"/>
      <c r="BX1407" s="154"/>
      <c r="BY1407" s="18"/>
      <c r="BZ1407" s="146"/>
      <c r="CA1407" s="18"/>
      <c r="CB1407" s="18"/>
      <c r="CC1407" s="20"/>
      <c r="CD1407" s="154"/>
    </row>
    <row r="1408" spans="35:82">
      <c r="AI1408" s="19"/>
      <c r="AO1408" s="19"/>
      <c r="AY1408" s="145"/>
      <c r="AZ1408" s="16"/>
      <c r="BC1408" s="16"/>
      <c r="BD1408" s="20"/>
      <c r="BE1408" s="17"/>
      <c r="BF1408" s="20"/>
      <c r="BG1408" s="146"/>
      <c r="BH1408" s="146"/>
      <c r="BI1408" s="146"/>
      <c r="BJ1408" s="20"/>
      <c r="BK1408" s="20"/>
      <c r="BL1408" s="154"/>
      <c r="BP1408" s="20"/>
      <c r="BQ1408" s="154"/>
      <c r="BR1408" s="18"/>
      <c r="BS1408" s="16"/>
      <c r="BT1408" s="18"/>
      <c r="BU1408" s="18"/>
      <c r="BV1408" s="18"/>
      <c r="BW1408" s="20"/>
      <c r="BX1408" s="154"/>
      <c r="BY1408" s="18"/>
      <c r="BZ1408" s="146"/>
      <c r="CA1408" s="18"/>
      <c r="CB1408" s="18"/>
      <c r="CC1408" s="20"/>
      <c r="CD1408" s="154"/>
    </row>
    <row r="1409" spans="35:82">
      <c r="AI1409" s="19"/>
      <c r="AO1409" s="19"/>
      <c r="AY1409" s="145"/>
      <c r="AZ1409" s="16"/>
      <c r="BC1409" s="16"/>
      <c r="BD1409" s="20"/>
      <c r="BE1409" s="17"/>
      <c r="BF1409" s="20"/>
      <c r="BG1409" s="146"/>
      <c r="BH1409" s="146"/>
      <c r="BI1409" s="146"/>
      <c r="BJ1409" s="20"/>
      <c r="BK1409" s="20"/>
      <c r="BL1409" s="154"/>
      <c r="BP1409" s="20"/>
      <c r="BQ1409" s="154"/>
      <c r="BR1409" s="18"/>
      <c r="BS1409" s="16"/>
      <c r="BT1409" s="18"/>
      <c r="BU1409" s="18"/>
      <c r="BV1409" s="18"/>
      <c r="BW1409" s="20"/>
      <c r="BX1409" s="154"/>
      <c r="BY1409" s="18"/>
      <c r="BZ1409" s="146"/>
      <c r="CA1409" s="18"/>
      <c r="CB1409" s="18"/>
      <c r="CC1409" s="20"/>
      <c r="CD1409" s="154"/>
    </row>
    <row r="1410" spans="35:82">
      <c r="AI1410" s="19"/>
      <c r="AO1410" s="19"/>
      <c r="AY1410" s="145"/>
      <c r="AZ1410" s="16"/>
      <c r="BC1410" s="16"/>
      <c r="BD1410" s="20"/>
      <c r="BE1410" s="17"/>
      <c r="BF1410" s="20"/>
      <c r="BG1410" s="146"/>
      <c r="BH1410" s="146"/>
      <c r="BI1410" s="146"/>
      <c r="BJ1410" s="20"/>
      <c r="BK1410" s="20"/>
      <c r="BL1410" s="154"/>
      <c r="BP1410" s="20"/>
      <c r="BQ1410" s="154"/>
      <c r="BR1410" s="18"/>
      <c r="BS1410" s="16"/>
      <c r="BT1410" s="18"/>
      <c r="BU1410" s="18"/>
      <c r="BV1410" s="18"/>
      <c r="BW1410" s="20"/>
      <c r="BX1410" s="154"/>
      <c r="BY1410" s="18"/>
      <c r="BZ1410" s="146"/>
      <c r="CA1410" s="18"/>
      <c r="CB1410" s="18"/>
      <c r="CC1410" s="20"/>
      <c r="CD1410" s="154"/>
    </row>
    <row r="1411" spans="35:82">
      <c r="AI1411" s="19"/>
      <c r="AO1411" s="19"/>
      <c r="AY1411" s="145"/>
      <c r="AZ1411" s="16"/>
      <c r="BC1411" s="16"/>
      <c r="BD1411" s="20"/>
      <c r="BE1411" s="17"/>
      <c r="BF1411" s="20"/>
      <c r="BG1411" s="146"/>
      <c r="BH1411" s="146"/>
      <c r="BI1411" s="146"/>
      <c r="BJ1411" s="20"/>
      <c r="BK1411" s="20"/>
      <c r="BL1411" s="154"/>
      <c r="BP1411" s="20"/>
      <c r="BQ1411" s="154"/>
      <c r="BR1411" s="18"/>
      <c r="BS1411" s="16"/>
      <c r="BT1411" s="18"/>
      <c r="BU1411" s="18"/>
      <c r="BV1411" s="18"/>
      <c r="BW1411" s="20"/>
      <c r="BX1411" s="154"/>
      <c r="BY1411" s="18"/>
      <c r="BZ1411" s="146"/>
      <c r="CA1411" s="18"/>
      <c r="CB1411" s="18"/>
      <c r="CC1411" s="20"/>
      <c r="CD1411" s="154"/>
    </row>
    <row r="1412" spans="35:82">
      <c r="AI1412" s="19"/>
      <c r="AO1412" s="19"/>
      <c r="AY1412" s="145"/>
      <c r="AZ1412" s="16"/>
      <c r="BC1412" s="16"/>
      <c r="BD1412" s="20"/>
      <c r="BE1412" s="17"/>
      <c r="BF1412" s="20"/>
      <c r="BG1412" s="146"/>
      <c r="BH1412" s="146"/>
      <c r="BI1412" s="146"/>
      <c r="BJ1412" s="20"/>
      <c r="BK1412" s="20"/>
      <c r="BL1412" s="154"/>
      <c r="BP1412" s="20"/>
      <c r="BQ1412" s="154"/>
      <c r="BR1412" s="18"/>
      <c r="BS1412" s="16"/>
      <c r="BT1412" s="18"/>
      <c r="BU1412" s="18"/>
      <c r="BV1412" s="18"/>
      <c r="BW1412" s="20"/>
      <c r="BX1412" s="154"/>
      <c r="BY1412" s="18"/>
      <c r="BZ1412" s="146"/>
      <c r="CA1412" s="18"/>
      <c r="CB1412" s="18"/>
      <c r="CC1412" s="20"/>
      <c r="CD1412" s="154"/>
    </row>
    <row r="1413" spans="35:82">
      <c r="AI1413" s="19"/>
      <c r="AO1413" s="19"/>
      <c r="AY1413" s="145"/>
      <c r="AZ1413" s="16"/>
      <c r="BC1413" s="16"/>
      <c r="BD1413" s="20"/>
      <c r="BE1413" s="17"/>
      <c r="BF1413" s="20"/>
      <c r="BG1413" s="146"/>
      <c r="BH1413" s="146"/>
      <c r="BI1413" s="146"/>
      <c r="BJ1413" s="20"/>
      <c r="BK1413" s="20"/>
      <c r="BL1413" s="154"/>
      <c r="BP1413" s="20"/>
      <c r="BQ1413" s="154"/>
      <c r="BR1413" s="18"/>
      <c r="BS1413" s="16"/>
      <c r="BT1413" s="18"/>
      <c r="BU1413" s="18"/>
      <c r="BV1413" s="18"/>
      <c r="BW1413" s="20"/>
      <c r="BX1413" s="154"/>
      <c r="BY1413" s="18"/>
      <c r="BZ1413" s="146"/>
      <c r="CA1413" s="18"/>
      <c r="CB1413" s="18"/>
      <c r="CC1413" s="20"/>
      <c r="CD1413" s="154"/>
    </row>
    <row r="1414" spans="35:82">
      <c r="AI1414" s="19"/>
      <c r="AO1414" s="19"/>
      <c r="AY1414" s="145"/>
      <c r="AZ1414" s="16"/>
      <c r="BC1414" s="16"/>
      <c r="BD1414" s="20"/>
      <c r="BE1414" s="17"/>
      <c r="BF1414" s="20"/>
      <c r="BG1414" s="146"/>
      <c r="BH1414" s="146"/>
      <c r="BI1414" s="146"/>
      <c r="BJ1414" s="20"/>
      <c r="BK1414" s="20"/>
      <c r="BL1414" s="154"/>
      <c r="BP1414" s="20"/>
      <c r="BQ1414" s="154"/>
      <c r="BR1414" s="18"/>
      <c r="BS1414" s="16"/>
      <c r="BT1414" s="18"/>
      <c r="BU1414" s="18"/>
      <c r="BV1414" s="18"/>
      <c r="BW1414" s="20"/>
      <c r="BX1414" s="154"/>
      <c r="BY1414" s="18"/>
      <c r="BZ1414" s="146"/>
      <c r="CA1414" s="18"/>
      <c r="CB1414" s="18"/>
      <c r="CC1414" s="20"/>
      <c r="CD1414" s="154"/>
    </row>
    <row r="1415" spans="35:82">
      <c r="AI1415" s="19"/>
      <c r="AO1415" s="19"/>
      <c r="AY1415" s="145"/>
      <c r="AZ1415" s="16"/>
      <c r="BC1415" s="16"/>
      <c r="BD1415" s="20"/>
      <c r="BE1415" s="17"/>
      <c r="BF1415" s="20"/>
      <c r="BG1415" s="146"/>
      <c r="BH1415" s="146"/>
      <c r="BI1415" s="146"/>
      <c r="BJ1415" s="20"/>
      <c r="BK1415" s="20"/>
      <c r="BL1415" s="154"/>
      <c r="BP1415" s="20"/>
      <c r="BQ1415" s="154"/>
      <c r="BR1415" s="18"/>
      <c r="BS1415" s="16"/>
      <c r="BT1415" s="18"/>
      <c r="BU1415" s="18"/>
      <c r="BV1415" s="18"/>
      <c r="BW1415" s="20"/>
      <c r="BX1415" s="154"/>
      <c r="BY1415" s="18"/>
      <c r="BZ1415" s="146"/>
      <c r="CA1415" s="18"/>
      <c r="CB1415" s="18"/>
      <c r="CC1415" s="20"/>
      <c r="CD1415" s="154"/>
    </row>
    <row r="1416" spans="35:82">
      <c r="AI1416" s="19"/>
      <c r="AO1416" s="19"/>
      <c r="AY1416" s="145"/>
      <c r="AZ1416" s="16"/>
      <c r="BC1416" s="16"/>
      <c r="BD1416" s="20"/>
      <c r="BE1416" s="17"/>
      <c r="BF1416" s="20"/>
      <c r="BG1416" s="146"/>
      <c r="BH1416" s="146"/>
      <c r="BI1416" s="146"/>
      <c r="BJ1416" s="20"/>
      <c r="BK1416" s="20"/>
      <c r="BL1416" s="154"/>
      <c r="BP1416" s="20"/>
      <c r="BQ1416" s="154"/>
      <c r="BR1416" s="18"/>
      <c r="BS1416" s="16"/>
      <c r="BT1416" s="18"/>
      <c r="BU1416" s="18"/>
      <c r="BV1416" s="18"/>
      <c r="BW1416" s="20"/>
      <c r="BX1416" s="154"/>
      <c r="BY1416" s="18"/>
      <c r="BZ1416" s="146"/>
      <c r="CA1416" s="18"/>
      <c r="CB1416" s="18"/>
      <c r="CC1416" s="20"/>
      <c r="CD1416" s="154"/>
    </row>
    <row r="1417" spans="35:82">
      <c r="AI1417" s="19"/>
      <c r="AO1417" s="19"/>
      <c r="AY1417" s="145"/>
      <c r="AZ1417" s="16"/>
      <c r="BC1417" s="16"/>
      <c r="BD1417" s="20"/>
      <c r="BE1417" s="17"/>
      <c r="BF1417" s="20"/>
      <c r="BG1417" s="146"/>
      <c r="BH1417" s="146"/>
      <c r="BI1417" s="146"/>
      <c r="BJ1417" s="20"/>
      <c r="BK1417" s="20"/>
      <c r="BL1417" s="154"/>
      <c r="BP1417" s="20"/>
      <c r="BQ1417" s="154"/>
      <c r="BR1417" s="18"/>
      <c r="BS1417" s="16"/>
      <c r="BT1417" s="18"/>
      <c r="BU1417" s="18"/>
      <c r="BV1417" s="18"/>
      <c r="BW1417" s="20"/>
      <c r="BX1417" s="154"/>
      <c r="BY1417" s="18"/>
      <c r="BZ1417" s="146"/>
      <c r="CA1417" s="18"/>
      <c r="CB1417" s="18"/>
      <c r="CC1417" s="20"/>
      <c r="CD1417" s="154"/>
    </row>
    <row r="1418" spans="35:82">
      <c r="AI1418" s="19"/>
      <c r="AO1418" s="19"/>
      <c r="AY1418" s="145"/>
      <c r="AZ1418" s="16"/>
      <c r="BC1418" s="16"/>
      <c r="BD1418" s="20"/>
      <c r="BE1418" s="17"/>
      <c r="BF1418" s="20"/>
      <c r="BG1418" s="146"/>
      <c r="BH1418" s="146"/>
      <c r="BI1418" s="146"/>
      <c r="BJ1418" s="20"/>
      <c r="BK1418" s="20"/>
      <c r="BL1418" s="154"/>
      <c r="BP1418" s="20"/>
      <c r="BQ1418" s="154"/>
      <c r="BR1418" s="18"/>
      <c r="BS1418" s="16"/>
      <c r="BT1418" s="18"/>
      <c r="BU1418" s="18"/>
      <c r="BV1418" s="18"/>
      <c r="BW1418" s="20"/>
      <c r="BX1418" s="154"/>
      <c r="BY1418" s="18"/>
      <c r="BZ1418" s="146"/>
      <c r="CA1418" s="18"/>
      <c r="CB1418" s="18"/>
      <c r="CC1418" s="20"/>
      <c r="CD1418" s="154"/>
    </row>
    <row r="1419" spans="35:82">
      <c r="AI1419" s="19"/>
      <c r="AO1419" s="19"/>
      <c r="AY1419" s="145"/>
      <c r="AZ1419" s="16"/>
      <c r="BC1419" s="16"/>
      <c r="BD1419" s="20"/>
      <c r="BE1419" s="17"/>
      <c r="BF1419" s="20"/>
      <c r="BG1419" s="146"/>
      <c r="BH1419" s="146"/>
      <c r="BI1419" s="146"/>
      <c r="BJ1419" s="20"/>
      <c r="BK1419" s="20"/>
      <c r="BL1419" s="154"/>
      <c r="BP1419" s="20"/>
      <c r="BQ1419" s="154"/>
      <c r="BR1419" s="18"/>
      <c r="BS1419" s="16"/>
      <c r="BT1419" s="18"/>
      <c r="BU1419" s="18"/>
      <c r="BV1419" s="18"/>
      <c r="BW1419" s="20"/>
      <c r="BX1419" s="154"/>
      <c r="BY1419" s="18"/>
      <c r="BZ1419" s="146"/>
      <c r="CA1419" s="18"/>
      <c r="CB1419" s="18"/>
      <c r="CC1419" s="20"/>
      <c r="CD1419" s="154"/>
    </row>
    <row r="1420" spans="35:82">
      <c r="AI1420" s="19"/>
      <c r="AO1420" s="19"/>
      <c r="AY1420" s="145"/>
      <c r="AZ1420" s="16"/>
      <c r="BC1420" s="16"/>
      <c r="BD1420" s="20"/>
      <c r="BE1420" s="17"/>
      <c r="BF1420" s="20"/>
      <c r="BG1420" s="146"/>
      <c r="BH1420" s="146"/>
      <c r="BI1420" s="146"/>
      <c r="BJ1420" s="20"/>
      <c r="BK1420" s="20"/>
      <c r="BL1420" s="154"/>
      <c r="BP1420" s="20"/>
      <c r="BQ1420" s="154"/>
      <c r="BR1420" s="18"/>
      <c r="BS1420" s="16"/>
      <c r="BT1420" s="18"/>
      <c r="BU1420" s="18"/>
      <c r="BV1420" s="18"/>
      <c r="BW1420" s="20"/>
      <c r="BX1420" s="154"/>
      <c r="BY1420" s="18"/>
      <c r="BZ1420" s="146"/>
      <c r="CA1420" s="18"/>
      <c r="CB1420" s="18"/>
      <c r="CC1420" s="20"/>
      <c r="CD1420" s="154"/>
    </row>
    <row r="1421" spans="35:82">
      <c r="AI1421" s="19"/>
      <c r="AO1421" s="19"/>
      <c r="AY1421" s="145"/>
      <c r="AZ1421" s="16"/>
      <c r="BC1421" s="16"/>
      <c r="BD1421" s="20"/>
      <c r="BE1421" s="17"/>
      <c r="BF1421" s="20"/>
      <c r="BG1421" s="146"/>
      <c r="BH1421" s="146"/>
      <c r="BI1421" s="146"/>
      <c r="BJ1421" s="20"/>
      <c r="BK1421" s="20"/>
      <c r="BL1421" s="154"/>
      <c r="BP1421" s="20"/>
      <c r="BQ1421" s="154"/>
      <c r="BR1421" s="18"/>
      <c r="BS1421" s="16"/>
      <c r="BT1421" s="18"/>
      <c r="BU1421" s="18"/>
      <c r="BV1421" s="18"/>
      <c r="BW1421" s="20"/>
      <c r="BX1421" s="154"/>
      <c r="BY1421" s="18"/>
      <c r="BZ1421" s="146"/>
      <c r="CA1421" s="18"/>
      <c r="CB1421" s="18"/>
      <c r="CC1421" s="20"/>
      <c r="CD1421" s="154"/>
    </row>
    <row r="1422" spans="35:82">
      <c r="AI1422" s="19"/>
      <c r="AO1422" s="19"/>
      <c r="AY1422" s="145"/>
      <c r="AZ1422" s="16"/>
      <c r="BC1422" s="16"/>
      <c r="BD1422" s="20"/>
      <c r="BE1422" s="17"/>
      <c r="BF1422" s="20"/>
      <c r="BG1422" s="146"/>
      <c r="BH1422" s="146"/>
      <c r="BI1422" s="146"/>
      <c r="BJ1422" s="20"/>
      <c r="BK1422" s="20"/>
      <c r="BL1422" s="154"/>
      <c r="BP1422" s="20"/>
      <c r="BQ1422" s="154"/>
      <c r="BR1422" s="18"/>
      <c r="BS1422" s="16"/>
      <c r="BT1422" s="18"/>
      <c r="BU1422" s="18"/>
      <c r="BV1422" s="18"/>
      <c r="BW1422" s="20"/>
      <c r="BX1422" s="154"/>
      <c r="BY1422" s="18"/>
      <c r="BZ1422" s="146"/>
      <c r="CA1422" s="18"/>
      <c r="CB1422" s="18"/>
      <c r="CC1422" s="20"/>
      <c r="CD1422" s="154"/>
    </row>
    <row r="1423" spans="35:82">
      <c r="AI1423" s="19"/>
      <c r="AO1423" s="19"/>
      <c r="AY1423" s="145"/>
      <c r="AZ1423" s="16"/>
      <c r="BC1423" s="16"/>
      <c r="BD1423" s="20"/>
      <c r="BE1423" s="17"/>
      <c r="BF1423" s="20"/>
      <c r="BG1423" s="146"/>
      <c r="BH1423" s="146"/>
      <c r="BI1423" s="146"/>
      <c r="BJ1423" s="20"/>
      <c r="BK1423" s="20"/>
      <c r="BL1423" s="154"/>
      <c r="BP1423" s="20"/>
      <c r="BQ1423" s="154"/>
      <c r="BR1423" s="18"/>
      <c r="BS1423" s="16"/>
      <c r="BT1423" s="18"/>
      <c r="BU1423" s="18"/>
      <c r="BV1423" s="18"/>
      <c r="BW1423" s="20"/>
      <c r="BX1423" s="154"/>
      <c r="BY1423" s="18"/>
      <c r="BZ1423" s="146"/>
      <c r="CA1423" s="18"/>
      <c r="CB1423" s="18"/>
      <c r="CC1423" s="20"/>
      <c r="CD1423" s="154"/>
    </row>
    <row r="1424" spans="35:82">
      <c r="AI1424" s="19"/>
      <c r="AO1424" s="19"/>
      <c r="AY1424" s="145"/>
      <c r="AZ1424" s="16"/>
      <c r="BC1424" s="16"/>
      <c r="BD1424" s="20"/>
      <c r="BE1424" s="17"/>
      <c r="BF1424" s="20"/>
      <c r="BG1424" s="146"/>
      <c r="BH1424" s="146"/>
      <c r="BI1424" s="146"/>
      <c r="BJ1424" s="20"/>
      <c r="BK1424" s="20"/>
      <c r="BL1424" s="154"/>
      <c r="BP1424" s="20"/>
      <c r="BQ1424" s="154"/>
      <c r="BR1424" s="18"/>
      <c r="BS1424" s="16"/>
      <c r="BT1424" s="18"/>
      <c r="BU1424" s="18"/>
      <c r="BV1424" s="18"/>
      <c r="BW1424" s="20"/>
      <c r="BX1424" s="154"/>
      <c r="BY1424" s="18"/>
      <c r="BZ1424" s="146"/>
      <c r="CA1424" s="18"/>
      <c r="CB1424" s="18"/>
      <c r="CC1424" s="20"/>
      <c r="CD1424" s="154"/>
    </row>
    <row r="1425" spans="35:82">
      <c r="AI1425" s="19"/>
      <c r="AO1425" s="19"/>
      <c r="AY1425" s="145"/>
      <c r="AZ1425" s="16"/>
      <c r="BC1425" s="16"/>
      <c r="BD1425" s="20"/>
      <c r="BE1425" s="17"/>
      <c r="BF1425" s="20"/>
      <c r="BG1425" s="146"/>
      <c r="BH1425" s="146"/>
      <c r="BI1425" s="146"/>
      <c r="BJ1425" s="20"/>
      <c r="BK1425" s="20"/>
      <c r="BL1425" s="154"/>
      <c r="BP1425" s="20"/>
      <c r="BQ1425" s="154"/>
      <c r="BR1425" s="18"/>
      <c r="BS1425" s="16"/>
      <c r="BT1425" s="18"/>
      <c r="BU1425" s="18"/>
      <c r="BV1425" s="18"/>
      <c r="BW1425" s="20"/>
      <c r="BX1425" s="154"/>
      <c r="BY1425" s="18"/>
      <c r="BZ1425" s="146"/>
      <c r="CA1425" s="18"/>
      <c r="CB1425" s="18"/>
      <c r="CC1425" s="20"/>
      <c r="CD1425" s="154"/>
    </row>
    <row r="1426" spans="35:82">
      <c r="AI1426" s="19"/>
      <c r="AO1426" s="19"/>
      <c r="AY1426" s="145"/>
      <c r="AZ1426" s="16"/>
      <c r="BC1426" s="16"/>
      <c r="BD1426" s="20"/>
      <c r="BE1426" s="17"/>
      <c r="BF1426" s="20"/>
      <c r="BG1426" s="146"/>
      <c r="BH1426" s="146"/>
      <c r="BI1426" s="146"/>
      <c r="BJ1426" s="20"/>
      <c r="BK1426" s="20"/>
      <c r="BL1426" s="154"/>
      <c r="BP1426" s="20"/>
      <c r="BQ1426" s="154"/>
      <c r="BR1426" s="18"/>
      <c r="BS1426" s="16"/>
      <c r="BT1426" s="18"/>
      <c r="BU1426" s="18"/>
      <c r="BV1426" s="18"/>
      <c r="BW1426" s="20"/>
      <c r="BX1426" s="154"/>
      <c r="BY1426" s="18"/>
      <c r="BZ1426" s="146"/>
      <c r="CA1426" s="18"/>
      <c r="CB1426" s="18"/>
      <c r="CC1426" s="20"/>
      <c r="CD1426" s="154"/>
    </row>
    <row r="1427" spans="35:82">
      <c r="AI1427" s="19"/>
      <c r="AO1427" s="19"/>
      <c r="AY1427" s="145"/>
      <c r="AZ1427" s="16"/>
      <c r="BC1427" s="16"/>
      <c r="BD1427" s="20"/>
      <c r="BE1427" s="17"/>
      <c r="BF1427" s="20"/>
      <c r="BG1427" s="146"/>
      <c r="BH1427" s="146"/>
      <c r="BI1427" s="146"/>
      <c r="BJ1427" s="20"/>
      <c r="BK1427" s="20"/>
      <c r="BL1427" s="154"/>
      <c r="BP1427" s="20"/>
      <c r="BQ1427" s="154"/>
      <c r="BR1427" s="18"/>
      <c r="BS1427" s="16"/>
      <c r="BT1427" s="18"/>
      <c r="BU1427" s="18"/>
      <c r="BV1427" s="18"/>
      <c r="BW1427" s="20"/>
      <c r="BX1427" s="154"/>
      <c r="BY1427" s="18"/>
      <c r="BZ1427" s="146"/>
      <c r="CA1427" s="18"/>
      <c r="CB1427" s="18"/>
      <c r="CC1427" s="20"/>
      <c r="CD1427" s="154"/>
    </row>
    <row r="1428" spans="35:82">
      <c r="AI1428" s="19"/>
      <c r="AO1428" s="19"/>
      <c r="AY1428" s="145"/>
      <c r="AZ1428" s="16"/>
      <c r="BC1428" s="16"/>
      <c r="BD1428" s="20"/>
      <c r="BE1428" s="17"/>
      <c r="BF1428" s="20"/>
      <c r="BG1428" s="146"/>
      <c r="BH1428" s="146"/>
      <c r="BI1428" s="146"/>
      <c r="BJ1428" s="20"/>
      <c r="BK1428" s="20"/>
      <c r="BL1428" s="154"/>
      <c r="BP1428" s="20"/>
      <c r="BQ1428" s="154"/>
      <c r="BR1428" s="18"/>
      <c r="BS1428" s="16"/>
      <c r="BT1428" s="18"/>
      <c r="BU1428" s="18"/>
      <c r="BV1428" s="18"/>
      <c r="BW1428" s="20"/>
      <c r="BX1428" s="154"/>
      <c r="BY1428" s="18"/>
      <c r="BZ1428" s="146"/>
      <c r="CA1428" s="18"/>
      <c r="CB1428" s="18"/>
      <c r="CC1428" s="20"/>
      <c r="CD1428" s="154"/>
    </row>
    <row r="1429" spans="35:82">
      <c r="AI1429" s="19"/>
      <c r="AO1429" s="19"/>
      <c r="AY1429" s="145"/>
      <c r="AZ1429" s="16"/>
      <c r="BC1429" s="16"/>
      <c r="BD1429" s="20"/>
      <c r="BE1429" s="17"/>
      <c r="BF1429" s="20"/>
      <c r="BG1429" s="146"/>
      <c r="BH1429" s="146"/>
      <c r="BI1429" s="146"/>
      <c r="BJ1429" s="20"/>
      <c r="BK1429" s="20"/>
      <c r="BL1429" s="154"/>
      <c r="BP1429" s="20"/>
      <c r="BQ1429" s="154"/>
      <c r="BR1429" s="18"/>
      <c r="BS1429" s="16"/>
      <c r="BT1429" s="18"/>
      <c r="BU1429" s="18"/>
      <c r="BV1429" s="18"/>
      <c r="BW1429" s="20"/>
      <c r="BX1429" s="154"/>
      <c r="BY1429" s="18"/>
      <c r="BZ1429" s="146"/>
      <c r="CA1429" s="18"/>
      <c r="CB1429" s="18"/>
      <c r="CC1429" s="20"/>
      <c r="CD1429" s="154"/>
    </row>
    <row r="1430" spans="35:82">
      <c r="AI1430" s="19"/>
      <c r="AO1430" s="19"/>
      <c r="AY1430" s="145"/>
      <c r="AZ1430" s="16"/>
      <c r="BC1430" s="16"/>
      <c r="BD1430" s="20"/>
      <c r="BE1430" s="17"/>
      <c r="BF1430" s="20"/>
      <c r="BG1430" s="146"/>
      <c r="BH1430" s="146"/>
      <c r="BI1430" s="146"/>
      <c r="BJ1430" s="20"/>
      <c r="BK1430" s="20"/>
      <c r="BL1430" s="154"/>
      <c r="BP1430" s="20"/>
      <c r="BQ1430" s="154"/>
      <c r="BR1430" s="18"/>
      <c r="BS1430" s="16"/>
      <c r="BT1430" s="18"/>
      <c r="BU1430" s="18"/>
      <c r="BV1430" s="18"/>
      <c r="BW1430" s="20"/>
      <c r="BX1430" s="154"/>
      <c r="BY1430" s="18"/>
      <c r="BZ1430" s="146"/>
      <c r="CA1430" s="18"/>
      <c r="CB1430" s="18"/>
      <c r="CC1430" s="20"/>
      <c r="CD1430" s="154"/>
    </row>
    <row r="1431" spans="35:82">
      <c r="AI1431" s="19"/>
      <c r="AO1431" s="19"/>
      <c r="AY1431" s="145"/>
      <c r="AZ1431" s="16"/>
      <c r="BC1431" s="16"/>
      <c r="BD1431" s="20"/>
      <c r="BE1431" s="17"/>
      <c r="BF1431" s="20"/>
      <c r="BG1431" s="146"/>
      <c r="BH1431" s="146"/>
      <c r="BI1431" s="146"/>
      <c r="BJ1431" s="20"/>
      <c r="BK1431" s="20"/>
      <c r="BL1431" s="154"/>
      <c r="BP1431" s="20"/>
      <c r="BQ1431" s="154"/>
      <c r="BR1431" s="18"/>
      <c r="BS1431" s="16"/>
      <c r="BT1431" s="18"/>
      <c r="BU1431" s="18"/>
      <c r="BV1431" s="18"/>
      <c r="BW1431" s="20"/>
      <c r="BX1431" s="154"/>
      <c r="BY1431" s="18"/>
      <c r="BZ1431" s="146"/>
      <c r="CA1431" s="18"/>
      <c r="CB1431" s="18"/>
      <c r="CC1431" s="20"/>
      <c r="CD1431" s="154"/>
    </row>
    <row r="1432" spans="35:82">
      <c r="AI1432" s="19"/>
      <c r="AO1432" s="19"/>
      <c r="AY1432" s="145"/>
      <c r="AZ1432" s="16"/>
      <c r="BC1432" s="16"/>
      <c r="BD1432" s="20"/>
      <c r="BE1432" s="17"/>
      <c r="BF1432" s="20"/>
      <c r="BG1432" s="146"/>
      <c r="BH1432" s="146"/>
      <c r="BI1432" s="146"/>
      <c r="BJ1432" s="20"/>
      <c r="BK1432" s="20"/>
      <c r="BL1432" s="154"/>
      <c r="BP1432" s="20"/>
      <c r="BQ1432" s="154"/>
      <c r="BR1432" s="18"/>
      <c r="BS1432" s="16"/>
      <c r="BT1432" s="18"/>
      <c r="BU1432" s="18"/>
      <c r="BV1432" s="18"/>
      <c r="BW1432" s="20"/>
      <c r="BX1432" s="154"/>
      <c r="BY1432" s="18"/>
      <c r="BZ1432" s="146"/>
      <c r="CA1432" s="18"/>
      <c r="CB1432" s="18"/>
      <c r="CC1432" s="20"/>
      <c r="CD1432" s="154"/>
    </row>
    <row r="1433" spans="35:82">
      <c r="AI1433" s="19"/>
      <c r="AO1433" s="19"/>
      <c r="AY1433" s="145"/>
      <c r="AZ1433" s="16"/>
      <c r="BC1433" s="16"/>
      <c r="BD1433" s="20"/>
      <c r="BE1433" s="17"/>
      <c r="BF1433" s="20"/>
      <c r="BG1433" s="146"/>
      <c r="BH1433" s="146"/>
      <c r="BI1433" s="146"/>
      <c r="BJ1433" s="20"/>
      <c r="BK1433" s="20"/>
      <c r="BL1433" s="154"/>
      <c r="BP1433" s="20"/>
      <c r="BQ1433" s="154"/>
      <c r="BR1433" s="18"/>
      <c r="BS1433" s="16"/>
      <c r="BT1433" s="18"/>
      <c r="BU1433" s="18"/>
      <c r="BV1433" s="18"/>
      <c r="BW1433" s="20"/>
      <c r="BX1433" s="154"/>
      <c r="BY1433" s="18"/>
      <c r="BZ1433" s="146"/>
      <c r="CA1433" s="18"/>
      <c r="CB1433" s="18"/>
      <c r="CC1433" s="20"/>
      <c r="CD1433" s="154"/>
    </row>
    <row r="1434" spans="35:82">
      <c r="AI1434" s="19"/>
      <c r="AO1434" s="19"/>
      <c r="AY1434" s="145"/>
      <c r="AZ1434" s="16"/>
      <c r="BC1434" s="16"/>
      <c r="BD1434" s="20"/>
      <c r="BE1434" s="17"/>
      <c r="BF1434" s="20"/>
      <c r="BG1434" s="146"/>
      <c r="BH1434" s="146"/>
      <c r="BI1434" s="146"/>
      <c r="BJ1434" s="20"/>
      <c r="BK1434" s="20"/>
      <c r="BL1434" s="154"/>
      <c r="BP1434" s="20"/>
      <c r="BQ1434" s="154"/>
      <c r="BR1434" s="18"/>
      <c r="BS1434" s="16"/>
      <c r="BT1434" s="18"/>
      <c r="BU1434" s="18"/>
      <c r="BV1434" s="18"/>
      <c r="BW1434" s="20"/>
      <c r="BX1434" s="154"/>
      <c r="BY1434" s="18"/>
      <c r="BZ1434" s="146"/>
      <c r="CA1434" s="18"/>
      <c r="CB1434" s="18"/>
      <c r="CC1434" s="20"/>
      <c r="CD1434" s="154"/>
    </row>
    <row r="1435" spans="35:82">
      <c r="AI1435" s="19"/>
      <c r="AO1435" s="19"/>
      <c r="AY1435" s="145"/>
      <c r="AZ1435" s="16"/>
      <c r="BC1435" s="16"/>
      <c r="BD1435" s="20"/>
      <c r="BE1435" s="17"/>
      <c r="BF1435" s="20"/>
      <c r="BG1435" s="146"/>
      <c r="BH1435" s="146"/>
      <c r="BI1435" s="146"/>
      <c r="BJ1435" s="20"/>
      <c r="BK1435" s="20"/>
      <c r="BL1435" s="154"/>
      <c r="BP1435" s="20"/>
      <c r="BQ1435" s="154"/>
      <c r="BR1435" s="18"/>
      <c r="BS1435" s="16"/>
      <c r="BT1435" s="18"/>
      <c r="BU1435" s="18"/>
      <c r="BV1435" s="18"/>
      <c r="BW1435" s="20"/>
      <c r="BX1435" s="154"/>
      <c r="BY1435" s="18"/>
      <c r="BZ1435" s="146"/>
      <c r="CA1435" s="18"/>
      <c r="CB1435" s="18"/>
      <c r="CC1435" s="20"/>
      <c r="CD1435" s="154"/>
    </row>
    <row r="1436" spans="35:82">
      <c r="AI1436" s="19"/>
      <c r="AO1436" s="19"/>
      <c r="AY1436" s="145"/>
      <c r="AZ1436" s="16"/>
      <c r="BC1436" s="16"/>
      <c r="BD1436" s="20"/>
      <c r="BE1436" s="17"/>
      <c r="BF1436" s="20"/>
      <c r="BG1436" s="146"/>
      <c r="BH1436" s="146"/>
      <c r="BI1436" s="146"/>
      <c r="BJ1436" s="20"/>
      <c r="BK1436" s="20"/>
      <c r="BL1436" s="154"/>
      <c r="BP1436" s="20"/>
      <c r="BQ1436" s="154"/>
      <c r="BR1436" s="18"/>
      <c r="BS1436" s="16"/>
      <c r="BT1436" s="18"/>
      <c r="BU1436" s="18"/>
      <c r="BV1436" s="18"/>
      <c r="BW1436" s="20"/>
      <c r="BX1436" s="154"/>
      <c r="BY1436" s="18"/>
      <c r="BZ1436" s="146"/>
      <c r="CA1436" s="18"/>
      <c r="CB1436" s="18"/>
      <c r="CC1436" s="20"/>
      <c r="CD1436" s="154"/>
    </row>
    <row r="1437" spans="35:82">
      <c r="AI1437" s="19"/>
      <c r="AO1437" s="19"/>
      <c r="AY1437" s="145"/>
      <c r="AZ1437" s="16"/>
      <c r="BC1437" s="16"/>
      <c r="BD1437" s="20"/>
      <c r="BE1437" s="17"/>
      <c r="BF1437" s="20"/>
      <c r="BG1437" s="146"/>
      <c r="BH1437" s="146"/>
      <c r="BI1437" s="146"/>
      <c r="BJ1437" s="20"/>
      <c r="BK1437" s="20"/>
      <c r="BL1437" s="154"/>
      <c r="BP1437" s="20"/>
      <c r="BQ1437" s="154"/>
      <c r="BR1437" s="18"/>
      <c r="BS1437" s="16"/>
      <c r="BT1437" s="18"/>
      <c r="BU1437" s="18"/>
      <c r="BV1437" s="18"/>
      <c r="BW1437" s="20"/>
      <c r="BX1437" s="154"/>
      <c r="BY1437" s="18"/>
      <c r="BZ1437" s="146"/>
      <c r="CA1437" s="18"/>
      <c r="CB1437" s="18"/>
      <c r="CC1437" s="20"/>
      <c r="CD1437" s="154"/>
    </row>
    <row r="1438" spans="35:82">
      <c r="AI1438" s="19"/>
      <c r="AO1438" s="19"/>
      <c r="AY1438" s="145"/>
      <c r="AZ1438" s="16"/>
      <c r="BC1438" s="16"/>
      <c r="BD1438" s="20"/>
      <c r="BE1438" s="17"/>
      <c r="BF1438" s="20"/>
      <c r="BG1438" s="146"/>
      <c r="BH1438" s="146"/>
      <c r="BI1438" s="146"/>
      <c r="BJ1438" s="20"/>
      <c r="BK1438" s="20"/>
      <c r="BL1438" s="154"/>
      <c r="BP1438" s="20"/>
      <c r="BQ1438" s="154"/>
      <c r="BR1438" s="18"/>
      <c r="BS1438" s="16"/>
      <c r="BT1438" s="18"/>
      <c r="BU1438" s="18"/>
      <c r="BV1438" s="18"/>
      <c r="BW1438" s="20"/>
      <c r="BX1438" s="154"/>
      <c r="BY1438" s="18"/>
      <c r="BZ1438" s="146"/>
      <c r="CA1438" s="18"/>
      <c r="CB1438" s="18"/>
      <c r="CC1438" s="20"/>
      <c r="CD1438" s="154"/>
    </row>
    <row r="1439" spans="35:82">
      <c r="AI1439" s="19"/>
      <c r="AO1439" s="19"/>
      <c r="AY1439" s="145"/>
      <c r="AZ1439" s="16"/>
      <c r="BC1439" s="16"/>
      <c r="BD1439" s="20"/>
      <c r="BE1439" s="17"/>
      <c r="BF1439" s="20"/>
      <c r="BG1439" s="146"/>
      <c r="BH1439" s="146"/>
      <c r="BI1439" s="146"/>
      <c r="BJ1439" s="20"/>
      <c r="BK1439" s="20"/>
      <c r="BL1439" s="154"/>
      <c r="BP1439" s="20"/>
      <c r="BQ1439" s="154"/>
      <c r="BR1439" s="18"/>
      <c r="BS1439" s="16"/>
      <c r="BT1439" s="18"/>
      <c r="BU1439" s="18"/>
      <c r="BV1439" s="18"/>
      <c r="BW1439" s="20"/>
      <c r="BX1439" s="154"/>
      <c r="BY1439" s="18"/>
      <c r="BZ1439" s="146"/>
      <c r="CA1439" s="18"/>
      <c r="CB1439" s="18"/>
      <c r="CC1439" s="20"/>
      <c r="CD1439" s="154"/>
    </row>
    <row r="1440" spans="35:82">
      <c r="AI1440" s="19"/>
      <c r="AO1440" s="19"/>
      <c r="AY1440" s="145"/>
      <c r="AZ1440" s="16"/>
      <c r="BC1440" s="16"/>
      <c r="BD1440" s="20"/>
      <c r="BE1440" s="17"/>
      <c r="BF1440" s="20"/>
      <c r="BG1440" s="146"/>
      <c r="BH1440" s="146"/>
      <c r="BI1440" s="146"/>
      <c r="BJ1440" s="20"/>
      <c r="BK1440" s="20"/>
      <c r="BL1440" s="154"/>
      <c r="BP1440" s="20"/>
      <c r="BQ1440" s="154"/>
      <c r="BR1440" s="18"/>
      <c r="BS1440" s="16"/>
      <c r="BT1440" s="18"/>
      <c r="BU1440" s="18"/>
      <c r="BV1440" s="18"/>
      <c r="BW1440" s="20"/>
      <c r="BX1440" s="154"/>
      <c r="BY1440" s="18"/>
      <c r="BZ1440" s="146"/>
      <c r="CA1440" s="18"/>
      <c r="CB1440" s="18"/>
      <c r="CC1440" s="20"/>
      <c r="CD1440" s="154"/>
    </row>
    <row r="1441" spans="35:82">
      <c r="AI1441" s="19"/>
      <c r="AO1441" s="19"/>
      <c r="AY1441" s="145"/>
      <c r="AZ1441" s="16"/>
      <c r="BC1441" s="16"/>
      <c r="BD1441" s="20"/>
      <c r="BE1441" s="17"/>
      <c r="BF1441" s="20"/>
      <c r="BG1441" s="146"/>
      <c r="BH1441" s="146"/>
      <c r="BI1441" s="146"/>
      <c r="BJ1441" s="20"/>
      <c r="BK1441" s="20"/>
      <c r="BL1441" s="154"/>
      <c r="BP1441" s="20"/>
      <c r="BQ1441" s="154"/>
      <c r="BR1441" s="18"/>
      <c r="BS1441" s="16"/>
      <c r="BT1441" s="18"/>
      <c r="BU1441" s="18"/>
      <c r="BV1441" s="18"/>
      <c r="BW1441" s="20"/>
      <c r="BX1441" s="154"/>
      <c r="BY1441" s="18"/>
      <c r="BZ1441" s="146"/>
      <c r="CA1441" s="18"/>
      <c r="CB1441" s="18"/>
      <c r="CC1441" s="20"/>
      <c r="CD1441" s="154"/>
    </row>
    <row r="1442" spans="35:82">
      <c r="AI1442" s="19"/>
      <c r="AO1442" s="19"/>
      <c r="AY1442" s="145"/>
      <c r="AZ1442" s="16"/>
      <c r="BC1442" s="16"/>
      <c r="BD1442" s="20"/>
      <c r="BE1442" s="17"/>
      <c r="BF1442" s="20"/>
      <c r="BG1442" s="146"/>
      <c r="BH1442" s="146"/>
      <c r="BI1442" s="146"/>
      <c r="BJ1442" s="20"/>
      <c r="BK1442" s="20"/>
      <c r="BL1442" s="154"/>
      <c r="BP1442" s="20"/>
      <c r="BQ1442" s="154"/>
      <c r="BR1442" s="18"/>
      <c r="BS1442" s="16"/>
      <c r="BT1442" s="18"/>
      <c r="BU1442" s="18"/>
      <c r="BV1442" s="18"/>
      <c r="BW1442" s="20"/>
      <c r="BX1442" s="154"/>
      <c r="BY1442" s="18"/>
      <c r="BZ1442" s="146"/>
      <c r="CA1442" s="18"/>
      <c r="CB1442" s="18"/>
      <c r="CC1442" s="20"/>
      <c r="CD1442" s="154"/>
    </row>
    <row r="1443" spans="35:82">
      <c r="AI1443" s="19"/>
      <c r="AO1443" s="19"/>
      <c r="AY1443" s="145"/>
      <c r="AZ1443" s="16"/>
      <c r="BC1443" s="16"/>
      <c r="BD1443" s="20"/>
      <c r="BE1443" s="17"/>
      <c r="BF1443" s="20"/>
      <c r="BG1443" s="146"/>
      <c r="BH1443" s="146"/>
      <c r="BI1443" s="146"/>
      <c r="BJ1443" s="20"/>
      <c r="BK1443" s="20"/>
      <c r="BL1443" s="154"/>
      <c r="BP1443" s="20"/>
      <c r="BQ1443" s="154"/>
      <c r="BR1443" s="18"/>
      <c r="BS1443" s="16"/>
      <c r="BT1443" s="18"/>
      <c r="BU1443" s="18"/>
      <c r="BV1443" s="18"/>
      <c r="BW1443" s="20"/>
      <c r="BX1443" s="154"/>
      <c r="BY1443" s="18"/>
      <c r="BZ1443" s="146"/>
      <c r="CA1443" s="18"/>
      <c r="CB1443" s="18"/>
      <c r="CC1443" s="20"/>
      <c r="CD1443" s="154"/>
    </row>
    <row r="1444" spans="35:82">
      <c r="AI1444" s="19"/>
      <c r="AO1444" s="19"/>
      <c r="AY1444" s="145"/>
      <c r="AZ1444" s="16"/>
      <c r="BC1444" s="16"/>
      <c r="BD1444" s="20"/>
      <c r="BE1444" s="17"/>
      <c r="BF1444" s="20"/>
      <c r="BG1444" s="146"/>
      <c r="BH1444" s="146"/>
      <c r="BI1444" s="146"/>
      <c r="BJ1444" s="20"/>
      <c r="BK1444" s="20"/>
      <c r="BL1444" s="154"/>
      <c r="BP1444" s="20"/>
      <c r="BQ1444" s="154"/>
      <c r="BR1444" s="18"/>
      <c r="BS1444" s="16"/>
      <c r="BT1444" s="18"/>
      <c r="BU1444" s="18"/>
      <c r="BV1444" s="18"/>
      <c r="BW1444" s="20"/>
      <c r="BX1444" s="154"/>
      <c r="BY1444" s="18"/>
      <c r="BZ1444" s="146"/>
      <c r="CA1444" s="18"/>
      <c r="CB1444" s="18"/>
      <c r="CC1444" s="20"/>
      <c r="CD1444" s="154"/>
    </row>
    <row r="1445" spans="35:82">
      <c r="AI1445" s="19"/>
      <c r="AO1445" s="19"/>
      <c r="AY1445" s="145"/>
      <c r="AZ1445" s="16"/>
      <c r="BC1445" s="16"/>
      <c r="BD1445" s="20"/>
      <c r="BE1445" s="17"/>
      <c r="BF1445" s="20"/>
      <c r="BG1445" s="146"/>
      <c r="BH1445" s="146"/>
      <c r="BI1445" s="146"/>
      <c r="BJ1445" s="20"/>
      <c r="BK1445" s="20"/>
      <c r="BL1445" s="154"/>
      <c r="BP1445" s="20"/>
      <c r="BQ1445" s="154"/>
      <c r="BR1445" s="18"/>
      <c r="BS1445" s="16"/>
      <c r="BT1445" s="18"/>
      <c r="BU1445" s="18"/>
      <c r="BV1445" s="18"/>
      <c r="BW1445" s="20"/>
      <c r="BX1445" s="154"/>
      <c r="BY1445" s="18"/>
      <c r="BZ1445" s="146"/>
      <c r="CA1445" s="18"/>
      <c r="CB1445" s="18"/>
      <c r="CC1445" s="20"/>
      <c r="CD1445" s="154"/>
    </row>
    <row r="1446" spans="35:82">
      <c r="AI1446" s="19"/>
      <c r="AO1446" s="19"/>
      <c r="AY1446" s="145"/>
      <c r="AZ1446" s="16"/>
      <c r="BC1446" s="16"/>
      <c r="BD1446" s="20"/>
      <c r="BE1446" s="17"/>
      <c r="BF1446" s="20"/>
      <c r="BG1446" s="146"/>
      <c r="BH1446" s="146"/>
      <c r="BI1446" s="146"/>
      <c r="BJ1446" s="20"/>
      <c r="BK1446" s="20"/>
      <c r="BL1446" s="154"/>
      <c r="BP1446" s="20"/>
      <c r="BQ1446" s="154"/>
      <c r="BR1446" s="18"/>
      <c r="BS1446" s="16"/>
      <c r="BT1446" s="18"/>
      <c r="BU1446" s="18"/>
      <c r="BV1446" s="18"/>
      <c r="BW1446" s="20"/>
      <c r="BX1446" s="154"/>
      <c r="BY1446" s="18"/>
      <c r="BZ1446" s="146"/>
      <c r="CA1446" s="18"/>
      <c r="CB1446" s="18"/>
      <c r="CC1446" s="20"/>
      <c r="CD1446" s="154"/>
    </row>
    <row r="1447" spans="35:82">
      <c r="AI1447" s="19"/>
      <c r="AO1447" s="19"/>
      <c r="AY1447" s="145"/>
      <c r="AZ1447" s="16"/>
      <c r="BC1447" s="16"/>
      <c r="BD1447" s="20"/>
      <c r="BE1447" s="17"/>
      <c r="BF1447" s="20"/>
      <c r="BG1447" s="146"/>
      <c r="BH1447" s="146"/>
      <c r="BI1447" s="146"/>
      <c r="BJ1447" s="20"/>
      <c r="BK1447" s="20"/>
      <c r="BL1447" s="154"/>
      <c r="BP1447" s="20"/>
      <c r="BQ1447" s="154"/>
      <c r="BR1447" s="18"/>
      <c r="BS1447" s="16"/>
      <c r="BT1447" s="18"/>
      <c r="BU1447" s="18"/>
      <c r="BV1447" s="18"/>
      <c r="BW1447" s="20"/>
      <c r="BX1447" s="154"/>
      <c r="BY1447" s="18"/>
      <c r="BZ1447" s="146"/>
      <c r="CA1447" s="18"/>
      <c r="CB1447" s="18"/>
      <c r="CC1447" s="20"/>
      <c r="CD1447" s="154"/>
    </row>
    <row r="1448" spans="35:82">
      <c r="AI1448" s="19"/>
      <c r="AO1448" s="19"/>
      <c r="AY1448" s="145"/>
      <c r="AZ1448" s="16"/>
      <c r="BC1448" s="16"/>
      <c r="BD1448" s="20"/>
      <c r="BE1448" s="17"/>
      <c r="BF1448" s="20"/>
      <c r="BG1448" s="146"/>
      <c r="BH1448" s="146"/>
      <c r="BI1448" s="146"/>
      <c r="BJ1448" s="20"/>
      <c r="BK1448" s="20"/>
      <c r="BL1448" s="154"/>
      <c r="BP1448" s="20"/>
      <c r="BQ1448" s="154"/>
      <c r="BR1448" s="18"/>
      <c r="BS1448" s="16"/>
      <c r="BT1448" s="18"/>
      <c r="BU1448" s="18"/>
      <c r="BV1448" s="18"/>
      <c r="BW1448" s="20"/>
      <c r="BX1448" s="154"/>
      <c r="BY1448" s="18"/>
      <c r="BZ1448" s="146"/>
      <c r="CA1448" s="18"/>
      <c r="CB1448" s="18"/>
      <c r="CC1448" s="20"/>
      <c r="CD1448" s="154"/>
    </row>
    <row r="1449" spans="35:82">
      <c r="AI1449" s="19"/>
      <c r="AO1449" s="19"/>
      <c r="AY1449" s="145"/>
      <c r="AZ1449" s="16"/>
      <c r="BC1449" s="16"/>
      <c r="BD1449" s="20"/>
      <c r="BE1449" s="17"/>
      <c r="BF1449" s="20"/>
      <c r="BG1449" s="146"/>
      <c r="BH1449" s="146"/>
      <c r="BI1449" s="146"/>
      <c r="BJ1449" s="20"/>
      <c r="BK1449" s="20"/>
      <c r="BL1449" s="154"/>
      <c r="BP1449" s="20"/>
      <c r="BQ1449" s="154"/>
      <c r="BR1449" s="18"/>
      <c r="BS1449" s="16"/>
      <c r="BT1449" s="18"/>
      <c r="BU1449" s="18"/>
      <c r="BV1449" s="18"/>
      <c r="BW1449" s="20"/>
      <c r="BX1449" s="154"/>
      <c r="BY1449" s="18"/>
      <c r="BZ1449" s="146"/>
      <c r="CA1449" s="18"/>
      <c r="CB1449" s="18"/>
      <c r="CC1449" s="20"/>
      <c r="CD1449" s="154"/>
    </row>
    <row r="1450" spans="35:82">
      <c r="AI1450" s="19"/>
      <c r="AO1450" s="19"/>
      <c r="AY1450" s="145"/>
      <c r="AZ1450" s="16"/>
      <c r="BC1450" s="16"/>
      <c r="BD1450" s="20"/>
      <c r="BE1450" s="17"/>
      <c r="BF1450" s="20"/>
      <c r="BG1450" s="146"/>
      <c r="BH1450" s="146"/>
      <c r="BI1450" s="146"/>
      <c r="BJ1450" s="20"/>
      <c r="BK1450" s="20"/>
      <c r="BL1450" s="154"/>
      <c r="BP1450" s="20"/>
      <c r="BQ1450" s="154"/>
      <c r="BR1450" s="18"/>
      <c r="BS1450" s="16"/>
      <c r="BT1450" s="18"/>
      <c r="BU1450" s="18"/>
      <c r="BV1450" s="18"/>
      <c r="BW1450" s="20"/>
      <c r="BX1450" s="154"/>
      <c r="BY1450" s="18"/>
      <c r="BZ1450" s="146"/>
      <c r="CA1450" s="18"/>
      <c r="CB1450" s="18"/>
      <c r="CC1450" s="20"/>
      <c r="CD1450" s="154"/>
    </row>
    <row r="1451" spans="35:82">
      <c r="AI1451" s="19"/>
      <c r="AO1451" s="19"/>
      <c r="AY1451" s="145"/>
      <c r="AZ1451" s="16"/>
      <c r="BC1451" s="16"/>
      <c r="BD1451" s="20"/>
      <c r="BE1451" s="17"/>
      <c r="BF1451" s="20"/>
      <c r="BG1451" s="146"/>
      <c r="BH1451" s="146"/>
      <c r="BI1451" s="146"/>
      <c r="BJ1451" s="20"/>
      <c r="BK1451" s="20"/>
      <c r="BL1451" s="154"/>
      <c r="BP1451" s="20"/>
      <c r="BQ1451" s="154"/>
      <c r="BR1451" s="18"/>
      <c r="BS1451" s="16"/>
      <c r="BT1451" s="18"/>
      <c r="BU1451" s="18"/>
      <c r="BV1451" s="18"/>
      <c r="BW1451" s="20"/>
      <c r="BX1451" s="154"/>
      <c r="BY1451" s="18"/>
      <c r="BZ1451" s="146"/>
      <c r="CA1451" s="18"/>
      <c r="CB1451" s="18"/>
      <c r="CC1451" s="20"/>
      <c r="CD1451" s="154"/>
    </row>
    <row r="1452" spans="35:82">
      <c r="AI1452" s="19"/>
      <c r="AO1452" s="19"/>
      <c r="AY1452" s="145"/>
      <c r="AZ1452" s="16"/>
      <c r="BC1452" s="16"/>
      <c r="BD1452" s="20"/>
      <c r="BE1452" s="17"/>
      <c r="BF1452" s="20"/>
      <c r="BG1452" s="146"/>
      <c r="BH1452" s="146"/>
      <c r="BI1452" s="146"/>
      <c r="BJ1452" s="20"/>
      <c r="BK1452" s="20"/>
      <c r="BL1452" s="154"/>
      <c r="BP1452" s="20"/>
      <c r="BQ1452" s="154"/>
      <c r="BR1452" s="18"/>
      <c r="BS1452" s="16"/>
      <c r="BT1452" s="18"/>
      <c r="BU1452" s="18"/>
      <c r="BV1452" s="18"/>
      <c r="BW1452" s="20"/>
      <c r="BX1452" s="154"/>
      <c r="BY1452" s="18"/>
      <c r="BZ1452" s="146"/>
      <c r="CA1452" s="18"/>
      <c r="CB1452" s="18"/>
      <c r="CC1452" s="20"/>
      <c r="CD1452" s="154"/>
    </row>
    <row r="1453" spans="35:82">
      <c r="AI1453" s="19"/>
      <c r="AO1453" s="19"/>
      <c r="AY1453" s="145"/>
      <c r="AZ1453" s="16"/>
      <c r="BC1453" s="16"/>
      <c r="BD1453" s="20"/>
      <c r="BE1453" s="17"/>
      <c r="BF1453" s="20"/>
      <c r="BG1453" s="146"/>
      <c r="BH1453" s="146"/>
      <c r="BI1453" s="146"/>
      <c r="BJ1453" s="20"/>
      <c r="BK1453" s="20"/>
      <c r="BL1453" s="154"/>
      <c r="BP1453" s="20"/>
      <c r="BQ1453" s="154"/>
      <c r="BR1453" s="18"/>
      <c r="BS1453" s="16"/>
      <c r="BT1453" s="18"/>
      <c r="BU1453" s="18"/>
      <c r="BV1453" s="18"/>
      <c r="BW1453" s="20"/>
      <c r="BX1453" s="154"/>
      <c r="BY1453" s="18"/>
      <c r="BZ1453" s="146"/>
      <c r="CA1453" s="18"/>
      <c r="CB1453" s="18"/>
      <c r="CC1453" s="20"/>
      <c r="CD1453" s="154"/>
    </row>
    <row r="1454" spans="35:82">
      <c r="AI1454" s="19"/>
      <c r="AO1454" s="19"/>
      <c r="AY1454" s="145"/>
      <c r="AZ1454" s="16"/>
      <c r="BC1454" s="16"/>
      <c r="BD1454" s="20"/>
      <c r="BE1454" s="17"/>
      <c r="BF1454" s="20"/>
      <c r="BG1454" s="146"/>
      <c r="BH1454" s="146"/>
      <c r="BI1454" s="146"/>
      <c r="BJ1454" s="20"/>
      <c r="BK1454" s="20"/>
      <c r="BL1454" s="154"/>
      <c r="BP1454" s="20"/>
      <c r="BQ1454" s="154"/>
      <c r="BR1454" s="18"/>
      <c r="BS1454" s="16"/>
      <c r="BT1454" s="18"/>
      <c r="BU1454" s="18"/>
      <c r="BV1454" s="18"/>
      <c r="BW1454" s="20"/>
      <c r="BX1454" s="154"/>
      <c r="BY1454" s="18"/>
      <c r="BZ1454" s="146"/>
      <c r="CA1454" s="18"/>
      <c r="CB1454" s="18"/>
      <c r="CC1454" s="20"/>
      <c r="CD1454" s="154"/>
    </row>
    <row r="1455" spans="35:82">
      <c r="AI1455" s="19"/>
      <c r="AO1455" s="19"/>
      <c r="AY1455" s="145"/>
      <c r="AZ1455" s="16"/>
      <c r="BC1455" s="16"/>
      <c r="BD1455" s="20"/>
      <c r="BE1455" s="17"/>
      <c r="BF1455" s="20"/>
      <c r="BG1455" s="146"/>
      <c r="BH1455" s="146"/>
      <c r="BI1455" s="146"/>
      <c r="BJ1455" s="20"/>
      <c r="BK1455" s="20"/>
      <c r="BL1455" s="154"/>
      <c r="BP1455" s="20"/>
      <c r="BQ1455" s="154"/>
      <c r="BR1455" s="18"/>
      <c r="BS1455" s="16"/>
      <c r="BT1455" s="18"/>
      <c r="BU1455" s="18"/>
      <c r="BV1455" s="18"/>
      <c r="BW1455" s="20"/>
      <c r="BX1455" s="154"/>
      <c r="BY1455" s="18"/>
      <c r="BZ1455" s="146"/>
      <c r="CA1455" s="18"/>
      <c r="CB1455" s="18"/>
      <c r="CC1455" s="20"/>
      <c r="CD1455" s="154"/>
    </row>
    <row r="1456" spans="35:82">
      <c r="AI1456" s="19"/>
      <c r="AO1456" s="19"/>
      <c r="AY1456" s="145"/>
      <c r="AZ1456" s="16"/>
      <c r="BC1456" s="16"/>
      <c r="BD1456" s="20"/>
      <c r="BE1456" s="17"/>
      <c r="BF1456" s="20"/>
      <c r="BG1456" s="146"/>
      <c r="BH1456" s="146"/>
      <c r="BI1456" s="146"/>
      <c r="BJ1456" s="20"/>
      <c r="BK1456" s="20"/>
      <c r="BL1456" s="154"/>
      <c r="BP1456" s="20"/>
      <c r="BQ1456" s="154"/>
      <c r="BR1456" s="18"/>
      <c r="BS1456" s="16"/>
      <c r="BT1456" s="18"/>
      <c r="BU1456" s="18"/>
      <c r="BV1456" s="18"/>
      <c r="BW1456" s="20"/>
      <c r="BX1456" s="154"/>
      <c r="BY1456" s="18"/>
      <c r="BZ1456" s="146"/>
      <c r="CA1456" s="18"/>
      <c r="CB1456" s="18"/>
      <c r="CC1456" s="20"/>
      <c r="CD1456" s="154"/>
    </row>
    <row r="1457" spans="35:82">
      <c r="AI1457" s="19"/>
      <c r="AO1457" s="19"/>
      <c r="AY1457" s="145"/>
      <c r="AZ1457" s="16"/>
      <c r="BC1457" s="16"/>
      <c r="BD1457" s="20"/>
      <c r="BE1457" s="17"/>
      <c r="BF1457" s="20"/>
      <c r="BG1457" s="146"/>
      <c r="BH1457" s="146"/>
      <c r="BI1457" s="146"/>
      <c r="BJ1457" s="20"/>
      <c r="BK1457" s="20"/>
      <c r="BL1457" s="154"/>
      <c r="BP1457" s="20"/>
      <c r="BQ1457" s="154"/>
      <c r="BR1457" s="18"/>
      <c r="BS1457" s="16"/>
      <c r="BT1457" s="18"/>
      <c r="BU1457" s="18"/>
      <c r="BV1457" s="18"/>
      <c r="BW1457" s="20"/>
      <c r="BX1457" s="154"/>
      <c r="BY1457" s="18"/>
      <c r="BZ1457" s="146"/>
      <c r="CA1457" s="18"/>
      <c r="CB1457" s="18"/>
      <c r="CC1457" s="20"/>
      <c r="CD1457" s="154"/>
    </row>
    <row r="1458" spans="35:82">
      <c r="AI1458" s="19"/>
      <c r="AO1458" s="19"/>
      <c r="AY1458" s="145"/>
      <c r="AZ1458" s="16"/>
      <c r="BC1458" s="16"/>
      <c r="BD1458" s="20"/>
      <c r="BE1458" s="17"/>
      <c r="BF1458" s="20"/>
      <c r="BG1458" s="146"/>
      <c r="BH1458" s="146"/>
      <c r="BI1458" s="146"/>
      <c r="BJ1458" s="20"/>
      <c r="BK1458" s="20"/>
      <c r="BL1458" s="154"/>
      <c r="BP1458" s="20"/>
      <c r="BQ1458" s="154"/>
      <c r="BR1458" s="18"/>
      <c r="BS1458" s="16"/>
      <c r="BT1458" s="18"/>
      <c r="BU1458" s="18"/>
      <c r="BV1458" s="18"/>
      <c r="BW1458" s="20"/>
      <c r="BX1458" s="154"/>
      <c r="BY1458" s="18"/>
      <c r="BZ1458" s="146"/>
      <c r="CA1458" s="18"/>
      <c r="CB1458" s="18"/>
      <c r="CC1458" s="20"/>
      <c r="CD1458" s="154"/>
    </row>
    <row r="1459" spans="35:82">
      <c r="AI1459" s="19"/>
      <c r="AO1459" s="19"/>
      <c r="AY1459" s="145"/>
      <c r="AZ1459" s="16"/>
      <c r="BC1459" s="16"/>
      <c r="BD1459" s="20"/>
      <c r="BE1459" s="17"/>
      <c r="BF1459" s="20"/>
      <c r="BG1459" s="146"/>
      <c r="BH1459" s="146"/>
      <c r="BI1459" s="146"/>
      <c r="BJ1459" s="20"/>
      <c r="BK1459" s="20"/>
      <c r="BL1459" s="154"/>
      <c r="BP1459" s="20"/>
      <c r="BQ1459" s="154"/>
      <c r="BR1459" s="18"/>
      <c r="BS1459" s="16"/>
      <c r="BT1459" s="18"/>
      <c r="BU1459" s="18"/>
      <c r="BV1459" s="18"/>
      <c r="BW1459" s="20"/>
      <c r="BX1459" s="154"/>
      <c r="BY1459" s="18"/>
      <c r="BZ1459" s="146"/>
      <c r="CA1459" s="18"/>
      <c r="CB1459" s="18"/>
      <c r="CC1459" s="20"/>
      <c r="CD1459" s="154"/>
    </row>
    <row r="1460" spans="35:82">
      <c r="AI1460" s="19"/>
      <c r="AO1460" s="19"/>
      <c r="AY1460" s="145"/>
      <c r="AZ1460" s="16"/>
      <c r="BC1460" s="16"/>
      <c r="BD1460" s="20"/>
      <c r="BE1460" s="17"/>
      <c r="BF1460" s="20"/>
      <c r="BG1460" s="146"/>
      <c r="BH1460" s="146"/>
      <c r="BI1460" s="146"/>
      <c r="BJ1460" s="20"/>
      <c r="BK1460" s="20"/>
      <c r="BL1460" s="154"/>
      <c r="BP1460" s="20"/>
      <c r="BQ1460" s="154"/>
      <c r="BR1460" s="18"/>
      <c r="BS1460" s="16"/>
      <c r="BT1460" s="18"/>
      <c r="BU1460" s="18"/>
      <c r="BV1460" s="18"/>
      <c r="BW1460" s="20"/>
      <c r="BX1460" s="154"/>
      <c r="BY1460" s="18"/>
      <c r="BZ1460" s="146"/>
      <c r="CA1460" s="18"/>
      <c r="CB1460" s="18"/>
      <c r="CC1460" s="20"/>
      <c r="CD1460" s="154"/>
    </row>
    <row r="1461" spans="35:82">
      <c r="AI1461" s="19"/>
      <c r="AO1461" s="19"/>
      <c r="AY1461" s="145"/>
      <c r="AZ1461" s="16"/>
      <c r="BC1461" s="16"/>
      <c r="BD1461" s="20"/>
      <c r="BE1461" s="17"/>
      <c r="BF1461" s="20"/>
      <c r="BG1461" s="146"/>
      <c r="BH1461" s="146"/>
      <c r="BI1461" s="146"/>
      <c r="BJ1461" s="20"/>
      <c r="BK1461" s="20"/>
      <c r="BL1461" s="154"/>
      <c r="BP1461" s="20"/>
      <c r="BQ1461" s="154"/>
      <c r="BR1461" s="18"/>
      <c r="BS1461" s="16"/>
      <c r="BT1461" s="18"/>
      <c r="BU1461" s="18"/>
      <c r="BV1461" s="18"/>
      <c r="BW1461" s="20"/>
      <c r="BX1461" s="154"/>
      <c r="BY1461" s="18"/>
      <c r="BZ1461" s="146"/>
      <c r="CA1461" s="18"/>
      <c r="CB1461" s="18"/>
      <c r="CC1461" s="20"/>
      <c r="CD1461" s="154"/>
    </row>
    <row r="1462" spans="35:82">
      <c r="AI1462" s="19"/>
      <c r="AO1462" s="19"/>
      <c r="AY1462" s="145"/>
      <c r="AZ1462" s="16"/>
      <c r="BC1462" s="16"/>
      <c r="BD1462" s="20"/>
      <c r="BE1462" s="17"/>
      <c r="BF1462" s="20"/>
      <c r="BG1462" s="146"/>
      <c r="BH1462" s="146"/>
      <c r="BI1462" s="146"/>
      <c r="BJ1462" s="20"/>
      <c r="BK1462" s="20"/>
      <c r="BL1462" s="154"/>
      <c r="BP1462" s="20"/>
      <c r="BQ1462" s="154"/>
      <c r="BR1462" s="18"/>
      <c r="BS1462" s="16"/>
      <c r="BT1462" s="18"/>
      <c r="BU1462" s="18"/>
      <c r="BV1462" s="18"/>
      <c r="BW1462" s="20"/>
      <c r="BX1462" s="154"/>
      <c r="BY1462" s="18"/>
      <c r="BZ1462" s="146"/>
      <c r="CA1462" s="18"/>
      <c r="CB1462" s="18"/>
      <c r="CC1462" s="20"/>
      <c r="CD1462" s="154"/>
    </row>
    <row r="1463" spans="35:82">
      <c r="AI1463" s="19"/>
      <c r="AO1463" s="19"/>
      <c r="AY1463" s="145"/>
      <c r="AZ1463" s="16"/>
      <c r="BC1463" s="16"/>
      <c r="BD1463" s="20"/>
      <c r="BE1463" s="17"/>
      <c r="BF1463" s="20"/>
      <c r="BG1463" s="146"/>
      <c r="BH1463" s="146"/>
      <c r="BI1463" s="146"/>
      <c r="BJ1463" s="20"/>
      <c r="BK1463" s="20"/>
      <c r="BL1463" s="154"/>
      <c r="BP1463" s="20"/>
      <c r="BQ1463" s="154"/>
      <c r="BR1463" s="18"/>
      <c r="BS1463" s="16"/>
      <c r="BT1463" s="18"/>
      <c r="BU1463" s="18"/>
      <c r="BV1463" s="18"/>
      <c r="BW1463" s="20"/>
      <c r="BX1463" s="154"/>
      <c r="BY1463" s="18"/>
      <c r="BZ1463" s="146"/>
      <c r="CA1463" s="18"/>
      <c r="CB1463" s="18"/>
      <c r="CC1463" s="20"/>
      <c r="CD1463" s="154"/>
    </row>
    <row r="1464" spans="35:82">
      <c r="AI1464" s="19"/>
      <c r="AO1464" s="19"/>
      <c r="AY1464" s="145"/>
      <c r="AZ1464" s="16"/>
      <c r="BC1464" s="16"/>
      <c r="BD1464" s="20"/>
      <c r="BE1464" s="17"/>
      <c r="BF1464" s="20"/>
      <c r="BG1464" s="146"/>
      <c r="BH1464" s="146"/>
      <c r="BI1464" s="146"/>
      <c r="BJ1464" s="20"/>
      <c r="BK1464" s="20"/>
      <c r="BL1464" s="154"/>
      <c r="BP1464" s="20"/>
      <c r="BQ1464" s="154"/>
      <c r="BR1464" s="18"/>
      <c r="BS1464" s="16"/>
      <c r="BT1464" s="18"/>
      <c r="BU1464" s="18"/>
      <c r="BV1464" s="18"/>
      <c r="BW1464" s="20"/>
      <c r="BX1464" s="154"/>
      <c r="BY1464" s="18"/>
      <c r="BZ1464" s="146"/>
      <c r="CA1464" s="18"/>
      <c r="CB1464" s="18"/>
      <c r="CC1464" s="20"/>
      <c r="CD1464" s="154"/>
    </row>
    <row r="1465" spans="35:82">
      <c r="AI1465" s="19"/>
      <c r="AO1465" s="19"/>
      <c r="AY1465" s="145"/>
      <c r="AZ1465" s="16"/>
      <c r="BC1465" s="16"/>
      <c r="BD1465" s="20"/>
      <c r="BE1465" s="17"/>
      <c r="BF1465" s="20"/>
      <c r="BG1465" s="146"/>
      <c r="BH1465" s="146"/>
      <c r="BI1465" s="146"/>
      <c r="BJ1465" s="20"/>
      <c r="BK1465" s="20"/>
      <c r="BL1465" s="154"/>
      <c r="BP1465" s="20"/>
      <c r="BQ1465" s="154"/>
      <c r="BR1465" s="18"/>
      <c r="BS1465" s="16"/>
      <c r="BT1465" s="18"/>
      <c r="BU1465" s="18"/>
      <c r="BV1465" s="18"/>
      <c r="BW1465" s="20"/>
      <c r="BX1465" s="154"/>
      <c r="BY1465" s="18"/>
      <c r="BZ1465" s="146"/>
      <c r="CA1465" s="18"/>
      <c r="CB1465" s="18"/>
      <c r="CC1465" s="20"/>
      <c r="CD1465" s="154"/>
    </row>
    <row r="1466" spans="35:82">
      <c r="AI1466" s="19"/>
      <c r="AO1466" s="19"/>
      <c r="AY1466" s="145"/>
      <c r="AZ1466" s="16"/>
      <c r="BC1466" s="16"/>
      <c r="BD1466" s="20"/>
      <c r="BE1466" s="17"/>
      <c r="BF1466" s="20"/>
      <c r="BG1466" s="146"/>
      <c r="BH1466" s="146"/>
      <c r="BI1466" s="146"/>
      <c r="BJ1466" s="20"/>
      <c r="BK1466" s="20"/>
      <c r="BL1466" s="154"/>
      <c r="BP1466" s="20"/>
      <c r="BQ1466" s="154"/>
      <c r="BR1466" s="18"/>
      <c r="BS1466" s="16"/>
      <c r="BT1466" s="18"/>
      <c r="BU1466" s="18"/>
      <c r="BV1466" s="18"/>
      <c r="BW1466" s="20"/>
      <c r="BX1466" s="154"/>
      <c r="BY1466" s="18"/>
      <c r="BZ1466" s="146"/>
      <c r="CA1466" s="18"/>
      <c r="CB1466" s="18"/>
      <c r="CC1466" s="20"/>
      <c r="CD1466" s="154"/>
    </row>
    <row r="1467" spans="35:82">
      <c r="AI1467" s="19"/>
      <c r="AO1467" s="19"/>
      <c r="AY1467" s="145"/>
      <c r="AZ1467" s="16"/>
      <c r="BC1467" s="16"/>
      <c r="BD1467" s="20"/>
      <c r="BE1467" s="17"/>
      <c r="BF1467" s="20"/>
      <c r="BG1467" s="146"/>
      <c r="BH1467" s="146"/>
      <c r="BI1467" s="146"/>
      <c r="BJ1467" s="20"/>
      <c r="BK1467" s="20"/>
      <c r="BL1467" s="154"/>
      <c r="BP1467" s="20"/>
      <c r="BQ1467" s="154"/>
      <c r="BR1467" s="18"/>
      <c r="BS1467" s="16"/>
      <c r="BT1467" s="18"/>
      <c r="BU1467" s="18"/>
      <c r="BV1467" s="18"/>
      <c r="BW1467" s="20"/>
      <c r="BX1467" s="154"/>
      <c r="BY1467" s="18"/>
      <c r="BZ1467" s="146"/>
      <c r="CA1467" s="18"/>
      <c r="CB1467" s="18"/>
      <c r="CC1467" s="20"/>
      <c r="CD1467" s="154"/>
    </row>
    <row r="1468" spans="35:82">
      <c r="AI1468" s="19"/>
      <c r="AO1468" s="19"/>
      <c r="AY1468" s="145"/>
      <c r="AZ1468" s="16"/>
      <c r="BC1468" s="16"/>
      <c r="BD1468" s="20"/>
      <c r="BE1468" s="17"/>
      <c r="BF1468" s="20"/>
      <c r="BG1468" s="146"/>
      <c r="BH1468" s="146"/>
      <c r="BI1468" s="146"/>
      <c r="BJ1468" s="20"/>
      <c r="BK1468" s="20"/>
      <c r="BL1468" s="154"/>
      <c r="BP1468" s="20"/>
      <c r="BQ1468" s="154"/>
      <c r="BR1468" s="18"/>
      <c r="BS1468" s="16"/>
      <c r="BT1468" s="18"/>
      <c r="BU1468" s="18"/>
      <c r="BV1468" s="18"/>
      <c r="BW1468" s="20"/>
      <c r="BX1468" s="154"/>
      <c r="BY1468" s="18"/>
      <c r="BZ1468" s="146"/>
      <c r="CA1468" s="18"/>
      <c r="CB1468" s="18"/>
      <c r="CC1468" s="20"/>
      <c r="CD1468" s="154"/>
    </row>
    <row r="1469" spans="35:82">
      <c r="AI1469" s="19"/>
      <c r="AO1469" s="19"/>
      <c r="AY1469" s="145"/>
      <c r="AZ1469" s="16"/>
      <c r="BC1469" s="16"/>
      <c r="BD1469" s="20"/>
      <c r="BE1469" s="17"/>
      <c r="BF1469" s="20"/>
      <c r="BG1469" s="146"/>
      <c r="BH1469" s="146"/>
      <c r="BI1469" s="146"/>
      <c r="BJ1469" s="20"/>
      <c r="BK1469" s="20"/>
      <c r="BL1469" s="154"/>
      <c r="BP1469" s="20"/>
      <c r="BQ1469" s="154"/>
      <c r="BR1469" s="18"/>
      <c r="BS1469" s="16"/>
      <c r="BT1469" s="18"/>
      <c r="BU1469" s="18"/>
      <c r="BV1469" s="18"/>
      <c r="BW1469" s="20"/>
      <c r="BX1469" s="154"/>
      <c r="BY1469" s="18"/>
      <c r="BZ1469" s="146"/>
      <c r="CA1469" s="18"/>
      <c r="CB1469" s="18"/>
      <c r="CC1469" s="20"/>
      <c r="CD1469" s="154"/>
    </row>
    <row r="1470" spans="35:82">
      <c r="AI1470" s="19"/>
      <c r="AO1470" s="19"/>
      <c r="AY1470" s="145"/>
      <c r="AZ1470" s="16"/>
      <c r="BC1470" s="16"/>
      <c r="BD1470" s="20"/>
      <c r="BE1470" s="17"/>
      <c r="BF1470" s="20"/>
      <c r="BG1470" s="146"/>
      <c r="BH1470" s="146"/>
      <c r="BI1470" s="146"/>
      <c r="BJ1470" s="20"/>
      <c r="BK1470" s="20"/>
      <c r="BL1470" s="154"/>
      <c r="BP1470" s="20"/>
      <c r="BQ1470" s="154"/>
      <c r="BR1470" s="18"/>
      <c r="BS1470" s="16"/>
      <c r="BT1470" s="18"/>
      <c r="BU1470" s="18"/>
      <c r="BV1470" s="18"/>
      <c r="BW1470" s="20"/>
      <c r="BX1470" s="154"/>
      <c r="BY1470" s="18"/>
      <c r="BZ1470" s="146"/>
      <c r="CA1470" s="18"/>
      <c r="CB1470" s="18"/>
      <c r="CC1470" s="20"/>
      <c r="CD1470" s="154"/>
    </row>
    <row r="1471" spans="35:82">
      <c r="AI1471" s="19"/>
      <c r="AO1471" s="19"/>
      <c r="AY1471" s="145"/>
      <c r="AZ1471" s="16"/>
      <c r="BC1471" s="16"/>
      <c r="BD1471" s="20"/>
      <c r="BE1471" s="17"/>
      <c r="BF1471" s="20"/>
      <c r="BG1471" s="146"/>
      <c r="BH1471" s="146"/>
      <c r="BI1471" s="146"/>
      <c r="BJ1471" s="20"/>
      <c r="BK1471" s="20"/>
      <c r="BL1471" s="154"/>
      <c r="BP1471" s="20"/>
      <c r="BQ1471" s="154"/>
      <c r="BR1471" s="18"/>
      <c r="BS1471" s="16"/>
      <c r="BT1471" s="18"/>
      <c r="BU1471" s="18"/>
      <c r="BV1471" s="18"/>
      <c r="BW1471" s="20"/>
      <c r="BX1471" s="154"/>
      <c r="BY1471" s="18"/>
      <c r="BZ1471" s="146"/>
      <c r="CA1471" s="18"/>
      <c r="CB1471" s="18"/>
      <c r="CC1471" s="20"/>
      <c r="CD1471" s="154"/>
    </row>
    <row r="1472" spans="35:82">
      <c r="AI1472" s="19"/>
      <c r="AO1472" s="19"/>
      <c r="AY1472" s="145"/>
      <c r="AZ1472" s="16"/>
      <c r="BC1472" s="16"/>
      <c r="BD1472" s="20"/>
      <c r="BE1472" s="17"/>
      <c r="BF1472" s="20"/>
      <c r="BG1472" s="146"/>
      <c r="BH1472" s="146"/>
      <c r="BI1472" s="146"/>
      <c r="BJ1472" s="20"/>
      <c r="BK1472" s="20"/>
      <c r="BL1472" s="154"/>
      <c r="BP1472" s="20"/>
      <c r="BQ1472" s="154"/>
      <c r="BR1472" s="18"/>
      <c r="BS1472" s="16"/>
      <c r="BT1472" s="18"/>
      <c r="BU1472" s="18"/>
      <c r="BV1472" s="18"/>
      <c r="BW1472" s="20"/>
      <c r="BX1472" s="154"/>
      <c r="BY1472" s="18"/>
      <c r="BZ1472" s="146"/>
      <c r="CA1472" s="18"/>
      <c r="CB1472" s="18"/>
      <c r="CC1472" s="20"/>
      <c r="CD1472" s="154"/>
    </row>
    <row r="1473" spans="35:82">
      <c r="AI1473" s="19"/>
      <c r="AO1473" s="19"/>
      <c r="AY1473" s="145"/>
      <c r="AZ1473" s="16"/>
      <c r="BC1473" s="16"/>
      <c r="BD1473" s="20"/>
      <c r="BE1473" s="17"/>
      <c r="BF1473" s="20"/>
      <c r="BG1473" s="146"/>
      <c r="BH1473" s="146"/>
      <c r="BI1473" s="146"/>
      <c r="BJ1473" s="20"/>
      <c r="BK1473" s="20"/>
      <c r="BL1473" s="154"/>
      <c r="BP1473" s="20"/>
      <c r="BQ1473" s="154"/>
      <c r="BR1473" s="18"/>
      <c r="BS1473" s="16"/>
      <c r="BT1473" s="18"/>
      <c r="BU1473" s="18"/>
      <c r="BV1473" s="18"/>
      <c r="BW1473" s="20"/>
      <c r="BX1473" s="154"/>
      <c r="BY1473" s="18"/>
      <c r="BZ1473" s="146"/>
      <c r="CA1473" s="18"/>
      <c r="CB1473" s="18"/>
      <c r="CC1473" s="20"/>
      <c r="CD1473" s="154"/>
    </row>
    <row r="1474" spans="35:82">
      <c r="AI1474" s="19"/>
      <c r="AO1474" s="19"/>
      <c r="AY1474" s="145"/>
      <c r="AZ1474" s="16"/>
      <c r="BC1474" s="16"/>
      <c r="BD1474" s="20"/>
      <c r="BE1474" s="17"/>
      <c r="BF1474" s="20"/>
      <c r="BG1474" s="146"/>
      <c r="BH1474" s="146"/>
      <c r="BI1474" s="146"/>
      <c r="BJ1474" s="20"/>
      <c r="BK1474" s="20"/>
      <c r="BL1474" s="154"/>
      <c r="BP1474" s="20"/>
      <c r="BQ1474" s="154"/>
      <c r="BR1474" s="18"/>
      <c r="BS1474" s="16"/>
      <c r="BT1474" s="18"/>
      <c r="BU1474" s="18"/>
      <c r="BV1474" s="18"/>
      <c r="BW1474" s="20"/>
      <c r="BX1474" s="154"/>
      <c r="BY1474" s="18"/>
      <c r="BZ1474" s="146"/>
      <c r="CA1474" s="18"/>
      <c r="CB1474" s="18"/>
      <c r="CC1474" s="20"/>
      <c r="CD1474" s="154"/>
    </row>
    <row r="1475" spans="35:82">
      <c r="AI1475" s="19"/>
      <c r="AO1475" s="19"/>
      <c r="AY1475" s="145"/>
      <c r="AZ1475" s="16"/>
      <c r="BC1475" s="16"/>
      <c r="BD1475" s="20"/>
      <c r="BE1475" s="17"/>
      <c r="BF1475" s="20"/>
      <c r="BG1475" s="146"/>
      <c r="BH1475" s="146"/>
      <c r="BI1475" s="146"/>
      <c r="BJ1475" s="20"/>
      <c r="BK1475" s="20"/>
      <c r="BL1475" s="154"/>
      <c r="BP1475" s="20"/>
      <c r="BQ1475" s="154"/>
      <c r="BR1475" s="18"/>
      <c r="BS1475" s="16"/>
      <c r="BT1475" s="18"/>
      <c r="BU1475" s="18"/>
      <c r="BV1475" s="18"/>
      <c r="BW1475" s="20"/>
      <c r="BX1475" s="154"/>
      <c r="BY1475" s="18"/>
      <c r="BZ1475" s="146"/>
      <c r="CA1475" s="18"/>
      <c r="CB1475" s="18"/>
      <c r="CC1475" s="20"/>
      <c r="CD1475" s="154"/>
    </row>
    <row r="1476" spans="35:82">
      <c r="AI1476" s="19"/>
      <c r="AO1476" s="19"/>
      <c r="AY1476" s="145"/>
      <c r="AZ1476" s="16"/>
      <c r="BC1476" s="16"/>
      <c r="BD1476" s="20"/>
      <c r="BE1476" s="17"/>
      <c r="BF1476" s="20"/>
      <c r="BG1476" s="146"/>
      <c r="BH1476" s="146"/>
      <c r="BI1476" s="146"/>
      <c r="BJ1476" s="20"/>
      <c r="BK1476" s="20"/>
      <c r="BL1476" s="154"/>
      <c r="BP1476" s="20"/>
      <c r="BQ1476" s="154"/>
      <c r="BR1476" s="18"/>
      <c r="BS1476" s="16"/>
      <c r="BT1476" s="18"/>
      <c r="BU1476" s="18"/>
      <c r="BV1476" s="18"/>
      <c r="BW1476" s="20"/>
      <c r="BX1476" s="154"/>
      <c r="BY1476" s="18"/>
      <c r="BZ1476" s="146"/>
      <c r="CA1476" s="18"/>
      <c r="CB1476" s="18"/>
      <c r="CC1476" s="20"/>
      <c r="CD1476" s="154"/>
    </row>
    <row r="1477" spans="35:82">
      <c r="AI1477" s="19"/>
      <c r="AO1477" s="19"/>
      <c r="AY1477" s="145"/>
      <c r="AZ1477" s="16"/>
      <c r="BC1477" s="16"/>
      <c r="BD1477" s="20"/>
      <c r="BE1477" s="17"/>
      <c r="BF1477" s="20"/>
      <c r="BG1477" s="146"/>
      <c r="BH1477" s="146"/>
      <c r="BI1477" s="146"/>
      <c r="BJ1477" s="20"/>
      <c r="BK1477" s="20"/>
      <c r="BL1477" s="154"/>
      <c r="BP1477" s="20"/>
      <c r="BQ1477" s="154"/>
      <c r="BR1477" s="18"/>
      <c r="BS1477" s="16"/>
      <c r="BT1477" s="18"/>
      <c r="BU1477" s="18"/>
      <c r="BV1477" s="18"/>
      <c r="BW1477" s="20"/>
      <c r="BX1477" s="154"/>
      <c r="BY1477" s="18"/>
      <c r="BZ1477" s="146"/>
      <c r="CA1477" s="18"/>
      <c r="CB1477" s="18"/>
      <c r="CC1477" s="20"/>
      <c r="CD1477" s="154"/>
    </row>
    <row r="1478" spans="35:82">
      <c r="AI1478" s="19"/>
      <c r="AO1478" s="19"/>
      <c r="AY1478" s="145"/>
      <c r="AZ1478" s="16"/>
      <c r="BC1478" s="16"/>
      <c r="BD1478" s="20"/>
      <c r="BE1478" s="17"/>
      <c r="BF1478" s="20"/>
      <c r="BG1478" s="146"/>
      <c r="BH1478" s="146"/>
      <c r="BI1478" s="146"/>
      <c r="BJ1478" s="20"/>
      <c r="BK1478" s="20"/>
      <c r="BL1478" s="154"/>
      <c r="BP1478" s="20"/>
      <c r="BQ1478" s="154"/>
      <c r="BR1478" s="18"/>
      <c r="BS1478" s="16"/>
      <c r="BT1478" s="18"/>
      <c r="BU1478" s="18"/>
      <c r="BV1478" s="18"/>
      <c r="BW1478" s="20"/>
      <c r="BX1478" s="154"/>
      <c r="BY1478" s="18"/>
      <c r="BZ1478" s="146"/>
      <c r="CA1478" s="18"/>
      <c r="CB1478" s="18"/>
      <c r="CC1478" s="20"/>
      <c r="CD1478" s="154"/>
    </row>
    <row r="1479" spans="35:82">
      <c r="AI1479" s="19"/>
      <c r="AO1479" s="19"/>
      <c r="AY1479" s="145"/>
      <c r="AZ1479" s="16"/>
      <c r="BC1479" s="16"/>
      <c r="BD1479" s="20"/>
      <c r="BE1479" s="17"/>
      <c r="BF1479" s="20"/>
      <c r="BG1479" s="146"/>
      <c r="BH1479" s="146"/>
      <c r="BI1479" s="146"/>
      <c r="BJ1479" s="20"/>
      <c r="BK1479" s="20"/>
      <c r="BL1479" s="154"/>
      <c r="BP1479" s="20"/>
      <c r="BQ1479" s="154"/>
      <c r="BR1479" s="18"/>
      <c r="BS1479" s="16"/>
      <c r="BT1479" s="18"/>
      <c r="BU1479" s="18"/>
      <c r="BV1479" s="18"/>
      <c r="BW1479" s="20"/>
      <c r="BX1479" s="154"/>
      <c r="BY1479" s="18"/>
      <c r="BZ1479" s="146"/>
      <c r="CA1479" s="18"/>
      <c r="CB1479" s="18"/>
      <c r="CC1479" s="20"/>
      <c r="CD1479" s="154"/>
    </row>
    <row r="1480" spans="35:82">
      <c r="AI1480" s="19"/>
      <c r="AO1480" s="19"/>
      <c r="AY1480" s="145"/>
      <c r="AZ1480" s="16"/>
      <c r="BC1480" s="16"/>
      <c r="BD1480" s="20"/>
      <c r="BE1480" s="17"/>
      <c r="BF1480" s="20"/>
      <c r="BG1480" s="146"/>
      <c r="BH1480" s="146"/>
      <c r="BI1480" s="146"/>
      <c r="BJ1480" s="20"/>
      <c r="BK1480" s="20"/>
      <c r="BL1480" s="154"/>
      <c r="BP1480" s="20"/>
      <c r="BQ1480" s="154"/>
      <c r="BR1480" s="18"/>
      <c r="BS1480" s="16"/>
      <c r="BT1480" s="18"/>
      <c r="BU1480" s="18"/>
      <c r="BV1480" s="18"/>
      <c r="BW1480" s="20"/>
      <c r="BX1480" s="154"/>
      <c r="BY1480" s="18"/>
      <c r="BZ1480" s="146"/>
      <c r="CA1480" s="18"/>
      <c r="CB1480" s="18"/>
      <c r="CC1480" s="20"/>
      <c r="CD1480" s="154"/>
    </row>
    <row r="1481" spans="35:82">
      <c r="AI1481" s="19"/>
      <c r="AO1481" s="19"/>
      <c r="AY1481" s="145"/>
      <c r="AZ1481" s="16"/>
      <c r="BC1481" s="16"/>
      <c r="BD1481" s="20"/>
      <c r="BE1481" s="17"/>
      <c r="BF1481" s="20"/>
      <c r="BG1481" s="146"/>
      <c r="BH1481" s="146"/>
      <c r="BI1481" s="146"/>
      <c r="BJ1481" s="20"/>
      <c r="BK1481" s="20"/>
      <c r="BL1481" s="154"/>
      <c r="BP1481" s="20"/>
      <c r="BQ1481" s="154"/>
      <c r="BR1481" s="18"/>
      <c r="BS1481" s="16"/>
      <c r="BT1481" s="18"/>
      <c r="BU1481" s="18"/>
      <c r="BV1481" s="18"/>
      <c r="BW1481" s="20"/>
      <c r="BX1481" s="154"/>
      <c r="BY1481" s="18"/>
      <c r="BZ1481" s="146"/>
      <c r="CA1481" s="18"/>
      <c r="CB1481" s="18"/>
      <c r="CC1481" s="20"/>
      <c r="CD1481" s="154"/>
    </row>
    <row r="1482" spans="35:82">
      <c r="AI1482" s="19"/>
      <c r="AO1482" s="19"/>
      <c r="AY1482" s="145"/>
      <c r="AZ1482" s="16"/>
      <c r="BC1482" s="16"/>
      <c r="BD1482" s="20"/>
      <c r="BE1482" s="17"/>
      <c r="BF1482" s="20"/>
      <c r="BG1482" s="146"/>
      <c r="BH1482" s="146"/>
      <c r="BI1482" s="146"/>
      <c r="BJ1482" s="20"/>
      <c r="BK1482" s="20"/>
      <c r="BL1482" s="154"/>
      <c r="BP1482" s="20"/>
      <c r="BQ1482" s="154"/>
      <c r="BR1482" s="18"/>
      <c r="BS1482" s="16"/>
      <c r="BT1482" s="18"/>
      <c r="BU1482" s="18"/>
      <c r="BV1482" s="18"/>
      <c r="BW1482" s="20"/>
      <c r="BX1482" s="154"/>
      <c r="BY1482" s="18"/>
      <c r="BZ1482" s="146"/>
      <c r="CA1482" s="18"/>
      <c r="CB1482" s="18"/>
      <c r="CC1482" s="20"/>
      <c r="CD1482" s="154"/>
    </row>
    <row r="1483" spans="35:82">
      <c r="AI1483" s="19"/>
      <c r="AO1483" s="19"/>
      <c r="AY1483" s="145"/>
      <c r="AZ1483" s="16"/>
      <c r="BC1483" s="16"/>
      <c r="BD1483" s="20"/>
      <c r="BE1483" s="17"/>
      <c r="BF1483" s="20"/>
      <c r="BG1483" s="146"/>
      <c r="BH1483" s="146"/>
      <c r="BI1483" s="146"/>
      <c r="BJ1483" s="20"/>
      <c r="BK1483" s="20"/>
      <c r="BL1483" s="154"/>
      <c r="BP1483" s="20"/>
      <c r="BQ1483" s="154"/>
      <c r="BR1483" s="18"/>
      <c r="BS1483" s="16"/>
      <c r="BT1483" s="18"/>
      <c r="BU1483" s="18"/>
      <c r="BV1483" s="18"/>
      <c r="BW1483" s="20"/>
      <c r="BX1483" s="154"/>
      <c r="BY1483" s="18"/>
      <c r="BZ1483" s="146"/>
      <c r="CA1483" s="18"/>
      <c r="CB1483" s="18"/>
      <c r="CC1483" s="20"/>
      <c r="CD1483" s="154"/>
    </row>
    <row r="1484" spans="35:82">
      <c r="AI1484" s="19"/>
      <c r="AO1484" s="19"/>
      <c r="AY1484" s="145"/>
      <c r="AZ1484" s="16"/>
      <c r="BC1484" s="16"/>
      <c r="BD1484" s="20"/>
      <c r="BE1484" s="17"/>
      <c r="BF1484" s="20"/>
      <c r="BG1484" s="146"/>
      <c r="BH1484" s="146"/>
      <c r="BI1484" s="146"/>
      <c r="BJ1484" s="20"/>
      <c r="BK1484" s="20"/>
      <c r="BL1484" s="154"/>
      <c r="BP1484" s="20"/>
      <c r="BQ1484" s="154"/>
      <c r="BR1484" s="18"/>
      <c r="BS1484" s="16"/>
      <c r="BT1484" s="18"/>
      <c r="BU1484" s="18"/>
      <c r="BV1484" s="18"/>
      <c r="BW1484" s="20"/>
      <c r="BX1484" s="154"/>
      <c r="BY1484" s="18"/>
      <c r="BZ1484" s="146"/>
      <c r="CA1484" s="18"/>
      <c r="CB1484" s="18"/>
      <c r="CC1484" s="20"/>
      <c r="CD1484" s="154"/>
    </row>
    <row r="1485" spans="35:82">
      <c r="AI1485" s="19"/>
      <c r="AO1485" s="19"/>
      <c r="AY1485" s="145"/>
      <c r="AZ1485" s="16"/>
      <c r="BC1485" s="16"/>
      <c r="BD1485" s="20"/>
      <c r="BE1485" s="17"/>
      <c r="BF1485" s="20"/>
      <c r="BG1485" s="146"/>
      <c r="BH1485" s="146"/>
      <c r="BI1485" s="146"/>
      <c r="BJ1485" s="20"/>
      <c r="BK1485" s="20"/>
      <c r="BL1485" s="154"/>
      <c r="BP1485" s="20"/>
      <c r="BQ1485" s="154"/>
      <c r="BR1485" s="18"/>
      <c r="BS1485" s="16"/>
      <c r="BT1485" s="18"/>
      <c r="BU1485" s="18"/>
      <c r="BV1485" s="18"/>
      <c r="BW1485" s="20"/>
      <c r="BX1485" s="154"/>
      <c r="BY1485" s="18"/>
      <c r="BZ1485" s="146"/>
      <c r="CA1485" s="18"/>
      <c r="CB1485" s="18"/>
      <c r="CC1485" s="20"/>
      <c r="CD1485" s="154"/>
    </row>
    <row r="1486" spans="35:82">
      <c r="AI1486" s="19"/>
      <c r="AO1486" s="19"/>
      <c r="AY1486" s="145"/>
      <c r="AZ1486" s="16"/>
      <c r="BC1486" s="16"/>
      <c r="BD1486" s="20"/>
      <c r="BE1486" s="17"/>
      <c r="BF1486" s="20"/>
      <c r="BG1486" s="146"/>
      <c r="BH1486" s="146"/>
      <c r="BI1486" s="146"/>
      <c r="BJ1486" s="20"/>
      <c r="BK1486" s="20"/>
      <c r="BL1486" s="154"/>
      <c r="BP1486" s="20"/>
      <c r="BQ1486" s="154"/>
      <c r="BR1486" s="18"/>
      <c r="BS1486" s="16"/>
      <c r="BT1486" s="18"/>
      <c r="BU1486" s="18"/>
      <c r="BV1486" s="18"/>
      <c r="BW1486" s="20"/>
      <c r="BX1486" s="154"/>
      <c r="BY1486" s="18"/>
      <c r="BZ1486" s="146"/>
      <c r="CA1486" s="18"/>
      <c r="CB1486" s="18"/>
      <c r="CC1486" s="20"/>
      <c r="CD1486" s="154"/>
    </row>
    <row r="1487" spans="35:82">
      <c r="AI1487" s="19"/>
      <c r="AO1487" s="19"/>
      <c r="AY1487" s="145"/>
      <c r="AZ1487" s="16"/>
      <c r="BC1487" s="16"/>
      <c r="BD1487" s="20"/>
      <c r="BE1487" s="17"/>
      <c r="BF1487" s="20"/>
      <c r="BG1487" s="146"/>
      <c r="BH1487" s="146"/>
      <c r="BI1487" s="146"/>
      <c r="BJ1487" s="20"/>
      <c r="BK1487" s="20"/>
      <c r="BL1487" s="154"/>
      <c r="BP1487" s="20"/>
      <c r="BQ1487" s="154"/>
      <c r="BR1487" s="18"/>
      <c r="BS1487" s="16"/>
      <c r="BT1487" s="18"/>
      <c r="BU1487" s="18"/>
      <c r="BV1487" s="18"/>
      <c r="BW1487" s="20"/>
      <c r="BX1487" s="154"/>
      <c r="BY1487" s="18"/>
      <c r="BZ1487" s="146"/>
      <c r="CA1487" s="18"/>
      <c r="CB1487" s="18"/>
      <c r="CC1487" s="20"/>
      <c r="CD1487" s="154"/>
    </row>
    <row r="1488" spans="35:82">
      <c r="AI1488" s="19"/>
      <c r="AO1488" s="19"/>
      <c r="AY1488" s="145"/>
      <c r="AZ1488" s="16"/>
      <c r="BC1488" s="16"/>
      <c r="BD1488" s="20"/>
      <c r="BE1488" s="17"/>
      <c r="BF1488" s="20"/>
      <c r="BG1488" s="146"/>
      <c r="BH1488" s="146"/>
      <c r="BI1488" s="146"/>
      <c r="BJ1488" s="20"/>
      <c r="BK1488" s="20"/>
      <c r="BL1488" s="154"/>
      <c r="BP1488" s="20"/>
      <c r="BQ1488" s="154"/>
      <c r="BR1488" s="18"/>
      <c r="BS1488" s="16"/>
      <c r="BT1488" s="18"/>
      <c r="BU1488" s="18"/>
      <c r="BV1488" s="18"/>
      <c r="BW1488" s="20"/>
      <c r="BX1488" s="154"/>
      <c r="BY1488" s="18"/>
      <c r="BZ1488" s="146"/>
      <c r="CA1488" s="18"/>
      <c r="CB1488" s="18"/>
      <c r="CC1488" s="20"/>
      <c r="CD1488" s="154"/>
    </row>
    <row r="1489" spans="35:82">
      <c r="AI1489" s="19"/>
      <c r="AO1489" s="19"/>
      <c r="AY1489" s="145"/>
      <c r="AZ1489" s="16"/>
      <c r="BC1489" s="16"/>
      <c r="BD1489" s="20"/>
      <c r="BE1489" s="17"/>
      <c r="BF1489" s="20"/>
      <c r="BG1489" s="146"/>
      <c r="BH1489" s="146"/>
      <c r="BI1489" s="146"/>
      <c r="BJ1489" s="20"/>
      <c r="BK1489" s="20"/>
      <c r="BL1489" s="154"/>
      <c r="BP1489" s="20"/>
      <c r="BQ1489" s="154"/>
      <c r="BR1489" s="18"/>
      <c r="BS1489" s="16"/>
      <c r="BT1489" s="18"/>
      <c r="BU1489" s="18"/>
      <c r="BV1489" s="18"/>
      <c r="BW1489" s="20"/>
      <c r="BX1489" s="154"/>
      <c r="BY1489" s="18"/>
      <c r="BZ1489" s="146"/>
      <c r="CA1489" s="18"/>
      <c r="CB1489" s="18"/>
      <c r="CC1489" s="20"/>
      <c r="CD1489" s="154"/>
    </row>
    <row r="1490" spans="35:82">
      <c r="AI1490" s="19"/>
      <c r="AO1490" s="19"/>
      <c r="AY1490" s="145"/>
      <c r="AZ1490" s="16"/>
      <c r="BC1490" s="16"/>
      <c r="BD1490" s="20"/>
      <c r="BE1490" s="17"/>
      <c r="BF1490" s="20"/>
      <c r="BG1490" s="146"/>
      <c r="BH1490" s="146"/>
      <c r="BI1490" s="146"/>
      <c r="BJ1490" s="20"/>
      <c r="BK1490" s="20"/>
      <c r="BL1490" s="154"/>
      <c r="BP1490" s="20"/>
      <c r="BQ1490" s="154"/>
      <c r="BR1490" s="18"/>
      <c r="BS1490" s="16"/>
      <c r="BT1490" s="18"/>
      <c r="BU1490" s="18"/>
      <c r="BV1490" s="18"/>
      <c r="BW1490" s="20"/>
      <c r="BX1490" s="154"/>
      <c r="BY1490" s="18"/>
      <c r="BZ1490" s="146"/>
      <c r="CA1490" s="18"/>
      <c r="CB1490" s="18"/>
      <c r="CC1490" s="20"/>
      <c r="CD1490" s="154"/>
    </row>
    <row r="1491" spans="35:82">
      <c r="AI1491" s="19"/>
      <c r="AO1491" s="19"/>
      <c r="AY1491" s="145"/>
      <c r="AZ1491" s="16"/>
      <c r="BC1491" s="16"/>
      <c r="BD1491" s="20"/>
      <c r="BE1491" s="17"/>
      <c r="BF1491" s="20"/>
      <c r="BG1491" s="146"/>
      <c r="BH1491" s="146"/>
      <c r="BI1491" s="146"/>
      <c r="BJ1491" s="20"/>
      <c r="BK1491" s="20"/>
      <c r="BL1491" s="154"/>
      <c r="BP1491" s="20"/>
      <c r="BQ1491" s="154"/>
      <c r="BR1491" s="18"/>
      <c r="BS1491" s="16"/>
      <c r="BT1491" s="18"/>
      <c r="BU1491" s="18"/>
      <c r="BV1491" s="18"/>
      <c r="BW1491" s="20"/>
      <c r="BX1491" s="154"/>
      <c r="BY1491" s="18"/>
      <c r="BZ1491" s="146"/>
      <c r="CA1491" s="18"/>
      <c r="CB1491" s="18"/>
      <c r="CC1491" s="20"/>
      <c r="CD1491" s="154"/>
    </row>
    <row r="1492" spans="35:82">
      <c r="AI1492" s="19"/>
      <c r="AO1492" s="19"/>
      <c r="AY1492" s="145"/>
      <c r="AZ1492" s="16"/>
      <c r="BC1492" s="16"/>
      <c r="BD1492" s="20"/>
      <c r="BE1492" s="17"/>
      <c r="BF1492" s="20"/>
      <c r="BG1492" s="146"/>
      <c r="BH1492" s="146"/>
      <c r="BI1492" s="146"/>
      <c r="BJ1492" s="20"/>
      <c r="BK1492" s="20"/>
      <c r="BL1492" s="154"/>
      <c r="BP1492" s="20"/>
      <c r="BQ1492" s="154"/>
      <c r="BR1492" s="18"/>
      <c r="BS1492" s="16"/>
      <c r="BT1492" s="18"/>
      <c r="BU1492" s="18"/>
      <c r="BV1492" s="18"/>
      <c r="BW1492" s="20"/>
      <c r="BX1492" s="154"/>
      <c r="BY1492" s="18"/>
      <c r="BZ1492" s="146"/>
      <c r="CA1492" s="18"/>
      <c r="CB1492" s="18"/>
      <c r="CC1492" s="20"/>
      <c r="CD1492" s="154"/>
    </row>
    <row r="1493" spans="35:82">
      <c r="AI1493" s="19"/>
      <c r="AO1493" s="19"/>
      <c r="AY1493" s="145"/>
      <c r="AZ1493" s="16"/>
      <c r="BC1493" s="16"/>
      <c r="BD1493" s="20"/>
      <c r="BE1493" s="17"/>
      <c r="BF1493" s="20"/>
      <c r="BG1493" s="146"/>
      <c r="BH1493" s="146"/>
      <c r="BI1493" s="146"/>
      <c r="BJ1493" s="20"/>
      <c r="BK1493" s="20"/>
      <c r="BL1493" s="154"/>
      <c r="BP1493" s="20"/>
      <c r="BQ1493" s="154"/>
      <c r="BR1493" s="18"/>
      <c r="BS1493" s="16"/>
      <c r="BT1493" s="18"/>
      <c r="BU1493" s="18"/>
      <c r="BV1493" s="18"/>
      <c r="BW1493" s="20"/>
      <c r="BX1493" s="154"/>
      <c r="BY1493" s="18"/>
      <c r="BZ1493" s="146"/>
      <c r="CA1493" s="18"/>
      <c r="CB1493" s="18"/>
      <c r="CC1493" s="20"/>
      <c r="CD1493" s="154"/>
    </row>
    <row r="1494" spans="35:82">
      <c r="AI1494" s="19"/>
      <c r="AO1494" s="19"/>
      <c r="AY1494" s="145"/>
      <c r="AZ1494" s="16"/>
      <c r="BC1494" s="16"/>
      <c r="BD1494" s="20"/>
      <c r="BE1494" s="17"/>
      <c r="BF1494" s="20"/>
      <c r="BG1494" s="146"/>
      <c r="BH1494" s="146"/>
      <c r="BI1494" s="146"/>
      <c r="BJ1494" s="20"/>
      <c r="BK1494" s="20"/>
      <c r="BL1494" s="154"/>
      <c r="BP1494" s="20"/>
      <c r="BQ1494" s="154"/>
      <c r="BR1494" s="18"/>
      <c r="BS1494" s="16"/>
      <c r="BT1494" s="18"/>
      <c r="BU1494" s="18"/>
      <c r="BV1494" s="18"/>
      <c r="BW1494" s="20"/>
      <c r="BX1494" s="154"/>
      <c r="BY1494" s="18"/>
      <c r="BZ1494" s="146"/>
      <c r="CA1494" s="18"/>
      <c r="CB1494" s="18"/>
      <c r="CC1494" s="20"/>
      <c r="CD1494" s="154"/>
    </row>
    <row r="1495" spans="35:82">
      <c r="AI1495" s="19"/>
      <c r="AO1495" s="19"/>
      <c r="AY1495" s="145"/>
      <c r="AZ1495" s="16"/>
      <c r="BC1495" s="16"/>
      <c r="BD1495" s="20"/>
      <c r="BE1495" s="17"/>
      <c r="BF1495" s="20"/>
      <c r="BG1495" s="146"/>
      <c r="BH1495" s="146"/>
      <c r="BI1495" s="146"/>
      <c r="BJ1495" s="20"/>
      <c r="BK1495" s="20"/>
      <c r="BL1495" s="154"/>
      <c r="BP1495" s="20"/>
      <c r="BQ1495" s="154"/>
      <c r="BR1495" s="18"/>
      <c r="BS1495" s="16"/>
      <c r="BT1495" s="18"/>
      <c r="BU1495" s="18"/>
      <c r="BV1495" s="18"/>
      <c r="BW1495" s="20"/>
      <c r="BX1495" s="154"/>
      <c r="BY1495" s="18"/>
      <c r="BZ1495" s="146"/>
      <c r="CA1495" s="18"/>
      <c r="CB1495" s="18"/>
      <c r="CC1495" s="20"/>
      <c r="CD1495" s="154"/>
    </row>
    <row r="1496" spans="35:82">
      <c r="AI1496" s="19"/>
      <c r="AO1496" s="19"/>
      <c r="AY1496" s="145"/>
      <c r="AZ1496" s="16"/>
      <c r="BC1496" s="16"/>
      <c r="BD1496" s="20"/>
      <c r="BE1496" s="17"/>
      <c r="BF1496" s="20"/>
      <c r="BG1496" s="146"/>
      <c r="BH1496" s="146"/>
      <c r="BI1496" s="146"/>
      <c r="BJ1496" s="20"/>
      <c r="BK1496" s="20"/>
      <c r="BL1496" s="154"/>
      <c r="BP1496" s="20"/>
      <c r="BQ1496" s="154"/>
      <c r="BR1496" s="18"/>
      <c r="BS1496" s="16"/>
      <c r="BT1496" s="18"/>
      <c r="BU1496" s="18"/>
      <c r="BV1496" s="18"/>
      <c r="BW1496" s="20"/>
      <c r="BX1496" s="154"/>
      <c r="BY1496" s="18"/>
      <c r="BZ1496" s="146"/>
      <c r="CA1496" s="18"/>
      <c r="CB1496" s="18"/>
      <c r="CC1496" s="20"/>
      <c r="CD1496" s="154"/>
    </row>
    <row r="1497" spans="35:82">
      <c r="AI1497" s="19"/>
      <c r="AO1497" s="19"/>
      <c r="AY1497" s="145"/>
      <c r="AZ1497" s="16"/>
      <c r="BC1497" s="16"/>
      <c r="BD1497" s="20"/>
      <c r="BE1497" s="17"/>
      <c r="BF1497" s="20"/>
      <c r="BG1497" s="146"/>
      <c r="BH1497" s="146"/>
      <c r="BI1497" s="146"/>
      <c r="BJ1497" s="20"/>
      <c r="BK1497" s="20"/>
      <c r="BL1497" s="154"/>
      <c r="BP1497" s="20"/>
      <c r="BQ1497" s="154"/>
      <c r="BR1497" s="18"/>
      <c r="BS1497" s="16"/>
      <c r="BT1497" s="18"/>
      <c r="BU1497" s="18"/>
      <c r="BV1497" s="18"/>
      <c r="BW1497" s="20"/>
      <c r="BX1497" s="154"/>
      <c r="BY1497" s="18"/>
      <c r="BZ1497" s="146"/>
      <c r="CA1497" s="18"/>
      <c r="CB1497" s="18"/>
      <c r="CC1497" s="20"/>
      <c r="CD1497" s="154"/>
    </row>
    <row r="1498" spans="35:82">
      <c r="AI1498" s="19"/>
      <c r="AO1498" s="19"/>
      <c r="AY1498" s="145"/>
      <c r="AZ1498" s="16"/>
      <c r="BC1498" s="16"/>
      <c r="BD1498" s="20"/>
      <c r="BE1498" s="17"/>
      <c r="BF1498" s="20"/>
      <c r="BG1498" s="146"/>
      <c r="BH1498" s="146"/>
      <c r="BI1498" s="146"/>
      <c r="BJ1498" s="20"/>
      <c r="BK1498" s="20"/>
      <c r="BL1498" s="154"/>
      <c r="BP1498" s="20"/>
      <c r="BQ1498" s="154"/>
      <c r="BR1498" s="18"/>
      <c r="BS1498" s="16"/>
      <c r="BT1498" s="18"/>
      <c r="BU1498" s="18"/>
      <c r="BV1498" s="18"/>
      <c r="BW1498" s="20"/>
      <c r="BX1498" s="154"/>
      <c r="BY1498" s="18"/>
      <c r="BZ1498" s="146"/>
      <c r="CA1498" s="18"/>
      <c r="CB1498" s="18"/>
      <c r="CC1498" s="20"/>
      <c r="CD1498" s="154"/>
    </row>
    <row r="1499" spans="35:82">
      <c r="AI1499" s="19"/>
      <c r="AO1499" s="19"/>
      <c r="AY1499" s="145"/>
      <c r="AZ1499" s="16"/>
      <c r="BC1499" s="16"/>
      <c r="BD1499" s="20"/>
      <c r="BE1499" s="17"/>
      <c r="BF1499" s="20"/>
      <c r="BG1499" s="146"/>
      <c r="BH1499" s="146"/>
      <c r="BI1499" s="146"/>
      <c r="BJ1499" s="20"/>
      <c r="BK1499" s="20"/>
      <c r="BL1499" s="154"/>
      <c r="BP1499" s="20"/>
      <c r="BQ1499" s="154"/>
      <c r="BR1499" s="18"/>
      <c r="BS1499" s="16"/>
      <c r="BT1499" s="18"/>
      <c r="BU1499" s="18"/>
      <c r="BV1499" s="18"/>
      <c r="BW1499" s="20"/>
      <c r="BX1499" s="154"/>
      <c r="BY1499" s="18"/>
      <c r="BZ1499" s="146"/>
      <c r="CA1499" s="18"/>
      <c r="CB1499" s="18"/>
      <c r="CC1499" s="20"/>
      <c r="CD1499" s="154"/>
    </row>
    <row r="1500" spans="35:82">
      <c r="AI1500" s="19"/>
      <c r="AO1500" s="19"/>
      <c r="AY1500" s="145"/>
      <c r="AZ1500" s="16"/>
      <c r="BC1500" s="16"/>
      <c r="BD1500" s="20"/>
      <c r="BE1500" s="17"/>
      <c r="BF1500" s="20"/>
      <c r="BG1500" s="146"/>
      <c r="BH1500" s="146"/>
      <c r="BI1500" s="146"/>
      <c r="BJ1500" s="20"/>
      <c r="BK1500" s="20"/>
      <c r="BL1500" s="154"/>
      <c r="BP1500" s="20"/>
      <c r="BQ1500" s="154"/>
      <c r="BR1500" s="18"/>
      <c r="BS1500" s="16"/>
      <c r="BT1500" s="18"/>
      <c r="BU1500" s="18"/>
      <c r="BV1500" s="18"/>
      <c r="BW1500" s="20"/>
      <c r="BX1500" s="154"/>
      <c r="BY1500" s="18"/>
      <c r="BZ1500" s="146"/>
      <c r="CA1500" s="18"/>
      <c r="CB1500" s="18"/>
      <c r="CC1500" s="20"/>
      <c r="CD1500" s="154"/>
    </row>
    <row r="1501" spans="35:82">
      <c r="AI1501" s="19"/>
      <c r="AO1501" s="19"/>
      <c r="AY1501" s="145"/>
      <c r="AZ1501" s="16"/>
      <c r="BC1501" s="16"/>
      <c r="BD1501" s="20"/>
      <c r="BE1501" s="17"/>
      <c r="BF1501" s="20"/>
      <c r="BG1501" s="146"/>
      <c r="BH1501" s="146"/>
      <c r="BI1501" s="146"/>
      <c r="BJ1501" s="20"/>
      <c r="BK1501" s="20"/>
      <c r="BL1501" s="154"/>
      <c r="BP1501" s="20"/>
      <c r="BQ1501" s="154"/>
      <c r="BR1501" s="18"/>
      <c r="BS1501" s="16"/>
      <c r="BT1501" s="18"/>
      <c r="BU1501" s="18"/>
      <c r="BV1501" s="18"/>
      <c r="BW1501" s="20"/>
      <c r="BX1501" s="154"/>
      <c r="BY1501" s="18"/>
      <c r="BZ1501" s="146"/>
      <c r="CA1501" s="18"/>
      <c r="CB1501" s="18"/>
      <c r="CC1501" s="20"/>
      <c r="CD1501" s="154"/>
    </row>
    <row r="1502" spans="35:82">
      <c r="AI1502" s="19"/>
      <c r="AO1502" s="19"/>
      <c r="AY1502" s="145"/>
      <c r="AZ1502" s="16"/>
      <c r="BC1502" s="16"/>
      <c r="BD1502" s="20"/>
      <c r="BE1502" s="17"/>
      <c r="BF1502" s="20"/>
      <c r="BG1502" s="146"/>
      <c r="BH1502" s="146"/>
      <c r="BI1502" s="146"/>
      <c r="BJ1502" s="20"/>
      <c r="BK1502" s="20"/>
      <c r="BL1502" s="154"/>
      <c r="BP1502" s="20"/>
      <c r="BQ1502" s="154"/>
      <c r="BR1502" s="18"/>
      <c r="BS1502" s="16"/>
      <c r="BT1502" s="18"/>
      <c r="BU1502" s="18"/>
      <c r="BV1502" s="18"/>
      <c r="BW1502" s="20"/>
      <c r="BX1502" s="154"/>
      <c r="BY1502" s="18"/>
      <c r="BZ1502" s="146"/>
      <c r="CA1502" s="18"/>
      <c r="CB1502" s="18"/>
      <c r="CC1502" s="20"/>
      <c r="CD1502" s="154"/>
    </row>
    <row r="1503" spans="35:82">
      <c r="AI1503" s="19"/>
      <c r="AO1503" s="19"/>
      <c r="AY1503" s="145"/>
      <c r="AZ1503" s="16"/>
      <c r="BC1503" s="16"/>
      <c r="BD1503" s="20"/>
      <c r="BE1503" s="17"/>
      <c r="BF1503" s="20"/>
      <c r="BG1503" s="146"/>
      <c r="BH1503" s="146"/>
      <c r="BI1503" s="146"/>
      <c r="BJ1503" s="20"/>
      <c r="BK1503" s="20"/>
      <c r="BL1503" s="154"/>
      <c r="BP1503" s="20"/>
      <c r="BQ1503" s="154"/>
      <c r="BR1503" s="18"/>
      <c r="BS1503" s="16"/>
      <c r="BT1503" s="18"/>
      <c r="BU1503" s="18"/>
      <c r="BV1503" s="18"/>
      <c r="BW1503" s="20"/>
      <c r="BX1503" s="154"/>
      <c r="BY1503" s="18"/>
      <c r="BZ1503" s="146"/>
      <c r="CA1503" s="18"/>
      <c r="CB1503" s="18"/>
      <c r="CC1503" s="20"/>
      <c r="CD1503" s="154"/>
    </row>
    <row r="1504" spans="35:82">
      <c r="AI1504" s="19"/>
      <c r="AO1504" s="19"/>
      <c r="AY1504" s="145"/>
      <c r="AZ1504" s="16"/>
      <c r="BC1504" s="16"/>
      <c r="BD1504" s="20"/>
      <c r="BE1504" s="17"/>
      <c r="BF1504" s="20"/>
      <c r="BG1504" s="146"/>
      <c r="BH1504" s="146"/>
      <c r="BI1504" s="146"/>
      <c r="BJ1504" s="20"/>
      <c r="BK1504" s="20"/>
      <c r="BL1504" s="154"/>
      <c r="BP1504" s="20"/>
      <c r="BQ1504" s="154"/>
      <c r="BR1504" s="18"/>
      <c r="BS1504" s="16"/>
      <c r="BT1504" s="18"/>
      <c r="BU1504" s="18"/>
      <c r="BV1504" s="18"/>
      <c r="BW1504" s="20"/>
      <c r="BX1504" s="154"/>
      <c r="BY1504" s="18"/>
      <c r="BZ1504" s="146"/>
      <c r="CA1504" s="18"/>
      <c r="CB1504" s="18"/>
      <c r="CC1504" s="20"/>
      <c r="CD1504" s="154"/>
    </row>
    <row r="1505" spans="35:82">
      <c r="AI1505" s="19"/>
      <c r="AO1505" s="19"/>
      <c r="AY1505" s="145"/>
      <c r="AZ1505" s="16"/>
      <c r="BC1505" s="16"/>
      <c r="BD1505" s="20"/>
      <c r="BE1505" s="17"/>
      <c r="BF1505" s="20"/>
      <c r="BG1505" s="146"/>
      <c r="BH1505" s="146"/>
      <c r="BI1505" s="146"/>
      <c r="BJ1505" s="20"/>
      <c r="BK1505" s="20"/>
      <c r="BL1505" s="154"/>
      <c r="BP1505" s="20"/>
      <c r="BQ1505" s="154"/>
      <c r="BR1505" s="18"/>
      <c r="BS1505" s="16"/>
      <c r="BT1505" s="18"/>
      <c r="BU1505" s="18"/>
      <c r="BV1505" s="18"/>
      <c r="BW1505" s="20"/>
      <c r="BX1505" s="154"/>
      <c r="BY1505" s="18"/>
      <c r="BZ1505" s="146"/>
      <c r="CA1505" s="18"/>
      <c r="CB1505" s="18"/>
      <c r="CC1505" s="20"/>
      <c r="CD1505" s="154"/>
    </row>
    <row r="1506" spans="35:82">
      <c r="AI1506" s="19"/>
      <c r="AO1506" s="19"/>
      <c r="AY1506" s="145"/>
      <c r="AZ1506" s="16"/>
      <c r="BC1506" s="16"/>
      <c r="BD1506" s="20"/>
      <c r="BE1506" s="17"/>
      <c r="BF1506" s="20"/>
      <c r="BG1506" s="146"/>
      <c r="BH1506" s="146"/>
      <c r="BI1506" s="146"/>
      <c r="BJ1506" s="20"/>
      <c r="BK1506" s="20"/>
      <c r="BL1506" s="154"/>
      <c r="BP1506" s="20"/>
      <c r="BQ1506" s="154"/>
      <c r="BR1506" s="18"/>
      <c r="BS1506" s="16"/>
      <c r="BT1506" s="18"/>
      <c r="BU1506" s="18"/>
      <c r="BV1506" s="18"/>
      <c r="BW1506" s="20"/>
      <c r="BX1506" s="154"/>
      <c r="BY1506" s="18"/>
      <c r="BZ1506" s="146"/>
      <c r="CA1506" s="18"/>
      <c r="CB1506" s="18"/>
      <c r="CC1506" s="20"/>
      <c r="CD1506" s="154"/>
    </row>
    <row r="1507" spans="35:82">
      <c r="AI1507" s="19"/>
      <c r="AO1507" s="19"/>
      <c r="AY1507" s="145"/>
      <c r="AZ1507" s="16"/>
      <c r="BC1507" s="16"/>
      <c r="BD1507" s="20"/>
      <c r="BE1507" s="17"/>
      <c r="BF1507" s="20"/>
      <c r="BG1507" s="146"/>
      <c r="BH1507" s="146"/>
      <c r="BI1507" s="146"/>
      <c r="BJ1507" s="20"/>
      <c r="BK1507" s="20"/>
      <c r="BL1507" s="154"/>
      <c r="BP1507" s="20"/>
      <c r="BQ1507" s="154"/>
      <c r="BR1507" s="18"/>
      <c r="BS1507" s="16"/>
      <c r="BT1507" s="18"/>
      <c r="BU1507" s="18"/>
      <c r="BV1507" s="18"/>
      <c r="BW1507" s="20"/>
      <c r="BX1507" s="154"/>
      <c r="BY1507" s="18"/>
      <c r="BZ1507" s="146"/>
      <c r="CA1507" s="18"/>
      <c r="CB1507" s="18"/>
      <c r="CC1507" s="20"/>
      <c r="CD1507" s="154"/>
    </row>
    <row r="1508" spans="35:82">
      <c r="AI1508" s="19"/>
      <c r="AO1508" s="19"/>
      <c r="AY1508" s="145"/>
      <c r="AZ1508" s="16"/>
      <c r="BC1508" s="16"/>
      <c r="BD1508" s="20"/>
      <c r="BE1508" s="17"/>
      <c r="BF1508" s="20"/>
      <c r="BG1508" s="146"/>
      <c r="BH1508" s="146"/>
      <c r="BI1508" s="146"/>
      <c r="BJ1508" s="20"/>
      <c r="BK1508" s="20"/>
      <c r="BL1508" s="154"/>
      <c r="BP1508" s="20"/>
      <c r="BQ1508" s="154"/>
      <c r="BR1508" s="18"/>
      <c r="BS1508" s="16"/>
      <c r="BT1508" s="18"/>
      <c r="BU1508" s="18"/>
      <c r="BV1508" s="18"/>
      <c r="BW1508" s="20"/>
      <c r="BX1508" s="154"/>
      <c r="BY1508" s="18"/>
      <c r="BZ1508" s="146"/>
      <c r="CA1508" s="18"/>
      <c r="CB1508" s="18"/>
      <c r="CC1508" s="20"/>
      <c r="CD1508" s="154"/>
    </row>
    <row r="1509" spans="35:82">
      <c r="AI1509" s="19"/>
      <c r="AO1509" s="19"/>
      <c r="AY1509" s="145"/>
      <c r="AZ1509" s="16"/>
      <c r="BC1509" s="16"/>
      <c r="BD1509" s="20"/>
      <c r="BE1509" s="17"/>
      <c r="BF1509" s="20"/>
      <c r="BG1509" s="146"/>
      <c r="BH1509" s="146"/>
      <c r="BI1509" s="146"/>
      <c r="BJ1509" s="20"/>
      <c r="BK1509" s="20"/>
      <c r="BL1509" s="154"/>
      <c r="BP1509" s="20"/>
      <c r="BQ1509" s="154"/>
      <c r="BR1509" s="18"/>
      <c r="BS1509" s="16"/>
      <c r="BT1509" s="18"/>
      <c r="BU1509" s="18"/>
      <c r="BV1509" s="18"/>
      <c r="BW1509" s="20"/>
      <c r="BX1509" s="154"/>
      <c r="BY1509" s="18"/>
      <c r="BZ1509" s="146"/>
      <c r="CA1509" s="18"/>
      <c r="CB1509" s="18"/>
      <c r="CC1509" s="20"/>
      <c r="CD1509" s="154"/>
    </row>
    <row r="1510" spans="35:82">
      <c r="AI1510" s="19"/>
      <c r="AO1510" s="19"/>
      <c r="AY1510" s="145"/>
      <c r="AZ1510" s="16"/>
      <c r="BC1510" s="16"/>
      <c r="BD1510" s="20"/>
      <c r="BE1510" s="17"/>
      <c r="BF1510" s="20"/>
      <c r="BG1510" s="146"/>
      <c r="BH1510" s="146"/>
      <c r="BI1510" s="146"/>
      <c r="BJ1510" s="20"/>
      <c r="BK1510" s="20"/>
      <c r="BL1510" s="154"/>
      <c r="BP1510" s="20"/>
      <c r="BQ1510" s="154"/>
      <c r="BR1510" s="18"/>
      <c r="BS1510" s="16"/>
      <c r="BT1510" s="18"/>
      <c r="BU1510" s="18"/>
      <c r="BV1510" s="18"/>
      <c r="BW1510" s="20"/>
      <c r="BX1510" s="154"/>
      <c r="BY1510" s="18"/>
      <c r="BZ1510" s="146"/>
      <c r="CA1510" s="18"/>
      <c r="CB1510" s="18"/>
      <c r="CC1510" s="20"/>
      <c r="CD1510" s="154"/>
    </row>
    <row r="1511" spans="35:82">
      <c r="AI1511" s="19"/>
      <c r="AO1511" s="19"/>
      <c r="AY1511" s="145"/>
      <c r="AZ1511" s="16"/>
      <c r="BC1511" s="16"/>
      <c r="BD1511" s="20"/>
      <c r="BE1511" s="17"/>
      <c r="BF1511" s="20"/>
      <c r="BG1511" s="146"/>
      <c r="BH1511" s="146"/>
      <c r="BI1511" s="146"/>
      <c r="BJ1511" s="20"/>
      <c r="BK1511" s="20"/>
      <c r="BL1511" s="154"/>
      <c r="BP1511" s="20"/>
      <c r="BQ1511" s="154"/>
      <c r="BR1511" s="18"/>
      <c r="BS1511" s="16"/>
      <c r="BT1511" s="18"/>
      <c r="BU1511" s="18"/>
      <c r="BV1511" s="18"/>
      <c r="BW1511" s="20"/>
      <c r="BX1511" s="154"/>
      <c r="BY1511" s="18"/>
      <c r="BZ1511" s="146"/>
      <c r="CA1511" s="18"/>
      <c r="CB1511" s="18"/>
      <c r="CC1511" s="20"/>
      <c r="CD1511" s="154"/>
    </row>
    <row r="1512" spans="35:82">
      <c r="AI1512" s="19"/>
      <c r="AO1512" s="19"/>
      <c r="AY1512" s="145"/>
      <c r="AZ1512" s="16"/>
      <c r="BC1512" s="16"/>
      <c r="BD1512" s="20"/>
      <c r="BE1512" s="17"/>
      <c r="BF1512" s="20"/>
      <c r="BG1512" s="146"/>
      <c r="BH1512" s="146"/>
      <c r="BI1512" s="146"/>
      <c r="BJ1512" s="20"/>
      <c r="BK1512" s="20"/>
      <c r="BL1512" s="154"/>
      <c r="BP1512" s="20"/>
      <c r="BQ1512" s="154"/>
      <c r="BR1512" s="18"/>
      <c r="BS1512" s="16"/>
      <c r="BT1512" s="18"/>
      <c r="BU1512" s="18"/>
      <c r="BV1512" s="18"/>
      <c r="BW1512" s="20"/>
      <c r="BX1512" s="154"/>
      <c r="BY1512" s="18"/>
      <c r="BZ1512" s="146"/>
      <c r="CA1512" s="18"/>
      <c r="CB1512" s="18"/>
      <c r="CC1512" s="20"/>
      <c r="CD1512" s="154"/>
    </row>
    <row r="1513" spans="35:82">
      <c r="AI1513" s="19"/>
      <c r="AO1513" s="19"/>
      <c r="AY1513" s="145"/>
      <c r="AZ1513" s="16"/>
      <c r="BC1513" s="16"/>
      <c r="BD1513" s="20"/>
      <c r="BE1513" s="17"/>
      <c r="BF1513" s="20"/>
      <c r="BG1513" s="146"/>
      <c r="BH1513" s="146"/>
      <c r="BI1513" s="146"/>
      <c r="BJ1513" s="20"/>
      <c r="BK1513" s="20"/>
      <c r="BL1513" s="154"/>
      <c r="BP1513" s="20"/>
      <c r="BQ1513" s="154"/>
      <c r="BR1513" s="18"/>
      <c r="BS1513" s="16"/>
      <c r="BT1513" s="18"/>
      <c r="BU1513" s="18"/>
      <c r="BV1513" s="18"/>
      <c r="BW1513" s="20"/>
      <c r="BX1513" s="154"/>
      <c r="BY1513" s="18"/>
      <c r="BZ1513" s="146"/>
      <c r="CA1513" s="18"/>
      <c r="CB1513" s="18"/>
      <c r="CC1513" s="20"/>
      <c r="CD1513" s="154"/>
    </row>
    <row r="1514" spans="35:82">
      <c r="AI1514" s="19"/>
      <c r="AO1514" s="19"/>
      <c r="AY1514" s="145"/>
      <c r="AZ1514" s="16"/>
      <c r="BC1514" s="16"/>
      <c r="BD1514" s="20"/>
      <c r="BE1514" s="17"/>
      <c r="BF1514" s="20"/>
      <c r="BG1514" s="146"/>
      <c r="BH1514" s="146"/>
      <c r="BI1514" s="146"/>
      <c r="BJ1514" s="20"/>
      <c r="BK1514" s="20"/>
      <c r="BL1514" s="154"/>
      <c r="BP1514" s="20"/>
      <c r="BQ1514" s="154"/>
      <c r="BR1514" s="18"/>
      <c r="BS1514" s="16"/>
      <c r="BT1514" s="18"/>
      <c r="BU1514" s="18"/>
      <c r="BV1514" s="18"/>
      <c r="BW1514" s="20"/>
      <c r="BX1514" s="154"/>
      <c r="BY1514" s="18"/>
      <c r="BZ1514" s="146"/>
      <c r="CA1514" s="18"/>
      <c r="CB1514" s="18"/>
      <c r="CC1514" s="20"/>
      <c r="CD1514" s="154"/>
    </row>
    <row r="1515" spans="35:82">
      <c r="AI1515" s="19"/>
      <c r="AO1515" s="19"/>
      <c r="AY1515" s="145"/>
      <c r="AZ1515" s="16"/>
      <c r="BC1515" s="16"/>
      <c r="BD1515" s="20"/>
      <c r="BE1515" s="17"/>
      <c r="BF1515" s="20"/>
      <c r="BG1515" s="146"/>
      <c r="BH1515" s="146"/>
      <c r="BI1515" s="146"/>
      <c r="BJ1515" s="20"/>
      <c r="BK1515" s="20"/>
      <c r="BL1515" s="154"/>
      <c r="BP1515" s="20"/>
      <c r="BQ1515" s="154"/>
      <c r="BR1515" s="18"/>
      <c r="BS1515" s="16"/>
      <c r="BT1515" s="18"/>
      <c r="BU1515" s="18"/>
      <c r="BV1515" s="18"/>
      <c r="BW1515" s="20"/>
      <c r="BX1515" s="154"/>
      <c r="BY1515" s="18"/>
      <c r="BZ1515" s="146"/>
      <c r="CA1515" s="18"/>
      <c r="CB1515" s="18"/>
      <c r="CC1515" s="20"/>
      <c r="CD1515" s="154"/>
    </row>
    <row r="1516" spans="35:82">
      <c r="AI1516" s="19"/>
      <c r="AO1516" s="19"/>
      <c r="AY1516" s="145"/>
      <c r="AZ1516" s="16"/>
      <c r="BC1516" s="16"/>
      <c r="BD1516" s="20"/>
      <c r="BE1516" s="17"/>
      <c r="BF1516" s="20"/>
      <c r="BG1516" s="146"/>
      <c r="BH1516" s="146"/>
      <c r="BI1516" s="146"/>
      <c r="BJ1516" s="20"/>
      <c r="BK1516" s="20"/>
      <c r="BL1516" s="154"/>
      <c r="BP1516" s="20"/>
      <c r="BQ1516" s="154"/>
      <c r="BR1516" s="18"/>
      <c r="BS1516" s="16"/>
      <c r="BT1516" s="18"/>
      <c r="BU1516" s="18"/>
      <c r="BV1516" s="18"/>
      <c r="BW1516" s="20"/>
      <c r="BX1516" s="154"/>
      <c r="BY1516" s="18"/>
      <c r="BZ1516" s="146"/>
      <c r="CA1516" s="18"/>
      <c r="CB1516" s="18"/>
      <c r="CC1516" s="20"/>
      <c r="CD1516" s="154"/>
    </row>
    <row r="1517" spans="35:82">
      <c r="AI1517" s="19"/>
      <c r="AO1517" s="19"/>
      <c r="AY1517" s="145"/>
      <c r="AZ1517" s="16"/>
      <c r="BC1517" s="16"/>
      <c r="BD1517" s="20"/>
      <c r="BE1517" s="17"/>
      <c r="BF1517" s="20"/>
      <c r="BG1517" s="146"/>
      <c r="BH1517" s="146"/>
      <c r="BI1517" s="146"/>
      <c r="BJ1517" s="20"/>
      <c r="BK1517" s="20"/>
      <c r="BL1517" s="154"/>
      <c r="BP1517" s="20"/>
      <c r="BQ1517" s="154"/>
      <c r="BR1517" s="18"/>
      <c r="BS1517" s="16"/>
      <c r="BT1517" s="18"/>
      <c r="BU1517" s="18"/>
      <c r="BV1517" s="18"/>
      <c r="BW1517" s="20"/>
      <c r="BX1517" s="154"/>
      <c r="BY1517" s="18"/>
      <c r="BZ1517" s="146"/>
      <c r="CA1517" s="18"/>
      <c r="CB1517" s="18"/>
      <c r="CC1517" s="20"/>
      <c r="CD1517" s="154"/>
    </row>
    <row r="1518" spans="35:82">
      <c r="AI1518" s="19"/>
      <c r="AO1518" s="19"/>
      <c r="AY1518" s="145"/>
      <c r="AZ1518" s="16"/>
      <c r="BC1518" s="16"/>
      <c r="BD1518" s="20"/>
      <c r="BE1518" s="17"/>
      <c r="BF1518" s="20"/>
      <c r="BG1518" s="146"/>
      <c r="BH1518" s="146"/>
      <c r="BI1518" s="146"/>
      <c r="BJ1518" s="20"/>
      <c r="BK1518" s="20"/>
      <c r="BL1518" s="154"/>
      <c r="BP1518" s="20"/>
      <c r="BQ1518" s="154"/>
      <c r="BR1518" s="18"/>
      <c r="BS1518" s="16"/>
      <c r="BT1518" s="18"/>
      <c r="BU1518" s="18"/>
      <c r="BV1518" s="18"/>
      <c r="BW1518" s="20"/>
      <c r="BX1518" s="154"/>
      <c r="BY1518" s="18"/>
      <c r="BZ1518" s="146"/>
      <c r="CA1518" s="18"/>
      <c r="CB1518" s="18"/>
      <c r="CC1518" s="20"/>
      <c r="CD1518" s="154"/>
    </row>
    <row r="1519" spans="35:82">
      <c r="AI1519" s="19"/>
      <c r="AO1519" s="19"/>
      <c r="AY1519" s="145"/>
      <c r="AZ1519" s="16"/>
      <c r="BC1519" s="16"/>
      <c r="BD1519" s="20"/>
      <c r="BE1519" s="17"/>
      <c r="BF1519" s="20"/>
      <c r="BG1519" s="146"/>
      <c r="BH1519" s="146"/>
      <c r="BI1519" s="146"/>
      <c r="BJ1519" s="20"/>
      <c r="BK1519" s="20"/>
      <c r="BL1519" s="154"/>
      <c r="BP1519" s="20"/>
      <c r="BQ1519" s="154"/>
      <c r="BR1519" s="18"/>
      <c r="BS1519" s="16"/>
      <c r="BT1519" s="18"/>
      <c r="BU1519" s="18"/>
      <c r="BV1519" s="18"/>
      <c r="BW1519" s="20"/>
      <c r="BX1519" s="154"/>
      <c r="BY1519" s="18"/>
      <c r="BZ1519" s="146"/>
      <c r="CA1519" s="18"/>
      <c r="CB1519" s="18"/>
      <c r="CC1519" s="20"/>
      <c r="CD1519" s="154"/>
    </row>
    <row r="1520" spans="35:82">
      <c r="AI1520" s="19"/>
      <c r="AO1520" s="19"/>
      <c r="AY1520" s="145"/>
      <c r="AZ1520" s="16"/>
      <c r="BC1520" s="16"/>
      <c r="BD1520" s="20"/>
      <c r="BE1520" s="17"/>
      <c r="BF1520" s="20"/>
      <c r="BG1520" s="146"/>
      <c r="BH1520" s="146"/>
      <c r="BI1520" s="146"/>
      <c r="BJ1520" s="20"/>
      <c r="BK1520" s="20"/>
      <c r="BL1520" s="154"/>
      <c r="BP1520" s="20"/>
      <c r="BQ1520" s="154"/>
      <c r="BR1520" s="18"/>
      <c r="BS1520" s="16"/>
      <c r="BT1520" s="18"/>
      <c r="BU1520" s="18"/>
      <c r="BV1520" s="18"/>
      <c r="BW1520" s="20"/>
      <c r="BX1520" s="154"/>
      <c r="BY1520" s="18"/>
      <c r="BZ1520" s="146"/>
      <c r="CA1520" s="18"/>
      <c r="CB1520" s="18"/>
      <c r="CC1520" s="20"/>
      <c r="CD1520" s="154"/>
    </row>
    <row r="1521" spans="35:82">
      <c r="AI1521" s="19"/>
      <c r="AO1521" s="19"/>
      <c r="AY1521" s="145"/>
      <c r="AZ1521" s="16"/>
      <c r="BC1521" s="16"/>
      <c r="BD1521" s="20"/>
      <c r="BE1521" s="17"/>
      <c r="BF1521" s="20"/>
      <c r="BG1521" s="146"/>
      <c r="BH1521" s="146"/>
      <c r="BI1521" s="146"/>
      <c r="BJ1521" s="20"/>
      <c r="BK1521" s="20"/>
      <c r="BL1521" s="154"/>
      <c r="BP1521" s="20"/>
      <c r="BQ1521" s="154"/>
      <c r="BR1521" s="18"/>
      <c r="BS1521" s="16"/>
      <c r="BT1521" s="18"/>
      <c r="BU1521" s="18"/>
      <c r="BV1521" s="18"/>
      <c r="BW1521" s="20"/>
      <c r="BX1521" s="154"/>
      <c r="BY1521" s="18"/>
      <c r="BZ1521" s="146"/>
      <c r="CA1521" s="18"/>
      <c r="CB1521" s="18"/>
      <c r="CC1521" s="20"/>
      <c r="CD1521" s="154"/>
    </row>
    <row r="1522" spans="35:82">
      <c r="AI1522" s="19"/>
      <c r="AO1522" s="19"/>
      <c r="AY1522" s="145"/>
      <c r="AZ1522" s="16"/>
      <c r="BC1522" s="16"/>
      <c r="BD1522" s="20"/>
      <c r="BE1522" s="17"/>
      <c r="BF1522" s="20"/>
      <c r="BG1522" s="146"/>
      <c r="BH1522" s="146"/>
      <c r="BI1522" s="146"/>
      <c r="BJ1522" s="20"/>
      <c r="BK1522" s="20"/>
      <c r="BL1522" s="154"/>
      <c r="BP1522" s="20"/>
      <c r="BQ1522" s="154"/>
      <c r="BR1522" s="18"/>
      <c r="BS1522" s="16"/>
      <c r="BT1522" s="18"/>
      <c r="BU1522" s="18"/>
      <c r="BV1522" s="18"/>
      <c r="BW1522" s="20"/>
      <c r="BX1522" s="154"/>
      <c r="BY1522" s="18"/>
      <c r="BZ1522" s="146"/>
      <c r="CA1522" s="18"/>
      <c r="CB1522" s="18"/>
      <c r="CC1522" s="20"/>
      <c r="CD1522" s="154"/>
    </row>
    <row r="1523" spans="35:82">
      <c r="AI1523" s="19"/>
      <c r="AO1523" s="19"/>
      <c r="AY1523" s="145"/>
      <c r="AZ1523" s="16"/>
      <c r="BC1523" s="16"/>
      <c r="BD1523" s="20"/>
      <c r="BE1523" s="17"/>
      <c r="BF1523" s="20"/>
      <c r="BG1523" s="146"/>
      <c r="BH1523" s="146"/>
      <c r="BI1523" s="146"/>
      <c r="BJ1523" s="20"/>
      <c r="BK1523" s="20"/>
      <c r="BL1523" s="154"/>
      <c r="BP1523" s="20"/>
      <c r="BQ1523" s="154"/>
      <c r="BR1523" s="18"/>
      <c r="BS1523" s="16"/>
      <c r="BT1523" s="18"/>
      <c r="BU1523" s="18"/>
      <c r="BV1523" s="18"/>
      <c r="BW1523" s="20"/>
      <c r="BX1523" s="154"/>
      <c r="BY1523" s="18"/>
      <c r="BZ1523" s="146"/>
      <c r="CA1523" s="18"/>
      <c r="CB1523" s="18"/>
      <c r="CC1523" s="20"/>
      <c r="CD1523" s="154"/>
    </row>
    <row r="1524" spans="35:82">
      <c r="AI1524" s="19"/>
      <c r="AO1524" s="19"/>
      <c r="AY1524" s="145"/>
      <c r="AZ1524" s="16"/>
      <c r="BC1524" s="16"/>
      <c r="BD1524" s="20"/>
      <c r="BE1524" s="17"/>
      <c r="BF1524" s="20"/>
      <c r="BG1524" s="146"/>
      <c r="BH1524" s="146"/>
      <c r="BI1524" s="146"/>
      <c r="BJ1524" s="20"/>
      <c r="BK1524" s="20"/>
      <c r="BL1524" s="154"/>
      <c r="BP1524" s="20"/>
      <c r="BQ1524" s="154"/>
      <c r="BR1524" s="18"/>
      <c r="BS1524" s="16"/>
      <c r="BT1524" s="18"/>
      <c r="BU1524" s="18"/>
      <c r="BV1524" s="18"/>
      <c r="BW1524" s="20"/>
      <c r="BX1524" s="154"/>
      <c r="BY1524" s="18"/>
      <c r="BZ1524" s="146"/>
      <c r="CA1524" s="18"/>
      <c r="CB1524" s="18"/>
      <c r="CC1524" s="20"/>
      <c r="CD1524" s="154"/>
    </row>
    <row r="1525" spans="35:82">
      <c r="AI1525" s="19"/>
      <c r="AO1525" s="19"/>
      <c r="AY1525" s="145"/>
      <c r="AZ1525" s="16"/>
      <c r="BC1525" s="16"/>
      <c r="BD1525" s="20"/>
      <c r="BE1525" s="17"/>
      <c r="BF1525" s="20"/>
      <c r="BG1525" s="146"/>
      <c r="BH1525" s="146"/>
      <c r="BI1525" s="146"/>
      <c r="BJ1525" s="20"/>
      <c r="BK1525" s="20"/>
      <c r="BL1525" s="154"/>
      <c r="BP1525" s="20"/>
      <c r="BQ1525" s="154"/>
      <c r="BR1525" s="18"/>
      <c r="BS1525" s="16"/>
      <c r="BT1525" s="18"/>
      <c r="BU1525" s="18"/>
      <c r="BV1525" s="18"/>
      <c r="BW1525" s="20"/>
      <c r="BX1525" s="154"/>
      <c r="BY1525" s="18"/>
      <c r="BZ1525" s="146"/>
      <c r="CA1525" s="18"/>
      <c r="CB1525" s="18"/>
      <c r="CC1525" s="20"/>
      <c r="CD1525" s="154"/>
    </row>
    <row r="1526" spans="35:82">
      <c r="AI1526" s="19"/>
      <c r="AO1526" s="19"/>
      <c r="AY1526" s="145"/>
      <c r="AZ1526" s="16"/>
      <c r="BC1526" s="16"/>
      <c r="BD1526" s="20"/>
      <c r="BE1526" s="17"/>
      <c r="BF1526" s="20"/>
      <c r="BG1526" s="146"/>
      <c r="BH1526" s="146"/>
      <c r="BI1526" s="146"/>
      <c r="BJ1526" s="20"/>
      <c r="BK1526" s="20"/>
      <c r="BL1526" s="154"/>
      <c r="BP1526" s="20"/>
      <c r="BQ1526" s="154"/>
      <c r="BR1526" s="18"/>
      <c r="BS1526" s="16"/>
      <c r="BT1526" s="18"/>
      <c r="BU1526" s="18"/>
      <c r="BV1526" s="18"/>
      <c r="BW1526" s="20"/>
      <c r="BX1526" s="154"/>
      <c r="BY1526" s="18"/>
      <c r="BZ1526" s="146"/>
      <c r="CA1526" s="18"/>
      <c r="CB1526" s="18"/>
      <c r="CC1526" s="20"/>
      <c r="CD1526" s="154"/>
    </row>
    <row r="1527" spans="35:82">
      <c r="AI1527" s="19"/>
      <c r="AO1527" s="19"/>
      <c r="AY1527" s="145"/>
      <c r="AZ1527" s="16"/>
      <c r="BC1527" s="16"/>
      <c r="BD1527" s="20"/>
      <c r="BE1527" s="17"/>
      <c r="BF1527" s="20"/>
      <c r="BG1527" s="146"/>
      <c r="BH1527" s="146"/>
      <c r="BI1527" s="146"/>
      <c r="BJ1527" s="20"/>
      <c r="BK1527" s="20"/>
      <c r="BL1527" s="154"/>
      <c r="BP1527" s="20"/>
      <c r="BQ1527" s="154"/>
      <c r="BR1527" s="18"/>
      <c r="BS1527" s="16"/>
      <c r="BT1527" s="18"/>
      <c r="BU1527" s="18"/>
      <c r="BV1527" s="18"/>
      <c r="BW1527" s="20"/>
      <c r="BX1527" s="154"/>
      <c r="BY1527" s="18"/>
      <c r="BZ1527" s="146"/>
      <c r="CA1527" s="18"/>
      <c r="CB1527" s="18"/>
      <c r="CC1527" s="20"/>
      <c r="CD1527" s="154"/>
    </row>
    <row r="1528" spans="35:82">
      <c r="AI1528" s="19"/>
      <c r="AO1528" s="19"/>
      <c r="AY1528" s="145"/>
      <c r="AZ1528" s="16"/>
      <c r="BC1528" s="16"/>
      <c r="BD1528" s="20"/>
      <c r="BE1528" s="17"/>
      <c r="BF1528" s="20"/>
      <c r="BG1528" s="146"/>
      <c r="BH1528" s="146"/>
      <c r="BI1528" s="146"/>
      <c r="BJ1528" s="20"/>
      <c r="BK1528" s="20"/>
      <c r="BL1528" s="154"/>
      <c r="BP1528" s="20"/>
      <c r="BQ1528" s="154"/>
      <c r="BR1528" s="18"/>
      <c r="BS1528" s="16"/>
      <c r="BT1528" s="18"/>
      <c r="BU1528" s="18"/>
      <c r="BV1528" s="18"/>
      <c r="BW1528" s="20"/>
      <c r="BX1528" s="154"/>
      <c r="BY1528" s="18"/>
      <c r="BZ1528" s="146"/>
      <c r="CA1528" s="18"/>
      <c r="CB1528" s="18"/>
      <c r="CC1528" s="20"/>
      <c r="CD1528" s="154"/>
    </row>
    <row r="1529" spans="35:82">
      <c r="AI1529" s="19"/>
      <c r="AO1529" s="19"/>
      <c r="AY1529" s="145"/>
      <c r="AZ1529" s="16"/>
      <c r="BC1529" s="16"/>
      <c r="BD1529" s="20"/>
      <c r="BE1529" s="17"/>
      <c r="BF1529" s="20"/>
      <c r="BG1529" s="146"/>
      <c r="BH1529" s="146"/>
      <c r="BI1529" s="146"/>
      <c r="BJ1529" s="20"/>
      <c r="BK1529" s="20"/>
      <c r="BL1529" s="154"/>
      <c r="BP1529" s="20"/>
      <c r="BQ1529" s="154"/>
      <c r="BR1529" s="18"/>
      <c r="BS1529" s="16"/>
      <c r="BT1529" s="18"/>
      <c r="BU1529" s="18"/>
      <c r="BV1529" s="18"/>
      <c r="BW1529" s="20"/>
      <c r="BX1529" s="154"/>
      <c r="BY1529" s="18"/>
      <c r="BZ1529" s="146"/>
      <c r="CA1529" s="18"/>
      <c r="CB1529" s="18"/>
      <c r="CC1529" s="20"/>
      <c r="CD1529" s="154"/>
    </row>
    <row r="1530" spans="35:82">
      <c r="AI1530" s="19"/>
      <c r="AO1530" s="19"/>
      <c r="AY1530" s="145"/>
      <c r="AZ1530" s="16"/>
      <c r="BC1530" s="16"/>
      <c r="BD1530" s="20"/>
      <c r="BE1530" s="17"/>
      <c r="BF1530" s="20"/>
      <c r="BG1530" s="146"/>
      <c r="BH1530" s="146"/>
      <c r="BI1530" s="146"/>
      <c r="BJ1530" s="20"/>
      <c r="BK1530" s="20"/>
      <c r="BL1530" s="154"/>
      <c r="BP1530" s="20"/>
      <c r="BQ1530" s="154"/>
      <c r="BR1530" s="18"/>
      <c r="BS1530" s="16"/>
      <c r="BT1530" s="18"/>
      <c r="BU1530" s="18"/>
      <c r="BV1530" s="18"/>
      <c r="BW1530" s="20"/>
      <c r="BX1530" s="154"/>
      <c r="BY1530" s="18"/>
      <c r="BZ1530" s="146"/>
      <c r="CA1530" s="18"/>
      <c r="CB1530" s="18"/>
      <c r="CC1530" s="20"/>
      <c r="CD1530" s="154"/>
    </row>
    <row r="1531" spans="35:82">
      <c r="AI1531" s="19"/>
      <c r="AO1531" s="19"/>
      <c r="AY1531" s="145"/>
      <c r="AZ1531" s="16"/>
      <c r="BC1531" s="16"/>
      <c r="BD1531" s="20"/>
      <c r="BE1531" s="17"/>
      <c r="BF1531" s="20"/>
      <c r="BG1531" s="146"/>
      <c r="BH1531" s="146"/>
      <c r="BI1531" s="146"/>
      <c r="BJ1531" s="20"/>
      <c r="BK1531" s="20"/>
      <c r="BL1531" s="154"/>
      <c r="BP1531" s="20"/>
      <c r="BQ1531" s="154"/>
      <c r="BR1531" s="18"/>
      <c r="BS1531" s="16"/>
      <c r="BT1531" s="18"/>
      <c r="BU1531" s="18"/>
      <c r="BV1531" s="18"/>
      <c r="BW1531" s="20"/>
      <c r="BX1531" s="154"/>
      <c r="BY1531" s="18"/>
      <c r="BZ1531" s="146"/>
      <c r="CA1531" s="18"/>
      <c r="CB1531" s="18"/>
      <c r="CC1531" s="20"/>
      <c r="CD1531" s="154"/>
    </row>
    <row r="1532" spans="35:82">
      <c r="AI1532" s="19"/>
      <c r="AO1532" s="19"/>
      <c r="AY1532" s="145"/>
      <c r="AZ1532" s="16"/>
      <c r="BC1532" s="16"/>
      <c r="BD1532" s="20"/>
      <c r="BE1532" s="17"/>
      <c r="BF1532" s="20"/>
      <c r="BG1532" s="146"/>
      <c r="BH1532" s="146"/>
      <c r="BI1532" s="146"/>
      <c r="BJ1532" s="20"/>
      <c r="BK1532" s="20"/>
      <c r="BL1532" s="154"/>
      <c r="BP1532" s="20"/>
      <c r="BQ1532" s="154"/>
      <c r="BR1532" s="18"/>
      <c r="BS1532" s="16"/>
      <c r="BT1532" s="18"/>
      <c r="BU1532" s="18"/>
      <c r="BV1532" s="18"/>
      <c r="BW1532" s="20"/>
      <c r="BX1532" s="154"/>
      <c r="BY1532" s="18"/>
      <c r="BZ1532" s="146"/>
      <c r="CA1532" s="18"/>
      <c r="CB1532" s="18"/>
      <c r="CC1532" s="20"/>
      <c r="CD1532" s="154"/>
    </row>
    <row r="1533" spans="35:82">
      <c r="AI1533" s="19"/>
      <c r="AO1533" s="19"/>
      <c r="AY1533" s="145"/>
      <c r="AZ1533" s="16"/>
      <c r="BC1533" s="16"/>
      <c r="BD1533" s="20"/>
      <c r="BE1533" s="17"/>
      <c r="BF1533" s="20"/>
      <c r="BG1533" s="146"/>
      <c r="BH1533" s="146"/>
      <c r="BI1533" s="146"/>
      <c r="BJ1533" s="20"/>
      <c r="BK1533" s="20"/>
      <c r="BL1533" s="154"/>
      <c r="BP1533" s="20"/>
      <c r="BQ1533" s="154"/>
      <c r="BR1533" s="18"/>
      <c r="BS1533" s="16"/>
      <c r="BT1533" s="18"/>
      <c r="BU1533" s="18"/>
      <c r="BV1533" s="18"/>
      <c r="BW1533" s="20"/>
      <c r="BX1533" s="154"/>
      <c r="BY1533" s="18"/>
      <c r="BZ1533" s="146"/>
      <c r="CA1533" s="18"/>
      <c r="CB1533" s="18"/>
      <c r="CC1533" s="20"/>
      <c r="CD1533" s="154"/>
    </row>
    <row r="1534" spans="35:82">
      <c r="AI1534" s="19"/>
      <c r="AO1534" s="19"/>
      <c r="AY1534" s="145"/>
      <c r="AZ1534" s="16"/>
      <c r="BC1534" s="16"/>
      <c r="BD1534" s="20"/>
      <c r="BE1534" s="17"/>
      <c r="BF1534" s="20"/>
      <c r="BG1534" s="146"/>
      <c r="BH1534" s="146"/>
      <c r="BI1534" s="146"/>
      <c r="BJ1534" s="20"/>
      <c r="BK1534" s="20"/>
      <c r="BL1534" s="154"/>
      <c r="BP1534" s="20"/>
      <c r="BQ1534" s="154"/>
      <c r="BR1534" s="18"/>
      <c r="BS1534" s="16"/>
      <c r="BT1534" s="18"/>
      <c r="BU1534" s="18"/>
      <c r="BV1534" s="18"/>
      <c r="BW1534" s="20"/>
      <c r="BX1534" s="154"/>
      <c r="BY1534" s="18"/>
      <c r="BZ1534" s="146"/>
      <c r="CA1534" s="18"/>
      <c r="CB1534" s="18"/>
      <c r="CC1534" s="20"/>
      <c r="CD1534" s="154"/>
    </row>
    <row r="1535" spans="35:82">
      <c r="AI1535" s="19"/>
      <c r="AO1535" s="19"/>
      <c r="AY1535" s="145"/>
      <c r="AZ1535" s="16"/>
      <c r="BC1535" s="16"/>
      <c r="BD1535" s="20"/>
      <c r="BE1535" s="17"/>
      <c r="BF1535" s="20"/>
      <c r="BG1535" s="146"/>
      <c r="BH1535" s="146"/>
      <c r="BI1535" s="146"/>
      <c r="BJ1535" s="20"/>
      <c r="BK1535" s="20"/>
      <c r="BL1535" s="154"/>
      <c r="BP1535" s="20"/>
      <c r="BQ1535" s="154"/>
      <c r="BR1535" s="18"/>
      <c r="BS1535" s="16"/>
      <c r="BT1535" s="18"/>
      <c r="BU1535" s="18"/>
      <c r="BV1535" s="18"/>
      <c r="BW1535" s="20"/>
      <c r="BX1535" s="154"/>
      <c r="BY1535" s="18"/>
      <c r="BZ1535" s="146"/>
      <c r="CA1535" s="18"/>
      <c r="CB1535" s="18"/>
      <c r="CC1535" s="20"/>
      <c r="CD1535" s="154"/>
    </row>
    <row r="1536" spans="35:82">
      <c r="AI1536" s="19"/>
      <c r="AO1536" s="19"/>
      <c r="AY1536" s="145"/>
      <c r="AZ1536" s="16"/>
      <c r="BC1536" s="16"/>
      <c r="BD1536" s="20"/>
      <c r="BE1536" s="17"/>
      <c r="BF1536" s="20"/>
      <c r="BG1536" s="146"/>
      <c r="BH1536" s="146"/>
      <c r="BI1536" s="146"/>
      <c r="BJ1536" s="20"/>
      <c r="BK1536" s="20"/>
      <c r="BL1536" s="154"/>
      <c r="BP1536" s="20"/>
      <c r="BQ1536" s="154"/>
      <c r="BR1536" s="18"/>
      <c r="BS1536" s="16"/>
      <c r="BT1536" s="18"/>
      <c r="BU1536" s="18"/>
      <c r="BV1536" s="18"/>
      <c r="BW1536" s="20"/>
      <c r="BX1536" s="154"/>
      <c r="BY1536" s="18"/>
      <c r="BZ1536" s="146"/>
      <c r="CA1536" s="18"/>
      <c r="CB1536" s="18"/>
      <c r="CC1536" s="20"/>
      <c r="CD1536" s="154"/>
    </row>
    <row r="1537" spans="35:82">
      <c r="AI1537" s="19"/>
      <c r="AO1537" s="19"/>
      <c r="AY1537" s="145"/>
      <c r="AZ1537" s="16"/>
      <c r="BC1537" s="16"/>
      <c r="BD1537" s="20"/>
      <c r="BE1537" s="17"/>
      <c r="BF1537" s="20"/>
      <c r="BG1537" s="146"/>
      <c r="BH1537" s="146"/>
      <c r="BI1537" s="146"/>
      <c r="BJ1537" s="20"/>
      <c r="BK1537" s="20"/>
      <c r="BL1537" s="154"/>
      <c r="BP1537" s="20"/>
      <c r="BQ1537" s="154"/>
      <c r="BR1537" s="18"/>
      <c r="BS1537" s="16"/>
      <c r="BT1537" s="18"/>
      <c r="BU1537" s="18"/>
      <c r="BV1537" s="18"/>
      <c r="BW1537" s="20"/>
      <c r="BX1537" s="154"/>
      <c r="BY1537" s="18"/>
      <c r="BZ1537" s="146"/>
      <c r="CA1537" s="18"/>
      <c r="CB1537" s="18"/>
      <c r="CC1537" s="20"/>
      <c r="CD1537" s="154"/>
    </row>
    <row r="1538" spans="35:82">
      <c r="AI1538" s="19"/>
      <c r="AO1538" s="19"/>
      <c r="AY1538" s="145"/>
      <c r="AZ1538" s="16"/>
      <c r="BC1538" s="16"/>
      <c r="BD1538" s="20"/>
      <c r="BE1538" s="17"/>
      <c r="BF1538" s="20"/>
      <c r="BG1538" s="146"/>
      <c r="BH1538" s="146"/>
      <c r="BI1538" s="146"/>
      <c r="BJ1538" s="20"/>
      <c r="BK1538" s="20"/>
      <c r="BL1538" s="154"/>
      <c r="BP1538" s="20"/>
      <c r="BQ1538" s="154"/>
      <c r="BR1538" s="18"/>
      <c r="BS1538" s="16"/>
      <c r="BT1538" s="18"/>
      <c r="BU1538" s="18"/>
      <c r="BV1538" s="18"/>
      <c r="BW1538" s="20"/>
      <c r="BX1538" s="154"/>
      <c r="BY1538" s="18"/>
      <c r="BZ1538" s="146"/>
      <c r="CA1538" s="18"/>
      <c r="CB1538" s="18"/>
      <c r="CC1538" s="20"/>
      <c r="CD1538" s="154"/>
    </row>
    <row r="1539" spans="35:82">
      <c r="AI1539" s="19"/>
      <c r="AO1539" s="19"/>
      <c r="AY1539" s="145"/>
      <c r="AZ1539" s="16"/>
      <c r="BC1539" s="16"/>
      <c r="BD1539" s="20"/>
      <c r="BE1539" s="17"/>
      <c r="BF1539" s="20"/>
      <c r="BG1539" s="146"/>
      <c r="BH1539" s="146"/>
      <c r="BI1539" s="146"/>
      <c r="BJ1539" s="20"/>
      <c r="BK1539" s="20"/>
      <c r="BL1539" s="154"/>
      <c r="BP1539" s="20"/>
      <c r="BQ1539" s="154"/>
      <c r="BR1539" s="18"/>
      <c r="BS1539" s="16"/>
      <c r="BT1539" s="18"/>
      <c r="BU1539" s="18"/>
      <c r="BV1539" s="18"/>
      <c r="BW1539" s="20"/>
      <c r="BX1539" s="154"/>
      <c r="BY1539" s="18"/>
      <c r="BZ1539" s="146"/>
      <c r="CA1539" s="18"/>
      <c r="CB1539" s="18"/>
      <c r="CC1539" s="20"/>
      <c r="CD1539" s="154"/>
    </row>
    <row r="1540" spans="35:82">
      <c r="AI1540" s="19"/>
      <c r="AO1540" s="19"/>
      <c r="AY1540" s="145"/>
      <c r="AZ1540" s="16"/>
      <c r="BC1540" s="16"/>
      <c r="BD1540" s="20"/>
      <c r="BE1540" s="17"/>
      <c r="BF1540" s="20"/>
      <c r="BG1540" s="146"/>
      <c r="BH1540" s="146"/>
      <c r="BI1540" s="146"/>
      <c r="BJ1540" s="20"/>
      <c r="BK1540" s="20"/>
      <c r="BL1540" s="154"/>
      <c r="BP1540" s="20"/>
      <c r="BQ1540" s="154"/>
      <c r="BR1540" s="18"/>
      <c r="BS1540" s="16"/>
      <c r="BT1540" s="18"/>
      <c r="BU1540" s="18"/>
      <c r="BV1540" s="18"/>
      <c r="BW1540" s="20"/>
      <c r="BX1540" s="154"/>
      <c r="BY1540" s="18"/>
      <c r="BZ1540" s="146"/>
      <c r="CA1540" s="18"/>
      <c r="CB1540" s="18"/>
      <c r="CC1540" s="20"/>
      <c r="CD1540" s="154"/>
    </row>
    <row r="1541" spans="35:82">
      <c r="AI1541" s="19"/>
      <c r="AO1541" s="19"/>
      <c r="AY1541" s="145"/>
      <c r="AZ1541" s="16"/>
      <c r="BC1541" s="16"/>
      <c r="BD1541" s="20"/>
      <c r="BE1541" s="17"/>
      <c r="BF1541" s="20"/>
      <c r="BG1541" s="146"/>
      <c r="BH1541" s="146"/>
      <c r="BI1541" s="146"/>
      <c r="BJ1541" s="20"/>
      <c r="BK1541" s="20"/>
      <c r="BL1541" s="154"/>
      <c r="BP1541" s="20"/>
      <c r="BQ1541" s="154"/>
      <c r="BR1541" s="18"/>
      <c r="BS1541" s="16"/>
      <c r="BT1541" s="18"/>
      <c r="BU1541" s="18"/>
      <c r="BV1541" s="18"/>
      <c r="BW1541" s="20"/>
      <c r="BX1541" s="154"/>
      <c r="BY1541" s="18"/>
      <c r="BZ1541" s="146"/>
      <c r="CA1541" s="18"/>
      <c r="CB1541" s="18"/>
      <c r="CC1541" s="20"/>
      <c r="CD1541" s="154"/>
    </row>
    <row r="1542" spans="35:82">
      <c r="AI1542" s="19"/>
      <c r="AO1542" s="19"/>
      <c r="AY1542" s="145"/>
      <c r="AZ1542" s="16"/>
      <c r="BC1542" s="16"/>
      <c r="BD1542" s="20"/>
      <c r="BE1542" s="17"/>
      <c r="BF1542" s="20"/>
      <c r="BG1542" s="146"/>
      <c r="BH1542" s="146"/>
      <c r="BI1542" s="146"/>
      <c r="BJ1542" s="20"/>
      <c r="BK1542" s="20"/>
      <c r="BL1542" s="154"/>
      <c r="BP1542" s="20"/>
      <c r="BQ1542" s="154"/>
      <c r="BR1542" s="18"/>
      <c r="BS1542" s="16"/>
      <c r="BT1542" s="18"/>
      <c r="BU1542" s="18"/>
      <c r="BV1542" s="18"/>
      <c r="BW1542" s="20"/>
      <c r="BX1542" s="154"/>
      <c r="BY1542" s="18"/>
      <c r="BZ1542" s="146"/>
      <c r="CA1542" s="18"/>
      <c r="CB1542" s="18"/>
      <c r="CC1542" s="20"/>
      <c r="CD1542" s="154"/>
    </row>
    <row r="1543" spans="35:82">
      <c r="AI1543" s="19"/>
      <c r="AO1543" s="19"/>
      <c r="AY1543" s="145"/>
      <c r="AZ1543" s="16"/>
      <c r="BC1543" s="16"/>
      <c r="BD1543" s="20"/>
      <c r="BE1543" s="17"/>
      <c r="BF1543" s="20"/>
      <c r="BG1543" s="146"/>
      <c r="BH1543" s="146"/>
      <c r="BI1543" s="146"/>
      <c r="BJ1543" s="20"/>
      <c r="BK1543" s="20"/>
      <c r="BL1543" s="154"/>
      <c r="BP1543" s="20"/>
      <c r="BQ1543" s="154"/>
      <c r="BR1543" s="18"/>
      <c r="BS1543" s="16"/>
      <c r="BT1543" s="18"/>
      <c r="BU1543" s="18"/>
      <c r="BV1543" s="18"/>
      <c r="BW1543" s="20"/>
      <c r="BX1543" s="154"/>
      <c r="BY1543" s="18"/>
      <c r="BZ1543" s="146"/>
      <c r="CA1543" s="18"/>
      <c r="CB1543" s="18"/>
      <c r="CC1543" s="20"/>
      <c r="CD1543" s="154"/>
    </row>
    <row r="1544" spans="35:82">
      <c r="AI1544" s="19"/>
      <c r="AO1544" s="19"/>
      <c r="AY1544" s="145"/>
      <c r="AZ1544" s="16"/>
      <c r="BC1544" s="16"/>
      <c r="BD1544" s="20"/>
      <c r="BE1544" s="17"/>
      <c r="BF1544" s="20"/>
      <c r="BG1544" s="146"/>
      <c r="BH1544" s="146"/>
      <c r="BI1544" s="146"/>
      <c r="BJ1544" s="20"/>
      <c r="BK1544" s="20"/>
      <c r="BL1544" s="154"/>
      <c r="BP1544" s="20"/>
      <c r="BQ1544" s="154"/>
      <c r="BR1544" s="18"/>
      <c r="BS1544" s="16"/>
      <c r="BT1544" s="18"/>
      <c r="BU1544" s="18"/>
      <c r="BV1544" s="18"/>
      <c r="BW1544" s="20"/>
      <c r="BX1544" s="154"/>
      <c r="BY1544" s="18"/>
      <c r="BZ1544" s="146"/>
      <c r="CA1544" s="18"/>
      <c r="CB1544" s="18"/>
      <c r="CC1544" s="20"/>
      <c r="CD1544" s="154"/>
    </row>
    <row r="1545" spans="35:82">
      <c r="AI1545" s="19"/>
      <c r="AO1545" s="19"/>
      <c r="AY1545" s="145"/>
      <c r="AZ1545" s="16"/>
      <c r="BC1545" s="16"/>
      <c r="BD1545" s="20"/>
      <c r="BE1545" s="17"/>
      <c r="BF1545" s="20"/>
      <c r="BG1545" s="146"/>
      <c r="BH1545" s="146"/>
      <c r="BI1545" s="146"/>
      <c r="BJ1545" s="20"/>
      <c r="BK1545" s="20"/>
      <c r="BL1545" s="154"/>
      <c r="BP1545" s="20"/>
      <c r="BQ1545" s="154"/>
      <c r="BR1545" s="18"/>
      <c r="BS1545" s="16"/>
      <c r="BT1545" s="18"/>
      <c r="BU1545" s="18"/>
      <c r="BV1545" s="18"/>
      <c r="BW1545" s="20"/>
      <c r="BX1545" s="154"/>
      <c r="BY1545" s="18"/>
      <c r="BZ1545" s="146"/>
      <c r="CA1545" s="18"/>
      <c r="CB1545" s="18"/>
      <c r="CC1545" s="20"/>
      <c r="CD1545" s="154"/>
    </row>
    <row r="1546" spans="35:82">
      <c r="AI1546" s="19"/>
      <c r="AO1546" s="19"/>
      <c r="AY1546" s="145"/>
      <c r="AZ1546" s="16"/>
      <c r="BC1546" s="16"/>
      <c r="BD1546" s="20"/>
      <c r="BE1546" s="17"/>
      <c r="BF1546" s="20"/>
      <c r="BG1546" s="146"/>
      <c r="BH1546" s="146"/>
      <c r="BI1546" s="146"/>
      <c r="BJ1546" s="20"/>
      <c r="BK1546" s="20"/>
      <c r="BL1546" s="154"/>
      <c r="BP1546" s="20"/>
      <c r="BQ1546" s="154"/>
      <c r="BR1546" s="18"/>
      <c r="BS1546" s="16"/>
      <c r="BT1546" s="18"/>
      <c r="BU1546" s="18"/>
      <c r="BV1546" s="18"/>
      <c r="BW1546" s="20"/>
      <c r="BX1546" s="154"/>
      <c r="BY1546" s="18"/>
      <c r="BZ1546" s="146"/>
      <c r="CA1546" s="18"/>
      <c r="CB1546" s="18"/>
      <c r="CC1546" s="20"/>
      <c r="CD1546" s="154"/>
    </row>
    <row r="1547" spans="35:82">
      <c r="AI1547" s="19"/>
      <c r="AO1547" s="19"/>
      <c r="AY1547" s="145"/>
      <c r="AZ1547" s="16"/>
      <c r="BC1547" s="16"/>
      <c r="BD1547" s="20"/>
      <c r="BE1547" s="17"/>
      <c r="BF1547" s="20"/>
      <c r="BG1547" s="146"/>
      <c r="BH1547" s="146"/>
      <c r="BI1547" s="146"/>
      <c r="BJ1547" s="20"/>
      <c r="BK1547" s="20"/>
      <c r="BL1547" s="154"/>
      <c r="BP1547" s="20"/>
      <c r="BQ1547" s="154"/>
      <c r="BR1547" s="18"/>
      <c r="BS1547" s="16"/>
      <c r="BT1547" s="18"/>
      <c r="BU1547" s="18"/>
      <c r="BV1547" s="18"/>
      <c r="BW1547" s="20"/>
      <c r="BX1547" s="154"/>
      <c r="BY1547" s="18"/>
      <c r="BZ1547" s="146"/>
      <c r="CA1547" s="18"/>
      <c r="CB1547" s="18"/>
      <c r="CC1547" s="20"/>
      <c r="CD1547" s="154"/>
    </row>
    <row r="1548" spans="35:82">
      <c r="AI1548" s="19"/>
      <c r="AO1548" s="19"/>
      <c r="AY1548" s="145"/>
      <c r="AZ1548" s="16"/>
      <c r="BC1548" s="16"/>
      <c r="BD1548" s="20"/>
      <c r="BE1548" s="17"/>
      <c r="BF1548" s="20"/>
      <c r="BG1548" s="146"/>
      <c r="BH1548" s="146"/>
      <c r="BI1548" s="146"/>
      <c r="BJ1548" s="20"/>
      <c r="BK1548" s="20"/>
      <c r="BL1548" s="154"/>
      <c r="BP1548" s="20"/>
      <c r="BQ1548" s="154"/>
      <c r="BR1548" s="18"/>
      <c r="BS1548" s="16"/>
      <c r="BT1548" s="18"/>
      <c r="BU1548" s="18"/>
      <c r="BV1548" s="18"/>
      <c r="BW1548" s="20"/>
      <c r="BX1548" s="154"/>
      <c r="BY1548" s="18"/>
      <c r="BZ1548" s="146"/>
      <c r="CA1548" s="18"/>
      <c r="CB1548" s="18"/>
      <c r="CC1548" s="20"/>
      <c r="CD1548" s="154"/>
    </row>
    <row r="1549" spans="35:82">
      <c r="AI1549" s="19"/>
      <c r="AO1549" s="19"/>
      <c r="AY1549" s="145"/>
      <c r="AZ1549" s="16"/>
      <c r="BC1549" s="16"/>
      <c r="BD1549" s="20"/>
      <c r="BE1549" s="17"/>
      <c r="BF1549" s="20"/>
      <c r="BG1549" s="146"/>
      <c r="BH1549" s="146"/>
      <c r="BI1549" s="146"/>
      <c r="BJ1549" s="20"/>
      <c r="BK1549" s="20"/>
      <c r="BL1549" s="154"/>
      <c r="BP1549" s="20"/>
      <c r="BQ1549" s="154"/>
      <c r="BR1549" s="18"/>
      <c r="BS1549" s="16"/>
      <c r="BT1549" s="18"/>
      <c r="BU1549" s="18"/>
      <c r="BV1549" s="18"/>
      <c r="BW1549" s="20"/>
      <c r="BX1549" s="154"/>
      <c r="BY1549" s="18"/>
      <c r="BZ1549" s="146"/>
      <c r="CA1549" s="18"/>
      <c r="CB1549" s="18"/>
      <c r="CC1549" s="20"/>
      <c r="CD1549" s="154"/>
    </row>
    <row r="1550" spans="35:82">
      <c r="AI1550" s="19"/>
      <c r="AO1550" s="19"/>
      <c r="AY1550" s="145"/>
      <c r="AZ1550" s="16"/>
      <c r="BC1550" s="16"/>
      <c r="BD1550" s="20"/>
      <c r="BE1550" s="17"/>
      <c r="BF1550" s="20"/>
      <c r="BG1550" s="146"/>
      <c r="BH1550" s="146"/>
      <c r="BI1550" s="146"/>
      <c r="BJ1550" s="20"/>
      <c r="BK1550" s="20"/>
      <c r="BL1550" s="154"/>
      <c r="BP1550" s="20"/>
      <c r="BQ1550" s="154"/>
      <c r="BR1550" s="18"/>
      <c r="BS1550" s="16"/>
      <c r="BT1550" s="18"/>
      <c r="BU1550" s="18"/>
      <c r="BV1550" s="18"/>
      <c r="BW1550" s="20"/>
      <c r="BX1550" s="154"/>
      <c r="BY1550" s="18"/>
      <c r="BZ1550" s="146"/>
      <c r="CA1550" s="18"/>
      <c r="CB1550" s="18"/>
      <c r="CC1550" s="20"/>
      <c r="CD1550" s="154"/>
    </row>
    <row r="1551" spans="35:82">
      <c r="AI1551" s="19"/>
      <c r="AO1551" s="19"/>
      <c r="AY1551" s="145"/>
      <c r="AZ1551" s="16"/>
      <c r="BC1551" s="16"/>
      <c r="BD1551" s="20"/>
      <c r="BE1551" s="17"/>
      <c r="BF1551" s="20"/>
      <c r="BG1551" s="146"/>
      <c r="BH1551" s="146"/>
      <c r="BI1551" s="146"/>
      <c r="BJ1551" s="20"/>
      <c r="BK1551" s="20"/>
      <c r="BL1551" s="154"/>
      <c r="BP1551" s="20"/>
      <c r="BQ1551" s="154"/>
      <c r="BR1551" s="18"/>
      <c r="BS1551" s="16"/>
      <c r="BT1551" s="18"/>
      <c r="BU1551" s="18"/>
      <c r="BV1551" s="18"/>
      <c r="BW1551" s="20"/>
      <c r="BX1551" s="154"/>
      <c r="BY1551" s="18"/>
      <c r="BZ1551" s="146"/>
      <c r="CA1551" s="18"/>
      <c r="CB1551" s="18"/>
      <c r="CC1551" s="20"/>
      <c r="CD1551" s="154"/>
    </row>
    <row r="1552" spans="35:82">
      <c r="AI1552" s="19"/>
      <c r="AO1552" s="19"/>
      <c r="AY1552" s="145"/>
      <c r="AZ1552" s="16"/>
      <c r="BC1552" s="16"/>
      <c r="BD1552" s="20"/>
      <c r="BE1552" s="17"/>
      <c r="BF1552" s="20"/>
      <c r="BG1552" s="146"/>
      <c r="BH1552" s="146"/>
      <c r="BI1552" s="146"/>
      <c r="BJ1552" s="20"/>
      <c r="BK1552" s="20"/>
      <c r="BL1552" s="154"/>
      <c r="BP1552" s="20"/>
      <c r="BQ1552" s="154"/>
      <c r="BR1552" s="18"/>
      <c r="BS1552" s="16"/>
      <c r="BT1552" s="18"/>
      <c r="BU1552" s="18"/>
      <c r="BV1552" s="18"/>
      <c r="BW1552" s="20"/>
      <c r="BX1552" s="154"/>
      <c r="BY1552" s="18"/>
      <c r="BZ1552" s="146"/>
      <c r="CA1552" s="18"/>
      <c r="CB1552" s="18"/>
      <c r="CC1552" s="20"/>
      <c r="CD1552" s="154"/>
    </row>
    <row r="1553" spans="35:82">
      <c r="AI1553" s="19"/>
      <c r="AO1553" s="19"/>
      <c r="AY1553" s="145"/>
      <c r="AZ1553" s="16"/>
      <c r="BC1553" s="16"/>
      <c r="BD1553" s="20"/>
      <c r="BE1553" s="17"/>
      <c r="BF1553" s="20"/>
      <c r="BG1553" s="146"/>
      <c r="BH1553" s="146"/>
      <c r="BI1553" s="146"/>
      <c r="BJ1553" s="20"/>
      <c r="BK1553" s="20"/>
      <c r="BL1553" s="154"/>
      <c r="BP1553" s="20"/>
      <c r="BQ1553" s="154"/>
      <c r="BR1553" s="18"/>
      <c r="BS1553" s="16"/>
      <c r="BT1553" s="18"/>
      <c r="BU1553" s="18"/>
      <c r="BV1553" s="18"/>
      <c r="BW1553" s="20"/>
      <c r="BX1553" s="154"/>
      <c r="BY1553" s="18"/>
      <c r="BZ1553" s="146"/>
      <c r="CA1553" s="18"/>
      <c r="CB1553" s="18"/>
      <c r="CC1553" s="20"/>
      <c r="CD1553" s="154"/>
    </row>
    <row r="1554" spans="35:82">
      <c r="AI1554" s="19"/>
      <c r="AO1554" s="19"/>
      <c r="AY1554" s="145"/>
      <c r="AZ1554" s="16"/>
      <c r="BC1554" s="16"/>
      <c r="BD1554" s="20"/>
      <c r="BE1554" s="17"/>
      <c r="BF1554" s="20"/>
      <c r="BG1554" s="146"/>
      <c r="BH1554" s="146"/>
      <c r="BI1554" s="146"/>
      <c r="BJ1554" s="20"/>
      <c r="BK1554" s="20"/>
      <c r="BL1554" s="154"/>
      <c r="BP1554" s="20"/>
      <c r="BQ1554" s="154"/>
      <c r="BR1554" s="18"/>
      <c r="BS1554" s="16"/>
      <c r="BT1554" s="18"/>
      <c r="BU1554" s="18"/>
      <c r="BV1554" s="18"/>
      <c r="BW1554" s="20"/>
      <c r="BX1554" s="154"/>
      <c r="BY1554" s="18"/>
      <c r="BZ1554" s="146"/>
      <c r="CA1554" s="18"/>
      <c r="CB1554" s="18"/>
      <c r="CC1554" s="20"/>
      <c r="CD1554" s="154"/>
    </row>
    <row r="1555" spans="35:82">
      <c r="AI1555" s="19"/>
      <c r="AO1555" s="19"/>
      <c r="AY1555" s="145"/>
      <c r="AZ1555" s="16"/>
      <c r="BC1555" s="16"/>
      <c r="BD1555" s="20"/>
      <c r="BE1555" s="17"/>
      <c r="BF1555" s="20"/>
      <c r="BG1555" s="146"/>
      <c r="BH1555" s="146"/>
      <c r="BI1555" s="146"/>
      <c r="BJ1555" s="20"/>
      <c r="BK1555" s="20"/>
      <c r="BL1555" s="154"/>
      <c r="BP1555" s="20"/>
      <c r="BQ1555" s="154"/>
      <c r="BR1555" s="18"/>
      <c r="BS1555" s="16"/>
      <c r="BT1555" s="18"/>
      <c r="BU1555" s="18"/>
      <c r="BV1555" s="18"/>
      <c r="BW1555" s="20"/>
      <c r="BX1555" s="154"/>
      <c r="BY1555" s="18"/>
      <c r="BZ1555" s="146"/>
      <c r="CA1555" s="18"/>
      <c r="CB1555" s="18"/>
      <c r="CC1555" s="20"/>
      <c r="CD1555" s="154"/>
    </row>
    <row r="1556" spans="35:82">
      <c r="AI1556" s="19"/>
      <c r="AO1556" s="19"/>
      <c r="AY1556" s="145"/>
      <c r="AZ1556" s="16"/>
      <c r="BC1556" s="16"/>
      <c r="BD1556" s="20"/>
      <c r="BE1556" s="17"/>
      <c r="BF1556" s="20"/>
      <c r="BG1556" s="146"/>
      <c r="BH1556" s="146"/>
      <c r="BI1556" s="146"/>
      <c r="BJ1556" s="20"/>
      <c r="BK1556" s="20"/>
      <c r="BL1556" s="154"/>
      <c r="BP1556" s="20"/>
      <c r="BQ1556" s="154"/>
      <c r="BR1556" s="18"/>
      <c r="BS1556" s="16"/>
      <c r="BT1556" s="18"/>
      <c r="BU1556" s="18"/>
      <c r="BV1556" s="18"/>
      <c r="BW1556" s="20"/>
      <c r="BX1556" s="154"/>
      <c r="BY1556" s="18"/>
      <c r="BZ1556" s="146"/>
      <c r="CA1556" s="18"/>
      <c r="CB1556" s="18"/>
      <c r="CC1556" s="20"/>
      <c r="CD1556" s="154"/>
    </row>
    <row r="1557" spans="35:82">
      <c r="AI1557" s="19"/>
      <c r="AO1557" s="19"/>
      <c r="AY1557" s="145"/>
      <c r="AZ1557" s="16"/>
      <c r="BC1557" s="16"/>
      <c r="BD1557" s="20"/>
      <c r="BE1557" s="17"/>
      <c r="BF1557" s="20"/>
      <c r="BG1557" s="146"/>
      <c r="BH1557" s="146"/>
      <c r="BI1557" s="146"/>
      <c r="BJ1557" s="20"/>
      <c r="BK1557" s="20"/>
      <c r="BL1557" s="154"/>
      <c r="BP1557" s="20"/>
      <c r="BQ1557" s="154"/>
      <c r="BR1557" s="18"/>
      <c r="BS1557" s="16"/>
      <c r="BT1557" s="18"/>
      <c r="BU1557" s="18"/>
      <c r="BV1557" s="18"/>
      <c r="BW1557" s="20"/>
      <c r="BX1557" s="154"/>
      <c r="BY1557" s="18"/>
      <c r="BZ1557" s="146"/>
      <c r="CA1557" s="18"/>
      <c r="CB1557" s="18"/>
      <c r="CC1557" s="20"/>
      <c r="CD1557" s="154"/>
    </row>
    <row r="1558" spans="35:82">
      <c r="AI1558" s="19"/>
      <c r="AO1558" s="19"/>
      <c r="AY1558" s="145"/>
      <c r="AZ1558" s="16"/>
      <c r="BC1558" s="16"/>
      <c r="BD1558" s="20"/>
      <c r="BE1558" s="17"/>
      <c r="BF1558" s="20"/>
      <c r="BG1558" s="146"/>
      <c r="BH1558" s="146"/>
      <c r="BI1558" s="146"/>
      <c r="BJ1558" s="20"/>
      <c r="BK1558" s="20"/>
      <c r="BL1558" s="154"/>
      <c r="BP1558" s="20"/>
      <c r="BQ1558" s="154"/>
      <c r="BR1558" s="18"/>
      <c r="BS1558" s="16"/>
      <c r="BT1558" s="18"/>
      <c r="BU1558" s="18"/>
      <c r="BV1558" s="18"/>
      <c r="BW1558" s="20"/>
      <c r="BX1558" s="154"/>
      <c r="BY1558" s="18"/>
      <c r="BZ1558" s="146"/>
      <c r="CA1558" s="18"/>
      <c r="CB1558" s="18"/>
      <c r="CC1558" s="20"/>
      <c r="CD1558" s="154"/>
    </row>
    <row r="1559" spans="35:82">
      <c r="AI1559" s="19"/>
      <c r="AO1559" s="19"/>
      <c r="AY1559" s="145"/>
      <c r="AZ1559" s="16"/>
      <c r="BC1559" s="16"/>
      <c r="BD1559" s="20"/>
      <c r="BE1559" s="17"/>
      <c r="BF1559" s="20"/>
      <c r="BG1559" s="146"/>
      <c r="BH1559" s="146"/>
      <c r="BI1559" s="146"/>
      <c r="BJ1559" s="20"/>
      <c r="BK1559" s="20"/>
      <c r="BL1559" s="154"/>
      <c r="BP1559" s="20"/>
      <c r="BQ1559" s="154"/>
      <c r="BR1559" s="18"/>
      <c r="BS1559" s="16"/>
      <c r="BT1559" s="18"/>
      <c r="BU1559" s="18"/>
      <c r="BV1559" s="18"/>
      <c r="BW1559" s="20"/>
      <c r="BX1559" s="154"/>
      <c r="BY1559" s="18"/>
      <c r="BZ1559" s="146"/>
      <c r="CA1559" s="18"/>
      <c r="CB1559" s="18"/>
      <c r="CC1559" s="20"/>
      <c r="CD1559" s="154"/>
    </row>
    <row r="1560" spans="35:82">
      <c r="AI1560" s="19"/>
      <c r="AO1560" s="19"/>
      <c r="AY1560" s="145"/>
      <c r="AZ1560" s="16"/>
      <c r="BC1560" s="16"/>
      <c r="BD1560" s="20"/>
      <c r="BE1560" s="17"/>
      <c r="BF1560" s="20"/>
      <c r="BG1560" s="146"/>
      <c r="BH1560" s="146"/>
      <c r="BI1560" s="146"/>
      <c r="BJ1560" s="20"/>
      <c r="BK1560" s="20"/>
      <c r="BL1560" s="154"/>
      <c r="BP1560" s="20"/>
      <c r="BQ1560" s="154"/>
      <c r="BR1560" s="18"/>
      <c r="BS1560" s="16"/>
      <c r="BT1560" s="18"/>
      <c r="BU1560" s="18"/>
      <c r="BV1560" s="18"/>
      <c r="BW1560" s="20"/>
      <c r="BX1560" s="154"/>
      <c r="BY1560" s="18"/>
      <c r="BZ1560" s="146"/>
      <c r="CA1560" s="18"/>
      <c r="CB1560" s="18"/>
      <c r="CC1560" s="20"/>
      <c r="CD1560" s="154"/>
    </row>
    <row r="1561" spans="35:82">
      <c r="AI1561" s="19"/>
      <c r="AO1561" s="19"/>
      <c r="AY1561" s="145"/>
      <c r="AZ1561" s="16"/>
      <c r="BC1561" s="16"/>
      <c r="BD1561" s="20"/>
      <c r="BE1561" s="17"/>
      <c r="BF1561" s="20"/>
      <c r="BG1561" s="146"/>
      <c r="BH1561" s="146"/>
      <c r="BI1561" s="146"/>
      <c r="BJ1561" s="20"/>
      <c r="BK1561" s="20"/>
      <c r="BL1561" s="154"/>
      <c r="BP1561" s="20"/>
      <c r="BQ1561" s="154"/>
      <c r="BR1561" s="18"/>
      <c r="BS1561" s="16"/>
      <c r="BT1561" s="18"/>
      <c r="BU1561" s="18"/>
      <c r="BV1561" s="18"/>
      <c r="BW1561" s="20"/>
      <c r="BX1561" s="154"/>
      <c r="BY1561" s="18"/>
      <c r="BZ1561" s="146"/>
      <c r="CA1561" s="18"/>
      <c r="CB1561" s="18"/>
      <c r="CC1561" s="20"/>
      <c r="CD1561" s="154"/>
    </row>
    <row r="1562" spans="35:82">
      <c r="AI1562" s="19"/>
      <c r="AO1562" s="19"/>
      <c r="AY1562" s="145"/>
      <c r="AZ1562" s="16"/>
      <c r="BC1562" s="16"/>
      <c r="BD1562" s="20"/>
      <c r="BE1562" s="17"/>
      <c r="BF1562" s="20"/>
      <c r="BG1562" s="146"/>
      <c r="BH1562" s="146"/>
      <c r="BI1562" s="146"/>
      <c r="BJ1562" s="20"/>
      <c r="BK1562" s="20"/>
      <c r="BL1562" s="154"/>
      <c r="BP1562" s="20"/>
      <c r="BQ1562" s="154"/>
      <c r="BR1562" s="18"/>
      <c r="BS1562" s="16"/>
      <c r="BT1562" s="18"/>
      <c r="BU1562" s="18"/>
      <c r="BV1562" s="18"/>
      <c r="BW1562" s="20"/>
      <c r="BX1562" s="154"/>
      <c r="BY1562" s="18"/>
      <c r="BZ1562" s="146"/>
      <c r="CA1562" s="18"/>
      <c r="CB1562" s="18"/>
      <c r="CC1562" s="20"/>
      <c r="CD1562" s="154"/>
    </row>
    <row r="1563" spans="35:82">
      <c r="AI1563" s="19"/>
      <c r="AO1563" s="19"/>
      <c r="AY1563" s="145"/>
      <c r="AZ1563" s="16"/>
      <c r="BC1563" s="16"/>
      <c r="BD1563" s="20"/>
      <c r="BE1563" s="17"/>
      <c r="BF1563" s="20"/>
      <c r="BG1563" s="146"/>
      <c r="BH1563" s="146"/>
      <c r="BI1563" s="146"/>
      <c r="BJ1563" s="20"/>
      <c r="BK1563" s="20"/>
      <c r="BL1563" s="154"/>
      <c r="BP1563" s="20"/>
      <c r="BQ1563" s="154"/>
      <c r="BR1563" s="18"/>
      <c r="BS1563" s="16"/>
      <c r="BT1563" s="18"/>
      <c r="BU1563" s="18"/>
      <c r="BV1563" s="18"/>
      <c r="BW1563" s="20"/>
      <c r="BX1563" s="154"/>
      <c r="BY1563" s="18"/>
      <c r="BZ1563" s="146"/>
      <c r="CA1563" s="18"/>
      <c r="CB1563" s="18"/>
      <c r="CC1563" s="20"/>
      <c r="CD1563" s="154"/>
    </row>
    <row r="1564" spans="35:82">
      <c r="AI1564" s="19"/>
      <c r="AO1564" s="19"/>
      <c r="AY1564" s="145"/>
      <c r="AZ1564" s="16"/>
      <c r="BC1564" s="16"/>
      <c r="BD1564" s="20"/>
      <c r="BE1564" s="17"/>
      <c r="BF1564" s="20"/>
      <c r="BG1564" s="146"/>
      <c r="BH1564" s="146"/>
      <c r="BI1564" s="146"/>
      <c r="BJ1564" s="20"/>
      <c r="BK1564" s="20"/>
      <c r="BL1564" s="154"/>
      <c r="BP1564" s="20"/>
      <c r="BQ1564" s="154"/>
      <c r="BR1564" s="18"/>
      <c r="BS1564" s="16"/>
      <c r="BT1564" s="18"/>
      <c r="BU1564" s="18"/>
      <c r="BV1564" s="18"/>
      <c r="BW1564" s="20"/>
      <c r="BX1564" s="154"/>
      <c r="BY1564" s="18"/>
      <c r="BZ1564" s="146"/>
      <c r="CA1564" s="18"/>
      <c r="CB1564" s="18"/>
      <c r="CC1564" s="20"/>
      <c r="CD1564" s="154"/>
    </row>
    <row r="1565" spans="35:82">
      <c r="AI1565" s="19"/>
      <c r="AO1565" s="19"/>
      <c r="AY1565" s="145"/>
      <c r="AZ1565" s="16"/>
      <c r="BC1565" s="16"/>
      <c r="BD1565" s="20"/>
      <c r="BE1565" s="17"/>
      <c r="BF1565" s="20"/>
      <c r="BG1565" s="146"/>
      <c r="BH1565" s="146"/>
      <c r="BI1565" s="146"/>
      <c r="BJ1565" s="20"/>
      <c r="BK1565" s="20"/>
      <c r="BL1565" s="154"/>
      <c r="BP1565" s="20"/>
      <c r="BQ1565" s="154"/>
      <c r="BR1565" s="18"/>
      <c r="BS1565" s="16"/>
      <c r="BT1565" s="18"/>
      <c r="BU1565" s="18"/>
      <c r="BV1565" s="18"/>
      <c r="BW1565" s="20"/>
      <c r="BX1565" s="154"/>
      <c r="BY1565" s="18"/>
      <c r="BZ1565" s="146"/>
      <c r="CA1565" s="18"/>
      <c r="CB1565" s="18"/>
      <c r="CC1565" s="20"/>
      <c r="CD1565" s="154"/>
    </row>
    <row r="1566" spans="35:82">
      <c r="AI1566" s="19"/>
      <c r="AO1566" s="19"/>
      <c r="AY1566" s="145"/>
      <c r="AZ1566" s="16"/>
      <c r="BC1566" s="16"/>
      <c r="BD1566" s="20"/>
      <c r="BE1566" s="17"/>
      <c r="BF1566" s="20"/>
      <c r="BG1566" s="146"/>
      <c r="BH1566" s="146"/>
      <c r="BI1566" s="146"/>
      <c r="BJ1566" s="20"/>
      <c r="BK1566" s="20"/>
      <c r="BL1566" s="154"/>
      <c r="BP1566" s="20"/>
      <c r="BQ1566" s="154"/>
      <c r="BR1566" s="18"/>
      <c r="BS1566" s="16"/>
      <c r="BT1566" s="18"/>
      <c r="BU1566" s="18"/>
      <c r="BV1566" s="18"/>
      <c r="BW1566" s="20"/>
      <c r="BX1566" s="154"/>
      <c r="BY1566" s="18"/>
      <c r="BZ1566" s="146"/>
      <c r="CA1566" s="18"/>
      <c r="CB1566" s="18"/>
      <c r="CC1566" s="20"/>
      <c r="CD1566" s="154"/>
    </row>
    <row r="1567" spans="35:82">
      <c r="AI1567" s="19"/>
      <c r="AO1567" s="19"/>
      <c r="AY1567" s="145"/>
      <c r="AZ1567" s="16"/>
      <c r="BC1567" s="16"/>
      <c r="BD1567" s="20"/>
      <c r="BE1567" s="17"/>
      <c r="BF1567" s="20"/>
      <c r="BG1567" s="146"/>
      <c r="BH1567" s="146"/>
      <c r="BI1567" s="146"/>
      <c r="BJ1567" s="20"/>
      <c r="BK1567" s="20"/>
      <c r="BL1567" s="154"/>
      <c r="BP1567" s="20"/>
      <c r="BQ1567" s="154"/>
      <c r="BR1567" s="18"/>
      <c r="BS1567" s="16"/>
      <c r="BT1567" s="18"/>
      <c r="BU1567" s="18"/>
      <c r="BV1567" s="18"/>
      <c r="BW1567" s="20"/>
      <c r="BX1567" s="154"/>
      <c r="BY1567" s="18"/>
      <c r="BZ1567" s="146"/>
      <c r="CA1567" s="18"/>
      <c r="CB1567" s="18"/>
      <c r="CC1567" s="20"/>
      <c r="CD1567" s="154"/>
    </row>
    <row r="1568" spans="35:82">
      <c r="AI1568" s="19"/>
      <c r="AO1568" s="19"/>
      <c r="AY1568" s="145"/>
      <c r="AZ1568" s="16"/>
      <c r="BC1568" s="16"/>
      <c r="BD1568" s="20"/>
      <c r="BE1568" s="17"/>
      <c r="BF1568" s="20"/>
      <c r="BG1568" s="146"/>
      <c r="BH1568" s="146"/>
      <c r="BI1568" s="146"/>
      <c r="BJ1568" s="20"/>
      <c r="BK1568" s="20"/>
      <c r="BL1568" s="154"/>
      <c r="BP1568" s="20"/>
      <c r="BQ1568" s="154"/>
      <c r="BR1568" s="18"/>
      <c r="BS1568" s="16"/>
      <c r="BT1568" s="18"/>
      <c r="BU1568" s="18"/>
      <c r="BV1568" s="18"/>
      <c r="BW1568" s="20"/>
      <c r="BX1568" s="154"/>
      <c r="BY1568" s="18"/>
      <c r="BZ1568" s="146"/>
      <c r="CA1568" s="18"/>
      <c r="CB1568" s="18"/>
      <c r="CC1568" s="20"/>
      <c r="CD1568" s="154"/>
    </row>
    <row r="1569" spans="35:82">
      <c r="AI1569" s="19"/>
      <c r="AO1569" s="19"/>
      <c r="AY1569" s="145"/>
      <c r="AZ1569" s="16"/>
      <c r="BC1569" s="16"/>
      <c r="BD1569" s="20"/>
      <c r="BE1569" s="17"/>
      <c r="BF1569" s="20"/>
      <c r="BG1569" s="146"/>
      <c r="BH1569" s="146"/>
      <c r="BI1569" s="146"/>
      <c r="BJ1569" s="20"/>
      <c r="BK1569" s="20"/>
      <c r="BL1569" s="154"/>
      <c r="BP1569" s="20"/>
      <c r="BQ1569" s="154"/>
      <c r="BR1569" s="18"/>
      <c r="BS1569" s="16"/>
      <c r="BT1569" s="18"/>
      <c r="BU1569" s="18"/>
      <c r="BV1569" s="18"/>
      <c r="BW1569" s="20"/>
      <c r="BX1569" s="154"/>
      <c r="BY1569" s="18"/>
      <c r="BZ1569" s="146"/>
      <c r="CA1569" s="18"/>
      <c r="CB1569" s="18"/>
      <c r="CC1569" s="20"/>
      <c r="CD1569" s="154"/>
    </row>
    <row r="1570" spans="35:82">
      <c r="AI1570" s="19"/>
      <c r="AO1570" s="19"/>
      <c r="AY1570" s="145"/>
      <c r="AZ1570" s="16"/>
      <c r="BC1570" s="16"/>
      <c r="BD1570" s="20"/>
      <c r="BE1570" s="17"/>
      <c r="BF1570" s="20"/>
      <c r="BG1570" s="146"/>
      <c r="BH1570" s="146"/>
      <c r="BI1570" s="146"/>
      <c r="BJ1570" s="20"/>
      <c r="BK1570" s="20"/>
      <c r="BL1570" s="154"/>
      <c r="BP1570" s="20"/>
      <c r="BQ1570" s="154"/>
      <c r="BR1570" s="18"/>
      <c r="BS1570" s="16"/>
      <c r="BT1570" s="18"/>
      <c r="BU1570" s="18"/>
      <c r="BV1570" s="18"/>
      <c r="BW1570" s="20"/>
      <c r="BX1570" s="154"/>
      <c r="BY1570" s="18"/>
      <c r="BZ1570" s="146"/>
      <c r="CA1570" s="18"/>
      <c r="CB1570" s="18"/>
      <c r="CC1570" s="20"/>
      <c r="CD1570" s="154"/>
    </row>
    <row r="1571" spans="35:82">
      <c r="AI1571" s="19"/>
      <c r="AO1571" s="19"/>
      <c r="AY1571" s="145"/>
      <c r="AZ1571" s="16"/>
      <c r="BC1571" s="16"/>
      <c r="BD1571" s="20"/>
      <c r="BE1571" s="17"/>
      <c r="BF1571" s="20"/>
      <c r="BG1571" s="146"/>
      <c r="BH1571" s="146"/>
      <c r="BI1571" s="146"/>
      <c r="BJ1571" s="20"/>
      <c r="BK1571" s="20"/>
      <c r="BL1571" s="154"/>
      <c r="BP1571" s="20"/>
      <c r="BQ1571" s="154"/>
      <c r="BR1571" s="18"/>
      <c r="BS1571" s="16"/>
      <c r="BT1571" s="18"/>
      <c r="BU1571" s="18"/>
      <c r="BV1571" s="18"/>
      <c r="BW1571" s="20"/>
      <c r="BX1571" s="154"/>
      <c r="BY1571" s="18"/>
      <c r="BZ1571" s="146"/>
      <c r="CA1571" s="18"/>
      <c r="CB1571" s="18"/>
      <c r="CC1571" s="20"/>
      <c r="CD1571" s="154"/>
    </row>
    <row r="1572" spans="35:82">
      <c r="AI1572" s="19"/>
      <c r="AO1572" s="19"/>
      <c r="AY1572" s="145"/>
      <c r="AZ1572" s="16"/>
      <c r="BC1572" s="16"/>
      <c r="BD1572" s="20"/>
      <c r="BE1572" s="17"/>
      <c r="BF1572" s="20"/>
      <c r="BG1572" s="146"/>
      <c r="BH1572" s="146"/>
      <c r="BI1572" s="146"/>
      <c r="BJ1572" s="20"/>
      <c r="BK1572" s="20"/>
      <c r="BL1572" s="154"/>
      <c r="BP1572" s="20"/>
      <c r="BQ1572" s="154"/>
      <c r="BR1572" s="18"/>
      <c r="BS1572" s="16"/>
      <c r="BT1572" s="18"/>
      <c r="BU1572" s="18"/>
      <c r="BV1572" s="18"/>
      <c r="BW1572" s="20"/>
      <c r="BX1572" s="154"/>
      <c r="BY1572" s="18"/>
      <c r="BZ1572" s="146"/>
      <c r="CA1572" s="18"/>
      <c r="CB1572" s="18"/>
      <c r="CC1572" s="20"/>
      <c r="CD1572" s="154"/>
    </row>
    <row r="1573" spans="35:82">
      <c r="AI1573" s="19"/>
      <c r="AO1573" s="19"/>
      <c r="AY1573" s="145"/>
      <c r="AZ1573" s="16"/>
      <c r="BC1573" s="16"/>
      <c r="BD1573" s="20"/>
      <c r="BE1573" s="17"/>
      <c r="BF1573" s="20"/>
      <c r="BG1573" s="146"/>
      <c r="BH1573" s="146"/>
      <c r="BI1573" s="146"/>
      <c r="BJ1573" s="20"/>
      <c r="BK1573" s="20"/>
      <c r="BL1573" s="154"/>
      <c r="BP1573" s="20"/>
      <c r="BQ1573" s="154"/>
      <c r="BR1573" s="18"/>
      <c r="BS1573" s="16"/>
      <c r="BT1573" s="18"/>
      <c r="BU1573" s="18"/>
      <c r="BV1573" s="18"/>
      <c r="BW1573" s="20"/>
      <c r="BX1573" s="154"/>
      <c r="BY1573" s="18"/>
      <c r="BZ1573" s="146"/>
      <c r="CA1573" s="18"/>
      <c r="CB1573" s="18"/>
      <c r="CC1573" s="20"/>
      <c r="CD1573" s="154"/>
    </row>
    <row r="1574" spans="35:82">
      <c r="AI1574" s="19"/>
      <c r="AO1574" s="19"/>
      <c r="AY1574" s="145"/>
      <c r="AZ1574" s="16"/>
      <c r="BC1574" s="16"/>
      <c r="BD1574" s="20"/>
      <c r="BE1574" s="17"/>
      <c r="BF1574" s="20"/>
      <c r="BG1574" s="146"/>
      <c r="BH1574" s="146"/>
      <c r="BI1574" s="146"/>
      <c r="BJ1574" s="20"/>
      <c r="BK1574" s="20"/>
      <c r="BL1574" s="154"/>
      <c r="BP1574" s="20"/>
      <c r="BQ1574" s="154"/>
      <c r="BR1574" s="18"/>
      <c r="BS1574" s="16"/>
      <c r="BT1574" s="18"/>
      <c r="BU1574" s="18"/>
      <c r="BV1574" s="18"/>
      <c r="BW1574" s="20"/>
      <c r="BX1574" s="154"/>
      <c r="BY1574" s="18"/>
      <c r="BZ1574" s="146"/>
      <c r="CA1574" s="18"/>
      <c r="CB1574" s="18"/>
      <c r="CC1574" s="20"/>
      <c r="CD1574" s="154"/>
    </row>
    <row r="1575" spans="35:82">
      <c r="AI1575" s="19"/>
      <c r="AO1575" s="19"/>
      <c r="AY1575" s="145"/>
      <c r="AZ1575" s="16"/>
      <c r="BC1575" s="16"/>
      <c r="BD1575" s="20"/>
      <c r="BE1575" s="17"/>
      <c r="BF1575" s="20"/>
      <c r="BG1575" s="146"/>
      <c r="BH1575" s="146"/>
      <c r="BI1575" s="146"/>
      <c r="BJ1575" s="20"/>
      <c r="BK1575" s="20"/>
      <c r="BL1575" s="154"/>
      <c r="BP1575" s="20"/>
      <c r="BQ1575" s="154"/>
      <c r="BR1575" s="18"/>
      <c r="BS1575" s="16"/>
      <c r="BT1575" s="18"/>
      <c r="BU1575" s="18"/>
      <c r="BV1575" s="18"/>
      <c r="BW1575" s="20"/>
      <c r="BX1575" s="154"/>
      <c r="BY1575" s="18"/>
      <c r="BZ1575" s="146"/>
      <c r="CA1575" s="18"/>
      <c r="CB1575" s="18"/>
      <c r="CC1575" s="20"/>
      <c r="CD1575" s="154"/>
    </row>
    <row r="1576" spans="35:82">
      <c r="AI1576" s="19"/>
      <c r="AO1576" s="19"/>
      <c r="AY1576" s="145"/>
      <c r="AZ1576" s="16"/>
      <c r="BC1576" s="16"/>
      <c r="BD1576" s="20"/>
      <c r="BE1576" s="17"/>
      <c r="BF1576" s="20"/>
      <c r="BG1576" s="146"/>
      <c r="BH1576" s="146"/>
      <c r="BI1576" s="146"/>
      <c r="BJ1576" s="20"/>
      <c r="BK1576" s="20"/>
      <c r="BL1576" s="154"/>
      <c r="BP1576" s="20"/>
      <c r="BQ1576" s="154"/>
      <c r="BR1576" s="18"/>
      <c r="BS1576" s="16"/>
      <c r="BT1576" s="18"/>
      <c r="BU1576" s="18"/>
      <c r="BV1576" s="18"/>
      <c r="BW1576" s="20"/>
      <c r="BX1576" s="154"/>
      <c r="BY1576" s="18"/>
      <c r="BZ1576" s="146"/>
      <c r="CA1576" s="18"/>
      <c r="CB1576" s="18"/>
      <c r="CC1576" s="20"/>
      <c r="CD1576" s="154"/>
    </row>
    <row r="1577" spans="35:82">
      <c r="AI1577" s="19"/>
      <c r="AO1577" s="19"/>
      <c r="AY1577" s="145"/>
      <c r="AZ1577" s="16"/>
      <c r="BC1577" s="16"/>
      <c r="BD1577" s="20"/>
      <c r="BE1577" s="17"/>
      <c r="BF1577" s="20"/>
      <c r="BG1577" s="146"/>
      <c r="BH1577" s="146"/>
      <c r="BI1577" s="146"/>
      <c r="BJ1577" s="20"/>
      <c r="BK1577" s="20"/>
      <c r="BL1577" s="154"/>
      <c r="BP1577" s="20"/>
      <c r="BQ1577" s="154"/>
      <c r="BR1577" s="18"/>
      <c r="BS1577" s="16"/>
      <c r="BT1577" s="18"/>
      <c r="BU1577" s="18"/>
      <c r="BV1577" s="18"/>
      <c r="BW1577" s="20"/>
      <c r="BX1577" s="154"/>
      <c r="BY1577" s="18"/>
      <c r="BZ1577" s="146"/>
      <c r="CA1577" s="18"/>
      <c r="CB1577" s="18"/>
      <c r="CC1577" s="20"/>
      <c r="CD1577" s="154"/>
    </row>
    <row r="1578" spans="35:82">
      <c r="AI1578" s="19"/>
      <c r="AO1578" s="19"/>
      <c r="AY1578" s="145"/>
      <c r="AZ1578" s="16"/>
      <c r="BC1578" s="16"/>
      <c r="BD1578" s="20"/>
      <c r="BE1578" s="17"/>
      <c r="BF1578" s="20"/>
      <c r="BG1578" s="146"/>
      <c r="BH1578" s="146"/>
      <c r="BI1578" s="146"/>
      <c r="BJ1578" s="20"/>
      <c r="BK1578" s="20"/>
      <c r="BL1578" s="154"/>
      <c r="BP1578" s="20"/>
      <c r="BQ1578" s="154"/>
      <c r="BR1578" s="18"/>
      <c r="BS1578" s="16"/>
      <c r="BT1578" s="18"/>
      <c r="BU1578" s="18"/>
      <c r="BV1578" s="18"/>
      <c r="BW1578" s="20"/>
      <c r="BX1578" s="154"/>
      <c r="BY1578" s="18"/>
      <c r="BZ1578" s="146"/>
      <c r="CA1578" s="18"/>
      <c r="CB1578" s="18"/>
      <c r="CC1578" s="20"/>
      <c r="CD1578" s="154"/>
    </row>
    <row r="1579" spans="35:82">
      <c r="AI1579" s="19"/>
      <c r="AO1579" s="19"/>
      <c r="AY1579" s="145"/>
      <c r="AZ1579" s="16"/>
      <c r="BC1579" s="16"/>
      <c r="BD1579" s="20"/>
      <c r="BE1579" s="17"/>
      <c r="BF1579" s="20"/>
      <c r="BG1579" s="146"/>
      <c r="BH1579" s="146"/>
      <c r="BI1579" s="146"/>
      <c r="BJ1579" s="20"/>
      <c r="BK1579" s="20"/>
      <c r="BL1579" s="154"/>
      <c r="BP1579" s="20"/>
      <c r="BQ1579" s="154"/>
      <c r="BR1579" s="18"/>
      <c r="BS1579" s="16"/>
      <c r="BT1579" s="18"/>
      <c r="BU1579" s="18"/>
      <c r="BV1579" s="18"/>
      <c r="BW1579" s="20"/>
      <c r="BX1579" s="154"/>
      <c r="BY1579" s="18"/>
      <c r="BZ1579" s="146"/>
      <c r="CA1579" s="18"/>
      <c r="CB1579" s="18"/>
      <c r="CC1579" s="20"/>
      <c r="CD1579" s="154"/>
    </row>
    <row r="1580" spans="35:82">
      <c r="AI1580" s="19"/>
      <c r="AO1580" s="19"/>
      <c r="AY1580" s="145"/>
      <c r="AZ1580" s="16"/>
      <c r="BC1580" s="16"/>
      <c r="BD1580" s="20"/>
      <c r="BE1580" s="17"/>
      <c r="BF1580" s="20"/>
      <c r="BG1580" s="146"/>
      <c r="BH1580" s="146"/>
      <c r="BI1580" s="146"/>
      <c r="BJ1580" s="20"/>
      <c r="BK1580" s="20"/>
      <c r="BL1580" s="154"/>
      <c r="BP1580" s="20"/>
      <c r="BQ1580" s="154"/>
      <c r="BR1580" s="18"/>
      <c r="BS1580" s="16"/>
      <c r="BT1580" s="18"/>
      <c r="BU1580" s="18"/>
      <c r="BV1580" s="18"/>
      <c r="BW1580" s="20"/>
      <c r="BX1580" s="154"/>
      <c r="BY1580" s="18"/>
      <c r="BZ1580" s="146"/>
      <c r="CA1580" s="18"/>
      <c r="CB1580" s="18"/>
      <c r="CC1580" s="20"/>
      <c r="CD1580" s="154"/>
    </row>
    <row r="1581" spans="35:82">
      <c r="AI1581" s="19"/>
      <c r="AO1581" s="19"/>
      <c r="AY1581" s="145"/>
      <c r="AZ1581" s="16"/>
      <c r="BC1581" s="16"/>
      <c r="BD1581" s="20"/>
      <c r="BE1581" s="17"/>
      <c r="BF1581" s="20"/>
      <c r="BG1581" s="146"/>
      <c r="BH1581" s="146"/>
      <c r="BI1581" s="146"/>
      <c r="BJ1581" s="20"/>
      <c r="BK1581" s="20"/>
      <c r="BL1581" s="154"/>
      <c r="BP1581" s="20"/>
      <c r="BQ1581" s="154"/>
      <c r="BR1581" s="18"/>
      <c r="BS1581" s="16"/>
      <c r="BT1581" s="18"/>
      <c r="BU1581" s="18"/>
      <c r="BV1581" s="18"/>
      <c r="BW1581" s="20"/>
      <c r="BX1581" s="154"/>
      <c r="BY1581" s="18"/>
      <c r="BZ1581" s="146"/>
      <c r="CA1581" s="18"/>
      <c r="CB1581" s="18"/>
      <c r="CC1581" s="20"/>
      <c r="CD1581" s="154"/>
    </row>
    <row r="1582" spans="35:82">
      <c r="AI1582" s="19"/>
      <c r="AO1582" s="19"/>
      <c r="AY1582" s="145"/>
      <c r="AZ1582" s="16"/>
      <c r="BC1582" s="16"/>
      <c r="BD1582" s="20"/>
      <c r="BE1582" s="17"/>
      <c r="BF1582" s="20"/>
      <c r="BG1582" s="146"/>
      <c r="BH1582" s="146"/>
      <c r="BI1582" s="146"/>
      <c r="BJ1582" s="20"/>
      <c r="BK1582" s="20"/>
      <c r="BL1582" s="154"/>
      <c r="BP1582" s="20"/>
      <c r="BQ1582" s="154"/>
      <c r="BR1582" s="18"/>
      <c r="BS1582" s="16"/>
      <c r="BT1582" s="18"/>
      <c r="BU1582" s="18"/>
      <c r="BV1582" s="18"/>
      <c r="BW1582" s="20"/>
      <c r="BX1582" s="154"/>
      <c r="BY1582" s="18"/>
      <c r="BZ1582" s="146"/>
      <c r="CA1582" s="18"/>
      <c r="CB1582" s="18"/>
      <c r="CC1582" s="20"/>
      <c r="CD1582" s="154"/>
    </row>
    <row r="1583" spans="35:82">
      <c r="AI1583" s="19"/>
      <c r="AO1583" s="19"/>
      <c r="AY1583" s="145"/>
      <c r="AZ1583" s="16"/>
      <c r="BC1583" s="16"/>
      <c r="BD1583" s="20"/>
      <c r="BE1583" s="17"/>
      <c r="BF1583" s="20"/>
      <c r="BG1583" s="146"/>
      <c r="BH1583" s="146"/>
      <c r="BI1583" s="146"/>
      <c r="BJ1583" s="20"/>
      <c r="BK1583" s="20"/>
      <c r="BL1583" s="154"/>
      <c r="BP1583" s="20"/>
      <c r="BQ1583" s="154"/>
      <c r="BR1583" s="18"/>
      <c r="BS1583" s="16"/>
      <c r="BT1583" s="18"/>
      <c r="BU1583" s="18"/>
      <c r="BV1583" s="18"/>
      <c r="BW1583" s="20"/>
      <c r="BX1583" s="154"/>
      <c r="BY1583" s="18"/>
      <c r="BZ1583" s="146"/>
      <c r="CA1583" s="18"/>
      <c r="CB1583" s="18"/>
      <c r="CC1583" s="20"/>
      <c r="CD1583" s="154"/>
    </row>
    <row r="1584" spans="35:82">
      <c r="AI1584" s="19"/>
      <c r="AO1584" s="19"/>
      <c r="AY1584" s="145"/>
      <c r="AZ1584" s="16"/>
      <c r="BC1584" s="16"/>
      <c r="BD1584" s="20"/>
      <c r="BE1584" s="17"/>
      <c r="BF1584" s="20"/>
      <c r="BG1584" s="146"/>
      <c r="BH1584" s="146"/>
      <c r="BI1584" s="146"/>
      <c r="BJ1584" s="20"/>
      <c r="BK1584" s="20"/>
      <c r="BL1584" s="154"/>
      <c r="BP1584" s="20"/>
      <c r="BQ1584" s="154"/>
      <c r="BR1584" s="18"/>
      <c r="BS1584" s="16"/>
      <c r="BT1584" s="18"/>
      <c r="BU1584" s="18"/>
      <c r="BV1584" s="18"/>
      <c r="BW1584" s="20"/>
      <c r="BX1584" s="154"/>
      <c r="BY1584" s="18"/>
      <c r="BZ1584" s="146"/>
      <c r="CA1584" s="18"/>
      <c r="CB1584" s="18"/>
      <c r="CC1584" s="20"/>
      <c r="CD1584" s="154"/>
    </row>
    <row r="1585" spans="35:82">
      <c r="AI1585" s="19"/>
      <c r="AO1585" s="19"/>
      <c r="AY1585" s="145"/>
      <c r="AZ1585" s="16"/>
      <c r="BC1585" s="16"/>
      <c r="BD1585" s="20"/>
      <c r="BE1585" s="17"/>
      <c r="BF1585" s="20"/>
      <c r="BG1585" s="146"/>
      <c r="BH1585" s="146"/>
      <c r="BI1585" s="146"/>
      <c r="BJ1585" s="20"/>
      <c r="BK1585" s="20"/>
      <c r="BL1585" s="154"/>
      <c r="BP1585" s="20"/>
      <c r="BQ1585" s="154"/>
      <c r="BR1585" s="18"/>
      <c r="BS1585" s="16"/>
      <c r="BT1585" s="18"/>
      <c r="BU1585" s="18"/>
      <c r="BV1585" s="18"/>
      <c r="BW1585" s="20"/>
      <c r="BX1585" s="154"/>
      <c r="BY1585" s="18"/>
      <c r="BZ1585" s="146"/>
      <c r="CA1585" s="18"/>
      <c r="CB1585" s="18"/>
      <c r="CC1585" s="20"/>
      <c r="CD1585" s="154"/>
    </row>
    <row r="1586" spans="35:82">
      <c r="AI1586" s="19"/>
      <c r="AO1586" s="19"/>
      <c r="AY1586" s="145"/>
      <c r="AZ1586" s="16"/>
      <c r="BC1586" s="16"/>
      <c r="BD1586" s="20"/>
      <c r="BE1586" s="17"/>
      <c r="BF1586" s="20"/>
      <c r="BG1586" s="146"/>
      <c r="BH1586" s="146"/>
      <c r="BI1586" s="146"/>
      <c r="BJ1586" s="20"/>
      <c r="BK1586" s="20"/>
      <c r="BL1586" s="154"/>
      <c r="BP1586" s="20"/>
      <c r="BQ1586" s="154"/>
      <c r="BR1586" s="18"/>
      <c r="BS1586" s="16"/>
      <c r="BT1586" s="18"/>
      <c r="BU1586" s="18"/>
      <c r="BV1586" s="18"/>
      <c r="BW1586" s="20"/>
      <c r="BX1586" s="154"/>
      <c r="BY1586" s="18"/>
      <c r="BZ1586" s="146"/>
      <c r="CA1586" s="18"/>
      <c r="CB1586" s="18"/>
      <c r="CC1586" s="20"/>
      <c r="CD1586" s="154"/>
    </row>
    <row r="1587" spans="35:82">
      <c r="AI1587" s="19"/>
      <c r="AO1587" s="19"/>
      <c r="AY1587" s="145"/>
      <c r="AZ1587" s="16"/>
      <c r="BC1587" s="16"/>
      <c r="BD1587" s="20"/>
      <c r="BE1587" s="17"/>
      <c r="BF1587" s="20"/>
      <c r="BG1587" s="146"/>
      <c r="BH1587" s="146"/>
      <c r="BI1587" s="146"/>
      <c r="BJ1587" s="20"/>
      <c r="BK1587" s="20"/>
      <c r="BL1587" s="154"/>
      <c r="BP1587" s="20"/>
      <c r="BQ1587" s="154"/>
      <c r="BR1587" s="18"/>
      <c r="BS1587" s="16"/>
      <c r="BT1587" s="18"/>
      <c r="BU1587" s="18"/>
      <c r="BV1587" s="18"/>
      <c r="BW1587" s="20"/>
      <c r="BX1587" s="154"/>
      <c r="BY1587" s="18"/>
      <c r="BZ1587" s="146"/>
      <c r="CA1587" s="18"/>
      <c r="CB1587" s="18"/>
      <c r="CC1587" s="20"/>
      <c r="CD1587" s="154"/>
    </row>
    <row r="1588" spans="35:82">
      <c r="AI1588" s="19"/>
      <c r="AO1588" s="19"/>
      <c r="AY1588" s="145"/>
      <c r="AZ1588" s="16"/>
      <c r="BC1588" s="16"/>
      <c r="BD1588" s="20"/>
      <c r="BE1588" s="17"/>
      <c r="BF1588" s="20"/>
      <c r="BG1588" s="146"/>
      <c r="BH1588" s="146"/>
      <c r="BI1588" s="146"/>
      <c r="BJ1588" s="20"/>
      <c r="BK1588" s="20"/>
      <c r="BL1588" s="154"/>
      <c r="BP1588" s="20"/>
      <c r="BQ1588" s="154"/>
      <c r="BR1588" s="18"/>
      <c r="BS1588" s="16"/>
      <c r="BT1588" s="18"/>
      <c r="BU1588" s="18"/>
      <c r="BV1588" s="18"/>
      <c r="BW1588" s="20"/>
      <c r="BX1588" s="154"/>
      <c r="BY1588" s="18"/>
      <c r="BZ1588" s="146"/>
      <c r="CA1588" s="18"/>
      <c r="CB1588" s="18"/>
      <c r="CC1588" s="20"/>
      <c r="CD1588" s="154"/>
    </row>
    <row r="1589" spans="35:82">
      <c r="AI1589" s="19"/>
      <c r="AO1589" s="19"/>
      <c r="AY1589" s="145"/>
      <c r="AZ1589" s="16"/>
      <c r="BC1589" s="16"/>
      <c r="BD1589" s="20"/>
      <c r="BE1589" s="17"/>
      <c r="BF1589" s="20"/>
      <c r="BG1589" s="146"/>
      <c r="BH1589" s="146"/>
      <c r="BI1589" s="146"/>
      <c r="BJ1589" s="20"/>
      <c r="BK1589" s="20"/>
      <c r="BL1589" s="154"/>
      <c r="BP1589" s="20"/>
      <c r="BQ1589" s="154"/>
      <c r="BR1589" s="18"/>
      <c r="BS1589" s="16"/>
      <c r="BT1589" s="18"/>
      <c r="BU1589" s="18"/>
      <c r="BV1589" s="18"/>
      <c r="BW1589" s="20"/>
      <c r="BX1589" s="154"/>
      <c r="BY1589" s="18"/>
      <c r="BZ1589" s="146"/>
      <c r="CA1589" s="18"/>
      <c r="CB1589" s="18"/>
      <c r="CC1589" s="20"/>
      <c r="CD1589" s="154"/>
    </row>
    <row r="1590" spans="35:82">
      <c r="AI1590" s="19"/>
      <c r="AO1590" s="19"/>
      <c r="AY1590" s="145"/>
      <c r="AZ1590" s="16"/>
      <c r="BC1590" s="16"/>
      <c r="BD1590" s="20"/>
      <c r="BE1590" s="17"/>
      <c r="BF1590" s="20"/>
      <c r="BG1590" s="146"/>
      <c r="BH1590" s="146"/>
      <c r="BI1590" s="146"/>
      <c r="BJ1590" s="20"/>
      <c r="BK1590" s="20"/>
      <c r="BL1590" s="154"/>
      <c r="BP1590" s="20"/>
      <c r="BQ1590" s="154"/>
      <c r="BR1590" s="18"/>
      <c r="BS1590" s="16"/>
      <c r="BT1590" s="18"/>
      <c r="BU1590" s="18"/>
      <c r="BV1590" s="18"/>
      <c r="BW1590" s="20"/>
      <c r="BX1590" s="154"/>
      <c r="BY1590" s="18"/>
      <c r="BZ1590" s="146"/>
      <c r="CA1590" s="18"/>
      <c r="CB1590" s="18"/>
      <c r="CC1590" s="20"/>
      <c r="CD1590" s="154"/>
    </row>
    <row r="1591" spans="35:82">
      <c r="AI1591" s="19"/>
      <c r="AO1591" s="19"/>
      <c r="AY1591" s="145"/>
      <c r="AZ1591" s="16"/>
      <c r="BC1591" s="16"/>
      <c r="BD1591" s="20"/>
      <c r="BE1591" s="17"/>
      <c r="BF1591" s="20"/>
      <c r="BG1591" s="146"/>
      <c r="BH1591" s="146"/>
      <c r="BI1591" s="146"/>
      <c r="BJ1591" s="20"/>
      <c r="BK1591" s="20"/>
      <c r="BL1591" s="154"/>
      <c r="BP1591" s="20"/>
      <c r="BQ1591" s="154"/>
      <c r="BR1591" s="18"/>
      <c r="BS1591" s="16"/>
      <c r="BT1591" s="18"/>
      <c r="BU1591" s="18"/>
      <c r="BV1591" s="18"/>
      <c r="BW1591" s="20"/>
      <c r="BX1591" s="154"/>
      <c r="BY1591" s="18"/>
      <c r="BZ1591" s="146"/>
      <c r="CA1591" s="18"/>
      <c r="CB1591" s="18"/>
      <c r="CC1591" s="20"/>
      <c r="CD1591" s="154"/>
    </row>
    <row r="1592" spans="35:82">
      <c r="AI1592" s="19"/>
      <c r="AO1592" s="19"/>
      <c r="AY1592" s="145"/>
      <c r="AZ1592" s="16"/>
      <c r="BC1592" s="16"/>
      <c r="BD1592" s="20"/>
      <c r="BE1592" s="17"/>
      <c r="BF1592" s="20"/>
      <c r="BG1592" s="146"/>
      <c r="BH1592" s="146"/>
      <c r="BI1592" s="146"/>
      <c r="BJ1592" s="20"/>
      <c r="BK1592" s="20"/>
      <c r="BL1592" s="154"/>
      <c r="BP1592" s="20"/>
      <c r="BQ1592" s="154"/>
      <c r="BR1592" s="18"/>
      <c r="BS1592" s="16"/>
      <c r="BT1592" s="18"/>
      <c r="BU1592" s="18"/>
      <c r="BV1592" s="18"/>
      <c r="BW1592" s="20"/>
      <c r="BX1592" s="154"/>
      <c r="BY1592" s="18"/>
      <c r="BZ1592" s="146"/>
      <c r="CA1592" s="18"/>
      <c r="CB1592" s="18"/>
      <c r="CC1592" s="20"/>
      <c r="CD1592" s="154"/>
    </row>
    <row r="1593" spans="35:82">
      <c r="AI1593" s="19"/>
      <c r="AO1593" s="19"/>
      <c r="AY1593" s="145"/>
      <c r="AZ1593" s="16"/>
      <c r="BC1593" s="16"/>
      <c r="BD1593" s="20"/>
      <c r="BE1593" s="17"/>
      <c r="BF1593" s="20"/>
      <c r="BG1593" s="146"/>
      <c r="BH1593" s="146"/>
      <c r="BI1593" s="146"/>
      <c r="BJ1593" s="20"/>
      <c r="BK1593" s="20"/>
      <c r="BL1593" s="154"/>
      <c r="BP1593" s="20"/>
      <c r="BQ1593" s="154"/>
      <c r="BR1593" s="18"/>
      <c r="BS1593" s="16"/>
      <c r="BT1593" s="18"/>
      <c r="BU1593" s="18"/>
      <c r="BV1593" s="18"/>
      <c r="BW1593" s="20"/>
      <c r="BX1593" s="154"/>
      <c r="BY1593" s="18"/>
      <c r="BZ1593" s="146"/>
      <c r="CA1593" s="18"/>
      <c r="CB1593" s="18"/>
      <c r="CC1593" s="20"/>
      <c r="CD1593" s="154"/>
    </row>
    <row r="1594" spans="35:82">
      <c r="AI1594" s="19"/>
      <c r="AO1594" s="19"/>
      <c r="AY1594" s="145"/>
      <c r="AZ1594" s="16"/>
      <c r="BC1594" s="16"/>
      <c r="BD1594" s="20"/>
      <c r="BE1594" s="17"/>
      <c r="BF1594" s="20"/>
      <c r="BG1594" s="146"/>
      <c r="BH1594" s="146"/>
      <c r="BI1594" s="146"/>
      <c r="BJ1594" s="20"/>
      <c r="BK1594" s="20"/>
      <c r="BL1594" s="154"/>
      <c r="BP1594" s="20"/>
      <c r="BQ1594" s="154"/>
      <c r="BR1594" s="18"/>
      <c r="BS1594" s="16"/>
      <c r="BT1594" s="18"/>
      <c r="BU1594" s="18"/>
      <c r="BV1594" s="18"/>
      <c r="BW1594" s="20"/>
      <c r="BX1594" s="154"/>
      <c r="BY1594" s="18"/>
      <c r="BZ1594" s="146"/>
      <c r="CA1594" s="18"/>
      <c r="CB1594" s="18"/>
      <c r="CC1594" s="20"/>
      <c r="CD1594" s="154"/>
    </row>
    <row r="1595" spans="35:82">
      <c r="AI1595" s="19"/>
      <c r="AO1595" s="19"/>
      <c r="AY1595" s="145"/>
      <c r="AZ1595" s="16"/>
      <c r="BC1595" s="16"/>
      <c r="BD1595" s="20"/>
      <c r="BE1595" s="17"/>
      <c r="BF1595" s="20"/>
      <c r="BG1595" s="146"/>
      <c r="BH1595" s="146"/>
      <c r="BI1595" s="146"/>
      <c r="BJ1595" s="20"/>
      <c r="BK1595" s="20"/>
      <c r="BL1595" s="154"/>
      <c r="BP1595" s="20"/>
      <c r="BQ1595" s="154"/>
      <c r="BR1595" s="18"/>
      <c r="BS1595" s="16"/>
      <c r="BT1595" s="18"/>
      <c r="BU1595" s="18"/>
      <c r="BV1595" s="18"/>
      <c r="BW1595" s="20"/>
      <c r="BX1595" s="154"/>
      <c r="BY1595" s="18"/>
      <c r="BZ1595" s="146"/>
      <c r="CA1595" s="18"/>
      <c r="CB1595" s="18"/>
      <c r="CC1595" s="20"/>
      <c r="CD1595" s="154"/>
    </row>
    <row r="1596" spans="35:82">
      <c r="AI1596" s="19"/>
      <c r="AO1596" s="19"/>
      <c r="AY1596" s="145"/>
      <c r="AZ1596" s="16"/>
      <c r="BC1596" s="16"/>
      <c r="BD1596" s="20"/>
      <c r="BE1596" s="17"/>
      <c r="BF1596" s="20"/>
      <c r="BG1596" s="146"/>
      <c r="BH1596" s="146"/>
      <c r="BI1596" s="146"/>
      <c r="BJ1596" s="20"/>
      <c r="BK1596" s="20"/>
      <c r="BL1596" s="154"/>
      <c r="BP1596" s="20"/>
      <c r="BQ1596" s="154"/>
      <c r="BR1596" s="18"/>
      <c r="BS1596" s="16"/>
      <c r="BT1596" s="18"/>
      <c r="BU1596" s="18"/>
      <c r="BV1596" s="18"/>
      <c r="BW1596" s="20"/>
      <c r="BX1596" s="154"/>
      <c r="BY1596" s="18"/>
      <c r="BZ1596" s="146"/>
      <c r="CA1596" s="18"/>
      <c r="CB1596" s="18"/>
      <c r="CC1596" s="20"/>
      <c r="CD1596" s="154"/>
    </row>
    <row r="1597" spans="35:82">
      <c r="AI1597" s="19"/>
      <c r="AO1597" s="19"/>
      <c r="AY1597" s="145"/>
      <c r="AZ1597" s="16"/>
      <c r="BC1597" s="16"/>
      <c r="BD1597" s="20"/>
      <c r="BE1597" s="17"/>
      <c r="BF1597" s="20"/>
      <c r="BG1597" s="146"/>
      <c r="BH1597" s="146"/>
      <c r="BI1597" s="146"/>
      <c r="BJ1597" s="20"/>
      <c r="BK1597" s="20"/>
      <c r="BL1597" s="154"/>
      <c r="BP1597" s="20"/>
      <c r="BQ1597" s="154"/>
      <c r="BR1597" s="18"/>
      <c r="BS1597" s="16"/>
      <c r="BT1597" s="18"/>
      <c r="BU1597" s="18"/>
      <c r="BV1597" s="18"/>
      <c r="BW1597" s="20"/>
      <c r="BX1597" s="154"/>
      <c r="BY1597" s="18"/>
      <c r="BZ1597" s="146"/>
      <c r="CA1597" s="18"/>
      <c r="CB1597" s="18"/>
      <c r="CC1597" s="20"/>
      <c r="CD1597" s="154"/>
    </row>
    <row r="1598" spans="35:82">
      <c r="AI1598" s="19"/>
      <c r="AO1598" s="19"/>
      <c r="AY1598" s="145"/>
      <c r="AZ1598" s="16"/>
      <c r="BC1598" s="16"/>
      <c r="BD1598" s="20"/>
      <c r="BE1598" s="17"/>
      <c r="BF1598" s="20"/>
      <c r="BG1598" s="146"/>
      <c r="BH1598" s="146"/>
      <c r="BI1598" s="146"/>
      <c r="BJ1598" s="20"/>
      <c r="BK1598" s="20"/>
      <c r="BL1598" s="154"/>
      <c r="BP1598" s="20"/>
      <c r="BQ1598" s="154"/>
      <c r="BR1598" s="18"/>
      <c r="BS1598" s="16"/>
      <c r="BT1598" s="18"/>
      <c r="BU1598" s="18"/>
      <c r="BV1598" s="18"/>
      <c r="BW1598" s="20"/>
      <c r="BX1598" s="154"/>
      <c r="BY1598" s="18"/>
      <c r="BZ1598" s="146"/>
      <c r="CA1598" s="18"/>
      <c r="CB1598" s="18"/>
      <c r="CC1598" s="20"/>
      <c r="CD1598" s="154"/>
    </row>
    <row r="1599" spans="35:82">
      <c r="AI1599" s="19"/>
      <c r="AO1599" s="19"/>
      <c r="AY1599" s="145"/>
      <c r="AZ1599" s="16"/>
      <c r="BC1599" s="16"/>
      <c r="BD1599" s="20"/>
      <c r="BE1599" s="17"/>
      <c r="BF1599" s="20"/>
      <c r="BG1599" s="146"/>
      <c r="BH1599" s="146"/>
      <c r="BI1599" s="146"/>
      <c r="BJ1599" s="20"/>
      <c r="BK1599" s="20"/>
      <c r="BL1599" s="154"/>
      <c r="BP1599" s="20"/>
      <c r="BQ1599" s="154"/>
      <c r="BR1599" s="18"/>
      <c r="BS1599" s="16"/>
      <c r="BT1599" s="18"/>
      <c r="BU1599" s="18"/>
      <c r="BV1599" s="18"/>
      <c r="BW1599" s="20"/>
      <c r="BX1599" s="154"/>
      <c r="BY1599" s="18"/>
      <c r="BZ1599" s="146"/>
      <c r="CA1599" s="18"/>
      <c r="CB1599" s="18"/>
      <c r="CC1599" s="20"/>
      <c r="CD1599" s="154"/>
    </row>
    <row r="1600" spans="35:82">
      <c r="AI1600" s="19"/>
      <c r="AO1600" s="19"/>
      <c r="AY1600" s="145"/>
      <c r="AZ1600" s="16"/>
      <c r="BC1600" s="16"/>
      <c r="BD1600" s="20"/>
      <c r="BE1600" s="17"/>
      <c r="BF1600" s="20"/>
      <c r="BG1600" s="146"/>
      <c r="BH1600" s="146"/>
      <c r="BI1600" s="146"/>
      <c r="BJ1600" s="20"/>
      <c r="BK1600" s="20"/>
      <c r="BL1600" s="154"/>
      <c r="BP1600" s="20"/>
      <c r="BQ1600" s="154"/>
      <c r="BR1600" s="18"/>
      <c r="BS1600" s="16"/>
      <c r="BT1600" s="18"/>
      <c r="BU1600" s="18"/>
      <c r="BV1600" s="18"/>
      <c r="BW1600" s="20"/>
      <c r="BX1600" s="154"/>
      <c r="BY1600" s="18"/>
      <c r="BZ1600" s="146"/>
      <c r="CA1600" s="18"/>
      <c r="CB1600" s="18"/>
      <c r="CC1600" s="20"/>
      <c r="CD1600" s="154"/>
    </row>
    <row r="1601" spans="35:82">
      <c r="AI1601" s="19"/>
      <c r="AO1601" s="19"/>
      <c r="AY1601" s="145"/>
      <c r="AZ1601" s="16"/>
      <c r="BC1601" s="16"/>
      <c r="BD1601" s="20"/>
      <c r="BE1601" s="17"/>
      <c r="BF1601" s="20"/>
      <c r="BG1601" s="146"/>
      <c r="BH1601" s="146"/>
      <c r="BI1601" s="146"/>
      <c r="BJ1601" s="20"/>
      <c r="BK1601" s="20"/>
      <c r="BL1601" s="154"/>
      <c r="BP1601" s="20"/>
      <c r="BQ1601" s="154"/>
      <c r="BR1601" s="18"/>
      <c r="BS1601" s="16"/>
      <c r="BT1601" s="18"/>
      <c r="BU1601" s="18"/>
      <c r="BV1601" s="18"/>
      <c r="BW1601" s="20"/>
      <c r="BX1601" s="154"/>
      <c r="BY1601" s="18"/>
      <c r="BZ1601" s="146"/>
      <c r="CA1601" s="18"/>
      <c r="CB1601" s="18"/>
      <c r="CC1601" s="20"/>
      <c r="CD1601" s="154"/>
    </row>
    <row r="1602" spans="35:82">
      <c r="AI1602" s="19"/>
      <c r="AO1602" s="19"/>
      <c r="AY1602" s="145"/>
      <c r="AZ1602" s="16"/>
      <c r="BC1602" s="16"/>
      <c r="BD1602" s="20"/>
      <c r="BE1602" s="17"/>
      <c r="BF1602" s="20"/>
      <c r="BG1602" s="146"/>
      <c r="BH1602" s="146"/>
      <c r="BI1602" s="146"/>
      <c r="BJ1602" s="20"/>
      <c r="BK1602" s="20"/>
      <c r="BL1602" s="154"/>
      <c r="BP1602" s="20"/>
      <c r="BQ1602" s="154"/>
      <c r="BR1602" s="18"/>
      <c r="BS1602" s="16"/>
      <c r="BT1602" s="18"/>
      <c r="BU1602" s="18"/>
      <c r="BV1602" s="18"/>
      <c r="BW1602" s="20"/>
      <c r="BX1602" s="154"/>
      <c r="BY1602" s="18"/>
      <c r="BZ1602" s="146"/>
      <c r="CA1602" s="18"/>
      <c r="CB1602" s="18"/>
      <c r="CC1602" s="20"/>
      <c r="CD1602" s="154"/>
    </row>
    <row r="1603" spans="35:82">
      <c r="AI1603" s="19"/>
      <c r="AO1603" s="19"/>
      <c r="AY1603" s="145"/>
      <c r="AZ1603" s="16"/>
      <c r="BC1603" s="16"/>
      <c r="BD1603" s="20"/>
      <c r="BE1603" s="17"/>
      <c r="BF1603" s="20"/>
      <c r="BG1603" s="146"/>
      <c r="BH1603" s="146"/>
      <c r="BI1603" s="146"/>
      <c r="BJ1603" s="20"/>
      <c r="BK1603" s="20"/>
      <c r="BL1603" s="154"/>
      <c r="BP1603" s="20"/>
      <c r="BQ1603" s="154"/>
      <c r="BR1603" s="18"/>
      <c r="BS1603" s="16"/>
      <c r="BT1603" s="18"/>
      <c r="BU1603" s="18"/>
      <c r="BV1603" s="18"/>
      <c r="BW1603" s="20"/>
      <c r="BX1603" s="154"/>
      <c r="BY1603" s="18"/>
      <c r="BZ1603" s="146"/>
      <c r="CA1603" s="18"/>
      <c r="CB1603" s="18"/>
      <c r="CC1603" s="20"/>
      <c r="CD1603" s="154"/>
    </row>
    <row r="1604" spans="35:82">
      <c r="AI1604" s="19"/>
      <c r="AO1604" s="19"/>
      <c r="AY1604" s="145"/>
      <c r="AZ1604" s="16"/>
      <c r="BC1604" s="16"/>
      <c r="BD1604" s="20"/>
      <c r="BE1604" s="17"/>
      <c r="BF1604" s="20"/>
      <c r="BG1604" s="146"/>
      <c r="BH1604" s="146"/>
      <c r="BI1604" s="146"/>
      <c r="BJ1604" s="20"/>
      <c r="BK1604" s="20"/>
      <c r="BL1604" s="154"/>
      <c r="BP1604" s="20"/>
      <c r="BQ1604" s="154"/>
      <c r="BR1604" s="18"/>
      <c r="BS1604" s="16"/>
      <c r="BT1604" s="18"/>
      <c r="BU1604" s="18"/>
      <c r="BV1604" s="18"/>
      <c r="BW1604" s="20"/>
      <c r="BX1604" s="154"/>
      <c r="BY1604" s="18"/>
      <c r="BZ1604" s="146"/>
      <c r="CA1604" s="18"/>
      <c r="CB1604" s="18"/>
      <c r="CC1604" s="20"/>
      <c r="CD1604" s="154"/>
    </row>
    <row r="1605" spans="35:82">
      <c r="AI1605" s="19"/>
      <c r="AO1605" s="19"/>
      <c r="AY1605" s="145"/>
      <c r="AZ1605" s="16"/>
      <c r="BC1605" s="16"/>
      <c r="BD1605" s="20"/>
      <c r="BE1605" s="17"/>
      <c r="BF1605" s="20"/>
      <c r="BG1605" s="146"/>
      <c r="BH1605" s="146"/>
      <c r="BI1605" s="146"/>
      <c r="BJ1605" s="20"/>
      <c r="BK1605" s="20"/>
      <c r="BL1605" s="154"/>
      <c r="BP1605" s="20"/>
      <c r="BQ1605" s="154"/>
      <c r="BR1605" s="18"/>
      <c r="BS1605" s="16"/>
      <c r="BT1605" s="18"/>
      <c r="BU1605" s="18"/>
      <c r="BV1605" s="18"/>
      <c r="BW1605" s="20"/>
      <c r="BX1605" s="154"/>
      <c r="BY1605" s="18"/>
      <c r="BZ1605" s="146"/>
      <c r="CA1605" s="18"/>
      <c r="CB1605" s="18"/>
      <c r="CC1605" s="20"/>
      <c r="CD1605" s="154"/>
    </row>
    <row r="1606" spans="35:82">
      <c r="AI1606" s="19"/>
      <c r="AO1606" s="19"/>
      <c r="AY1606" s="145"/>
      <c r="AZ1606" s="16"/>
      <c r="BC1606" s="16"/>
      <c r="BD1606" s="20"/>
      <c r="BE1606" s="17"/>
      <c r="BF1606" s="20"/>
      <c r="BG1606" s="146"/>
      <c r="BH1606" s="146"/>
      <c r="BI1606" s="146"/>
      <c r="BJ1606" s="20"/>
      <c r="BK1606" s="20"/>
      <c r="BL1606" s="154"/>
      <c r="BP1606" s="20"/>
      <c r="BQ1606" s="154"/>
      <c r="BR1606" s="18"/>
      <c r="BS1606" s="16"/>
      <c r="BT1606" s="18"/>
      <c r="BU1606" s="18"/>
      <c r="BV1606" s="18"/>
      <c r="BW1606" s="20"/>
      <c r="BX1606" s="154"/>
      <c r="BY1606" s="18"/>
      <c r="BZ1606" s="146"/>
      <c r="CA1606" s="18"/>
      <c r="CB1606" s="18"/>
      <c r="CC1606" s="20"/>
      <c r="CD1606" s="154"/>
    </row>
    <row r="1607" spans="35:82">
      <c r="AI1607" s="19"/>
      <c r="AO1607" s="19"/>
      <c r="AY1607" s="145"/>
      <c r="AZ1607" s="16"/>
      <c r="BC1607" s="16"/>
      <c r="BD1607" s="20"/>
      <c r="BE1607" s="17"/>
      <c r="BF1607" s="20"/>
      <c r="BG1607" s="146"/>
      <c r="BH1607" s="146"/>
      <c r="BI1607" s="146"/>
      <c r="BJ1607" s="20"/>
      <c r="BK1607" s="20"/>
      <c r="BL1607" s="154"/>
      <c r="BP1607" s="20"/>
      <c r="BQ1607" s="154"/>
      <c r="BR1607" s="18"/>
      <c r="BS1607" s="16"/>
      <c r="BT1607" s="18"/>
      <c r="BU1607" s="18"/>
      <c r="BV1607" s="18"/>
      <c r="BW1607" s="20"/>
      <c r="BX1607" s="154"/>
      <c r="BY1607" s="18"/>
      <c r="BZ1607" s="146"/>
      <c r="CA1607" s="18"/>
      <c r="CB1607" s="18"/>
      <c r="CC1607" s="20"/>
      <c r="CD1607" s="154"/>
    </row>
    <row r="1608" spans="35:82">
      <c r="AI1608" s="19"/>
      <c r="AO1608" s="19"/>
      <c r="AY1608" s="145"/>
      <c r="AZ1608" s="16"/>
      <c r="BC1608" s="16"/>
      <c r="BD1608" s="20"/>
      <c r="BE1608" s="17"/>
      <c r="BF1608" s="20"/>
      <c r="BG1608" s="146"/>
      <c r="BH1608" s="146"/>
      <c r="BI1608" s="146"/>
      <c r="BJ1608" s="20"/>
      <c r="BK1608" s="20"/>
      <c r="BL1608" s="154"/>
      <c r="BP1608" s="20"/>
      <c r="BQ1608" s="154"/>
      <c r="BR1608" s="18"/>
      <c r="BS1608" s="16"/>
      <c r="BT1608" s="18"/>
      <c r="BU1608" s="18"/>
      <c r="BV1608" s="18"/>
      <c r="BW1608" s="20"/>
      <c r="BX1608" s="154"/>
      <c r="BY1608" s="18"/>
      <c r="BZ1608" s="146"/>
      <c r="CA1608" s="18"/>
      <c r="CB1608" s="18"/>
      <c r="CC1608" s="20"/>
      <c r="CD1608" s="154"/>
    </row>
    <row r="1609" spans="35:82">
      <c r="AI1609" s="19"/>
      <c r="AO1609" s="19"/>
      <c r="AY1609" s="145"/>
      <c r="AZ1609" s="16"/>
      <c r="BC1609" s="16"/>
      <c r="BD1609" s="20"/>
      <c r="BE1609" s="17"/>
      <c r="BF1609" s="20"/>
      <c r="BG1609" s="146"/>
      <c r="BH1609" s="146"/>
      <c r="BI1609" s="146"/>
      <c r="BJ1609" s="20"/>
      <c r="BK1609" s="20"/>
      <c r="BL1609" s="154"/>
      <c r="BP1609" s="20"/>
      <c r="BQ1609" s="154"/>
      <c r="BR1609" s="18"/>
      <c r="BS1609" s="16"/>
      <c r="BT1609" s="18"/>
      <c r="BU1609" s="18"/>
      <c r="BV1609" s="18"/>
      <c r="BW1609" s="20"/>
      <c r="BX1609" s="154"/>
      <c r="BY1609" s="18"/>
      <c r="BZ1609" s="146"/>
      <c r="CA1609" s="18"/>
      <c r="CB1609" s="18"/>
      <c r="CC1609" s="20"/>
      <c r="CD1609" s="154"/>
    </row>
    <row r="1610" spans="35:82">
      <c r="AI1610" s="19"/>
      <c r="AO1610" s="19"/>
      <c r="AY1610" s="145"/>
      <c r="AZ1610" s="16"/>
      <c r="BC1610" s="16"/>
      <c r="BD1610" s="20"/>
      <c r="BE1610" s="17"/>
      <c r="BF1610" s="20"/>
      <c r="BG1610" s="146"/>
      <c r="BH1610" s="146"/>
      <c r="BI1610" s="146"/>
      <c r="BJ1610" s="20"/>
      <c r="BK1610" s="20"/>
      <c r="BL1610" s="154"/>
      <c r="BP1610" s="20"/>
      <c r="BQ1610" s="154"/>
      <c r="BR1610" s="18"/>
      <c r="BS1610" s="16"/>
      <c r="BT1610" s="18"/>
      <c r="BU1610" s="18"/>
      <c r="BV1610" s="18"/>
      <c r="BW1610" s="20"/>
      <c r="BX1610" s="154"/>
      <c r="BY1610" s="18"/>
      <c r="BZ1610" s="146"/>
      <c r="CA1610" s="18"/>
      <c r="CB1610" s="18"/>
      <c r="CC1610" s="20"/>
      <c r="CD1610" s="154"/>
    </row>
    <row r="1611" spans="35:82">
      <c r="AI1611" s="19"/>
      <c r="AO1611" s="19"/>
      <c r="AY1611" s="145"/>
      <c r="AZ1611" s="16"/>
      <c r="BC1611" s="16"/>
      <c r="BD1611" s="20"/>
      <c r="BE1611" s="17"/>
      <c r="BF1611" s="20"/>
      <c r="BG1611" s="146"/>
      <c r="BH1611" s="146"/>
      <c r="BI1611" s="146"/>
      <c r="BJ1611" s="20"/>
      <c r="BK1611" s="20"/>
      <c r="BL1611" s="154"/>
      <c r="BP1611" s="20"/>
      <c r="BQ1611" s="154"/>
      <c r="BR1611" s="18"/>
      <c r="BS1611" s="16"/>
      <c r="BT1611" s="18"/>
      <c r="BU1611" s="18"/>
      <c r="BV1611" s="18"/>
      <c r="BW1611" s="20"/>
      <c r="BX1611" s="154"/>
      <c r="BY1611" s="18"/>
      <c r="BZ1611" s="146"/>
      <c r="CA1611" s="18"/>
      <c r="CB1611" s="18"/>
      <c r="CC1611" s="20"/>
      <c r="CD1611" s="154"/>
    </row>
    <row r="1612" spans="35:82">
      <c r="AI1612" s="19"/>
      <c r="AO1612" s="19"/>
      <c r="AY1612" s="145"/>
      <c r="AZ1612" s="16"/>
      <c r="BC1612" s="16"/>
      <c r="BD1612" s="20"/>
      <c r="BE1612" s="17"/>
      <c r="BF1612" s="20"/>
      <c r="BG1612" s="146"/>
      <c r="BH1612" s="146"/>
      <c r="BI1612" s="146"/>
      <c r="BJ1612" s="20"/>
      <c r="BK1612" s="20"/>
      <c r="BL1612" s="154"/>
      <c r="BP1612" s="20"/>
      <c r="BQ1612" s="154"/>
      <c r="BR1612" s="18"/>
      <c r="BS1612" s="16"/>
      <c r="BT1612" s="18"/>
      <c r="BU1612" s="18"/>
      <c r="BV1612" s="18"/>
      <c r="BW1612" s="20"/>
      <c r="BX1612" s="154"/>
      <c r="BY1612" s="18"/>
      <c r="BZ1612" s="146"/>
      <c r="CA1612" s="18"/>
      <c r="CB1612" s="18"/>
      <c r="CC1612" s="20"/>
      <c r="CD1612" s="154"/>
    </row>
    <row r="1613" spans="35:82">
      <c r="AI1613" s="19"/>
      <c r="AO1613" s="19"/>
      <c r="AY1613" s="145"/>
      <c r="AZ1613" s="16"/>
      <c r="BC1613" s="16"/>
      <c r="BD1613" s="20"/>
      <c r="BE1613" s="17"/>
      <c r="BF1613" s="20"/>
      <c r="BG1613" s="146"/>
      <c r="BH1613" s="146"/>
      <c r="BI1613" s="146"/>
      <c r="BJ1613" s="20"/>
      <c r="BK1613" s="20"/>
      <c r="BL1613" s="154"/>
      <c r="BP1613" s="20"/>
      <c r="BQ1613" s="154"/>
      <c r="BR1613" s="18"/>
      <c r="BS1613" s="16"/>
      <c r="BT1613" s="18"/>
      <c r="BU1613" s="18"/>
      <c r="BV1613" s="18"/>
      <c r="BW1613" s="20"/>
      <c r="BX1613" s="154"/>
      <c r="BY1613" s="18"/>
      <c r="BZ1613" s="146"/>
      <c r="CA1613" s="18"/>
      <c r="CB1613" s="18"/>
      <c r="CC1613" s="20"/>
      <c r="CD1613" s="154"/>
    </row>
    <row r="1614" spans="35:82">
      <c r="AI1614" s="19"/>
      <c r="AO1614" s="19"/>
      <c r="AY1614" s="145"/>
      <c r="AZ1614" s="16"/>
      <c r="BC1614" s="16"/>
      <c r="BD1614" s="20"/>
      <c r="BE1614" s="17"/>
      <c r="BF1614" s="20"/>
      <c r="BG1614" s="146"/>
      <c r="BH1614" s="146"/>
      <c r="BI1614" s="146"/>
      <c r="BJ1614" s="20"/>
      <c r="BK1614" s="20"/>
      <c r="BL1614" s="154"/>
      <c r="BP1614" s="20"/>
      <c r="BQ1614" s="154"/>
      <c r="BR1614" s="18"/>
      <c r="BS1614" s="16"/>
      <c r="BT1614" s="18"/>
      <c r="BU1614" s="18"/>
      <c r="BV1614" s="18"/>
      <c r="BW1614" s="20"/>
      <c r="BX1614" s="154"/>
      <c r="BY1614" s="18"/>
      <c r="BZ1614" s="146"/>
      <c r="CA1614" s="18"/>
      <c r="CB1614" s="18"/>
      <c r="CC1614" s="20"/>
      <c r="CD1614" s="154"/>
    </row>
    <row r="1615" spans="35:82">
      <c r="AI1615" s="19"/>
      <c r="AO1615" s="19"/>
      <c r="AY1615" s="145"/>
      <c r="AZ1615" s="16"/>
      <c r="BC1615" s="16"/>
      <c r="BD1615" s="20"/>
      <c r="BE1615" s="17"/>
      <c r="BF1615" s="20"/>
      <c r="BG1615" s="146"/>
      <c r="BH1615" s="146"/>
      <c r="BI1615" s="146"/>
      <c r="BJ1615" s="20"/>
      <c r="BK1615" s="20"/>
      <c r="BL1615" s="154"/>
      <c r="BP1615" s="20"/>
      <c r="BQ1615" s="154"/>
      <c r="BR1615" s="18"/>
      <c r="BS1615" s="16"/>
      <c r="BT1615" s="18"/>
      <c r="BU1615" s="18"/>
      <c r="BV1615" s="18"/>
      <c r="BW1615" s="20"/>
      <c r="BX1615" s="154"/>
      <c r="BY1615" s="18"/>
      <c r="BZ1615" s="146"/>
      <c r="CA1615" s="18"/>
      <c r="CB1615" s="18"/>
      <c r="CC1615" s="20"/>
      <c r="CD1615" s="154"/>
    </row>
    <row r="1616" spans="35:82">
      <c r="AI1616" s="19"/>
      <c r="AO1616" s="19"/>
      <c r="AY1616" s="145"/>
      <c r="AZ1616" s="16"/>
      <c r="BC1616" s="16"/>
      <c r="BD1616" s="20"/>
      <c r="BE1616" s="17"/>
      <c r="BF1616" s="20"/>
      <c r="BG1616" s="146"/>
      <c r="BH1616" s="146"/>
      <c r="BI1616" s="146"/>
      <c r="BJ1616" s="20"/>
      <c r="BK1616" s="20"/>
      <c r="BL1616" s="154"/>
      <c r="BP1616" s="20"/>
      <c r="BQ1616" s="154"/>
      <c r="BR1616" s="18"/>
      <c r="BS1616" s="16"/>
      <c r="BT1616" s="18"/>
      <c r="BU1616" s="18"/>
      <c r="BV1616" s="18"/>
      <c r="BW1616" s="20"/>
      <c r="BX1616" s="154"/>
      <c r="BY1616" s="18"/>
      <c r="BZ1616" s="146"/>
      <c r="CA1616" s="18"/>
      <c r="CB1616" s="18"/>
      <c r="CC1616" s="20"/>
      <c r="CD1616" s="154"/>
    </row>
    <row r="1617" spans="35:82">
      <c r="AI1617" s="19"/>
      <c r="AO1617" s="19"/>
      <c r="AY1617" s="145"/>
      <c r="AZ1617" s="16"/>
      <c r="BC1617" s="16"/>
      <c r="BD1617" s="20"/>
      <c r="BE1617" s="17"/>
      <c r="BF1617" s="20"/>
      <c r="BG1617" s="146"/>
      <c r="BH1617" s="146"/>
      <c r="BI1617" s="146"/>
      <c r="BJ1617" s="20"/>
      <c r="BK1617" s="20"/>
      <c r="BL1617" s="154"/>
      <c r="BP1617" s="20"/>
      <c r="BQ1617" s="154"/>
      <c r="BR1617" s="18"/>
      <c r="BS1617" s="16"/>
      <c r="BT1617" s="18"/>
      <c r="BU1617" s="18"/>
      <c r="BV1617" s="18"/>
      <c r="BW1617" s="20"/>
      <c r="BX1617" s="154"/>
      <c r="BY1617" s="18"/>
      <c r="BZ1617" s="146"/>
      <c r="CA1617" s="18"/>
      <c r="CB1617" s="18"/>
      <c r="CC1617" s="20"/>
      <c r="CD1617" s="154"/>
    </row>
    <row r="1618" spans="35:82">
      <c r="AI1618" s="19"/>
      <c r="AO1618" s="19"/>
      <c r="AY1618" s="145"/>
      <c r="AZ1618" s="16"/>
      <c r="BC1618" s="16"/>
      <c r="BD1618" s="20"/>
      <c r="BE1618" s="17"/>
      <c r="BF1618" s="20"/>
      <c r="BG1618" s="146"/>
      <c r="BH1618" s="146"/>
      <c r="BI1618" s="146"/>
      <c r="BJ1618" s="20"/>
      <c r="BK1618" s="20"/>
      <c r="BL1618" s="154"/>
      <c r="BP1618" s="20"/>
      <c r="BQ1618" s="154"/>
      <c r="BR1618" s="18"/>
      <c r="BS1618" s="16"/>
      <c r="BT1618" s="18"/>
      <c r="BU1618" s="18"/>
      <c r="BV1618" s="18"/>
      <c r="BW1618" s="20"/>
      <c r="BX1618" s="154"/>
      <c r="BY1618" s="18"/>
      <c r="BZ1618" s="146"/>
      <c r="CA1618" s="18"/>
      <c r="CB1618" s="18"/>
      <c r="CC1618" s="20"/>
      <c r="CD1618" s="154"/>
    </row>
    <row r="1619" spans="35:82">
      <c r="AI1619" s="19"/>
      <c r="AO1619" s="19"/>
      <c r="AY1619" s="145"/>
      <c r="AZ1619" s="16"/>
      <c r="BC1619" s="16"/>
      <c r="BD1619" s="20"/>
      <c r="BE1619" s="17"/>
      <c r="BF1619" s="20"/>
      <c r="BG1619" s="146"/>
      <c r="BH1619" s="146"/>
      <c r="BI1619" s="146"/>
      <c r="BJ1619" s="20"/>
      <c r="BK1619" s="20"/>
      <c r="BL1619" s="154"/>
      <c r="BP1619" s="20"/>
      <c r="BQ1619" s="154"/>
      <c r="BR1619" s="18"/>
      <c r="BS1619" s="16"/>
      <c r="BT1619" s="18"/>
      <c r="BU1619" s="18"/>
      <c r="BV1619" s="18"/>
      <c r="BW1619" s="20"/>
      <c r="BX1619" s="154"/>
      <c r="BY1619" s="18"/>
      <c r="BZ1619" s="146"/>
      <c r="CA1619" s="18"/>
      <c r="CB1619" s="18"/>
      <c r="CC1619" s="20"/>
      <c r="CD1619" s="154"/>
    </row>
    <row r="1620" spans="35:82">
      <c r="AI1620" s="19"/>
      <c r="AO1620" s="19"/>
      <c r="AY1620" s="145"/>
      <c r="AZ1620" s="16"/>
      <c r="BC1620" s="16"/>
      <c r="BD1620" s="20"/>
      <c r="BE1620" s="17"/>
      <c r="BF1620" s="20"/>
      <c r="BG1620" s="146"/>
      <c r="BH1620" s="146"/>
      <c r="BI1620" s="146"/>
      <c r="BJ1620" s="20"/>
      <c r="BK1620" s="20"/>
      <c r="BL1620" s="154"/>
      <c r="BP1620" s="20"/>
      <c r="BQ1620" s="154"/>
      <c r="BR1620" s="18"/>
      <c r="BS1620" s="16"/>
      <c r="BT1620" s="18"/>
      <c r="BU1620" s="18"/>
      <c r="BV1620" s="18"/>
      <c r="BW1620" s="20"/>
      <c r="BX1620" s="154"/>
      <c r="BY1620" s="18"/>
      <c r="BZ1620" s="146"/>
      <c r="CA1620" s="18"/>
      <c r="CB1620" s="18"/>
      <c r="CC1620" s="20"/>
      <c r="CD1620" s="154"/>
    </row>
    <row r="1621" spans="35:82">
      <c r="AI1621" s="19"/>
      <c r="AO1621" s="19"/>
      <c r="AY1621" s="145"/>
      <c r="AZ1621" s="16"/>
      <c r="BC1621" s="16"/>
      <c r="BD1621" s="20"/>
      <c r="BE1621" s="17"/>
      <c r="BF1621" s="20"/>
      <c r="BG1621" s="146"/>
      <c r="BH1621" s="146"/>
      <c r="BI1621" s="146"/>
      <c r="BJ1621" s="20"/>
      <c r="BK1621" s="20"/>
      <c r="BL1621" s="154"/>
      <c r="BP1621" s="20"/>
      <c r="BQ1621" s="154"/>
      <c r="BR1621" s="18"/>
      <c r="BS1621" s="16"/>
      <c r="BT1621" s="18"/>
      <c r="BU1621" s="18"/>
      <c r="BV1621" s="18"/>
      <c r="BW1621" s="20"/>
      <c r="BX1621" s="154"/>
      <c r="BY1621" s="18"/>
      <c r="BZ1621" s="146"/>
      <c r="CA1621" s="18"/>
      <c r="CB1621" s="18"/>
      <c r="CC1621" s="20"/>
      <c r="CD1621" s="154"/>
    </row>
    <row r="1622" spans="35:82">
      <c r="AI1622" s="19"/>
      <c r="AO1622" s="19"/>
      <c r="AY1622" s="145"/>
      <c r="AZ1622" s="16"/>
      <c r="BC1622" s="16"/>
      <c r="BD1622" s="20"/>
      <c r="BE1622" s="17"/>
      <c r="BF1622" s="20"/>
      <c r="BG1622" s="146"/>
      <c r="BH1622" s="146"/>
      <c r="BI1622" s="146"/>
      <c r="BJ1622" s="20"/>
      <c r="BK1622" s="20"/>
      <c r="BL1622" s="154"/>
      <c r="BP1622" s="20"/>
      <c r="BQ1622" s="154"/>
      <c r="BR1622" s="18"/>
      <c r="BS1622" s="16"/>
      <c r="BT1622" s="18"/>
      <c r="BU1622" s="18"/>
      <c r="BV1622" s="18"/>
      <c r="BW1622" s="20"/>
      <c r="BX1622" s="154"/>
      <c r="BY1622" s="18"/>
      <c r="BZ1622" s="146"/>
      <c r="CA1622" s="18"/>
      <c r="CB1622" s="18"/>
      <c r="CC1622" s="20"/>
      <c r="CD1622" s="154"/>
    </row>
    <row r="1623" spans="35:82">
      <c r="AI1623" s="19"/>
      <c r="AO1623" s="19"/>
      <c r="AY1623" s="145"/>
      <c r="AZ1623" s="16"/>
      <c r="BC1623" s="16"/>
      <c r="BD1623" s="20"/>
      <c r="BE1623" s="17"/>
      <c r="BF1623" s="20"/>
      <c r="BG1623" s="146"/>
      <c r="BH1623" s="146"/>
      <c r="BI1623" s="146"/>
      <c r="BJ1623" s="20"/>
      <c r="BK1623" s="20"/>
      <c r="BL1623" s="154"/>
      <c r="BP1623" s="20"/>
      <c r="BQ1623" s="154"/>
      <c r="BR1623" s="18"/>
      <c r="BS1623" s="16"/>
      <c r="BT1623" s="18"/>
      <c r="BU1623" s="18"/>
      <c r="BV1623" s="18"/>
      <c r="BW1623" s="20"/>
      <c r="BX1623" s="154"/>
      <c r="BY1623" s="18"/>
      <c r="BZ1623" s="146"/>
      <c r="CA1623" s="18"/>
      <c r="CB1623" s="18"/>
      <c r="CC1623" s="20"/>
      <c r="CD1623" s="154"/>
    </row>
    <row r="1624" spans="35:82">
      <c r="AI1624" s="19"/>
      <c r="AO1624" s="19"/>
      <c r="AY1624" s="145"/>
      <c r="AZ1624" s="16"/>
      <c r="BC1624" s="16"/>
      <c r="BD1624" s="20"/>
      <c r="BE1624" s="17"/>
      <c r="BF1624" s="20"/>
      <c r="BG1624" s="146"/>
      <c r="BH1624" s="146"/>
      <c r="BI1624" s="146"/>
      <c r="BJ1624" s="20"/>
      <c r="BK1624" s="20"/>
      <c r="BL1624" s="154"/>
      <c r="BP1624" s="20"/>
      <c r="BQ1624" s="154"/>
      <c r="BR1624" s="18"/>
      <c r="BS1624" s="16"/>
      <c r="BT1624" s="18"/>
      <c r="BU1624" s="18"/>
      <c r="BV1624" s="18"/>
      <c r="BW1624" s="20"/>
      <c r="BX1624" s="154"/>
      <c r="BY1624" s="18"/>
      <c r="BZ1624" s="146"/>
      <c r="CA1624" s="18"/>
      <c r="CB1624" s="18"/>
      <c r="CC1624" s="20"/>
      <c r="CD1624" s="154"/>
    </row>
    <row r="1625" spans="35:82">
      <c r="AI1625" s="19"/>
      <c r="AO1625" s="19"/>
      <c r="AY1625" s="145"/>
      <c r="AZ1625" s="16"/>
      <c r="BC1625" s="16"/>
      <c r="BD1625" s="20"/>
      <c r="BE1625" s="17"/>
      <c r="BF1625" s="20"/>
      <c r="BG1625" s="146"/>
      <c r="BH1625" s="146"/>
      <c r="BI1625" s="146"/>
      <c r="BJ1625" s="20"/>
      <c r="BK1625" s="20"/>
      <c r="BL1625" s="154"/>
      <c r="BP1625" s="20"/>
      <c r="BQ1625" s="154"/>
      <c r="BR1625" s="18"/>
      <c r="BS1625" s="16"/>
      <c r="BT1625" s="18"/>
      <c r="BU1625" s="18"/>
      <c r="BV1625" s="18"/>
      <c r="BW1625" s="20"/>
      <c r="BX1625" s="154"/>
      <c r="BY1625" s="18"/>
      <c r="BZ1625" s="146"/>
      <c r="CA1625" s="18"/>
      <c r="CB1625" s="18"/>
      <c r="CC1625" s="20"/>
      <c r="CD1625" s="154"/>
    </row>
    <row r="1626" spans="35:82">
      <c r="AI1626" s="19"/>
      <c r="AO1626" s="19"/>
      <c r="AY1626" s="145"/>
      <c r="AZ1626" s="16"/>
      <c r="BC1626" s="16"/>
      <c r="BD1626" s="20"/>
      <c r="BE1626" s="17"/>
      <c r="BF1626" s="20"/>
      <c r="BG1626" s="146"/>
      <c r="BH1626" s="146"/>
      <c r="BI1626" s="146"/>
      <c r="BJ1626" s="20"/>
      <c r="BK1626" s="20"/>
      <c r="BL1626" s="154"/>
      <c r="BP1626" s="20"/>
      <c r="BQ1626" s="154"/>
      <c r="BR1626" s="18"/>
      <c r="BS1626" s="16"/>
      <c r="BT1626" s="18"/>
      <c r="BU1626" s="18"/>
      <c r="BV1626" s="18"/>
      <c r="BW1626" s="20"/>
      <c r="BX1626" s="154"/>
      <c r="BY1626" s="18"/>
      <c r="BZ1626" s="146"/>
      <c r="CA1626" s="18"/>
      <c r="CB1626" s="18"/>
      <c r="CC1626" s="20"/>
      <c r="CD1626" s="154"/>
    </row>
    <row r="1627" spans="35:82">
      <c r="AI1627" s="19"/>
      <c r="AO1627" s="19"/>
      <c r="AY1627" s="145"/>
      <c r="AZ1627" s="16"/>
      <c r="BC1627" s="16"/>
      <c r="BD1627" s="20"/>
      <c r="BE1627" s="17"/>
      <c r="BF1627" s="20"/>
      <c r="BG1627" s="146"/>
      <c r="BH1627" s="146"/>
      <c r="BI1627" s="146"/>
      <c r="BJ1627" s="20"/>
      <c r="BK1627" s="20"/>
      <c r="BL1627" s="154"/>
      <c r="BP1627" s="20"/>
      <c r="BQ1627" s="154"/>
      <c r="BR1627" s="18"/>
      <c r="BS1627" s="16"/>
      <c r="BT1627" s="18"/>
      <c r="BU1627" s="18"/>
      <c r="BV1627" s="18"/>
      <c r="BW1627" s="20"/>
      <c r="BX1627" s="154"/>
      <c r="BY1627" s="18"/>
      <c r="BZ1627" s="146"/>
      <c r="CA1627" s="18"/>
      <c r="CB1627" s="18"/>
      <c r="CC1627" s="20"/>
      <c r="CD1627" s="154"/>
    </row>
    <row r="1628" spans="35:82">
      <c r="AI1628" s="19"/>
      <c r="AO1628" s="19"/>
      <c r="AY1628" s="145"/>
      <c r="AZ1628" s="16"/>
      <c r="BC1628" s="16"/>
      <c r="BD1628" s="20"/>
      <c r="BE1628" s="17"/>
      <c r="BF1628" s="20"/>
      <c r="BG1628" s="146"/>
      <c r="BH1628" s="146"/>
      <c r="BI1628" s="146"/>
      <c r="BJ1628" s="20"/>
      <c r="BK1628" s="20"/>
      <c r="BL1628" s="154"/>
      <c r="BP1628" s="20"/>
      <c r="BQ1628" s="154"/>
      <c r="BR1628" s="18"/>
      <c r="BS1628" s="16"/>
      <c r="BT1628" s="18"/>
      <c r="BU1628" s="18"/>
      <c r="BV1628" s="18"/>
      <c r="BW1628" s="20"/>
      <c r="BX1628" s="154"/>
      <c r="BY1628" s="18"/>
      <c r="BZ1628" s="146"/>
      <c r="CA1628" s="18"/>
      <c r="CB1628" s="18"/>
      <c r="CC1628" s="20"/>
      <c r="CD1628" s="154"/>
    </row>
    <row r="1629" spans="35:82">
      <c r="AI1629" s="19"/>
      <c r="AO1629" s="19"/>
      <c r="AY1629" s="145"/>
      <c r="AZ1629" s="16"/>
      <c r="BC1629" s="16"/>
      <c r="BD1629" s="20"/>
      <c r="BE1629" s="17"/>
      <c r="BF1629" s="20"/>
      <c r="BG1629" s="146"/>
      <c r="BH1629" s="146"/>
      <c r="BI1629" s="146"/>
      <c r="BJ1629" s="20"/>
      <c r="BK1629" s="20"/>
      <c r="BL1629" s="154"/>
      <c r="BP1629" s="20"/>
      <c r="BQ1629" s="154"/>
      <c r="BR1629" s="18"/>
      <c r="BS1629" s="16"/>
      <c r="BT1629" s="18"/>
      <c r="BU1629" s="18"/>
      <c r="BV1629" s="18"/>
      <c r="BW1629" s="20"/>
      <c r="BX1629" s="154"/>
      <c r="BY1629" s="18"/>
      <c r="BZ1629" s="146"/>
      <c r="CA1629" s="18"/>
      <c r="CB1629" s="18"/>
      <c r="CC1629" s="20"/>
      <c r="CD1629" s="154"/>
    </row>
    <row r="1630" spans="35:82">
      <c r="AI1630" s="19"/>
      <c r="AO1630" s="19"/>
      <c r="AY1630" s="145"/>
      <c r="AZ1630" s="16"/>
      <c r="BC1630" s="16"/>
      <c r="BD1630" s="20"/>
      <c r="BE1630" s="17"/>
      <c r="BF1630" s="20"/>
      <c r="BG1630" s="146"/>
      <c r="BH1630" s="146"/>
      <c r="BI1630" s="146"/>
      <c r="BJ1630" s="20"/>
      <c r="BK1630" s="20"/>
      <c r="BL1630" s="154"/>
      <c r="BP1630" s="20"/>
      <c r="BQ1630" s="154"/>
      <c r="BR1630" s="18"/>
      <c r="BS1630" s="16"/>
      <c r="BT1630" s="18"/>
      <c r="BU1630" s="18"/>
      <c r="BV1630" s="18"/>
      <c r="BW1630" s="20"/>
      <c r="BX1630" s="154"/>
      <c r="BY1630" s="18"/>
      <c r="BZ1630" s="146"/>
      <c r="CA1630" s="18"/>
      <c r="CB1630" s="18"/>
      <c r="CC1630" s="20"/>
      <c r="CD1630" s="154"/>
    </row>
    <row r="1631" spans="35:82">
      <c r="AI1631" s="19"/>
      <c r="AO1631" s="19"/>
      <c r="AY1631" s="145"/>
      <c r="AZ1631" s="16"/>
      <c r="BC1631" s="16"/>
      <c r="BD1631" s="20"/>
      <c r="BE1631" s="17"/>
      <c r="BF1631" s="20"/>
      <c r="BG1631" s="146"/>
      <c r="BH1631" s="146"/>
      <c r="BI1631" s="146"/>
      <c r="BJ1631" s="20"/>
      <c r="BK1631" s="20"/>
      <c r="BL1631" s="154"/>
      <c r="BP1631" s="20"/>
      <c r="BQ1631" s="154"/>
      <c r="BR1631" s="18"/>
      <c r="BS1631" s="16"/>
      <c r="BT1631" s="18"/>
      <c r="BU1631" s="18"/>
      <c r="BV1631" s="18"/>
      <c r="BW1631" s="20"/>
      <c r="BX1631" s="154"/>
      <c r="BY1631" s="18"/>
      <c r="BZ1631" s="146"/>
      <c r="CA1631" s="18"/>
      <c r="CB1631" s="18"/>
      <c r="CC1631" s="20"/>
      <c r="CD1631" s="154"/>
    </row>
    <row r="1632" spans="35:82">
      <c r="AI1632" s="19"/>
      <c r="AO1632" s="19"/>
      <c r="AY1632" s="145"/>
      <c r="AZ1632" s="16"/>
      <c r="BC1632" s="16"/>
      <c r="BD1632" s="20"/>
      <c r="BE1632" s="17"/>
      <c r="BF1632" s="20"/>
      <c r="BG1632" s="146"/>
      <c r="BH1632" s="146"/>
      <c r="BI1632" s="146"/>
      <c r="BJ1632" s="20"/>
      <c r="BK1632" s="20"/>
      <c r="BL1632" s="154"/>
      <c r="BP1632" s="20"/>
      <c r="BQ1632" s="154"/>
      <c r="BR1632" s="18"/>
      <c r="BS1632" s="16"/>
      <c r="BT1632" s="18"/>
      <c r="BU1632" s="18"/>
      <c r="BV1632" s="18"/>
      <c r="BW1632" s="20"/>
      <c r="BX1632" s="154"/>
      <c r="BY1632" s="18"/>
      <c r="BZ1632" s="146"/>
      <c r="CA1632" s="18"/>
      <c r="CB1632" s="18"/>
      <c r="CC1632" s="20"/>
      <c r="CD1632" s="154"/>
    </row>
    <row r="1633" spans="35:82">
      <c r="AI1633" s="19"/>
      <c r="AO1633" s="19"/>
      <c r="AY1633" s="145"/>
      <c r="AZ1633" s="16"/>
      <c r="BC1633" s="16"/>
      <c r="BD1633" s="20"/>
      <c r="BE1633" s="17"/>
      <c r="BF1633" s="20"/>
      <c r="BG1633" s="146"/>
      <c r="BH1633" s="146"/>
      <c r="BI1633" s="146"/>
      <c r="BJ1633" s="20"/>
      <c r="BK1633" s="20"/>
      <c r="BL1633" s="154"/>
      <c r="BP1633" s="20"/>
      <c r="BQ1633" s="154"/>
      <c r="BR1633" s="18"/>
      <c r="BS1633" s="16"/>
      <c r="BT1633" s="18"/>
      <c r="BU1633" s="18"/>
      <c r="BV1633" s="18"/>
      <c r="BW1633" s="20"/>
      <c r="BX1633" s="154"/>
      <c r="BY1633" s="18"/>
      <c r="BZ1633" s="146"/>
      <c r="CA1633" s="18"/>
      <c r="CB1633" s="18"/>
      <c r="CC1633" s="20"/>
      <c r="CD1633" s="154"/>
    </row>
    <row r="1634" spans="35:82">
      <c r="AI1634" s="19"/>
      <c r="AO1634" s="19"/>
      <c r="AY1634" s="145"/>
      <c r="AZ1634" s="16"/>
      <c r="BC1634" s="16"/>
      <c r="BD1634" s="20"/>
      <c r="BE1634" s="17"/>
      <c r="BF1634" s="20"/>
      <c r="BG1634" s="146"/>
      <c r="BH1634" s="146"/>
      <c r="BI1634" s="146"/>
      <c r="BJ1634" s="20"/>
      <c r="BK1634" s="20"/>
      <c r="BL1634" s="154"/>
      <c r="BP1634" s="20"/>
      <c r="BQ1634" s="154"/>
      <c r="BR1634" s="18"/>
      <c r="BS1634" s="16"/>
      <c r="BT1634" s="18"/>
      <c r="BU1634" s="18"/>
      <c r="BV1634" s="18"/>
      <c r="BW1634" s="20"/>
      <c r="BX1634" s="154"/>
      <c r="BY1634" s="18"/>
      <c r="BZ1634" s="146"/>
      <c r="CA1634" s="18"/>
      <c r="CB1634" s="18"/>
      <c r="CC1634" s="20"/>
      <c r="CD1634" s="154"/>
    </row>
    <row r="1635" spans="35:82">
      <c r="AI1635" s="19"/>
      <c r="AO1635" s="19"/>
      <c r="AY1635" s="145"/>
      <c r="AZ1635" s="16"/>
      <c r="BC1635" s="16"/>
      <c r="BD1635" s="20"/>
      <c r="BE1635" s="17"/>
      <c r="BF1635" s="20"/>
      <c r="BG1635" s="146"/>
      <c r="BH1635" s="146"/>
      <c r="BI1635" s="146"/>
      <c r="BJ1635" s="20"/>
      <c r="BK1635" s="20"/>
      <c r="BL1635" s="154"/>
      <c r="BP1635" s="20"/>
      <c r="BQ1635" s="154"/>
      <c r="BR1635" s="18"/>
      <c r="BS1635" s="16"/>
      <c r="BT1635" s="18"/>
      <c r="BU1635" s="18"/>
      <c r="BV1635" s="18"/>
      <c r="BW1635" s="20"/>
      <c r="BX1635" s="154"/>
      <c r="BY1635" s="18"/>
      <c r="BZ1635" s="146"/>
      <c r="CA1635" s="18"/>
      <c r="CB1635" s="18"/>
      <c r="CC1635" s="20"/>
      <c r="CD1635" s="154"/>
    </row>
    <row r="1636" spans="35:82">
      <c r="AI1636" s="19"/>
      <c r="AO1636" s="19"/>
      <c r="AY1636" s="145"/>
      <c r="AZ1636" s="16"/>
      <c r="BC1636" s="16"/>
      <c r="BD1636" s="20"/>
      <c r="BE1636" s="17"/>
      <c r="BF1636" s="20"/>
      <c r="BG1636" s="146"/>
      <c r="BH1636" s="146"/>
      <c r="BI1636" s="146"/>
      <c r="BJ1636" s="20"/>
      <c r="BK1636" s="20"/>
      <c r="BL1636" s="154"/>
      <c r="BP1636" s="20"/>
      <c r="BQ1636" s="154"/>
      <c r="BR1636" s="18"/>
      <c r="BS1636" s="16"/>
      <c r="BT1636" s="18"/>
      <c r="BU1636" s="18"/>
      <c r="BV1636" s="18"/>
      <c r="BW1636" s="20"/>
      <c r="BX1636" s="154"/>
      <c r="BY1636" s="18"/>
      <c r="BZ1636" s="146"/>
      <c r="CA1636" s="18"/>
      <c r="CB1636" s="18"/>
      <c r="CC1636" s="20"/>
      <c r="CD1636" s="154"/>
    </row>
    <row r="1637" spans="35:82">
      <c r="AI1637" s="19"/>
      <c r="AO1637" s="19"/>
      <c r="AY1637" s="145"/>
      <c r="AZ1637" s="16"/>
      <c r="BC1637" s="16"/>
      <c r="BD1637" s="20"/>
      <c r="BE1637" s="17"/>
      <c r="BF1637" s="20"/>
      <c r="BG1637" s="146"/>
      <c r="BH1637" s="146"/>
      <c r="BI1637" s="146"/>
      <c r="BJ1637" s="20"/>
      <c r="BK1637" s="20"/>
      <c r="BL1637" s="154"/>
      <c r="BP1637" s="20"/>
      <c r="BQ1637" s="154"/>
      <c r="BR1637" s="18"/>
      <c r="BS1637" s="16"/>
      <c r="BT1637" s="18"/>
      <c r="BU1637" s="18"/>
      <c r="BV1637" s="18"/>
      <c r="BW1637" s="20"/>
      <c r="BX1637" s="154"/>
      <c r="BY1637" s="18"/>
      <c r="BZ1637" s="146"/>
      <c r="CA1637" s="18"/>
      <c r="CB1637" s="18"/>
      <c r="CC1637" s="20"/>
      <c r="CD1637" s="154"/>
    </row>
    <row r="1638" spans="35:82">
      <c r="AI1638" s="19"/>
      <c r="AO1638" s="19"/>
      <c r="AY1638" s="145"/>
      <c r="AZ1638" s="16"/>
      <c r="BC1638" s="16"/>
      <c r="BD1638" s="20"/>
      <c r="BE1638" s="17"/>
      <c r="BF1638" s="20"/>
      <c r="BG1638" s="146"/>
      <c r="BH1638" s="146"/>
      <c r="BI1638" s="146"/>
      <c r="BJ1638" s="20"/>
      <c r="BK1638" s="20"/>
      <c r="BL1638" s="154"/>
      <c r="BP1638" s="20"/>
      <c r="BQ1638" s="154"/>
      <c r="BR1638" s="18"/>
      <c r="BS1638" s="16"/>
      <c r="BT1638" s="18"/>
      <c r="BU1638" s="18"/>
      <c r="BV1638" s="18"/>
      <c r="BW1638" s="20"/>
      <c r="BX1638" s="154"/>
      <c r="BY1638" s="18"/>
      <c r="BZ1638" s="146"/>
      <c r="CA1638" s="18"/>
      <c r="CB1638" s="18"/>
      <c r="CC1638" s="20"/>
      <c r="CD1638" s="154"/>
    </row>
    <row r="1639" spans="35:82">
      <c r="AI1639" s="19"/>
      <c r="AO1639" s="19"/>
      <c r="AY1639" s="145"/>
      <c r="AZ1639" s="16"/>
      <c r="BC1639" s="16"/>
      <c r="BD1639" s="20"/>
      <c r="BE1639" s="17"/>
      <c r="BF1639" s="20"/>
      <c r="BG1639" s="146"/>
      <c r="BH1639" s="146"/>
      <c r="BI1639" s="146"/>
      <c r="BJ1639" s="20"/>
      <c r="BK1639" s="20"/>
      <c r="BL1639" s="154"/>
      <c r="BP1639" s="20"/>
      <c r="BQ1639" s="154"/>
      <c r="BR1639" s="18"/>
      <c r="BS1639" s="16"/>
      <c r="BT1639" s="18"/>
      <c r="BU1639" s="18"/>
      <c r="BV1639" s="18"/>
      <c r="BW1639" s="20"/>
      <c r="BX1639" s="154"/>
      <c r="BY1639" s="18"/>
      <c r="BZ1639" s="146"/>
      <c r="CA1639" s="18"/>
      <c r="CB1639" s="18"/>
      <c r="CC1639" s="20"/>
      <c r="CD1639" s="154"/>
    </row>
    <row r="1640" spans="35:82">
      <c r="AI1640" s="19"/>
      <c r="AO1640" s="19"/>
      <c r="AY1640" s="145"/>
      <c r="AZ1640" s="16"/>
      <c r="BC1640" s="16"/>
      <c r="BD1640" s="20"/>
      <c r="BE1640" s="17"/>
      <c r="BF1640" s="20"/>
      <c r="BG1640" s="146"/>
      <c r="BH1640" s="146"/>
      <c r="BI1640" s="146"/>
      <c r="BJ1640" s="20"/>
      <c r="BK1640" s="20"/>
      <c r="BL1640" s="154"/>
      <c r="BP1640" s="20"/>
      <c r="BQ1640" s="154"/>
      <c r="BR1640" s="18"/>
      <c r="BS1640" s="16"/>
      <c r="BT1640" s="18"/>
      <c r="BU1640" s="18"/>
      <c r="BV1640" s="18"/>
      <c r="BW1640" s="20"/>
      <c r="BX1640" s="154"/>
      <c r="BY1640" s="18"/>
      <c r="BZ1640" s="146"/>
      <c r="CA1640" s="18"/>
      <c r="CB1640" s="18"/>
      <c r="CC1640" s="20"/>
      <c r="CD1640" s="154"/>
    </row>
    <row r="1641" spans="35:82">
      <c r="AI1641" s="19"/>
      <c r="AO1641" s="19"/>
      <c r="AY1641" s="145"/>
      <c r="AZ1641" s="16"/>
      <c r="BC1641" s="16"/>
      <c r="BD1641" s="20"/>
      <c r="BE1641" s="17"/>
      <c r="BF1641" s="20"/>
      <c r="BG1641" s="146"/>
      <c r="BH1641" s="146"/>
      <c r="BI1641" s="146"/>
      <c r="BJ1641" s="20"/>
      <c r="BK1641" s="20"/>
      <c r="BL1641" s="154"/>
      <c r="BP1641" s="20"/>
      <c r="BQ1641" s="154"/>
      <c r="BR1641" s="18"/>
      <c r="BS1641" s="16"/>
      <c r="BT1641" s="18"/>
      <c r="BU1641" s="18"/>
      <c r="BV1641" s="18"/>
      <c r="BW1641" s="20"/>
      <c r="BX1641" s="154"/>
      <c r="BY1641" s="18"/>
      <c r="BZ1641" s="146"/>
      <c r="CA1641" s="18"/>
      <c r="CB1641" s="18"/>
      <c r="CC1641" s="20"/>
      <c r="CD1641" s="154"/>
    </row>
    <row r="1642" spans="35:82">
      <c r="AI1642" s="19"/>
      <c r="AO1642" s="19"/>
      <c r="AY1642" s="145"/>
      <c r="AZ1642" s="16"/>
      <c r="BC1642" s="16"/>
      <c r="BD1642" s="20"/>
      <c r="BE1642" s="17"/>
      <c r="BF1642" s="20"/>
      <c r="BG1642" s="146"/>
      <c r="BH1642" s="146"/>
      <c r="BI1642" s="146"/>
      <c r="BJ1642" s="20"/>
      <c r="BK1642" s="20"/>
      <c r="BL1642" s="154"/>
      <c r="BP1642" s="20"/>
      <c r="BQ1642" s="154"/>
      <c r="BR1642" s="18"/>
      <c r="BS1642" s="16"/>
      <c r="BT1642" s="18"/>
      <c r="BU1642" s="18"/>
      <c r="BV1642" s="18"/>
      <c r="BW1642" s="20"/>
      <c r="BX1642" s="154"/>
      <c r="BY1642" s="18"/>
      <c r="BZ1642" s="146"/>
      <c r="CA1642" s="18"/>
      <c r="CB1642" s="18"/>
      <c r="CC1642" s="20"/>
      <c r="CD1642" s="154"/>
    </row>
    <row r="1643" spans="35:82">
      <c r="AI1643" s="19"/>
      <c r="AO1643" s="19"/>
      <c r="AY1643" s="145"/>
      <c r="AZ1643" s="16"/>
      <c r="BC1643" s="16"/>
      <c r="BD1643" s="20"/>
      <c r="BE1643" s="17"/>
      <c r="BF1643" s="20"/>
      <c r="BG1643" s="146"/>
      <c r="BH1643" s="146"/>
      <c r="BI1643" s="146"/>
      <c r="BJ1643" s="20"/>
      <c r="BK1643" s="20"/>
      <c r="BL1643" s="154"/>
      <c r="BP1643" s="20"/>
      <c r="BQ1643" s="154"/>
      <c r="BR1643" s="18"/>
      <c r="BS1643" s="16"/>
      <c r="BT1643" s="18"/>
      <c r="BU1643" s="18"/>
      <c r="BV1643" s="18"/>
      <c r="BW1643" s="20"/>
      <c r="BX1643" s="154"/>
      <c r="BY1643" s="18"/>
      <c r="BZ1643" s="146"/>
      <c r="CA1643" s="18"/>
      <c r="CB1643" s="18"/>
      <c r="CC1643" s="20"/>
      <c r="CD1643" s="154"/>
    </row>
    <row r="1644" spans="35:82">
      <c r="AI1644" s="19"/>
      <c r="AO1644" s="19"/>
      <c r="AY1644" s="145"/>
      <c r="AZ1644" s="16"/>
      <c r="BC1644" s="16"/>
      <c r="BD1644" s="20"/>
      <c r="BE1644" s="17"/>
      <c r="BF1644" s="20"/>
      <c r="BG1644" s="146"/>
      <c r="BH1644" s="146"/>
      <c r="BI1644" s="146"/>
      <c r="BJ1644" s="20"/>
      <c r="BK1644" s="20"/>
      <c r="BL1644" s="154"/>
      <c r="BP1644" s="20"/>
      <c r="BQ1644" s="154"/>
      <c r="BR1644" s="18"/>
      <c r="BS1644" s="16"/>
      <c r="BT1644" s="18"/>
      <c r="BU1644" s="18"/>
      <c r="BV1644" s="18"/>
      <c r="BW1644" s="20"/>
      <c r="BX1644" s="154"/>
      <c r="BY1644" s="18"/>
      <c r="BZ1644" s="146"/>
      <c r="CA1644" s="18"/>
      <c r="CB1644" s="18"/>
      <c r="CC1644" s="20"/>
      <c r="CD1644" s="154"/>
    </row>
    <row r="1645" spans="35:82">
      <c r="AI1645" s="19"/>
      <c r="AO1645" s="19"/>
      <c r="AY1645" s="145"/>
      <c r="AZ1645" s="16"/>
      <c r="BC1645" s="16"/>
      <c r="BD1645" s="20"/>
      <c r="BE1645" s="17"/>
      <c r="BF1645" s="20"/>
      <c r="BG1645" s="146"/>
      <c r="BH1645" s="146"/>
      <c r="BI1645" s="146"/>
      <c r="BJ1645" s="20"/>
      <c r="BK1645" s="20"/>
      <c r="BL1645" s="154"/>
      <c r="BP1645" s="20"/>
      <c r="BQ1645" s="154"/>
      <c r="BR1645" s="18"/>
      <c r="BS1645" s="16"/>
      <c r="BT1645" s="18"/>
      <c r="BU1645" s="18"/>
      <c r="BV1645" s="18"/>
      <c r="BW1645" s="20"/>
      <c r="BX1645" s="154"/>
      <c r="BY1645" s="18"/>
      <c r="BZ1645" s="146"/>
      <c r="CA1645" s="18"/>
      <c r="CB1645" s="18"/>
      <c r="CC1645" s="20"/>
      <c r="CD1645" s="154"/>
    </row>
    <row r="1646" spans="35:82">
      <c r="AI1646" s="19"/>
      <c r="AO1646" s="19"/>
      <c r="AY1646" s="145"/>
      <c r="AZ1646" s="16"/>
      <c r="BC1646" s="16"/>
      <c r="BD1646" s="20"/>
      <c r="BE1646" s="17"/>
      <c r="BF1646" s="20"/>
      <c r="BG1646" s="146"/>
      <c r="BH1646" s="146"/>
      <c r="BI1646" s="146"/>
      <c r="BJ1646" s="20"/>
      <c r="BK1646" s="20"/>
      <c r="BL1646" s="154"/>
      <c r="BP1646" s="20"/>
      <c r="BQ1646" s="154"/>
      <c r="BR1646" s="18"/>
      <c r="BS1646" s="16"/>
      <c r="BT1646" s="18"/>
      <c r="BU1646" s="18"/>
      <c r="BV1646" s="18"/>
      <c r="BW1646" s="20"/>
      <c r="BX1646" s="154"/>
      <c r="BY1646" s="18"/>
      <c r="BZ1646" s="146"/>
      <c r="CA1646" s="18"/>
      <c r="CB1646" s="18"/>
      <c r="CC1646" s="20"/>
      <c r="CD1646" s="154"/>
    </row>
    <row r="1647" spans="35:82">
      <c r="AI1647" s="19"/>
      <c r="AO1647" s="19"/>
      <c r="AY1647" s="145"/>
      <c r="AZ1647" s="16"/>
      <c r="BC1647" s="16"/>
      <c r="BD1647" s="20"/>
      <c r="BE1647" s="17"/>
      <c r="BF1647" s="20"/>
      <c r="BG1647" s="146"/>
      <c r="BH1647" s="146"/>
      <c r="BI1647" s="146"/>
      <c r="BJ1647" s="20"/>
      <c r="BK1647" s="20"/>
      <c r="BL1647" s="154"/>
      <c r="BP1647" s="20"/>
      <c r="BQ1647" s="154"/>
      <c r="BR1647" s="18"/>
      <c r="BS1647" s="16"/>
      <c r="BT1647" s="18"/>
      <c r="BU1647" s="18"/>
      <c r="BV1647" s="18"/>
      <c r="BW1647" s="20"/>
      <c r="BX1647" s="154"/>
      <c r="BY1647" s="18"/>
      <c r="BZ1647" s="146"/>
      <c r="CA1647" s="18"/>
      <c r="CB1647" s="18"/>
      <c r="CC1647" s="20"/>
      <c r="CD1647" s="154"/>
    </row>
    <row r="1648" spans="35:82">
      <c r="AI1648" s="19"/>
      <c r="AO1648" s="19"/>
      <c r="AY1648" s="145"/>
      <c r="AZ1648" s="16"/>
      <c r="BC1648" s="16"/>
      <c r="BD1648" s="20"/>
      <c r="BE1648" s="17"/>
      <c r="BF1648" s="20"/>
      <c r="BG1648" s="146"/>
      <c r="BH1648" s="146"/>
      <c r="BI1648" s="146"/>
      <c r="BJ1648" s="20"/>
      <c r="BK1648" s="20"/>
      <c r="BL1648" s="154"/>
      <c r="BP1648" s="20"/>
      <c r="BQ1648" s="154"/>
      <c r="BR1648" s="18"/>
      <c r="BS1648" s="16"/>
      <c r="BT1648" s="18"/>
      <c r="BU1648" s="18"/>
      <c r="BV1648" s="18"/>
      <c r="BW1648" s="20"/>
      <c r="BX1648" s="154"/>
      <c r="BY1648" s="18"/>
      <c r="BZ1648" s="146"/>
      <c r="CA1648" s="18"/>
      <c r="CB1648" s="18"/>
      <c r="CC1648" s="20"/>
      <c r="CD1648" s="154"/>
    </row>
    <row r="1649" spans="35:82">
      <c r="AI1649" s="19"/>
      <c r="AO1649" s="19"/>
      <c r="AY1649" s="145"/>
      <c r="AZ1649" s="16"/>
      <c r="BC1649" s="16"/>
      <c r="BD1649" s="20"/>
      <c r="BE1649" s="17"/>
      <c r="BF1649" s="20"/>
      <c r="BG1649" s="146"/>
      <c r="BH1649" s="146"/>
      <c r="BI1649" s="146"/>
      <c r="BJ1649" s="20"/>
      <c r="BK1649" s="20"/>
      <c r="BL1649" s="154"/>
      <c r="BP1649" s="20"/>
      <c r="BQ1649" s="154"/>
      <c r="BR1649" s="18"/>
      <c r="BS1649" s="16"/>
      <c r="BT1649" s="18"/>
      <c r="BU1649" s="18"/>
      <c r="BV1649" s="18"/>
      <c r="BW1649" s="20"/>
      <c r="BX1649" s="154"/>
      <c r="BY1649" s="18"/>
      <c r="BZ1649" s="146"/>
      <c r="CA1649" s="18"/>
      <c r="CB1649" s="18"/>
      <c r="CC1649" s="20"/>
      <c r="CD1649" s="154"/>
    </row>
    <row r="1650" spans="35:82">
      <c r="AI1650" s="19"/>
      <c r="AO1650" s="19"/>
      <c r="AY1650" s="145"/>
      <c r="AZ1650" s="16"/>
      <c r="BC1650" s="16"/>
      <c r="BD1650" s="20"/>
      <c r="BE1650" s="17"/>
      <c r="BF1650" s="20"/>
      <c r="BG1650" s="146"/>
      <c r="BH1650" s="146"/>
      <c r="BI1650" s="146"/>
      <c r="BJ1650" s="20"/>
      <c r="BK1650" s="20"/>
      <c r="BL1650" s="154"/>
      <c r="BP1650" s="20"/>
      <c r="BQ1650" s="154"/>
      <c r="BR1650" s="18"/>
      <c r="BS1650" s="16"/>
      <c r="BT1650" s="18"/>
      <c r="BU1650" s="18"/>
      <c r="BV1650" s="18"/>
      <c r="BW1650" s="20"/>
      <c r="BX1650" s="154"/>
      <c r="BY1650" s="18"/>
      <c r="BZ1650" s="146"/>
      <c r="CA1650" s="18"/>
      <c r="CB1650" s="18"/>
      <c r="CC1650" s="20"/>
      <c r="CD1650" s="154"/>
    </row>
    <row r="1651" spans="35:82">
      <c r="AI1651" s="19"/>
      <c r="AO1651" s="19"/>
      <c r="AY1651" s="145"/>
      <c r="AZ1651" s="16"/>
      <c r="BC1651" s="16"/>
      <c r="BD1651" s="20"/>
      <c r="BE1651" s="17"/>
      <c r="BF1651" s="20"/>
      <c r="BG1651" s="146"/>
      <c r="BH1651" s="146"/>
      <c r="BI1651" s="146"/>
      <c r="BJ1651" s="20"/>
      <c r="BK1651" s="20"/>
      <c r="BL1651" s="154"/>
      <c r="BP1651" s="20"/>
      <c r="BQ1651" s="154"/>
      <c r="BR1651" s="18"/>
      <c r="BS1651" s="16"/>
      <c r="BT1651" s="18"/>
      <c r="BU1651" s="18"/>
      <c r="BV1651" s="18"/>
      <c r="BW1651" s="20"/>
      <c r="BX1651" s="154"/>
      <c r="BY1651" s="18"/>
      <c r="BZ1651" s="146"/>
      <c r="CA1651" s="18"/>
      <c r="CB1651" s="18"/>
      <c r="CC1651" s="20"/>
      <c r="CD1651" s="154"/>
    </row>
    <row r="1652" spans="35:82">
      <c r="AI1652" s="19"/>
      <c r="AO1652" s="19"/>
      <c r="AY1652" s="145"/>
      <c r="AZ1652" s="16"/>
      <c r="BC1652" s="16"/>
      <c r="BD1652" s="20"/>
      <c r="BE1652" s="17"/>
      <c r="BF1652" s="20"/>
      <c r="BG1652" s="146"/>
      <c r="BH1652" s="146"/>
      <c r="BI1652" s="146"/>
      <c r="BJ1652" s="20"/>
      <c r="BK1652" s="20"/>
      <c r="BL1652" s="154"/>
      <c r="BP1652" s="20"/>
      <c r="BQ1652" s="154"/>
      <c r="BR1652" s="18"/>
      <c r="BS1652" s="16"/>
      <c r="BT1652" s="18"/>
      <c r="BU1652" s="18"/>
      <c r="BV1652" s="18"/>
      <c r="BW1652" s="20"/>
      <c r="BX1652" s="154"/>
      <c r="BY1652" s="18"/>
      <c r="BZ1652" s="146"/>
      <c r="CA1652" s="18"/>
      <c r="CB1652" s="18"/>
      <c r="CC1652" s="20"/>
      <c r="CD1652" s="154"/>
    </row>
    <row r="1653" spans="35:82">
      <c r="AI1653" s="19"/>
      <c r="AO1653" s="19"/>
      <c r="AY1653" s="145"/>
      <c r="AZ1653" s="16"/>
      <c r="BC1653" s="16"/>
      <c r="BD1653" s="20"/>
      <c r="BE1653" s="17"/>
      <c r="BF1653" s="20"/>
      <c r="BG1653" s="146"/>
      <c r="BH1653" s="146"/>
      <c r="BI1653" s="146"/>
      <c r="BJ1653" s="20"/>
      <c r="BK1653" s="20"/>
      <c r="BL1653" s="154"/>
      <c r="BP1653" s="20"/>
      <c r="BQ1653" s="154"/>
      <c r="BR1653" s="18"/>
      <c r="BS1653" s="16"/>
      <c r="BT1653" s="18"/>
      <c r="BU1653" s="18"/>
      <c r="BV1653" s="18"/>
      <c r="BW1653" s="20"/>
      <c r="BX1653" s="154"/>
      <c r="BY1653" s="18"/>
      <c r="BZ1653" s="146"/>
      <c r="CA1653" s="18"/>
      <c r="CB1653" s="18"/>
      <c r="CC1653" s="20"/>
      <c r="CD1653" s="154"/>
    </row>
    <row r="1654" spans="35:82">
      <c r="AI1654" s="19"/>
      <c r="AO1654" s="19"/>
      <c r="AY1654" s="145"/>
      <c r="AZ1654" s="16"/>
      <c r="BC1654" s="16"/>
      <c r="BD1654" s="20"/>
      <c r="BE1654" s="17"/>
      <c r="BF1654" s="20"/>
      <c r="BG1654" s="146"/>
      <c r="BH1654" s="146"/>
      <c r="BI1654" s="146"/>
      <c r="BJ1654" s="20"/>
      <c r="BK1654" s="20"/>
      <c r="BL1654" s="154"/>
      <c r="BP1654" s="20"/>
      <c r="BQ1654" s="154"/>
      <c r="BR1654" s="18"/>
      <c r="BS1654" s="16"/>
      <c r="BT1654" s="18"/>
      <c r="BU1654" s="18"/>
      <c r="BV1654" s="18"/>
      <c r="BW1654" s="20"/>
      <c r="BX1654" s="154"/>
      <c r="BY1654" s="18"/>
      <c r="BZ1654" s="146"/>
      <c r="CA1654" s="18"/>
      <c r="CB1654" s="18"/>
      <c r="CC1654" s="20"/>
      <c r="CD1654" s="154"/>
    </row>
    <row r="1655" spans="35:82">
      <c r="AI1655" s="19"/>
      <c r="AO1655" s="19"/>
      <c r="AY1655" s="145"/>
      <c r="AZ1655" s="16"/>
      <c r="BC1655" s="16"/>
      <c r="BD1655" s="20"/>
      <c r="BE1655" s="17"/>
      <c r="BF1655" s="20"/>
      <c r="BG1655" s="146"/>
      <c r="BH1655" s="146"/>
      <c r="BI1655" s="146"/>
      <c r="BJ1655" s="20"/>
      <c r="BK1655" s="20"/>
      <c r="BL1655" s="154"/>
      <c r="BP1655" s="20"/>
      <c r="BQ1655" s="154"/>
      <c r="BR1655" s="18"/>
      <c r="BS1655" s="16"/>
      <c r="BT1655" s="18"/>
      <c r="BU1655" s="18"/>
      <c r="BV1655" s="18"/>
      <c r="BW1655" s="20"/>
      <c r="BX1655" s="154"/>
      <c r="BY1655" s="18"/>
      <c r="BZ1655" s="146"/>
      <c r="CA1655" s="18"/>
      <c r="CB1655" s="18"/>
      <c r="CC1655" s="20"/>
      <c r="CD1655" s="154"/>
    </row>
    <row r="1656" spans="35:82">
      <c r="AI1656" s="19"/>
      <c r="AO1656" s="19"/>
      <c r="AY1656" s="145"/>
      <c r="AZ1656" s="16"/>
      <c r="BC1656" s="16"/>
      <c r="BD1656" s="20"/>
      <c r="BE1656" s="17"/>
      <c r="BF1656" s="20"/>
      <c r="BG1656" s="146"/>
      <c r="BH1656" s="146"/>
      <c r="BI1656" s="146"/>
      <c r="BJ1656" s="20"/>
      <c r="BK1656" s="20"/>
      <c r="BL1656" s="154"/>
      <c r="BP1656" s="20"/>
      <c r="BQ1656" s="154"/>
      <c r="BR1656" s="18"/>
      <c r="BS1656" s="16"/>
      <c r="BT1656" s="18"/>
      <c r="BU1656" s="18"/>
      <c r="BV1656" s="18"/>
      <c r="BW1656" s="20"/>
      <c r="BX1656" s="154"/>
      <c r="BY1656" s="18"/>
      <c r="BZ1656" s="146"/>
      <c r="CA1656" s="18"/>
      <c r="CB1656" s="18"/>
      <c r="CC1656" s="20"/>
      <c r="CD1656" s="154"/>
    </row>
    <row r="1657" spans="35:82">
      <c r="AI1657" s="19"/>
      <c r="AO1657" s="19"/>
      <c r="AY1657" s="145"/>
      <c r="AZ1657" s="16"/>
      <c r="BC1657" s="16"/>
      <c r="BD1657" s="20"/>
      <c r="BE1657" s="17"/>
      <c r="BF1657" s="20"/>
      <c r="BG1657" s="146"/>
      <c r="BH1657" s="146"/>
      <c r="BI1657" s="146"/>
      <c r="BJ1657" s="20"/>
      <c r="BK1657" s="20"/>
      <c r="BL1657" s="154"/>
      <c r="BP1657" s="20"/>
      <c r="BQ1657" s="154"/>
      <c r="BR1657" s="18"/>
      <c r="BS1657" s="16"/>
      <c r="BT1657" s="18"/>
      <c r="BU1657" s="18"/>
      <c r="BV1657" s="18"/>
      <c r="BW1657" s="20"/>
      <c r="BX1657" s="154"/>
      <c r="BY1657" s="18"/>
      <c r="BZ1657" s="146"/>
      <c r="CA1657" s="18"/>
      <c r="CB1657" s="18"/>
      <c r="CC1657" s="20"/>
      <c r="CD1657" s="154"/>
    </row>
    <row r="1658" spans="35:82">
      <c r="AI1658" s="19"/>
      <c r="AO1658" s="19"/>
      <c r="AY1658" s="145"/>
      <c r="AZ1658" s="16"/>
      <c r="BC1658" s="16"/>
      <c r="BD1658" s="20"/>
      <c r="BE1658" s="17"/>
      <c r="BF1658" s="20"/>
      <c r="BG1658" s="146"/>
      <c r="BH1658" s="146"/>
      <c r="BI1658" s="146"/>
      <c r="BJ1658" s="20"/>
      <c r="BK1658" s="20"/>
      <c r="BL1658" s="154"/>
      <c r="BP1658" s="20"/>
      <c r="BQ1658" s="154"/>
      <c r="BR1658" s="18"/>
      <c r="BS1658" s="16"/>
      <c r="BT1658" s="18"/>
      <c r="BU1658" s="18"/>
      <c r="BV1658" s="18"/>
      <c r="BW1658" s="20"/>
      <c r="BX1658" s="154"/>
      <c r="BY1658" s="18"/>
      <c r="BZ1658" s="146"/>
      <c r="CA1658" s="18"/>
      <c r="CB1658" s="18"/>
      <c r="CC1658" s="20"/>
      <c r="CD1658" s="154"/>
    </row>
    <row r="1659" spans="35:82">
      <c r="AI1659" s="19"/>
      <c r="AO1659" s="19"/>
      <c r="AY1659" s="145"/>
      <c r="AZ1659" s="16"/>
      <c r="BC1659" s="16"/>
      <c r="BD1659" s="20"/>
      <c r="BE1659" s="17"/>
      <c r="BF1659" s="20"/>
      <c r="BG1659" s="146"/>
      <c r="BH1659" s="146"/>
      <c r="BI1659" s="146"/>
      <c r="BJ1659" s="20"/>
      <c r="BK1659" s="20"/>
      <c r="BL1659" s="154"/>
      <c r="BP1659" s="20"/>
      <c r="BQ1659" s="154"/>
      <c r="BR1659" s="18"/>
      <c r="BS1659" s="16"/>
      <c r="BT1659" s="18"/>
      <c r="BU1659" s="18"/>
      <c r="BV1659" s="18"/>
      <c r="BW1659" s="20"/>
      <c r="BX1659" s="154"/>
      <c r="BY1659" s="18"/>
      <c r="BZ1659" s="146"/>
      <c r="CA1659" s="18"/>
      <c r="CB1659" s="18"/>
      <c r="CC1659" s="20"/>
      <c r="CD1659" s="154"/>
    </row>
    <row r="1660" spans="35:82">
      <c r="AI1660" s="19"/>
      <c r="AO1660" s="19"/>
      <c r="AY1660" s="145"/>
      <c r="AZ1660" s="16"/>
      <c r="BC1660" s="16"/>
      <c r="BD1660" s="20"/>
      <c r="BE1660" s="17"/>
      <c r="BF1660" s="20"/>
      <c r="BG1660" s="146"/>
      <c r="BH1660" s="146"/>
      <c r="BI1660" s="146"/>
      <c r="BJ1660" s="20"/>
      <c r="BK1660" s="20"/>
      <c r="BL1660" s="154"/>
      <c r="BP1660" s="20"/>
      <c r="BQ1660" s="154"/>
      <c r="BR1660" s="18"/>
      <c r="BS1660" s="16"/>
      <c r="BT1660" s="18"/>
      <c r="BU1660" s="18"/>
      <c r="BV1660" s="18"/>
      <c r="BW1660" s="20"/>
      <c r="BX1660" s="154"/>
      <c r="BY1660" s="18"/>
      <c r="BZ1660" s="146"/>
      <c r="CA1660" s="18"/>
      <c r="CB1660" s="18"/>
      <c r="CC1660" s="20"/>
      <c r="CD1660" s="154"/>
    </row>
    <row r="1661" spans="35:82">
      <c r="AI1661" s="19"/>
      <c r="AO1661" s="19"/>
      <c r="AY1661" s="145"/>
      <c r="AZ1661" s="16"/>
      <c r="BC1661" s="16"/>
      <c r="BD1661" s="20"/>
      <c r="BE1661" s="17"/>
      <c r="BF1661" s="20"/>
      <c r="BG1661" s="146"/>
      <c r="BH1661" s="146"/>
      <c r="BI1661" s="146"/>
      <c r="BJ1661" s="20"/>
      <c r="BK1661" s="20"/>
      <c r="BL1661" s="154"/>
      <c r="BP1661" s="20"/>
      <c r="BQ1661" s="154"/>
      <c r="BR1661" s="18"/>
      <c r="BS1661" s="16"/>
      <c r="BT1661" s="18"/>
      <c r="BU1661" s="18"/>
      <c r="BV1661" s="18"/>
      <c r="BW1661" s="20"/>
      <c r="BX1661" s="154"/>
      <c r="BY1661" s="18"/>
      <c r="BZ1661" s="146"/>
      <c r="CA1661" s="18"/>
      <c r="CB1661" s="18"/>
      <c r="CC1661" s="20"/>
      <c r="CD1661" s="154"/>
    </row>
    <row r="1662" spans="35:82">
      <c r="AI1662" s="19"/>
      <c r="AO1662" s="19"/>
      <c r="AY1662" s="145"/>
      <c r="AZ1662" s="16"/>
      <c r="BC1662" s="16"/>
      <c r="BD1662" s="20"/>
      <c r="BE1662" s="17"/>
      <c r="BF1662" s="20"/>
      <c r="BG1662" s="146"/>
      <c r="BH1662" s="146"/>
      <c r="BI1662" s="146"/>
      <c r="BJ1662" s="20"/>
      <c r="BK1662" s="20"/>
      <c r="BL1662" s="154"/>
      <c r="BP1662" s="20"/>
      <c r="BQ1662" s="154"/>
      <c r="BR1662" s="18"/>
      <c r="BS1662" s="16"/>
      <c r="BT1662" s="18"/>
      <c r="BU1662" s="18"/>
      <c r="BV1662" s="18"/>
      <c r="BW1662" s="20"/>
      <c r="BX1662" s="154"/>
      <c r="BY1662" s="18"/>
      <c r="BZ1662" s="146"/>
      <c r="CA1662" s="18"/>
      <c r="CB1662" s="18"/>
      <c r="CC1662" s="20"/>
      <c r="CD1662" s="154"/>
    </row>
    <row r="1663" spans="35:82">
      <c r="AI1663" s="19"/>
      <c r="AO1663" s="19"/>
      <c r="AY1663" s="145"/>
      <c r="AZ1663" s="16"/>
      <c r="BC1663" s="16"/>
      <c r="BD1663" s="20"/>
      <c r="BE1663" s="17"/>
      <c r="BF1663" s="20"/>
      <c r="BG1663" s="146"/>
      <c r="BH1663" s="146"/>
      <c r="BI1663" s="146"/>
      <c r="BJ1663" s="20"/>
      <c r="BK1663" s="20"/>
      <c r="BL1663" s="154"/>
      <c r="BP1663" s="20"/>
      <c r="BQ1663" s="154"/>
      <c r="BR1663" s="18"/>
      <c r="BS1663" s="16"/>
      <c r="BT1663" s="18"/>
      <c r="BU1663" s="18"/>
      <c r="BV1663" s="18"/>
      <c r="BW1663" s="20"/>
      <c r="BX1663" s="154"/>
      <c r="BY1663" s="18"/>
      <c r="BZ1663" s="146"/>
      <c r="CA1663" s="18"/>
      <c r="CB1663" s="18"/>
      <c r="CC1663" s="20"/>
      <c r="CD1663" s="154"/>
    </row>
    <row r="1664" spans="35:82">
      <c r="AI1664" s="19"/>
      <c r="AO1664" s="19"/>
      <c r="AY1664" s="145"/>
      <c r="AZ1664" s="16"/>
      <c r="BC1664" s="16"/>
      <c r="BD1664" s="20"/>
      <c r="BE1664" s="17"/>
      <c r="BF1664" s="20"/>
      <c r="BG1664" s="146"/>
      <c r="BH1664" s="146"/>
      <c r="BI1664" s="146"/>
      <c r="BJ1664" s="20"/>
      <c r="BK1664" s="20"/>
      <c r="BL1664" s="154"/>
      <c r="BP1664" s="20"/>
      <c r="BQ1664" s="154"/>
      <c r="BR1664" s="18"/>
      <c r="BS1664" s="16"/>
      <c r="BT1664" s="18"/>
      <c r="BU1664" s="18"/>
      <c r="BV1664" s="18"/>
      <c r="BW1664" s="20"/>
      <c r="BX1664" s="154"/>
      <c r="BY1664" s="18"/>
      <c r="BZ1664" s="146"/>
      <c r="CA1664" s="18"/>
      <c r="CB1664" s="18"/>
      <c r="CC1664" s="20"/>
      <c r="CD1664" s="154"/>
    </row>
    <row r="1665" spans="35:82">
      <c r="AI1665" s="19"/>
      <c r="AO1665" s="19"/>
      <c r="AY1665" s="145"/>
      <c r="AZ1665" s="16"/>
      <c r="BC1665" s="16"/>
      <c r="BD1665" s="20"/>
      <c r="BE1665" s="17"/>
      <c r="BF1665" s="20"/>
      <c r="BG1665" s="146"/>
      <c r="BH1665" s="146"/>
      <c r="BI1665" s="146"/>
      <c r="BJ1665" s="20"/>
      <c r="BK1665" s="20"/>
      <c r="BL1665" s="154"/>
      <c r="BP1665" s="20"/>
      <c r="BQ1665" s="154"/>
      <c r="BR1665" s="18"/>
      <c r="BS1665" s="16"/>
      <c r="BT1665" s="18"/>
      <c r="BU1665" s="18"/>
      <c r="BV1665" s="18"/>
      <c r="BW1665" s="20"/>
      <c r="BX1665" s="154"/>
      <c r="BY1665" s="18"/>
      <c r="BZ1665" s="146"/>
      <c r="CA1665" s="18"/>
      <c r="CB1665" s="18"/>
      <c r="CC1665" s="20"/>
      <c r="CD1665" s="154"/>
    </row>
    <row r="1666" spans="35:82">
      <c r="AI1666" s="19"/>
      <c r="AO1666" s="19"/>
      <c r="AY1666" s="145"/>
      <c r="AZ1666" s="16"/>
      <c r="BC1666" s="16"/>
      <c r="BD1666" s="20"/>
      <c r="BE1666" s="17"/>
      <c r="BF1666" s="20"/>
      <c r="BG1666" s="146"/>
      <c r="BH1666" s="146"/>
      <c r="BI1666" s="146"/>
      <c r="BJ1666" s="20"/>
      <c r="BK1666" s="20"/>
      <c r="BL1666" s="154"/>
      <c r="BP1666" s="20"/>
      <c r="BQ1666" s="154"/>
      <c r="BR1666" s="18"/>
      <c r="BS1666" s="16"/>
      <c r="BT1666" s="18"/>
      <c r="BU1666" s="18"/>
      <c r="BV1666" s="18"/>
      <c r="BW1666" s="20"/>
      <c r="BX1666" s="154"/>
      <c r="BY1666" s="18"/>
      <c r="BZ1666" s="146"/>
      <c r="CA1666" s="18"/>
      <c r="CB1666" s="18"/>
      <c r="CC1666" s="20"/>
      <c r="CD1666" s="154"/>
    </row>
    <row r="1667" spans="35:82">
      <c r="AI1667" s="19"/>
      <c r="AO1667" s="19"/>
      <c r="AY1667" s="145"/>
      <c r="AZ1667" s="16"/>
      <c r="BC1667" s="16"/>
      <c r="BD1667" s="20"/>
      <c r="BE1667" s="17"/>
      <c r="BF1667" s="20"/>
      <c r="BG1667" s="146"/>
      <c r="BH1667" s="146"/>
      <c r="BI1667" s="146"/>
      <c r="BJ1667" s="20"/>
      <c r="BK1667" s="20"/>
      <c r="BL1667" s="154"/>
      <c r="BP1667" s="20"/>
      <c r="BQ1667" s="154"/>
      <c r="BR1667" s="18"/>
      <c r="BS1667" s="16"/>
      <c r="BT1667" s="18"/>
      <c r="BU1667" s="18"/>
      <c r="BV1667" s="18"/>
      <c r="BW1667" s="20"/>
      <c r="BX1667" s="154"/>
      <c r="BY1667" s="18"/>
      <c r="BZ1667" s="146"/>
      <c r="CA1667" s="18"/>
      <c r="CB1667" s="18"/>
      <c r="CC1667" s="20"/>
      <c r="CD1667" s="154"/>
    </row>
    <row r="1668" spans="35:82">
      <c r="AI1668" s="19"/>
      <c r="AO1668" s="19"/>
      <c r="AY1668" s="145"/>
      <c r="AZ1668" s="16"/>
      <c r="BC1668" s="16"/>
      <c r="BD1668" s="20"/>
      <c r="BE1668" s="17"/>
      <c r="BF1668" s="20"/>
      <c r="BG1668" s="146"/>
      <c r="BH1668" s="146"/>
      <c r="BI1668" s="146"/>
      <c r="BJ1668" s="20"/>
      <c r="BK1668" s="20"/>
      <c r="BL1668" s="154"/>
      <c r="BP1668" s="20"/>
      <c r="BQ1668" s="154"/>
      <c r="BR1668" s="18"/>
      <c r="BS1668" s="16"/>
      <c r="BT1668" s="18"/>
      <c r="BU1668" s="18"/>
      <c r="BV1668" s="18"/>
      <c r="BW1668" s="20"/>
      <c r="BX1668" s="154"/>
      <c r="BY1668" s="18"/>
      <c r="BZ1668" s="146"/>
      <c r="CA1668" s="18"/>
      <c r="CB1668" s="18"/>
      <c r="CC1668" s="20"/>
      <c r="CD1668" s="154"/>
    </row>
    <row r="1669" spans="35:82">
      <c r="AI1669" s="19"/>
      <c r="AO1669" s="19"/>
      <c r="AY1669" s="145"/>
      <c r="AZ1669" s="16"/>
      <c r="BC1669" s="16"/>
      <c r="BD1669" s="20"/>
      <c r="BE1669" s="17"/>
      <c r="BF1669" s="20"/>
      <c r="BG1669" s="146"/>
      <c r="BH1669" s="146"/>
      <c r="BI1669" s="146"/>
      <c r="BJ1669" s="20"/>
      <c r="BK1669" s="20"/>
      <c r="BL1669" s="154"/>
      <c r="BP1669" s="20"/>
      <c r="BQ1669" s="154"/>
      <c r="BR1669" s="18"/>
      <c r="BS1669" s="16"/>
      <c r="BT1669" s="18"/>
      <c r="BU1669" s="18"/>
      <c r="BV1669" s="18"/>
      <c r="BW1669" s="20"/>
      <c r="BX1669" s="154"/>
      <c r="BY1669" s="18"/>
      <c r="BZ1669" s="146"/>
      <c r="CA1669" s="18"/>
      <c r="CB1669" s="18"/>
      <c r="CC1669" s="20"/>
      <c r="CD1669" s="154"/>
    </row>
    <row r="1670" spans="35:82">
      <c r="AI1670" s="19"/>
      <c r="AO1670" s="19"/>
      <c r="AY1670" s="145"/>
      <c r="AZ1670" s="16"/>
      <c r="BC1670" s="16"/>
      <c r="BD1670" s="20"/>
      <c r="BE1670" s="17"/>
      <c r="BF1670" s="20"/>
      <c r="BG1670" s="146"/>
      <c r="BH1670" s="146"/>
      <c r="BI1670" s="146"/>
      <c r="BJ1670" s="20"/>
      <c r="BK1670" s="20"/>
      <c r="BL1670" s="154"/>
      <c r="BP1670" s="20"/>
      <c r="BQ1670" s="154"/>
      <c r="BR1670" s="18"/>
      <c r="BS1670" s="16"/>
      <c r="BT1670" s="18"/>
      <c r="BU1670" s="18"/>
      <c r="BV1670" s="18"/>
      <c r="BW1670" s="20"/>
      <c r="BX1670" s="154"/>
      <c r="BY1670" s="18"/>
      <c r="BZ1670" s="146"/>
      <c r="CA1670" s="18"/>
      <c r="CB1670" s="18"/>
      <c r="CC1670" s="20"/>
      <c r="CD1670" s="154"/>
    </row>
    <row r="1671" spans="35:82">
      <c r="AI1671" s="19"/>
      <c r="AO1671" s="19"/>
      <c r="AY1671" s="145"/>
      <c r="AZ1671" s="16"/>
      <c r="BC1671" s="16"/>
      <c r="BD1671" s="20"/>
      <c r="BE1671" s="17"/>
      <c r="BF1671" s="20"/>
      <c r="BG1671" s="146"/>
      <c r="BH1671" s="146"/>
      <c r="BI1671" s="146"/>
      <c r="BJ1671" s="20"/>
      <c r="BK1671" s="20"/>
      <c r="BL1671" s="154"/>
      <c r="BP1671" s="20"/>
      <c r="BQ1671" s="154"/>
      <c r="BR1671" s="18"/>
      <c r="BS1671" s="16"/>
      <c r="BT1671" s="18"/>
      <c r="BU1671" s="18"/>
      <c r="BV1671" s="18"/>
      <c r="BW1671" s="20"/>
      <c r="BX1671" s="154"/>
      <c r="BY1671" s="18"/>
      <c r="BZ1671" s="146"/>
      <c r="CA1671" s="18"/>
      <c r="CB1671" s="18"/>
      <c r="CC1671" s="20"/>
      <c r="CD1671" s="154"/>
    </row>
    <row r="1672" spans="35:82">
      <c r="AI1672" s="19"/>
      <c r="AO1672" s="19"/>
      <c r="AY1672" s="145"/>
      <c r="AZ1672" s="16"/>
      <c r="BC1672" s="16"/>
      <c r="BD1672" s="20"/>
      <c r="BE1672" s="17"/>
      <c r="BF1672" s="20"/>
      <c r="BG1672" s="146"/>
      <c r="BH1672" s="146"/>
      <c r="BI1672" s="146"/>
      <c r="BJ1672" s="20"/>
      <c r="BK1672" s="20"/>
      <c r="BL1672" s="154"/>
      <c r="BP1672" s="20"/>
      <c r="BQ1672" s="154"/>
      <c r="BR1672" s="18"/>
      <c r="BS1672" s="16"/>
      <c r="BT1672" s="18"/>
      <c r="BU1672" s="18"/>
      <c r="BV1672" s="18"/>
      <c r="BW1672" s="20"/>
      <c r="BX1672" s="154"/>
      <c r="BY1672" s="18"/>
      <c r="BZ1672" s="146"/>
      <c r="CA1672" s="18"/>
      <c r="CB1672" s="18"/>
      <c r="CC1672" s="20"/>
      <c r="CD1672" s="154"/>
    </row>
    <row r="1673" spans="35:82">
      <c r="AI1673" s="19"/>
      <c r="AO1673" s="19"/>
      <c r="AY1673" s="145"/>
      <c r="AZ1673" s="16"/>
      <c r="BC1673" s="16"/>
      <c r="BD1673" s="20"/>
      <c r="BE1673" s="17"/>
      <c r="BF1673" s="20"/>
      <c r="BG1673" s="146"/>
      <c r="BH1673" s="146"/>
      <c r="BI1673" s="146"/>
      <c r="BJ1673" s="20"/>
      <c r="BK1673" s="20"/>
      <c r="BL1673" s="154"/>
      <c r="BP1673" s="20"/>
      <c r="BQ1673" s="154"/>
      <c r="BR1673" s="18"/>
      <c r="BS1673" s="16"/>
      <c r="BT1673" s="18"/>
      <c r="BU1673" s="18"/>
      <c r="BV1673" s="18"/>
      <c r="BW1673" s="20"/>
      <c r="BX1673" s="154"/>
      <c r="BY1673" s="18"/>
      <c r="BZ1673" s="146"/>
      <c r="CA1673" s="18"/>
      <c r="CB1673" s="18"/>
      <c r="CC1673" s="20"/>
      <c r="CD1673" s="154"/>
    </row>
    <row r="1674" spans="35:82">
      <c r="AI1674" s="19"/>
      <c r="AO1674" s="19"/>
      <c r="AY1674" s="145"/>
      <c r="AZ1674" s="16"/>
      <c r="BC1674" s="16"/>
      <c r="BD1674" s="20"/>
      <c r="BE1674" s="17"/>
      <c r="BF1674" s="20"/>
      <c r="BG1674" s="146"/>
      <c r="BH1674" s="146"/>
      <c r="BI1674" s="146"/>
      <c r="BJ1674" s="20"/>
      <c r="BK1674" s="20"/>
      <c r="BL1674" s="154"/>
      <c r="BP1674" s="20"/>
      <c r="BQ1674" s="154"/>
      <c r="BR1674" s="18"/>
      <c r="BS1674" s="16"/>
      <c r="BT1674" s="18"/>
      <c r="BU1674" s="18"/>
      <c r="BV1674" s="18"/>
      <c r="BW1674" s="20"/>
      <c r="BX1674" s="154"/>
      <c r="BY1674" s="18"/>
      <c r="BZ1674" s="146"/>
      <c r="CA1674" s="18"/>
      <c r="CB1674" s="18"/>
      <c r="CC1674" s="20"/>
      <c r="CD1674" s="154"/>
    </row>
    <row r="1675" spans="35:82">
      <c r="AI1675" s="19"/>
      <c r="AO1675" s="19"/>
      <c r="AY1675" s="145"/>
      <c r="AZ1675" s="16"/>
      <c r="BC1675" s="16"/>
      <c r="BD1675" s="20"/>
      <c r="BE1675" s="17"/>
      <c r="BF1675" s="20"/>
      <c r="BG1675" s="146"/>
      <c r="BH1675" s="146"/>
      <c r="BI1675" s="146"/>
      <c r="BJ1675" s="20"/>
      <c r="BK1675" s="20"/>
      <c r="BL1675" s="154"/>
      <c r="BP1675" s="20"/>
      <c r="BQ1675" s="154"/>
      <c r="BR1675" s="18"/>
      <c r="BS1675" s="16"/>
      <c r="BT1675" s="18"/>
      <c r="BU1675" s="18"/>
      <c r="BV1675" s="18"/>
      <c r="BW1675" s="20"/>
      <c r="BX1675" s="154"/>
      <c r="BY1675" s="18"/>
      <c r="BZ1675" s="146"/>
      <c r="CA1675" s="18"/>
      <c r="CB1675" s="18"/>
      <c r="CC1675" s="20"/>
      <c r="CD1675" s="154"/>
    </row>
    <row r="1676" spans="35:82">
      <c r="AI1676" s="19"/>
      <c r="AO1676" s="19"/>
      <c r="AY1676" s="145"/>
      <c r="AZ1676" s="16"/>
      <c r="BC1676" s="16"/>
      <c r="BD1676" s="20"/>
      <c r="BE1676" s="17"/>
      <c r="BF1676" s="20"/>
      <c r="BG1676" s="146"/>
      <c r="BH1676" s="146"/>
      <c r="BI1676" s="146"/>
      <c r="BJ1676" s="20"/>
      <c r="BK1676" s="20"/>
      <c r="BL1676" s="154"/>
      <c r="BP1676" s="20"/>
      <c r="BQ1676" s="154"/>
      <c r="BR1676" s="18"/>
      <c r="BS1676" s="16"/>
      <c r="BT1676" s="18"/>
      <c r="BU1676" s="18"/>
      <c r="BV1676" s="18"/>
      <c r="BW1676" s="20"/>
      <c r="BX1676" s="154"/>
      <c r="BY1676" s="18"/>
      <c r="BZ1676" s="146"/>
      <c r="CA1676" s="18"/>
      <c r="CB1676" s="18"/>
      <c r="CC1676" s="20"/>
      <c r="CD1676" s="154"/>
    </row>
    <row r="1677" spans="35:82">
      <c r="AI1677" s="19"/>
      <c r="AO1677" s="19"/>
      <c r="AY1677" s="145"/>
      <c r="AZ1677" s="16"/>
      <c r="BC1677" s="16"/>
      <c r="BD1677" s="20"/>
      <c r="BE1677" s="17"/>
      <c r="BF1677" s="20"/>
      <c r="BG1677" s="146"/>
      <c r="BH1677" s="146"/>
      <c r="BI1677" s="146"/>
      <c r="BJ1677" s="20"/>
      <c r="BK1677" s="20"/>
      <c r="BL1677" s="154"/>
      <c r="BP1677" s="20"/>
      <c r="BQ1677" s="154"/>
      <c r="BR1677" s="18"/>
      <c r="BS1677" s="16"/>
      <c r="BT1677" s="18"/>
      <c r="BU1677" s="18"/>
      <c r="BV1677" s="18"/>
      <c r="BW1677" s="20"/>
      <c r="BX1677" s="154"/>
      <c r="BY1677" s="18"/>
      <c r="BZ1677" s="146"/>
      <c r="CA1677" s="18"/>
      <c r="CB1677" s="18"/>
      <c r="CC1677" s="20"/>
      <c r="CD1677" s="154"/>
    </row>
    <row r="1678" spans="35:82">
      <c r="AI1678" s="19"/>
      <c r="AO1678" s="19"/>
      <c r="AY1678" s="145"/>
      <c r="AZ1678" s="16"/>
      <c r="BC1678" s="16"/>
      <c r="BD1678" s="20"/>
      <c r="BE1678" s="17"/>
      <c r="BF1678" s="20"/>
      <c r="BG1678" s="146"/>
      <c r="BH1678" s="146"/>
      <c r="BI1678" s="146"/>
      <c r="BJ1678" s="20"/>
      <c r="BK1678" s="20"/>
      <c r="BL1678" s="154"/>
      <c r="BP1678" s="20"/>
      <c r="BQ1678" s="154"/>
      <c r="BR1678" s="18"/>
      <c r="BS1678" s="16"/>
      <c r="BT1678" s="18"/>
      <c r="BU1678" s="18"/>
      <c r="BV1678" s="18"/>
      <c r="BW1678" s="20"/>
      <c r="BX1678" s="154"/>
      <c r="BY1678" s="18"/>
      <c r="BZ1678" s="146"/>
      <c r="CA1678" s="18"/>
      <c r="CB1678" s="18"/>
      <c r="CC1678" s="20"/>
      <c r="CD1678" s="154"/>
    </row>
    <row r="1679" spans="35:82">
      <c r="AI1679" s="19"/>
      <c r="AO1679" s="19"/>
      <c r="AY1679" s="145"/>
      <c r="AZ1679" s="16"/>
      <c r="BC1679" s="16"/>
      <c r="BD1679" s="20"/>
      <c r="BE1679" s="17"/>
      <c r="BF1679" s="20"/>
      <c r="BG1679" s="146"/>
      <c r="BH1679" s="146"/>
      <c r="BI1679" s="146"/>
      <c r="BJ1679" s="20"/>
      <c r="BK1679" s="20"/>
      <c r="BL1679" s="154"/>
      <c r="BP1679" s="20"/>
      <c r="BQ1679" s="154"/>
      <c r="BR1679" s="18"/>
      <c r="BS1679" s="16"/>
      <c r="BT1679" s="18"/>
      <c r="BU1679" s="18"/>
      <c r="BV1679" s="18"/>
      <c r="BW1679" s="20"/>
      <c r="BX1679" s="154"/>
      <c r="BY1679" s="18"/>
      <c r="BZ1679" s="146"/>
      <c r="CA1679" s="18"/>
      <c r="CB1679" s="18"/>
      <c r="CC1679" s="20"/>
      <c r="CD1679" s="154"/>
    </row>
    <row r="1680" spans="35:82">
      <c r="AI1680" s="19"/>
      <c r="AO1680" s="19"/>
      <c r="AY1680" s="145"/>
      <c r="AZ1680" s="16"/>
      <c r="BC1680" s="16"/>
      <c r="BD1680" s="20"/>
      <c r="BE1680" s="17"/>
      <c r="BF1680" s="20"/>
      <c r="BG1680" s="146"/>
      <c r="BH1680" s="146"/>
      <c r="BI1680" s="146"/>
      <c r="BJ1680" s="20"/>
      <c r="BK1680" s="20"/>
      <c r="BL1680" s="154"/>
      <c r="BP1680" s="20"/>
      <c r="BQ1680" s="154"/>
      <c r="BR1680" s="18"/>
      <c r="BS1680" s="16"/>
      <c r="BT1680" s="18"/>
      <c r="BU1680" s="18"/>
      <c r="BV1680" s="18"/>
      <c r="BW1680" s="20"/>
      <c r="BX1680" s="154"/>
      <c r="BY1680" s="18"/>
      <c r="BZ1680" s="146"/>
      <c r="CA1680" s="18"/>
      <c r="CB1680" s="18"/>
      <c r="CC1680" s="20"/>
      <c r="CD1680" s="154"/>
    </row>
    <row r="1681" spans="35:82">
      <c r="AI1681" s="19"/>
      <c r="AO1681" s="19"/>
      <c r="AY1681" s="145"/>
      <c r="AZ1681" s="16"/>
      <c r="BC1681" s="16"/>
      <c r="BD1681" s="20"/>
      <c r="BE1681" s="17"/>
      <c r="BF1681" s="20"/>
      <c r="BG1681" s="146"/>
      <c r="BH1681" s="146"/>
      <c r="BI1681" s="146"/>
      <c r="BJ1681" s="20"/>
      <c r="BK1681" s="20"/>
      <c r="BL1681" s="154"/>
      <c r="BP1681" s="20"/>
      <c r="BQ1681" s="154"/>
      <c r="BR1681" s="18"/>
      <c r="BS1681" s="16"/>
      <c r="BT1681" s="18"/>
      <c r="BU1681" s="18"/>
      <c r="BV1681" s="18"/>
      <c r="BW1681" s="20"/>
      <c r="BX1681" s="154"/>
      <c r="BY1681" s="18"/>
      <c r="BZ1681" s="146"/>
      <c r="CA1681" s="18"/>
      <c r="CB1681" s="18"/>
      <c r="CC1681" s="20"/>
      <c r="CD1681" s="154"/>
    </row>
    <row r="1682" spans="35:82">
      <c r="AI1682" s="19"/>
      <c r="AO1682" s="19"/>
      <c r="AY1682" s="145"/>
      <c r="AZ1682" s="16"/>
      <c r="BC1682" s="16"/>
      <c r="BD1682" s="20"/>
      <c r="BE1682" s="17"/>
      <c r="BF1682" s="20"/>
      <c r="BG1682" s="146"/>
      <c r="BH1682" s="146"/>
      <c r="BI1682" s="146"/>
      <c r="BJ1682" s="20"/>
      <c r="BK1682" s="20"/>
      <c r="BL1682" s="154"/>
      <c r="BP1682" s="20"/>
      <c r="BQ1682" s="154"/>
      <c r="BR1682" s="18"/>
      <c r="BS1682" s="16"/>
      <c r="BT1682" s="18"/>
      <c r="BU1682" s="18"/>
      <c r="BV1682" s="18"/>
      <c r="BW1682" s="20"/>
      <c r="BX1682" s="154"/>
      <c r="BY1682" s="18"/>
      <c r="BZ1682" s="146"/>
      <c r="CA1682" s="18"/>
      <c r="CB1682" s="18"/>
      <c r="CC1682" s="20"/>
      <c r="CD1682" s="154"/>
    </row>
    <row r="1683" spans="35:82">
      <c r="AI1683" s="19"/>
      <c r="AO1683" s="19"/>
      <c r="AY1683" s="145"/>
      <c r="AZ1683" s="16"/>
      <c r="BC1683" s="16"/>
      <c r="BD1683" s="20"/>
      <c r="BE1683" s="17"/>
      <c r="BF1683" s="20"/>
      <c r="BG1683" s="146"/>
      <c r="BH1683" s="146"/>
      <c r="BI1683" s="146"/>
      <c r="BJ1683" s="20"/>
      <c r="BK1683" s="20"/>
      <c r="BL1683" s="154"/>
      <c r="BP1683" s="20"/>
      <c r="BQ1683" s="154"/>
      <c r="BR1683" s="18"/>
      <c r="BS1683" s="16"/>
      <c r="BT1683" s="18"/>
      <c r="BU1683" s="18"/>
      <c r="BV1683" s="18"/>
      <c r="BW1683" s="20"/>
      <c r="BX1683" s="154"/>
      <c r="BY1683" s="18"/>
      <c r="BZ1683" s="146"/>
      <c r="CA1683" s="18"/>
      <c r="CB1683" s="18"/>
      <c r="CC1683" s="20"/>
      <c r="CD1683" s="154"/>
    </row>
    <row r="1684" spans="35:82">
      <c r="AI1684" s="19"/>
      <c r="AO1684" s="19"/>
      <c r="AY1684" s="145"/>
      <c r="AZ1684" s="16"/>
      <c r="BC1684" s="16"/>
      <c r="BD1684" s="20"/>
      <c r="BE1684" s="17"/>
      <c r="BF1684" s="20"/>
      <c r="BG1684" s="146"/>
      <c r="BH1684" s="146"/>
      <c r="BI1684" s="146"/>
      <c r="BJ1684" s="20"/>
      <c r="BK1684" s="20"/>
      <c r="BL1684" s="154"/>
      <c r="BP1684" s="20"/>
      <c r="BQ1684" s="154"/>
      <c r="BR1684" s="18"/>
      <c r="BS1684" s="16"/>
      <c r="BT1684" s="18"/>
      <c r="BU1684" s="18"/>
      <c r="BV1684" s="18"/>
      <c r="BW1684" s="20"/>
      <c r="BX1684" s="154"/>
      <c r="BY1684" s="18"/>
      <c r="BZ1684" s="146"/>
      <c r="CA1684" s="18"/>
      <c r="CB1684" s="18"/>
      <c r="CC1684" s="20"/>
      <c r="CD1684" s="154"/>
    </row>
    <row r="1685" spans="35:82">
      <c r="AI1685" s="19"/>
      <c r="AO1685" s="19"/>
      <c r="AY1685" s="145"/>
      <c r="AZ1685" s="16"/>
      <c r="BC1685" s="16"/>
      <c r="BD1685" s="20"/>
      <c r="BE1685" s="17"/>
      <c r="BF1685" s="20"/>
      <c r="BG1685" s="146"/>
      <c r="BH1685" s="146"/>
      <c r="BI1685" s="146"/>
      <c r="BJ1685" s="20"/>
      <c r="BK1685" s="20"/>
      <c r="BL1685" s="154"/>
      <c r="BP1685" s="20"/>
      <c r="BQ1685" s="154"/>
      <c r="BR1685" s="18"/>
      <c r="BS1685" s="16"/>
      <c r="BT1685" s="18"/>
      <c r="BU1685" s="18"/>
      <c r="BV1685" s="18"/>
      <c r="BW1685" s="20"/>
      <c r="BX1685" s="154"/>
      <c r="BY1685" s="18"/>
      <c r="BZ1685" s="146"/>
      <c r="CA1685" s="18"/>
      <c r="CB1685" s="18"/>
      <c r="CC1685" s="20"/>
      <c r="CD1685" s="154"/>
    </row>
    <row r="1686" spans="35:82">
      <c r="AI1686" s="19"/>
      <c r="AO1686" s="19"/>
      <c r="AY1686" s="145"/>
      <c r="AZ1686" s="16"/>
      <c r="BC1686" s="16"/>
      <c r="BD1686" s="20"/>
      <c r="BE1686" s="17"/>
      <c r="BF1686" s="20"/>
      <c r="BG1686" s="146"/>
      <c r="BH1686" s="146"/>
      <c r="BI1686" s="146"/>
      <c r="BJ1686" s="20"/>
      <c r="BK1686" s="20"/>
      <c r="BL1686" s="154"/>
      <c r="BP1686" s="20"/>
      <c r="BQ1686" s="154"/>
      <c r="BR1686" s="18"/>
      <c r="BS1686" s="16"/>
      <c r="BT1686" s="18"/>
      <c r="BU1686" s="18"/>
      <c r="BV1686" s="18"/>
      <c r="BW1686" s="20"/>
      <c r="BX1686" s="154"/>
      <c r="BY1686" s="18"/>
      <c r="BZ1686" s="146"/>
      <c r="CA1686" s="18"/>
      <c r="CB1686" s="18"/>
      <c r="CC1686" s="20"/>
      <c r="CD1686" s="154"/>
    </row>
    <row r="1687" spans="35:82">
      <c r="AI1687" s="19"/>
      <c r="AO1687" s="19"/>
      <c r="AY1687" s="145"/>
      <c r="AZ1687" s="16"/>
      <c r="BC1687" s="16"/>
      <c r="BD1687" s="20"/>
      <c r="BE1687" s="17"/>
      <c r="BF1687" s="20"/>
      <c r="BG1687" s="146"/>
      <c r="BH1687" s="146"/>
      <c r="BI1687" s="146"/>
      <c r="BJ1687" s="20"/>
      <c r="BK1687" s="20"/>
      <c r="BL1687" s="154"/>
      <c r="BP1687" s="20"/>
      <c r="BQ1687" s="154"/>
      <c r="BR1687" s="18"/>
      <c r="BS1687" s="16"/>
      <c r="BT1687" s="18"/>
      <c r="BU1687" s="18"/>
      <c r="BV1687" s="18"/>
      <c r="BW1687" s="20"/>
      <c r="BX1687" s="154"/>
      <c r="BY1687" s="18"/>
      <c r="BZ1687" s="146"/>
      <c r="CA1687" s="18"/>
      <c r="CB1687" s="18"/>
      <c r="CC1687" s="20"/>
      <c r="CD1687" s="154"/>
    </row>
    <row r="1688" spans="35:82">
      <c r="AI1688" s="19"/>
      <c r="AO1688" s="19"/>
      <c r="AY1688" s="145"/>
      <c r="AZ1688" s="16"/>
      <c r="BC1688" s="16"/>
      <c r="BD1688" s="20"/>
      <c r="BE1688" s="17"/>
      <c r="BF1688" s="20"/>
      <c r="BG1688" s="146"/>
      <c r="BH1688" s="146"/>
      <c r="BI1688" s="146"/>
      <c r="BJ1688" s="20"/>
      <c r="BK1688" s="20"/>
      <c r="BL1688" s="154"/>
      <c r="BP1688" s="20"/>
      <c r="BQ1688" s="154"/>
      <c r="BR1688" s="18"/>
      <c r="BS1688" s="16"/>
      <c r="BT1688" s="18"/>
      <c r="BU1688" s="18"/>
      <c r="BV1688" s="18"/>
      <c r="BW1688" s="20"/>
      <c r="BX1688" s="154"/>
      <c r="BY1688" s="18"/>
      <c r="BZ1688" s="146"/>
      <c r="CA1688" s="18"/>
      <c r="CB1688" s="18"/>
      <c r="CC1688" s="20"/>
      <c r="CD1688" s="154"/>
    </row>
    <row r="1689" spans="35:82">
      <c r="AI1689" s="19"/>
      <c r="AO1689" s="19"/>
      <c r="AY1689" s="145"/>
      <c r="AZ1689" s="16"/>
      <c r="BC1689" s="16"/>
      <c r="BD1689" s="20"/>
      <c r="BE1689" s="17"/>
      <c r="BF1689" s="20"/>
      <c r="BG1689" s="146"/>
      <c r="BH1689" s="146"/>
      <c r="BI1689" s="146"/>
      <c r="BJ1689" s="20"/>
      <c r="BK1689" s="20"/>
      <c r="BL1689" s="154"/>
      <c r="BP1689" s="20"/>
      <c r="BQ1689" s="154"/>
      <c r="BR1689" s="18"/>
      <c r="BS1689" s="16"/>
      <c r="BT1689" s="18"/>
      <c r="BU1689" s="18"/>
      <c r="BV1689" s="18"/>
      <c r="BW1689" s="20"/>
      <c r="BX1689" s="154"/>
      <c r="BY1689" s="18"/>
      <c r="BZ1689" s="146"/>
      <c r="CA1689" s="18"/>
      <c r="CB1689" s="18"/>
      <c r="CC1689" s="20"/>
      <c r="CD1689" s="154"/>
    </row>
    <row r="1690" spans="35:82">
      <c r="AI1690" s="19"/>
      <c r="AO1690" s="19"/>
      <c r="AY1690" s="145"/>
      <c r="AZ1690" s="16"/>
      <c r="BC1690" s="16"/>
      <c r="BD1690" s="20"/>
      <c r="BE1690" s="17"/>
      <c r="BF1690" s="20"/>
      <c r="BG1690" s="146"/>
      <c r="BH1690" s="146"/>
      <c r="BI1690" s="146"/>
      <c r="BJ1690" s="20"/>
      <c r="BK1690" s="20"/>
      <c r="BL1690" s="154"/>
      <c r="BP1690" s="20"/>
      <c r="BQ1690" s="154"/>
      <c r="BR1690" s="18"/>
      <c r="BS1690" s="16"/>
      <c r="BT1690" s="18"/>
      <c r="BU1690" s="18"/>
      <c r="BV1690" s="18"/>
      <c r="BW1690" s="20"/>
      <c r="BX1690" s="154"/>
      <c r="BY1690" s="18"/>
      <c r="BZ1690" s="146"/>
      <c r="CA1690" s="18"/>
      <c r="CB1690" s="18"/>
      <c r="CC1690" s="20"/>
      <c r="CD1690" s="154"/>
    </row>
    <row r="1691" spans="35:82">
      <c r="AI1691" s="19"/>
      <c r="AO1691" s="19"/>
      <c r="AY1691" s="145"/>
      <c r="AZ1691" s="16"/>
      <c r="BC1691" s="16"/>
      <c r="BD1691" s="20"/>
      <c r="BE1691" s="17"/>
      <c r="BF1691" s="20"/>
      <c r="BG1691" s="146"/>
      <c r="BH1691" s="146"/>
      <c r="BI1691" s="146"/>
      <c r="BJ1691" s="20"/>
      <c r="BK1691" s="20"/>
      <c r="BL1691" s="154"/>
      <c r="BP1691" s="20"/>
      <c r="BQ1691" s="154"/>
      <c r="BR1691" s="18"/>
      <c r="BS1691" s="16"/>
      <c r="BT1691" s="18"/>
      <c r="BU1691" s="18"/>
      <c r="BV1691" s="18"/>
      <c r="BW1691" s="20"/>
      <c r="BX1691" s="154"/>
      <c r="BY1691" s="18"/>
      <c r="BZ1691" s="146"/>
      <c r="CA1691" s="18"/>
      <c r="CB1691" s="18"/>
      <c r="CC1691" s="20"/>
      <c r="CD1691" s="154"/>
    </row>
    <row r="1692" spans="35:82">
      <c r="AI1692" s="19"/>
      <c r="AO1692" s="19"/>
      <c r="AY1692" s="145"/>
      <c r="AZ1692" s="16"/>
      <c r="BC1692" s="16"/>
      <c r="BD1692" s="20"/>
      <c r="BE1692" s="17"/>
      <c r="BF1692" s="20"/>
      <c r="BG1692" s="146"/>
      <c r="BH1692" s="146"/>
      <c r="BI1692" s="146"/>
      <c r="BJ1692" s="20"/>
      <c r="BK1692" s="20"/>
      <c r="BL1692" s="154"/>
      <c r="BP1692" s="20"/>
      <c r="BQ1692" s="154"/>
      <c r="BR1692" s="18"/>
      <c r="BS1692" s="16"/>
      <c r="BT1692" s="18"/>
      <c r="BU1692" s="18"/>
      <c r="BV1692" s="18"/>
      <c r="BW1692" s="20"/>
      <c r="BX1692" s="154"/>
      <c r="BY1692" s="18"/>
      <c r="BZ1692" s="146"/>
      <c r="CA1692" s="18"/>
      <c r="CB1692" s="18"/>
      <c r="CC1692" s="20"/>
      <c r="CD1692" s="154"/>
    </row>
    <row r="1693" spans="35:82">
      <c r="AI1693" s="19"/>
      <c r="AO1693" s="19"/>
      <c r="AY1693" s="145"/>
      <c r="AZ1693" s="16"/>
      <c r="BC1693" s="16"/>
      <c r="BD1693" s="20"/>
      <c r="BE1693" s="17"/>
      <c r="BF1693" s="20"/>
      <c r="BG1693" s="146"/>
      <c r="BH1693" s="146"/>
      <c r="BI1693" s="146"/>
      <c r="BJ1693" s="20"/>
      <c r="BK1693" s="20"/>
      <c r="BL1693" s="154"/>
      <c r="BP1693" s="20"/>
      <c r="BQ1693" s="154"/>
      <c r="BR1693" s="18"/>
      <c r="BS1693" s="16"/>
      <c r="BT1693" s="18"/>
      <c r="BU1693" s="18"/>
      <c r="BV1693" s="18"/>
      <c r="BW1693" s="20"/>
      <c r="BX1693" s="154"/>
      <c r="BY1693" s="18"/>
      <c r="BZ1693" s="146"/>
      <c r="CA1693" s="18"/>
      <c r="CB1693" s="18"/>
      <c r="CC1693" s="20"/>
      <c r="CD1693" s="154"/>
    </row>
    <row r="1694" spans="35:82">
      <c r="AI1694" s="19"/>
      <c r="AO1694" s="19"/>
      <c r="AY1694" s="145"/>
      <c r="AZ1694" s="16"/>
      <c r="BC1694" s="16"/>
      <c r="BD1694" s="20"/>
      <c r="BE1694" s="17"/>
      <c r="BF1694" s="20"/>
      <c r="BG1694" s="146"/>
      <c r="BH1694" s="146"/>
      <c r="BI1694" s="146"/>
      <c r="BJ1694" s="20"/>
      <c r="BK1694" s="20"/>
      <c r="BL1694" s="154"/>
      <c r="BP1694" s="20"/>
      <c r="BQ1694" s="154"/>
      <c r="BR1694" s="18"/>
      <c r="BS1694" s="16"/>
      <c r="BT1694" s="18"/>
      <c r="BU1694" s="18"/>
      <c r="BV1694" s="18"/>
      <c r="BW1694" s="20"/>
      <c r="BX1694" s="154"/>
      <c r="BY1694" s="18"/>
      <c r="BZ1694" s="146"/>
      <c r="CA1694" s="18"/>
      <c r="CB1694" s="18"/>
      <c r="CC1694" s="20"/>
      <c r="CD1694" s="154"/>
    </row>
    <row r="1695" spans="35:82">
      <c r="AI1695" s="19"/>
      <c r="AO1695" s="19"/>
      <c r="AY1695" s="145"/>
      <c r="AZ1695" s="16"/>
      <c r="BC1695" s="16"/>
      <c r="BD1695" s="20"/>
      <c r="BE1695" s="17"/>
      <c r="BF1695" s="20"/>
      <c r="BG1695" s="146"/>
      <c r="BH1695" s="146"/>
      <c r="BI1695" s="146"/>
      <c r="BJ1695" s="20"/>
      <c r="BK1695" s="20"/>
      <c r="BL1695" s="154"/>
      <c r="BP1695" s="20"/>
      <c r="BQ1695" s="154"/>
      <c r="BR1695" s="18"/>
      <c r="BS1695" s="16"/>
      <c r="BT1695" s="18"/>
      <c r="BU1695" s="18"/>
      <c r="BV1695" s="18"/>
      <c r="BW1695" s="20"/>
      <c r="BX1695" s="154"/>
      <c r="BY1695" s="18"/>
      <c r="BZ1695" s="146"/>
      <c r="CA1695" s="18"/>
      <c r="CB1695" s="18"/>
      <c r="CC1695" s="20"/>
      <c r="CD1695" s="154"/>
    </row>
    <row r="1696" spans="35:82">
      <c r="AI1696" s="19"/>
      <c r="AO1696" s="19"/>
      <c r="AY1696" s="145"/>
      <c r="AZ1696" s="16"/>
      <c r="BC1696" s="16"/>
      <c r="BD1696" s="20"/>
      <c r="BE1696" s="17"/>
      <c r="BF1696" s="20"/>
      <c r="BG1696" s="146"/>
      <c r="BH1696" s="146"/>
      <c r="BI1696" s="146"/>
      <c r="BJ1696" s="20"/>
      <c r="BK1696" s="20"/>
      <c r="BL1696" s="154"/>
      <c r="BP1696" s="20"/>
      <c r="BQ1696" s="154"/>
      <c r="BR1696" s="18"/>
      <c r="BS1696" s="16"/>
      <c r="BT1696" s="18"/>
      <c r="BU1696" s="18"/>
      <c r="BV1696" s="18"/>
      <c r="BW1696" s="20"/>
      <c r="BX1696" s="154"/>
      <c r="BY1696" s="18"/>
      <c r="BZ1696" s="146"/>
      <c r="CA1696" s="18"/>
      <c r="CB1696" s="18"/>
      <c r="CC1696" s="20"/>
      <c r="CD1696" s="154"/>
    </row>
    <row r="1697" spans="35:82">
      <c r="AI1697" s="19"/>
      <c r="AO1697" s="19"/>
      <c r="AY1697" s="145"/>
      <c r="AZ1697" s="16"/>
      <c r="BC1697" s="16"/>
      <c r="BD1697" s="20"/>
      <c r="BE1697" s="17"/>
      <c r="BF1697" s="20"/>
      <c r="BG1697" s="146"/>
      <c r="BH1697" s="146"/>
      <c r="BI1697" s="146"/>
      <c r="BJ1697" s="20"/>
      <c r="BK1697" s="20"/>
      <c r="BL1697" s="154"/>
      <c r="BP1697" s="20"/>
      <c r="BQ1697" s="154"/>
      <c r="BR1697" s="18"/>
      <c r="BS1697" s="16"/>
      <c r="BT1697" s="18"/>
      <c r="BU1697" s="18"/>
      <c r="BV1697" s="18"/>
      <c r="BW1697" s="20"/>
      <c r="BX1697" s="154"/>
      <c r="BY1697" s="18"/>
      <c r="BZ1697" s="146"/>
      <c r="CA1697" s="18"/>
      <c r="CB1697" s="18"/>
      <c r="CC1697" s="20"/>
      <c r="CD1697" s="154"/>
    </row>
    <row r="1698" spans="35:82">
      <c r="AI1698" s="19"/>
      <c r="AO1698" s="19"/>
      <c r="AY1698" s="145"/>
      <c r="AZ1698" s="16"/>
      <c r="BC1698" s="16"/>
      <c r="BD1698" s="20"/>
      <c r="BE1698" s="17"/>
      <c r="BF1698" s="20"/>
      <c r="BG1698" s="146"/>
      <c r="BH1698" s="146"/>
      <c r="BI1698" s="146"/>
      <c r="BJ1698" s="20"/>
      <c r="BK1698" s="20"/>
      <c r="BL1698" s="154"/>
      <c r="BP1698" s="20"/>
      <c r="BQ1698" s="154"/>
      <c r="BR1698" s="18"/>
      <c r="BS1698" s="16"/>
      <c r="BT1698" s="18"/>
      <c r="BU1698" s="18"/>
      <c r="BV1698" s="18"/>
      <c r="BW1698" s="20"/>
      <c r="BX1698" s="154"/>
      <c r="BY1698" s="18"/>
      <c r="BZ1698" s="146"/>
      <c r="CA1698" s="18"/>
      <c r="CB1698" s="18"/>
      <c r="CC1698" s="20"/>
      <c r="CD1698" s="154"/>
    </row>
    <row r="1699" spans="35:82">
      <c r="AI1699" s="19"/>
      <c r="AO1699" s="19"/>
      <c r="AY1699" s="145"/>
      <c r="AZ1699" s="16"/>
      <c r="BC1699" s="16"/>
      <c r="BD1699" s="20"/>
      <c r="BE1699" s="17"/>
      <c r="BF1699" s="20"/>
      <c r="BG1699" s="146"/>
      <c r="BH1699" s="146"/>
      <c r="BI1699" s="146"/>
      <c r="BJ1699" s="20"/>
      <c r="BK1699" s="20"/>
      <c r="BL1699" s="154"/>
      <c r="BP1699" s="20"/>
      <c r="BQ1699" s="154"/>
      <c r="BR1699" s="18"/>
      <c r="BS1699" s="16"/>
      <c r="BT1699" s="18"/>
      <c r="BU1699" s="18"/>
      <c r="BV1699" s="18"/>
      <c r="BW1699" s="20"/>
      <c r="BX1699" s="154"/>
      <c r="BY1699" s="18"/>
      <c r="BZ1699" s="146"/>
      <c r="CA1699" s="18"/>
      <c r="CB1699" s="18"/>
      <c r="CC1699" s="20"/>
      <c r="CD1699" s="154"/>
    </row>
    <row r="1700" spans="35:82">
      <c r="AI1700" s="19"/>
      <c r="AO1700" s="19"/>
      <c r="AY1700" s="145"/>
      <c r="AZ1700" s="16"/>
      <c r="BC1700" s="16"/>
      <c r="BD1700" s="20"/>
      <c r="BE1700" s="17"/>
      <c r="BF1700" s="20"/>
      <c r="BG1700" s="146"/>
      <c r="BH1700" s="146"/>
      <c r="BI1700" s="146"/>
      <c r="BJ1700" s="20"/>
      <c r="BK1700" s="20"/>
      <c r="BL1700" s="154"/>
      <c r="BP1700" s="20"/>
      <c r="BQ1700" s="154"/>
      <c r="BR1700" s="18"/>
      <c r="BS1700" s="16"/>
      <c r="BT1700" s="18"/>
      <c r="BU1700" s="18"/>
      <c r="BV1700" s="18"/>
      <c r="BW1700" s="20"/>
      <c r="BX1700" s="154"/>
      <c r="BY1700" s="18"/>
      <c r="BZ1700" s="146"/>
      <c r="CA1700" s="18"/>
      <c r="CB1700" s="18"/>
      <c r="CC1700" s="20"/>
      <c r="CD1700" s="154"/>
    </row>
    <row r="1701" spans="35:82">
      <c r="AI1701" s="19"/>
      <c r="AO1701" s="19"/>
      <c r="AY1701" s="145"/>
      <c r="AZ1701" s="16"/>
      <c r="BC1701" s="16"/>
      <c r="BD1701" s="20"/>
      <c r="BE1701" s="17"/>
      <c r="BF1701" s="20"/>
      <c r="BG1701" s="146"/>
      <c r="BH1701" s="146"/>
      <c r="BI1701" s="146"/>
      <c r="BJ1701" s="20"/>
      <c r="BK1701" s="20"/>
      <c r="BL1701" s="154"/>
      <c r="BP1701" s="20"/>
      <c r="BQ1701" s="154"/>
      <c r="BR1701" s="18"/>
      <c r="BS1701" s="16"/>
      <c r="BT1701" s="18"/>
      <c r="BU1701" s="18"/>
      <c r="BV1701" s="18"/>
      <c r="BW1701" s="20"/>
      <c r="BX1701" s="154"/>
      <c r="BY1701" s="18"/>
      <c r="BZ1701" s="146"/>
      <c r="CA1701" s="18"/>
      <c r="CB1701" s="18"/>
      <c r="CC1701" s="20"/>
      <c r="CD1701" s="154"/>
    </row>
    <row r="1702" spans="35:82">
      <c r="AI1702" s="19"/>
      <c r="AO1702" s="19"/>
      <c r="AY1702" s="145"/>
      <c r="AZ1702" s="16"/>
      <c r="BC1702" s="16"/>
      <c r="BD1702" s="20"/>
      <c r="BE1702" s="17"/>
      <c r="BF1702" s="20"/>
      <c r="BG1702" s="146"/>
      <c r="BH1702" s="146"/>
      <c r="BI1702" s="146"/>
      <c r="BJ1702" s="20"/>
      <c r="BK1702" s="20"/>
      <c r="BL1702" s="154"/>
      <c r="BP1702" s="20"/>
      <c r="BQ1702" s="154"/>
      <c r="BR1702" s="18"/>
      <c r="BS1702" s="16"/>
      <c r="BT1702" s="18"/>
      <c r="BU1702" s="18"/>
      <c r="BV1702" s="18"/>
      <c r="BW1702" s="20"/>
      <c r="BX1702" s="154"/>
      <c r="BY1702" s="18"/>
      <c r="BZ1702" s="146"/>
      <c r="CA1702" s="18"/>
      <c r="CB1702" s="18"/>
      <c r="CC1702" s="20"/>
      <c r="CD1702" s="154"/>
    </row>
    <row r="1703" spans="35:82">
      <c r="AI1703" s="19"/>
      <c r="AO1703" s="19"/>
      <c r="AY1703" s="145"/>
      <c r="AZ1703" s="16"/>
      <c r="BC1703" s="16"/>
      <c r="BD1703" s="20"/>
      <c r="BE1703" s="17"/>
      <c r="BF1703" s="20"/>
      <c r="BG1703" s="146"/>
      <c r="BH1703" s="146"/>
      <c r="BI1703" s="146"/>
      <c r="BJ1703" s="20"/>
      <c r="BK1703" s="20"/>
      <c r="BL1703" s="154"/>
      <c r="BP1703" s="20"/>
      <c r="BQ1703" s="154"/>
      <c r="BR1703" s="18"/>
      <c r="BS1703" s="16"/>
      <c r="BT1703" s="18"/>
      <c r="BU1703" s="18"/>
      <c r="BV1703" s="18"/>
      <c r="BW1703" s="20"/>
      <c r="BX1703" s="154"/>
      <c r="BY1703" s="18"/>
      <c r="BZ1703" s="146"/>
      <c r="CA1703" s="18"/>
      <c r="CB1703" s="18"/>
      <c r="CC1703" s="20"/>
      <c r="CD1703" s="154"/>
    </row>
    <row r="1704" spans="35:82">
      <c r="AI1704" s="19"/>
      <c r="AO1704" s="19"/>
      <c r="AY1704" s="145"/>
      <c r="AZ1704" s="16"/>
      <c r="BC1704" s="16"/>
      <c r="BD1704" s="20"/>
      <c r="BE1704" s="17"/>
      <c r="BF1704" s="20"/>
      <c r="BG1704" s="146"/>
      <c r="BH1704" s="146"/>
      <c r="BI1704" s="146"/>
      <c r="BJ1704" s="20"/>
      <c r="BK1704" s="20"/>
      <c r="BL1704" s="154"/>
      <c r="BP1704" s="20"/>
      <c r="BQ1704" s="154"/>
      <c r="BR1704" s="18"/>
      <c r="BS1704" s="16"/>
      <c r="BT1704" s="18"/>
      <c r="BU1704" s="18"/>
      <c r="BV1704" s="18"/>
      <c r="BW1704" s="20"/>
      <c r="BX1704" s="154"/>
      <c r="BY1704" s="18"/>
      <c r="BZ1704" s="146"/>
      <c r="CA1704" s="18"/>
      <c r="CB1704" s="18"/>
      <c r="CC1704" s="20"/>
      <c r="CD1704" s="154"/>
    </row>
    <row r="1705" spans="35:82">
      <c r="AI1705" s="19"/>
      <c r="AO1705" s="19"/>
      <c r="AY1705" s="145"/>
      <c r="AZ1705" s="16"/>
      <c r="BC1705" s="16"/>
      <c r="BD1705" s="20"/>
      <c r="BE1705" s="17"/>
      <c r="BF1705" s="20"/>
      <c r="BG1705" s="146"/>
      <c r="BH1705" s="146"/>
      <c r="BI1705" s="146"/>
      <c r="BJ1705" s="20"/>
      <c r="BK1705" s="20"/>
      <c r="BL1705" s="154"/>
      <c r="BP1705" s="20"/>
      <c r="BQ1705" s="154"/>
      <c r="BR1705" s="18"/>
      <c r="BS1705" s="16"/>
      <c r="BT1705" s="18"/>
      <c r="BU1705" s="18"/>
      <c r="BV1705" s="18"/>
      <c r="BW1705" s="20"/>
      <c r="BX1705" s="154"/>
      <c r="BY1705" s="18"/>
      <c r="BZ1705" s="146"/>
      <c r="CA1705" s="18"/>
      <c r="CB1705" s="18"/>
      <c r="CC1705" s="20"/>
      <c r="CD1705" s="154"/>
    </row>
    <row r="1706" spans="35:82">
      <c r="AI1706" s="19"/>
      <c r="AO1706" s="19"/>
      <c r="AY1706" s="145"/>
      <c r="AZ1706" s="16"/>
      <c r="BC1706" s="16"/>
      <c r="BD1706" s="20"/>
      <c r="BE1706" s="17"/>
      <c r="BF1706" s="20"/>
      <c r="BG1706" s="146"/>
      <c r="BH1706" s="146"/>
      <c r="BI1706" s="146"/>
      <c r="BJ1706" s="20"/>
      <c r="BK1706" s="20"/>
      <c r="BL1706" s="154"/>
      <c r="BP1706" s="20"/>
      <c r="BQ1706" s="154"/>
      <c r="BR1706" s="18"/>
      <c r="BS1706" s="16"/>
      <c r="BT1706" s="18"/>
      <c r="BU1706" s="18"/>
      <c r="BV1706" s="18"/>
      <c r="BW1706" s="20"/>
      <c r="BX1706" s="154"/>
      <c r="BY1706" s="18"/>
      <c r="BZ1706" s="146"/>
      <c r="CA1706" s="18"/>
      <c r="CB1706" s="18"/>
      <c r="CC1706" s="20"/>
      <c r="CD1706" s="154"/>
    </row>
    <row r="1707" spans="35:82">
      <c r="AI1707" s="19"/>
      <c r="AO1707" s="19"/>
      <c r="AY1707" s="145"/>
      <c r="AZ1707" s="16"/>
      <c r="BC1707" s="16"/>
      <c r="BD1707" s="20"/>
      <c r="BE1707" s="17"/>
      <c r="BF1707" s="20"/>
      <c r="BG1707" s="146"/>
      <c r="BH1707" s="146"/>
      <c r="BI1707" s="146"/>
      <c r="BJ1707" s="20"/>
      <c r="BK1707" s="20"/>
      <c r="BL1707" s="154"/>
      <c r="BP1707" s="20"/>
      <c r="BQ1707" s="154"/>
      <c r="BR1707" s="18"/>
      <c r="BS1707" s="16"/>
      <c r="BT1707" s="18"/>
      <c r="BU1707" s="18"/>
      <c r="BV1707" s="18"/>
      <c r="BW1707" s="20"/>
      <c r="BX1707" s="154"/>
      <c r="BY1707" s="18"/>
      <c r="BZ1707" s="146"/>
      <c r="CA1707" s="18"/>
      <c r="CB1707" s="18"/>
      <c r="CC1707" s="20"/>
      <c r="CD1707" s="154"/>
    </row>
    <row r="1708" spans="35:82">
      <c r="AI1708" s="19"/>
      <c r="AO1708" s="19"/>
      <c r="AY1708" s="145"/>
      <c r="AZ1708" s="16"/>
      <c r="BC1708" s="16"/>
      <c r="BD1708" s="20"/>
      <c r="BE1708" s="17"/>
      <c r="BF1708" s="20"/>
      <c r="BG1708" s="146"/>
      <c r="BH1708" s="146"/>
      <c r="BI1708" s="146"/>
      <c r="BJ1708" s="20"/>
      <c r="BK1708" s="20"/>
      <c r="BL1708" s="154"/>
      <c r="BP1708" s="20"/>
      <c r="BQ1708" s="154"/>
      <c r="BR1708" s="18"/>
      <c r="BS1708" s="16"/>
      <c r="BT1708" s="18"/>
      <c r="BU1708" s="18"/>
      <c r="BV1708" s="18"/>
      <c r="BW1708" s="20"/>
      <c r="BX1708" s="154"/>
      <c r="BY1708" s="18"/>
      <c r="BZ1708" s="146"/>
      <c r="CA1708" s="18"/>
      <c r="CB1708" s="18"/>
      <c r="CC1708" s="20"/>
      <c r="CD1708" s="154"/>
    </row>
    <row r="1709" spans="35:82">
      <c r="AI1709" s="19"/>
      <c r="AO1709" s="19"/>
      <c r="AY1709" s="145"/>
      <c r="AZ1709" s="16"/>
      <c r="BC1709" s="16"/>
      <c r="BD1709" s="20"/>
      <c r="BE1709" s="17"/>
      <c r="BF1709" s="20"/>
      <c r="BG1709" s="146"/>
      <c r="BH1709" s="146"/>
      <c r="BI1709" s="146"/>
      <c r="BJ1709" s="20"/>
      <c r="BK1709" s="20"/>
      <c r="BL1709" s="154"/>
      <c r="BP1709" s="20"/>
      <c r="BQ1709" s="154"/>
      <c r="BR1709" s="18"/>
      <c r="BS1709" s="16"/>
      <c r="BT1709" s="18"/>
      <c r="BU1709" s="18"/>
      <c r="BV1709" s="18"/>
      <c r="BW1709" s="20"/>
      <c r="BX1709" s="154"/>
      <c r="BY1709" s="18"/>
      <c r="BZ1709" s="146"/>
      <c r="CA1709" s="18"/>
      <c r="CB1709" s="18"/>
      <c r="CC1709" s="20"/>
      <c r="CD1709" s="154"/>
    </row>
    <row r="1710" spans="35:82">
      <c r="AI1710" s="19"/>
      <c r="AO1710" s="19"/>
      <c r="AY1710" s="145"/>
      <c r="AZ1710" s="16"/>
      <c r="BC1710" s="16"/>
      <c r="BD1710" s="20"/>
      <c r="BE1710" s="17"/>
      <c r="BF1710" s="20"/>
      <c r="BG1710" s="146"/>
      <c r="BH1710" s="146"/>
      <c r="BI1710" s="146"/>
      <c r="BJ1710" s="20"/>
      <c r="BK1710" s="20"/>
      <c r="BL1710" s="154"/>
      <c r="BP1710" s="20"/>
      <c r="BQ1710" s="154"/>
      <c r="BR1710" s="18"/>
      <c r="BS1710" s="16"/>
      <c r="BT1710" s="18"/>
      <c r="BU1710" s="18"/>
      <c r="BV1710" s="18"/>
      <c r="BW1710" s="20"/>
      <c r="BX1710" s="154"/>
      <c r="BY1710" s="18"/>
      <c r="BZ1710" s="146"/>
      <c r="CA1710" s="18"/>
      <c r="CB1710" s="18"/>
      <c r="CC1710" s="20"/>
      <c r="CD1710" s="154"/>
    </row>
    <row r="1711" spans="35:82">
      <c r="AI1711" s="19"/>
      <c r="AO1711" s="19"/>
      <c r="AY1711" s="145"/>
      <c r="AZ1711" s="16"/>
      <c r="BC1711" s="16"/>
      <c r="BD1711" s="20"/>
      <c r="BE1711" s="17"/>
      <c r="BF1711" s="20"/>
      <c r="BG1711" s="146"/>
      <c r="BH1711" s="146"/>
      <c r="BI1711" s="146"/>
      <c r="BJ1711" s="20"/>
      <c r="BK1711" s="20"/>
      <c r="BL1711" s="154"/>
      <c r="BP1711" s="20"/>
      <c r="BQ1711" s="154"/>
      <c r="BR1711" s="18"/>
      <c r="BS1711" s="16"/>
      <c r="BT1711" s="18"/>
      <c r="BU1711" s="18"/>
      <c r="BV1711" s="18"/>
      <c r="BW1711" s="20"/>
      <c r="BX1711" s="154"/>
      <c r="BY1711" s="18"/>
      <c r="BZ1711" s="146"/>
      <c r="CA1711" s="18"/>
      <c r="CB1711" s="18"/>
      <c r="CC1711" s="20"/>
      <c r="CD1711" s="154"/>
    </row>
    <row r="1712" spans="35:82">
      <c r="AI1712" s="19"/>
      <c r="AO1712" s="19"/>
      <c r="AY1712" s="145"/>
      <c r="AZ1712" s="16"/>
      <c r="BC1712" s="16"/>
      <c r="BD1712" s="20"/>
      <c r="BE1712" s="17"/>
      <c r="BF1712" s="20"/>
      <c r="BG1712" s="146"/>
      <c r="BH1712" s="146"/>
      <c r="BI1712" s="146"/>
      <c r="BJ1712" s="20"/>
      <c r="BK1712" s="20"/>
      <c r="BL1712" s="154"/>
      <c r="BP1712" s="20"/>
      <c r="BQ1712" s="154"/>
      <c r="BR1712" s="18"/>
      <c r="BS1712" s="16"/>
      <c r="BT1712" s="18"/>
      <c r="BU1712" s="18"/>
      <c r="BV1712" s="18"/>
      <c r="BW1712" s="20"/>
      <c r="BX1712" s="154"/>
      <c r="BY1712" s="18"/>
      <c r="BZ1712" s="146"/>
      <c r="CA1712" s="18"/>
      <c r="CB1712" s="18"/>
      <c r="CC1712" s="20"/>
      <c r="CD1712" s="154"/>
    </row>
    <row r="1713" spans="35:82">
      <c r="AI1713" s="19"/>
      <c r="AO1713" s="19"/>
      <c r="AY1713" s="145"/>
      <c r="AZ1713" s="16"/>
      <c r="BC1713" s="16"/>
      <c r="BD1713" s="20"/>
      <c r="BE1713" s="17"/>
      <c r="BF1713" s="20"/>
      <c r="BG1713" s="146"/>
      <c r="BH1713" s="146"/>
      <c r="BI1713" s="146"/>
      <c r="BJ1713" s="20"/>
      <c r="BK1713" s="20"/>
      <c r="BL1713" s="154"/>
      <c r="BP1713" s="20"/>
      <c r="BQ1713" s="154"/>
      <c r="BR1713" s="18"/>
      <c r="BS1713" s="16"/>
      <c r="BT1713" s="18"/>
      <c r="BU1713" s="18"/>
      <c r="BV1713" s="18"/>
      <c r="BW1713" s="20"/>
      <c r="BX1713" s="154"/>
      <c r="BY1713" s="18"/>
      <c r="BZ1713" s="146"/>
      <c r="CA1713" s="18"/>
      <c r="CB1713" s="18"/>
      <c r="CC1713" s="20"/>
      <c r="CD1713" s="154"/>
    </row>
    <row r="1714" spans="35:82">
      <c r="AI1714" s="19"/>
      <c r="AO1714" s="19"/>
      <c r="AY1714" s="145"/>
      <c r="AZ1714" s="16"/>
      <c r="BC1714" s="16"/>
      <c r="BD1714" s="20"/>
      <c r="BE1714" s="17"/>
      <c r="BF1714" s="20"/>
      <c r="BG1714" s="146"/>
      <c r="BH1714" s="146"/>
      <c r="BI1714" s="146"/>
      <c r="BJ1714" s="20"/>
      <c r="BK1714" s="20"/>
      <c r="BL1714" s="154"/>
      <c r="BP1714" s="20"/>
      <c r="BQ1714" s="154"/>
      <c r="BR1714" s="18"/>
      <c r="BS1714" s="16"/>
      <c r="BT1714" s="18"/>
      <c r="BU1714" s="18"/>
      <c r="BV1714" s="18"/>
      <c r="BW1714" s="20"/>
      <c r="BX1714" s="154"/>
      <c r="BY1714" s="18"/>
      <c r="BZ1714" s="146"/>
      <c r="CA1714" s="18"/>
      <c r="CB1714" s="18"/>
      <c r="CC1714" s="20"/>
      <c r="CD1714" s="154"/>
    </row>
    <row r="1715" spans="35:82">
      <c r="AI1715" s="19"/>
      <c r="AO1715" s="19"/>
      <c r="AY1715" s="145"/>
      <c r="AZ1715" s="16"/>
      <c r="BC1715" s="16"/>
      <c r="BD1715" s="20"/>
      <c r="BE1715" s="17"/>
      <c r="BF1715" s="20"/>
      <c r="BG1715" s="146"/>
      <c r="BH1715" s="146"/>
      <c r="BI1715" s="146"/>
      <c r="BJ1715" s="20"/>
      <c r="BK1715" s="20"/>
      <c r="BL1715" s="154"/>
      <c r="BP1715" s="20"/>
      <c r="BQ1715" s="154"/>
      <c r="BR1715" s="18"/>
      <c r="BS1715" s="16"/>
      <c r="BT1715" s="18"/>
      <c r="BU1715" s="18"/>
      <c r="BV1715" s="18"/>
      <c r="BW1715" s="20"/>
      <c r="BX1715" s="154"/>
      <c r="BY1715" s="18"/>
      <c r="BZ1715" s="146"/>
      <c r="CA1715" s="18"/>
      <c r="CB1715" s="18"/>
      <c r="CC1715" s="20"/>
      <c r="CD1715" s="154"/>
    </row>
    <row r="1716" spans="35:82">
      <c r="AI1716" s="19"/>
      <c r="AO1716" s="19"/>
      <c r="AY1716" s="145"/>
      <c r="AZ1716" s="16"/>
      <c r="BC1716" s="16"/>
      <c r="BD1716" s="20"/>
      <c r="BE1716" s="17"/>
      <c r="BF1716" s="20"/>
      <c r="BG1716" s="146"/>
      <c r="BH1716" s="146"/>
      <c r="BI1716" s="146"/>
      <c r="BJ1716" s="20"/>
      <c r="BK1716" s="20"/>
      <c r="BL1716" s="154"/>
      <c r="BP1716" s="20"/>
      <c r="BQ1716" s="154"/>
      <c r="BR1716" s="18"/>
      <c r="BS1716" s="16"/>
      <c r="BT1716" s="18"/>
      <c r="BU1716" s="18"/>
      <c r="BV1716" s="18"/>
      <c r="BW1716" s="20"/>
      <c r="BX1716" s="154"/>
      <c r="BY1716" s="18"/>
      <c r="BZ1716" s="146"/>
      <c r="CA1716" s="18"/>
      <c r="CB1716" s="18"/>
      <c r="CC1716" s="20"/>
      <c r="CD1716" s="154"/>
    </row>
    <row r="1717" spans="35:82">
      <c r="AI1717" s="19"/>
      <c r="AO1717" s="19"/>
      <c r="AY1717" s="145"/>
      <c r="AZ1717" s="16"/>
      <c r="BC1717" s="16"/>
      <c r="BD1717" s="20"/>
      <c r="BE1717" s="17"/>
      <c r="BF1717" s="20"/>
      <c r="BG1717" s="146"/>
      <c r="BH1717" s="146"/>
      <c r="BI1717" s="146"/>
      <c r="BJ1717" s="20"/>
      <c r="BK1717" s="20"/>
      <c r="BL1717" s="154"/>
      <c r="BP1717" s="20"/>
      <c r="BQ1717" s="154"/>
      <c r="BR1717" s="18"/>
      <c r="BS1717" s="16"/>
      <c r="BT1717" s="18"/>
      <c r="BU1717" s="18"/>
      <c r="BV1717" s="18"/>
      <c r="BW1717" s="20"/>
      <c r="BX1717" s="154"/>
      <c r="BY1717" s="18"/>
      <c r="BZ1717" s="146"/>
      <c r="CA1717" s="18"/>
      <c r="CB1717" s="18"/>
      <c r="CC1717" s="20"/>
      <c r="CD1717" s="154"/>
    </row>
    <row r="1718" spans="35:82">
      <c r="AI1718" s="19"/>
      <c r="AO1718" s="19"/>
      <c r="AY1718" s="145"/>
      <c r="AZ1718" s="16"/>
      <c r="BC1718" s="16"/>
      <c r="BD1718" s="20"/>
      <c r="BE1718" s="17"/>
      <c r="BF1718" s="20"/>
      <c r="BG1718" s="146"/>
      <c r="BH1718" s="146"/>
      <c r="BI1718" s="146"/>
      <c r="BJ1718" s="20"/>
      <c r="BK1718" s="20"/>
      <c r="BL1718" s="154"/>
      <c r="BP1718" s="20"/>
      <c r="BQ1718" s="154"/>
      <c r="BR1718" s="18"/>
      <c r="BS1718" s="16"/>
      <c r="BT1718" s="18"/>
      <c r="BU1718" s="18"/>
      <c r="BV1718" s="18"/>
      <c r="BW1718" s="20"/>
      <c r="BX1718" s="154"/>
      <c r="BY1718" s="18"/>
      <c r="BZ1718" s="146"/>
      <c r="CA1718" s="18"/>
      <c r="CB1718" s="18"/>
      <c r="CC1718" s="20"/>
      <c r="CD1718" s="154"/>
    </row>
    <row r="1719" spans="35:82">
      <c r="AI1719" s="19"/>
      <c r="AO1719" s="19"/>
      <c r="AY1719" s="145"/>
      <c r="AZ1719" s="16"/>
      <c r="BC1719" s="16"/>
      <c r="BD1719" s="20"/>
      <c r="BE1719" s="17"/>
      <c r="BF1719" s="20"/>
      <c r="BG1719" s="146"/>
      <c r="BH1719" s="146"/>
      <c r="BI1719" s="146"/>
      <c r="BJ1719" s="20"/>
      <c r="BK1719" s="20"/>
      <c r="BL1719" s="154"/>
      <c r="BP1719" s="20"/>
      <c r="BQ1719" s="154"/>
      <c r="BR1719" s="18"/>
      <c r="BS1719" s="16"/>
      <c r="BT1719" s="18"/>
      <c r="BU1719" s="18"/>
      <c r="BV1719" s="18"/>
      <c r="BW1719" s="20"/>
      <c r="BX1719" s="154"/>
      <c r="BY1719" s="18"/>
      <c r="BZ1719" s="146"/>
      <c r="CA1719" s="18"/>
      <c r="CB1719" s="18"/>
      <c r="CC1719" s="20"/>
      <c r="CD1719" s="154"/>
    </row>
    <row r="1720" spans="35:82">
      <c r="AI1720" s="19"/>
      <c r="AO1720" s="19"/>
      <c r="AY1720" s="145"/>
      <c r="AZ1720" s="16"/>
      <c r="BC1720" s="16"/>
      <c r="BD1720" s="20"/>
      <c r="BE1720" s="17"/>
      <c r="BF1720" s="20"/>
      <c r="BG1720" s="146"/>
      <c r="BH1720" s="146"/>
      <c r="BI1720" s="146"/>
      <c r="BJ1720" s="20"/>
      <c r="BK1720" s="20"/>
      <c r="BL1720" s="154"/>
      <c r="BP1720" s="20"/>
      <c r="BQ1720" s="154"/>
      <c r="BR1720" s="18"/>
      <c r="BS1720" s="16"/>
      <c r="BT1720" s="18"/>
      <c r="BU1720" s="18"/>
      <c r="BV1720" s="18"/>
      <c r="BW1720" s="20"/>
      <c r="BX1720" s="154"/>
      <c r="BY1720" s="18"/>
      <c r="BZ1720" s="146"/>
      <c r="CA1720" s="18"/>
      <c r="CB1720" s="18"/>
      <c r="CC1720" s="20"/>
      <c r="CD1720" s="154"/>
    </row>
    <row r="1721" spans="35:82">
      <c r="AI1721" s="19"/>
      <c r="AO1721" s="19"/>
      <c r="AY1721" s="145"/>
      <c r="AZ1721" s="16"/>
      <c r="BC1721" s="16"/>
      <c r="BD1721" s="20"/>
      <c r="BE1721" s="17"/>
      <c r="BF1721" s="20"/>
      <c r="BG1721" s="146"/>
      <c r="BH1721" s="146"/>
      <c r="BI1721" s="146"/>
      <c r="BJ1721" s="20"/>
      <c r="BK1721" s="20"/>
      <c r="BL1721" s="154"/>
      <c r="BP1721" s="20"/>
      <c r="BQ1721" s="154"/>
      <c r="BR1721" s="18"/>
      <c r="BS1721" s="16"/>
      <c r="BT1721" s="18"/>
      <c r="BU1721" s="18"/>
      <c r="BV1721" s="18"/>
      <c r="BW1721" s="20"/>
      <c r="BX1721" s="154"/>
      <c r="BY1721" s="18"/>
      <c r="BZ1721" s="146"/>
      <c r="CA1721" s="18"/>
      <c r="CB1721" s="18"/>
      <c r="CC1721" s="20"/>
      <c r="CD1721" s="154"/>
    </row>
    <row r="1722" spans="35:82">
      <c r="AI1722" s="19"/>
      <c r="AO1722" s="19"/>
      <c r="AY1722" s="145"/>
      <c r="AZ1722" s="16"/>
      <c r="BC1722" s="16"/>
      <c r="BD1722" s="20"/>
      <c r="BE1722" s="17"/>
      <c r="BF1722" s="20"/>
      <c r="BG1722" s="146"/>
      <c r="BH1722" s="146"/>
      <c r="BI1722" s="146"/>
      <c r="BJ1722" s="20"/>
      <c r="BK1722" s="20"/>
      <c r="BL1722" s="154"/>
      <c r="BP1722" s="20"/>
      <c r="BQ1722" s="154"/>
      <c r="BR1722" s="18"/>
      <c r="BS1722" s="16"/>
      <c r="BT1722" s="18"/>
      <c r="BU1722" s="18"/>
      <c r="BV1722" s="18"/>
      <c r="BW1722" s="20"/>
      <c r="BX1722" s="154"/>
      <c r="BY1722" s="18"/>
      <c r="BZ1722" s="146"/>
      <c r="CA1722" s="18"/>
      <c r="CB1722" s="18"/>
      <c r="CC1722" s="20"/>
      <c r="CD1722" s="154"/>
    </row>
    <row r="1723" spans="35:82">
      <c r="AI1723" s="19"/>
      <c r="AO1723" s="19"/>
      <c r="AY1723" s="145"/>
      <c r="AZ1723" s="16"/>
      <c r="BC1723" s="16"/>
      <c r="BD1723" s="20"/>
      <c r="BE1723" s="17"/>
      <c r="BF1723" s="20"/>
      <c r="BG1723" s="146"/>
      <c r="BH1723" s="146"/>
      <c r="BI1723" s="146"/>
      <c r="BJ1723" s="20"/>
      <c r="BK1723" s="20"/>
      <c r="BL1723" s="154"/>
      <c r="BP1723" s="20"/>
      <c r="BQ1723" s="154"/>
      <c r="BR1723" s="18"/>
      <c r="BS1723" s="16"/>
      <c r="BT1723" s="18"/>
      <c r="BU1723" s="18"/>
      <c r="BV1723" s="18"/>
      <c r="BW1723" s="20"/>
      <c r="BX1723" s="154"/>
      <c r="BY1723" s="18"/>
      <c r="BZ1723" s="146"/>
      <c r="CA1723" s="18"/>
      <c r="CB1723" s="18"/>
      <c r="CC1723" s="20"/>
      <c r="CD1723" s="154"/>
    </row>
    <row r="1724" spans="35:82">
      <c r="AI1724" s="19"/>
      <c r="AO1724" s="19"/>
      <c r="AY1724" s="145"/>
      <c r="AZ1724" s="16"/>
      <c r="BC1724" s="16"/>
      <c r="BD1724" s="20"/>
      <c r="BE1724" s="17"/>
      <c r="BF1724" s="20"/>
      <c r="BG1724" s="146"/>
      <c r="BH1724" s="146"/>
      <c r="BI1724" s="146"/>
      <c r="BJ1724" s="20"/>
      <c r="BK1724" s="20"/>
      <c r="BL1724" s="154"/>
      <c r="BP1724" s="20"/>
      <c r="BQ1724" s="154"/>
      <c r="BR1724" s="18"/>
      <c r="BS1724" s="16"/>
      <c r="BT1724" s="18"/>
      <c r="BU1724" s="18"/>
      <c r="BV1724" s="18"/>
      <c r="BW1724" s="20"/>
      <c r="BX1724" s="154"/>
      <c r="BY1724" s="18"/>
      <c r="BZ1724" s="146"/>
      <c r="CA1724" s="18"/>
      <c r="CB1724" s="18"/>
      <c r="CC1724" s="20"/>
      <c r="CD1724" s="154"/>
    </row>
    <row r="1725" spans="35:82">
      <c r="AI1725" s="19"/>
      <c r="AO1725" s="19"/>
      <c r="AY1725" s="145"/>
      <c r="AZ1725" s="16"/>
      <c r="BC1725" s="16"/>
      <c r="BD1725" s="20"/>
      <c r="BE1725" s="17"/>
      <c r="BF1725" s="20"/>
      <c r="BG1725" s="146"/>
      <c r="BH1725" s="146"/>
      <c r="BI1725" s="146"/>
      <c r="BJ1725" s="20"/>
      <c r="BK1725" s="20"/>
      <c r="BL1725" s="154"/>
      <c r="BP1725" s="20"/>
      <c r="BQ1725" s="154"/>
      <c r="BR1725" s="18"/>
      <c r="BS1725" s="16"/>
      <c r="BT1725" s="18"/>
      <c r="BU1725" s="18"/>
      <c r="BV1725" s="18"/>
      <c r="BW1725" s="20"/>
      <c r="BX1725" s="154"/>
      <c r="BY1725" s="18"/>
      <c r="BZ1725" s="146"/>
      <c r="CA1725" s="18"/>
      <c r="CB1725" s="18"/>
      <c r="CC1725" s="20"/>
      <c r="CD1725" s="154"/>
    </row>
    <row r="1726" spans="35:82">
      <c r="AI1726" s="19"/>
      <c r="AO1726" s="19"/>
      <c r="AY1726" s="145"/>
      <c r="AZ1726" s="16"/>
      <c r="BC1726" s="16"/>
      <c r="BD1726" s="20"/>
      <c r="BE1726" s="17"/>
      <c r="BF1726" s="20"/>
      <c r="BG1726" s="146"/>
      <c r="BH1726" s="146"/>
      <c r="BI1726" s="146"/>
      <c r="BJ1726" s="20"/>
      <c r="BK1726" s="20"/>
      <c r="BL1726" s="154"/>
      <c r="BP1726" s="20"/>
      <c r="BQ1726" s="154"/>
      <c r="BR1726" s="18"/>
      <c r="BS1726" s="16"/>
      <c r="BT1726" s="18"/>
      <c r="BU1726" s="18"/>
      <c r="BV1726" s="18"/>
      <c r="BW1726" s="20"/>
      <c r="BX1726" s="154"/>
      <c r="BY1726" s="18"/>
      <c r="BZ1726" s="146"/>
      <c r="CA1726" s="18"/>
      <c r="CB1726" s="18"/>
      <c r="CC1726" s="20"/>
      <c r="CD1726" s="154"/>
    </row>
    <row r="1727" spans="35:82">
      <c r="AI1727" s="19"/>
      <c r="AO1727" s="19"/>
      <c r="AY1727" s="145"/>
      <c r="AZ1727" s="16"/>
      <c r="BC1727" s="16"/>
      <c r="BD1727" s="20"/>
      <c r="BE1727" s="17"/>
      <c r="BF1727" s="20"/>
      <c r="BG1727" s="146"/>
      <c r="BH1727" s="146"/>
      <c r="BI1727" s="146"/>
      <c r="BJ1727" s="20"/>
      <c r="BK1727" s="20"/>
      <c r="BL1727" s="154"/>
      <c r="BP1727" s="20"/>
      <c r="BQ1727" s="154"/>
      <c r="BR1727" s="18"/>
      <c r="BS1727" s="16"/>
      <c r="BT1727" s="18"/>
      <c r="BU1727" s="18"/>
      <c r="BV1727" s="18"/>
      <c r="BW1727" s="20"/>
      <c r="BX1727" s="154"/>
      <c r="BY1727" s="18"/>
      <c r="BZ1727" s="146"/>
      <c r="CA1727" s="18"/>
      <c r="CB1727" s="18"/>
      <c r="CC1727" s="20"/>
      <c r="CD1727" s="154"/>
    </row>
    <row r="1728" spans="35:82">
      <c r="AI1728" s="19"/>
      <c r="AO1728" s="19"/>
      <c r="AY1728" s="145"/>
      <c r="AZ1728" s="16"/>
      <c r="BC1728" s="16"/>
      <c r="BD1728" s="20"/>
      <c r="BE1728" s="17"/>
      <c r="BF1728" s="20"/>
      <c r="BG1728" s="146"/>
      <c r="BH1728" s="146"/>
      <c r="BI1728" s="146"/>
      <c r="BJ1728" s="20"/>
      <c r="BK1728" s="20"/>
      <c r="BL1728" s="154"/>
      <c r="BP1728" s="20"/>
      <c r="BQ1728" s="154"/>
      <c r="BR1728" s="18"/>
      <c r="BS1728" s="16"/>
      <c r="BT1728" s="18"/>
      <c r="BU1728" s="18"/>
      <c r="BV1728" s="18"/>
      <c r="BW1728" s="20"/>
      <c r="BX1728" s="154"/>
      <c r="BY1728" s="18"/>
      <c r="BZ1728" s="146"/>
      <c r="CA1728" s="18"/>
      <c r="CB1728" s="18"/>
      <c r="CC1728" s="20"/>
      <c r="CD1728" s="154"/>
    </row>
    <row r="1729" spans="35:82">
      <c r="AI1729" s="19"/>
      <c r="AO1729" s="19"/>
      <c r="AY1729" s="145"/>
      <c r="AZ1729" s="16"/>
      <c r="BC1729" s="16"/>
      <c r="BD1729" s="20"/>
      <c r="BE1729" s="17"/>
      <c r="BF1729" s="20"/>
      <c r="BG1729" s="146"/>
      <c r="BH1729" s="146"/>
      <c r="BI1729" s="146"/>
      <c r="BJ1729" s="20"/>
      <c r="BK1729" s="20"/>
      <c r="BL1729" s="154"/>
      <c r="BP1729" s="20"/>
      <c r="BQ1729" s="154"/>
      <c r="BR1729" s="18"/>
      <c r="BS1729" s="16"/>
      <c r="BT1729" s="18"/>
      <c r="BU1729" s="18"/>
      <c r="BV1729" s="18"/>
      <c r="BW1729" s="20"/>
      <c r="BX1729" s="154"/>
      <c r="BY1729" s="18"/>
      <c r="BZ1729" s="146"/>
      <c r="CA1729" s="18"/>
      <c r="CB1729" s="18"/>
      <c r="CC1729" s="20"/>
      <c r="CD1729" s="154"/>
    </row>
    <row r="1730" spans="35:82">
      <c r="AI1730" s="19"/>
      <c r="AO1730" s="19"/>
      <c r="AY1730" s="145"/>
      <c r="AZ1730" s="16"/>
      <c r="BC1730" s="16"/>
      <c r="BD1730" s="20"/>
      <c r="BE1730" s="17"/>
      <c r="BF1730" s="20"/>
      <c r="BG1730" s="146"/>
      <c r="BH1730" s="146"/>
      <c r="BI1730" s="146"/>
      <c r="BJ1730" s="20"/>
      <c r="BK1730" s="20"/>
      <c r="BL1730" s="154"/>
      <c r="BP1730" s="20"/>
      <c r="BQ1730" s="154"/>
      <c r="BR1730" s="18"/>
      <c r="BS1730" s="16"/>
      <c r="BT1730" s="18"/>
      <c r="BU1730" s="18"/>
      <c r="BV1730" s="18"/>
      <c r="BW1730" s="20"/>
      <c r="BX1730" s="154"/>
      <c r="BY1730" s="18"/>
      <c r="BZ1730" s="146"/>
      <c r="CA1730" s="18"/>
      <c r="CB1730" s="18"/>
      <c r="CC1730" s="20"/>
      <c r="CD1730" s="154"/>
    </row>
    <row r="1731" spans="35:82">
      <c r="AI1731" s="19"/>
      <c r="AO1731" s="19"/>
      <c r="AY1731" s="145"/>
      <c r="AZ1731" s="16"/>
      <c r="BC1731" s="16"/>
      <c r="BD1731" s="20"/>
      <c r="BE1731" s="17"/>
      <c r="BF1731" s="20"/>
      <c r="BG1731" s="146"/>
      <c r="BH1731" s="146"/>
      <c r="BI1731" s="146"/>
      <c r="BJ1731" s="20"/>
      <c r="BK1731" s="20"/>
      <c r="BL1731" s="154"/>
      <c r="BP1731" s="20"/>
      <c r="BQ1731" s="154"/>
      <c r="BR1731" s="18"/>
      <c r="BS1731" s="16"/>
      <c r="BT1731" s="18"/>
      <c r="BU1731" s="18"/>
      <c r="BV1731" s="18"/>
      <c r="BW1731" s="20"/>
      <c r="BX1731" s="154"/>
      <c r="BY1731" s="18"/>
      <c r="BZ1731" s="146"/>
      <c r="CA1731" s="18"/>
      <c r="CB1731" s="18"/>
      <c r="CC1731" s="20"/>
      <c r="CD1731" s="154"/>
    </row>
    <row r="1732" spans="35:82">
      <c r="AI1732" s="19"/>
      <c r="AO1732" s="19"/>
      <c r="AY1732" s="145"/>
      <c r="AZ1732" s="16"/>
      <c r="BC1732" s="16"/>
      <c r="BD1732" s="20"/>
      <c r="BE1732" s="17"/>
      <c r="BF1732" s="20"/>
      <c r="BG1732" s="146"/>
      <c r="BH1732" s="146"/>
      <c r="BI1732" s="146"/>
      <c r="BJ1732" s="20"/>
      <c r="BK1732" s="20"/>
      <c r="BL1732" s="154"/>
      <c r="BP1732" s="20"/>
      <c r="BQ1732" s="154"/>
      <c r="BR1732" s="18"/>
      <c r="BS1732" s="16"/>
      <c r="BT1732" s="18"/>
      <c r="BU1732" s="18"/>
      <c r="BV1732" s="18"/>
      <c r="BW1732" s="20"/>
      <c r="BX1732" s="154"/>
      <c r="BY1732" s="18"/>
      <c r="BZ1732" s="146"/>
      <c r="CA1732" s="18"/>
      <c r="CB1732" s="18"/>
      <c r="CC1732" s="20"/>
      <c r="CD1732" s="154"/>
    </row>
    <row r="1733" spans="35:82">
      <c r="AI1733" s="19"/>
      <c r="AO1733" s="19"/>
      <c r="AY1733" s="145"/>
      <c r="AZ1733" s="16"/>
      <c r="BC1733" s="16"/>
      <c r="BD1733" s="20"/>
      <c r="BE1733" s="17"/>
      <c r="BF1733" s="20"/>
      <c r="BG1733" s="146"/>
      <c r="BH1733" s="146"/>
      <c r="BI1733" s="146"/>
      <c r="BJ1733" s="20"/>
      <c r="BK1733" s="20"/>
      <c r="BL1733" s="154"/>
      <c r="BP1733" s="20"/>
      <c r="BQ1733" s="154"/>
      <c r="BR1733" s="18"/>
      <c r="BS1733" s="16"/>
      <c r="BT1733" s="18"/>
      <c r="BU1733" s="18"/>
      <c r="BV1733" s="18"/>
      <c r="BW1733" s="20"/>
      <c r="BX1733" s="154"/>
      <c r="BY1733" s="18"/>
      <c r="BZ1733" s="146"/>
      <c r="CA1733" s="18"/>
      <c r="CB1733" s="18"/>
      <c r="CC1733" s="20"/>
      <c r="CD1733" s="154"/>
    </row>
    <row r="1734" spans="35:82">
      <c r="AI1734" s="19"/>
      <c r="AO1734" s="19"/>
      <c r="AY1734" s="145"/>
      <c r="AZ1734" s="16"/>
      <c r="BC1734" s="16"/>
      <c r="BD1734" s="20"/>
      <c r="BE1734" s="17"/>
      <c r="BF1734" s="20"/>
      <c r="BG1734" s="146"/>
      <c r="BH1734" s="146"/>
      <c r="BI1734" s="146"/>
      <c r="BJ1734" s="20"/>
      <c r="BK1734" s="20"/>
      <c r="BL1734" s="154"/>
      <c r="BP1734" s="20"/>
      <c r="BQ1734" s="154"/>
      <c r="BR1734" s="18"/>
      <c r="BS1734" s="16"/>
      <c r="BT1734" s="18"/>
      <c r="BU1734" s="18"/>
      <c r="BV1734" s="18"/>
      <c r="BW1734" s="20"/>
      <c r="BX1734" s="154"/>
      <c r="BY1734" s="18"/>
      <c r="BZ1734" s="146"/>
      <c r="CA1734" s="18"/>
      <c r="CB1734" s="18"/>
      <c r="CC1734" s="20"/>
      <c r="CD1734" s="154"/>
    </row>
    <row r="1735" spans="35:82">
      <c r="AI1735" s="19"/>
      <c r="AO1735" s="19"/>
      <c r="AY1735" s="145"/>
      <c r="AZ1735" s="16"/>
      <c r="BC1735" s="16"/>
      <c r="BD1735" s="20"/>
      <c r="BE1735" s="17"/>
      <c r="BF1735" s="20"/>
      <c r="BG1735" s="146"/>
      <c r="BH1735" s="146"/>
      <c r="BI1735" s="146"/>
      <c r="BJ1735" s="20"/>
      <c r="BK1735" s="20"/>
      <c r="BL1735" s="154"/>
      <c r="BP1735" s="20"/>
      <c r="BQ1735" s="154"/>
      <c r="BR1735" s="18"/>
      <c r="BS1735" s="16"/>
      <c r="BT1735" s="18"/>
      <c r="BU1735" s="18"/>
      <c r="BV1735" s="18"/>
      <c r="BW1735" s="20"/>
      <c r="BX1735" s="154"/>
      <c r="BY1735" s="18"/>
      <c r="BZ1735" s="146"/>
      <c r="CA1735" s="18"/>
      <c r="CB1735" s="18"/>
      <c r="CC1735" s="20"/>
      <c r="CD1735" s="154"/>
    </row>
    <row r="1736" spans="35:82">
      <c r="AI1736" s="19"/>
      <c r="AO1736" s="19"/>
      <c r="AY1736" s="145"/>
      <c r="AZ1736" s="16"/>
      <c r="BC1736" s="16"/>
      <c r="BD1736" s="20"/>
      <c r="BE1736" s="17"/>
      <c r="BF1736" s="20"/>
      <c r="BG1736" s="146"/>
      <c r="BH1736" s="146"/>
      <c r="BI1736" s="146"/>
      <c r="BJ1736" s="20"/>
      <c r="BK1736" s="20"/>
      <c r="BL1736" s="154"/>
      <c r="BP1736" s="20"/>
      <c r="BQ1736" s="154"/>
      <c r="BR1736" s="18"/>
      <c r="BS1736" s="16"/>
      <c r="BT1736" s="18"/>
      <c r="BU1736" s="18"/>
      <c r="BV1736" s="18"/>
      <c r="BW1736" s="20"/>
      <c r="BX1736" s="154"/>
      <c r="BY1736" s="18"/>
      <c r="BZ1736" s="146"/>
      <c r="CA1736" s="18"/>
      <c r="CB1736" s="18"/>
      <c r="CC1736" s="20"/>
      <c r="CD1736" s="154"/>
    </row>
    <row r="1737" spans="35:82">
      <c r="AI1737" s="19"/>
      <c r="AO1737" s="19"/>
      <c r="AY1737" s="145"/>
      <c r="AZ1737" s="16"/>
      <c r="BC1737" s="16"/>
      <c r="BD1737" s="20"/>
      <c r="BE1737" s="17"/>
      <c r="BF1737" s="20"/>
      <c r="BG1737" s="146"/>
      <c r="BH1737" s="146"/>
      <c r="BI1737" s="146"/>
      <c r="BJ1737" s="20"/>
      <c r="BK1737" s="20"/>
      <c r="BL1737" s="154"/>
      <c r="BP1737" s="20"/>
      <c r="BQ1737" s="154"/>
      <c r="BR1737" s="18"/>
      <c r="BS1737" s="16"/>
      <c r="BT1737" s="18"/>
      <c r="BU1737" s="18"/>
      <c r="BV1737" s="18"/>
      <c r="BW1737" s="20"/>
      <c r="BX1737" s="154"/>
      <c r="BY1737" s="18"/>
      <c r="BZ1737" s="146"/>
      <c r="CA1737" s="18"/>
      <c r="CB1737" s="18"/>
      <c r="CC1737" s="20"/>
      <c r="CD1737" s="154"/>
    </row>
    <row r="1738" spans="35:82">
      <c r="AI1738" s="19"/>
      <c r="AO1738" s="19"/>
      <c r="AY1738" s="145"/>
      <c r="AZ1738" s="16"/>
      <c r="BC1738" s="16"/>
      <c r="BD1738" s="20"/>
      <c r="BE1738" s="17"/>
      <c r="BF1738" s="20"/>
      <c r="BG1738" s="146"/>
      <c r="BH1738" s="146"/>
      <c r="BI1738" s="146"/>
      <c r="BJ1738" s="20"/>
      <c r="BK1738" s="20"/>
      <c r="BL1738" s="154"/>
      <c r="BP1738" s="20"/>
      <c r="BQ1738" s="154"/>
      <c r="BR1738" s="18"/>
      <c r="BS1738" s="16"/>
      <c r="BT1738" s="18"/>
      <c r="BU1738" s="18"/>
      <c r="BV1738" s="18"/>
      <c r="BW1738" s="20"/>
      <c r="BX1738" s="154"/>
      <c r="BY1738" s="18"/>
      <c r="BZ1738" s="146"/>
      <c r="CA1738" s="18"/>
      <c r="CB1738" s="18"/>
      <c r="CC1738" s="20"/>
      <c r="CD1738" s="154"/>
    </row>
    <row r="1739" spans="35:82">
      <c r="AI1739" s="19"/>
      <c r="AO1739" s="19"/>
      <c r="AY1739" s="145"/>
      <c r="AZ1739" s="16"/>
      <c r="BC1739" s="16"/>
      <c r="BD1739" s="20"/>
      <c r="BE1739" s="17"/>
      <c r="BF1739" s="20"/>
      <c r="BG1739" s="146"/>
      <c r="BH1739" s="146"/>
      <c r="BI1739" s="146"/>
      <c r="BJ1739" s="20"/>
      <c r="BK1739" s="20"/>
      <c r="BL1739" s="154"/>
      <c r="BP1739" s="20"/>
      <c r="BQ1739" s="154"/>
      <c r="BR1739" s="18"/>
      <c r="BS1739" s="16"/>
      <c r="BT1739" s="18"/>
      <c r="BU1739" s="18"/>
      <c r="BV1739" s="18"/>
      <c r="BW1739" s="20"/>
      <c r="BX1739" s="154"/>
      <c r="BY1739" s="18"/>
      <c r="BZ1739" s="146"/>
      <c r="CA1739" s="18"/>
      <c r="CB1739" s="18"/>
      <c r="CC1739" s="20"/>
      <c r="CD1739" s="154"/>
    </row>
    <row r="1740" spans="35:82">
      <c r="AI1740" s="19"/>
      <c r="AO1740" s="19"/>
      <c r="AY1740" s="145"/>
      <c r="AZ1740" s="16"/>
      <c r="BC1740" s="16"/>
      <c r="BD1740" s="20"/>
      <c r="BE1740" s="17"/>
      <c r="BF1740" s="20"/>
      <c r="BG1740" s="146"/>
      <c r="BH1740" s="146"/>
      <c r="BI1740" s="146"/>
      <c r="BJ1740" s="20"/>
      <c r="BK1740" s="20"/>
      <c r="BL1740" s="154"/>
      <c r="BP1740" s="20"/>
      <c r="BQ1740" s="154"/>
      <c r="BR1740" s="18"/>
      <c r="BS1740" s="16"/>
      <c r="BT1740" s="18"/>
      <c r="BU1740" s="18"/>
      <c r="BV1740" s="18"/>
      <c r="BW1740" s="20"/>
      <c r="BX1740" s="154"/>
      <c r="BY1740" s="18"/>
      <c r="BZ1740" s="146"/>
      <c r="CA1740" s="18"/>
      <c r="CB1740" s="18"/>
      <c r="CC1740" s="20"/>
      <c r="CD1740" s="154"/>
    </row>
    <row r="1741" spans="35:82">
      <c r="AI1741" s="19"/>
      <c r="AO1741" s="19"/>
      <c r="AY1741" s="145"/>
      <c r="AZ1741" s="16"/>
      <c r="BC1741" s="16"/>
      <c r="BD1741" s="20"/>
      <c r="BE1741" s="17"/>
      <c r="BF1741" s="20"/>
      <c r="BG1741" s="146"/>
      <c r="BH1741" s="146"/>
      <c r="BI1741" s="146"/>
      <c r="BJ1741" s="20"/>
      <c r="BK1741" s="20"/>
      <c r="BL1741" s="154"/>
      <c r="BP1741" s="20"/>
      <c r="BQ1741" s="154"/>
      <c r="BR1741" s="18"/>
      <c r="BS1741" s="16"/>
      <c r="BT1741" s="18"/>
      <c r="BU1741" s="18"/>
      <c r="BV1741" s="18"/>
      <c r="BW1741" s="20"/>
      <c r="BX1741" s="154"/>
      <c r="BY1741" s="18"/>
      <c r="BZ1741" s="146"/>
      <c r="CA1741" s="18"/>
      <c r="CB1741" s="18"/>
      <c r="CC1741" s="20"/>
      <c r="CD1741" s="154"/>
    </row>
    <row r="1742" spans="35:82">
      <c r="AI1742" s="19"/>
      <c r="AO1742" s="19"/>
      <c r="AY1742" s="145"/>
      <c r="AZ1742" s="16"/>
      <c r="BC1742" s="16"/>
      <c r="BD1742" s="20"/>
      <c r="BE1742" s="17"/>
      <c r="BF1742" s="20"/>
      <c r="BG1742" s="146"/>
      <c r="BH1742" s="146"/>
      <c r="BI1742" s="146"/>
      <c r="BJ1742" s="20"/>
      <c r="BK1742" s="20"/>
      <c r="BL1742" s="154"/>
      <c r="BP1742" s="20"/>
      <c r="BQ1742" s="154"/>
      <c r="BR1742" s="18"/>
      <c r="BS1742" s="16"/>
      <c r="BT1742" s="18"/>
      <c r="BU1742" s="18"/>
      <c r="BV1742" s="18"/>
      <c r="BW1742" s="20"/>
      <c r="BX1742" s="154"/>
      <c r="BY1742" s="18"/>
      <c r="BZ1742" s="146"/>
      <c r="CA1742" s="18"/>
      <c r="CB1742" s="18"/>
      <c r="CC1742" s="20"/>
      <c r="CD1742" s="154"/>
    </row>
    <row r="1743" spans="35:82">
      <c r="AI1743" s="19"/>
      <c r="AO1743" s="19"/>
      <c r="AY1743" s="145"/>
      <c r="AZ1743" s="16"/>
      <c r="BC1743" s="16"/>
      <c r="BD1743" s="20"/>
      <c r="BE1743" s="17"/>
      <c r="BF1743" s="20"/>
      <c r="BG1743" s="146"/>
      <c r="BH1743" s="146"/>
      <c r="BI1743" s="146"/>
      <c r="BJ1743" s="20"/>
      <c r="BK1743" s="20"/>
      <c r="BL1743" s="154"/>
      <c r="BP1743" s="20"/>
      <c r="BQ1743" s="154"/>
      <c r="BR1743" s="18"/>
      <c r="BS1743" s="16"/>
      <c r="BT1743" s="18"/>
      <c r="BU1743" s="18"/>
      <c r="BV1743" s="18"/>
      <c r="BW1743" s="20"/>
      <c r="BX1743" s="154"/>
      <c r="BY1743" s="18"/>
      <c r="BZ1743" s="146"/>
      <c r="CA1743" s="18"/>
      <c r="CB1743" s="18"/>
      <c r="CC1743" s="20"/>
      <c r="CD1743" s="154"/>
    </row>
    <row r="1744" spans="35:82">
      <c r="AI1744" s="19"/>
      <c r="AO1744" s="19"/>
      <c r="AY1744" s="145"/>
      <c r="AZ1744" s="16"/>
      <c r="BC1744" s="16"/>
      <c r="BD1744" s="20"/>
      <c r="BE1744" s="17"/>
      <c r="BF1744" s="20"/>
      <c r="BG1744" s="146"/>
      <c r="BH1744" s="146"/>
      <c r="BI1744" s="146"/>
      <c r="BJ1744" s="20"/>
      <c r="BK1744" s="20"/>
      <c r="BL1744" s="154"/>
      <c r="BP1744" s="20"/>
      <c r="BQ1744" s="154"/>
      <c r="BR1744" s="18"/>
      <c r="BS1744" s="16"/>
      <c r="BT1744" s="18"/>
      <c r="BU1744" s="18"/>
      <c r="BV1744" s="18"/>
      <c r="BW1744" s="20"/>
      <c r="BX1744" s="154"/>
      <c r="BY1744" s="18"/>
      <c r="BZ1744" s="146"/>
      <c r="CA1744" s="18"/>
      <c r="CB1744" s="18"/>
      <c r="CC1744" s="20"/>
      <c r="CD1744" s="154"/>
    </row>
    <row r="1745" spans="35:82">
      <c r="AI1745" s="19"/>
      <c r="AO1745" s="19"/>
      <c r="AY1745" s="145"/>
      <c r="AZ1745" s="16"/>
      <c r="BC1745" s="16"/>
      <c r="BD1745" s="20"/>
      <c r="BE1745" s="17"/>
      <c r="BF1745" s="20"/>
      <c r="BG1745" s="146"/>
      <c r="BH1745" s="146"/>
      <c r="BI1745" s="146"/>
      <c r="BJ1745" s="20"/>
      <c r="BK1745" s="20"/>
      <c r="BL1745" s="154"/>
      <c r="BP1745" s="20"/>
      <c r="BQ1745" s="154"/>
      <c r="BR1745" s="18"/>
      <c r="BS1745" s="16"/>
      <c r="BT1745" s="18"/>
      <c r="BU1745" s="18"/>
      <c r="BV1745" s="18"/>
      <c r="BW1745" s="20"/>
      <c r="BX1745" s="154"/>
      <c r="BY1745" s="18"/>
      <c r="BZ1745" s="146"/>
      <c r="CA1745" s="18"/>
      <c r="CB1745" s="18"/>
      <c r="CC1745" s="20"/>
      <c r="CD1745" s="154"/>
    </row>
    <row r="1746" spans="35:82">
      <c r="AI1746" s="19"/>
      <c r="AO1746" s="19"/>
      <c r="AY1746" s="145"/>
      <c r="AZ1746" s="16"/>
      <c r="BC1746" s="16"/>
      <c r="BD1746" s="20"/>
      <c r="BE1746" s="17"/>
      <c r="BF1746" s="20"/>
      <c r="BG1746" s="146"/>
      <c r="BH1746" s="146"/>
      <c r="BI1746" s="146"/>
      <c r="BJ1746" s="20"/>
      <c r="BK1746" s="20"/>
      <c r="BL1746" s="154"/>
      <c r="BP1746" s="20"/>
      <c r="BQ1746" s="154"/>
      <c r="BR1746" s="18"/>
      <c r="BS1746" s="16"/>
      <c r="BT1746" s="18"/>
      <c r="BU1746" s="18"/>
      <c r="BV1746" s="18"/>
      <c r="BW1746" s="20"/>
      <c r="BX1746" s="154"/>
      <c r="BY1746" s="18"/>
      <c r="BZ1746" s="146"/>
      <c r="CA1746" s="18"/>
      <c r="CB1746" s="18"/>
      <c r="CC1746" s="20"/>
      <c r="CD1746" s="154"/>
    </row>
    <row r="1747" spans="35:82">
      <c r="AI1747" s="19"/>
      <c r="AO1747" s="19"/>
      <c r="AY1747" s="145"/>
      <c r="AZ1747" s="16"/>
      <c r="BC1747" s="16"/>
      <c r="BD1747" s="20"/>
      <c r="BE1747" s="17"/>
      <c r="BF1747" s="20"/>
      <c r="BG1747" s="146"/>
      <c r="BH1747" s="146"/>
      <c r="BI1747" s="146"/>
      <c r="BJ1747" s="20"/>
      <c r="BK1747" s="20"/>
      <c r="BL1747" s="154"/>
      <c r="BP1747" s="20"/>
      <c r="BQ1747" s="154"/>
      <c r="BR1747" s="18"/>
      <c r="BS1747" s="16"/>
      <c r="BT1747" s="18"/>
      <c r="BU1747" s="18"/>
      <c r="BV1747" s="18"/>
      <c r="BW1747" s="20"/>
      <c r="BX1747" s="154"/>
      <c r="BY1747" s="18"/>
      <c r="BZ1747" s="146"/>
      <c r="CA1747" s="18"/>
      <c r="CB1747" s="18"/>
      <c r="CC1747" s="20"/>
      <c r="CD1747" s="154"/>
    </row>
    <row r="1748" spans="35:82">
      <c r="AI1748" s="19"/>
      <c r="AO1748" s="19"/>
      <c r="AY1748" s="145"/>
      <c r="AZ1748" s="16"/>
      <c r="BC1748" s="16"/>
      <c r="BD1748" s="20"/>
      <c r="BE1748" s="17"/>
      <c r="BF1748" s="20"/>
      <c r="BG1748" s="146"/>
      <c r="BH1748" s="146"/>
      <c r="BI1748" s="146"/>
      <c r="BJ1748" s="20"/>
      <c r="BK1748" s="20"/>
      <c r="BL1748" s="154"/>
      <c r="BP1748" s="20"/>
      <c r="BQ1748" s="154"/>
      <c r="BR1748" s="18"/>
      <c r="BS1748" s="16"/>
      <c r="BT1748" s="18"/>
      <c r="BU1748" s="18"/>
      <c r="BV1748" s="18"/>
      <c r="BW1748" s="20"/>
      <c r="BX1748" s="154"/>
      <c r="BY1748" s="18"/>
      <c r="BZ1748" s="146"/>
      <c r="CA1748" s="18"/>
      <c r="CB1748" s="18"/>
      <c r="CC1748" s="20"/>
      <c r="CD1748" s="154"/>
    </row>
    <row r="1749" spans="35:82">
      <c r="AI1749" s="19"/>
      <c r="AO1749" s="19"/>
      <c r="AY1749" s="145"/>
      <c r="AZ1749" s="16"/>
      <c r="BC1749" s="16"/>
      <c r="BD1749" s="20"/>
      <c r="BE1749" s="17"/>
      <c r="BF1749" s="20"/>
      <c r="BG1749" s="146"/>
      <c r="BH1749" s="146"/>
      <c r="BI1749" s="146"/>
      <c r="BJ1749" s="20"/>
      <c r="BK1749" s="20"/>
      <c r="BL1749" s="154"/>
      <c r="BP1749" s="20"/>
      <c r="BQ1749" s="154"/>
      <c r="BR1749" s="18"/>
      <c r="BS1749" s="16"/>
      <c r="BT1749" s="18"/>
      <c r="BU1749" s="18"/>
      <c r="BV1749" s="18"/>
      <c r="BW1749" s="20"/>
      <c r="BX1749" s="154"/>
      <c r="BY1749" s="18"/>
      <c r="BZ1749" s="146"/>
      <c r="CA1749" s="18"/>
      <c r="CB1749" s="18"/>
      <c r="CC1749" s="20"/>
      <c r="CD1749" s="154"/>
    </row>
    <row r="1750" spans="35:82">
      <c r="AI1750" s="19"/>
      <c r="AO1750" s="19"/>
      <c r="AY1750" s="145"/>
      <c r="AZ1750" s="16"/>
      <c r="BC1750" s="16"/>
      <c r="BD1750" s="20"/>
      <c r="BE1750" s="17"/>
      <c r="BF1750" s="20"/>
      <c r="BG1750" s="146"/>
      <c r="BH1750" s="146"/>
      <c r="BI1750" s="146"/>
      <c r="BJ1750" s="20"/>
      <c r="BK1750" s="20"/>
      <c r="BL1750" s="154"/>
      <c r="BP1750" s="20"/>
      <c r="BQ1750" s="154"/>
      <c r="BR1750" s="18"/>
      <c r="BS1750" s="16"/>
      <c r="BT1750" s="18"/>
      <c r="BU1750" s="18"/>
      <c r="BV1750" s="18"/>
      <c r="BW1750" s="20"/>
      <c r="BX1750" s="154"/>
      <c r="BY1750" s="18"/>
      <c r="BZ1750" s="146"/>
      <c r="CA1750" s="18"/>
      <c r="CB1750" s="18"/>
      <c r="CC1750" s="20"/>
      <c r="CD1750" s="154"/>
    </row>
    <row r="1751" spans="35:82">
      <c r="AI1751" s="19"/>
      <c r="AO1751" s="19"/>
      <c r="AY1751" s="145"/>
      <c r="AZ1751" s="16"/>
      <c r="BC1751" s="16"/>
      <c r="BD1751" s="20"/>
      <c r="BE1751" s="17"/>
      <c r="BF1751" s="20"/>
      <c r="BG1751" s="146"/>
      <c r="BH1751" s="146"/>
      <c r="BI1751" s="146"/>
      <c r="BJ1751" s="20"/>
      <c r="BK1751" s="20"/>
      <c r="BL1751" s="154"/>
      <c r="BP1751" s="20"/>
      <c r="BQ1751" s="154"/>
      <c r="BR1751" s="18"/>
      <c r="BS1751" s="16"/>
      <c r="BT1751" s="18"/>
      <c r="BU1751" s="18"/>
      <c r="BV1751" s="18"/>
      <c r="BW1751" s="20"/>
      <c r="BX1751" s="154"/>
      <c r="BY1751" s="18"/>
      <c r="BZ1751" s="146"/>
      <c r="CA1751" s="18"/>
      <c r="CB1751" s="18"/>
      <c r="CC1751" s="20"/>
      <c r="CD1751" s="154"/>
    </row>
    <row r="1752" spans="35:82">
      <c r="AI1752" s="19"/>
      <c r="AO1752" s="19"/>
      <c r="AY1752" s="145"/>
      <c r="AZ1752" s="16"/>
      <c r="BC1752" s="16"/>
      <c r="BD1752" s="20"/>
      <c r="BE1752" s="17"/>
      <c r="BF1752" s="20"/>
      <c r="BG1752" s="146"/>
      <c r="BH1752" s="146"/>
      <c r="BI1752" s="146"/>
      <c r="BJ1752" s="20"/>
      <c r="BK1752" s="20"/>
      <c r="BL1752" s="154"/>
      <c r="BP1752" s="20"/>
      <c r="BQ1752" s="154"/>
      <c r="BR1752" s="18"/>
      <c r="BS1752" s="16"/>
      <c r="BT1752" s="18"/>
      <c r="BU1752" s="18"/>
      <c r="BV1752" s="18"/>
      <c r="BW1752" s="20"/>
      <c r="BX1752" s="154"/>
      <c r="BY1752" s="18"/>
      <c r="BZ1752" s="146"/>
      <c r="CA1752" s="18"/>
      <c r="CB1752" s="18"/>
      <c r="CC1752" s="20"/>
      <c r="CD1752" s="154"/>
    </row>
    <row r="1753" spans="35:82">
      <c r="AI1753" s="19"/>
      <c r="AO1753" s="19"/>
      <c r="AY1753" s="145"/>
      <c r="AZ1753" s="16"/>
      <c r="BC1753" s="16"/>
      <c r="BD1753" s="20"/>
      <c r="BE1753" s="17"/>
      <c r="BF1753" s="20"/>
      <c r="BG1753" s="146"/>
      <c r="BH1753" s="146"/>
      <c r="BI1753" s="146"/>
      <c r="BJ1753" s="20"/>
      <c r="BK1753" s="20"/>
      <c r="BL1753" s="154"/>
      <c r="BP1753" s="20"/>
      <c r="BQ1753" s="154"/>
      <c r="BR1753" s="18"/>
      <c r="BS1753" s="16"/>
      <c r="BT1753" s="18"/>
      <c r="BU1753" s="18"/>
      <c r="BV1753" s="18"/>
      <c r="BW1753" s="20"/>
      <c r="BX1753" s="154"/>
      <c r="BY1753" s="18"/>
      <c r="BZ1753" s="146"/>
      <c r="CA1753" s="18"/>
      <c r="CB1753" s="18"/>
      <c r="CC1753" s="20"/>
      <c r="CD1753" s="154"/>
    </row>
    <row r="1754" spans="35:82">
      <c r="AI1754" s="19"/>
      <c r="AO1754" s="19"/>
      <c r="AY1754" s="145"/>
      <c r="AZ1754" s="16"/>
      <c r="BC1754" s="16"/>
      <c r="BD1754" s="20"/>
      <c r="BE1754" s="17"/>
      <c r="BF1754" s="20"/>
      <c r="BG1754" s="146"/>
      <c r="BH1754" s="146"/>
      <c r="BI1754" s="146"/>
      <c r="BJ1754" s="20"/>
      <c r="BK1754" s="20"/>
      <c r="BL1754" s="154"/>
      <c r="BP1754" s="20"/>
      <c r="BQ1754" s="154"/>
      <c r="BR1754" s="18"/>
      <c r="BS1754" s="16"/>
      <c r="BT1754" s="18"/>
      <c r="BU1754" s="18"/>
      <c r="BV1754" s="18"/>
      <c r="BW1754" s="20"/>
      <c r="BX1754" s="154"/>
      <c r="BY1754" s="18"/>
      <c r="BZ1754" s="146"/>
      <c r="CA1754" s="18"/>
      <c r="CB1754" s="18"/>
      <c r="CC1754" s="20"/>
      <c r="CD1754" s="154"/>
    </row>
    <row r="1755" spans="35:82">
      <c r="AI1755" s="19"/>
      <c r="AO1755" s="19"/>
      <c r="AY1755" s="145"/>
      <c r="AZ1755" s="16"/>
      <c r="BC1755" s="16"/>
      <c r="BD1755" s="20"/>
      <c r="BE1755" s="17"/>
      <c r="BF1755" s="20"/>
      <c r="BG1755" s="146"/>
      <c r="BH1755" s="146"/>
      <c r="BI1755" s="146"/>
      <c r="BJ1755" s="20"/>
      <c r="BK1755" s="20"/>
      <c r="BL1755" s="154"/>
      <c r="BP1755" s="20"/>
      <c r="BQ1755" s="154"/>
      <c r="BR1755" s="18"/>
      <c r="BS1755" s="16"/>
      <c r="BT1755" s="18"/>
      <c r="BU1755" s="18"/>
      <c r="BV1755" s="18"/>
      <c r="BW1755" s="20"/>
      <c r="BX1755" s="154"/>
      <c r="BY1755" s="18"/>
      <c r="BZ1755" s="146"/>
      <c r="CA1755" s="18"/>
      <c r="CB1755" s="18"/>
      <c r="CC1755" s="20"/>
      <c r="CD1755" s="154"/>
    </row>
    <row r="1756" spans="35:82">
      <c r="AI1756" s="19"/>
      <c r="AO1756" s="19"/>
      <c r="AY1756" s="145"/>
      <c r="AZ1756" s="16"/>
      <c r="BC1756" s="16"/>
      <c r="BD1756" s="20"/>
      <c r="BE1756" s="17"/>
      <c r="BF1756" s="20"/>
      <c r="BG1756" s="146"/>
      <c r="BH1756" s="146"/>
      <c r="BI1756" s="146"/>
      <c r="BJ1756" s="20"/>
      <c r="BK1756" s="20"/>
      <c r="BL1756" s="154"/>
      <c r="BP1756" s="20"/>
      <c r="BQ1756" s="154"/>
      <c r="BR1756" s="18"/>
      <c r="BS1756" s="16"/>
      <c r="BT1756" s="18"/>
      <c r="BU1756" s="18"/>
      <c r="BV1756" s="18"/>
      <c r="BW1756" s="20"/>
      <c r="BX1756" s="154"/>
      <c r="BY1756" s="18"/>
      <c r="BZ1756" s="146"/>
      <c r="CA1756" s="18"/>
      <c r="CB1756" s="18"/>
      <c r="CC1756" s="20"/>
      <c r="CD1756" s="154"/>
    </row>
    <row r="1757" spans="35:82">
      <c r="AI1757" s="19"/>
      <c r="AO1757" s="19"/>
      <c r="AY1757" s="145"/>
      <c r="AZ1757" s="16"/>
      <c r="BC1757" s="16"/>
      <c r="BD1757" s="20"/>
      <c r="BE1757" s="17"/>
      <c r="BF1757" s="20"/>
      <c r="BG1757" s="146"/>
      <c r="BH1757" s="146"/>
      <c r="BI1757" s="146"/>
      <c r="BJ1757" s="20"/>
      <c r="BK1757" s="20"/>
      <c r="BL1757" s="154"/>
      <c r="BP1757" s="20"/>
      <c r="BQ1757" s="154"/>
      <c r="BR1757" s="18"/>
      <c r="BS1757" s="16"/>
      <c r="BT1757" s="18"/>
      <c r="BU1757" s="18"/>
      <c r="BV1757" s="18"/>
      <c r="BW1757" s="20"/>
      <c r="BX1757" s="154"/>
      <c r="BY1757" s="18"/>
      <c r="BZ1757" s="146"/>
      <c r="CA1757" s="18"/>
      <c r="CB1757" s="18"/>
      <c r="CC1757" s="20"/>
      <c r="CD1757" s="154"/>
    </row>
    <row r="1758" spans="35:82">
      <c r="AI1758" s="19"/>
      <c r="AO1758" s="19"/>
      <c r="AY1758" s="145"/>
      <c r="AZ1758" s="16"/>
      <c r="BC1758" s="16"/>
      <c r="BD1758" s="20"/>
      <c r="BE1758" s="17"/>
      <c r="BF1758" s="20"/>
      <c r="BG1758" s="146"/>
      <c r="BH1758" s="146"/>
      <c r="BI1758" s="146"/>
      <c r="BJ1758" s="20"/>
      <c r="BK1758" s="20"/>
      <c r="BL1758" s="154"/>
      <c r="BP1758" s="20"/>
      <c r="BQ1758" s="154"/>
      <c r="BR1758" s="18"/>
      <c r="BS1758" s="16"/>
      <c r="BT1758" s="18"/>
      <c r="BU1758" s="18"/>
      <c r="BV1758" s="18"/>
      <c r="BW1758" s="20"/>
      <c r="BX1758" s="154"/>
      <c r="BY1758" s="18"/>
      <c r="BZ1758" s="146"/>
      <c r="CA1758" s="18"/>
      <c r="CB1758" s="18"/>
      <c r="CC1758" s="20"/>
      <c r="CD1758" s="154"/>
    </row>
    <row r="1759" spans="35:82">
      <c r="AI1759" s="19"/>
      <c r="AO1759" s="19"/>
      <c r="AY1759" s="145"/>
      <c r="AZ1759" s="16"/>
      <c r="BC1759" s="16"/>
      <c r="BD1759" s="20"/>
      <c r="BE1759" s="17"/>
      <c r="BF1759" s="20"/>
      <c r="BG1759" s="146"/>
      <c r="BH1759" s="146"/>
      <c r="BI1759" s="146"/>
      <c r="BJ1759" s="20"/>
      <c r="BK1759" s="20"/>
      <c r="BL1759" s="154"/>
      <c r="BP1759" s="20"/>
      <c r="BQ1759" s="154"/>
      <c r="BR1759" s="18"/>
      <c r="BS1759" s="16"/>
      <c r="BT1759" s="18"/>
      <c r="BU1759" s="18"/>
      <c r="BV1759" s="18"/>
      <c r="BW1759" s="20"/>
      <c r="BX1759" s="154"/>
      <c r="BY1759" s="18"/>
      <c r="BZ1759" s="146"/>
      <c r="CA1759" s="18"/>
      <c r="CB1759" s="18"/>
      <c r="CC1759" s="20"/>
      <c r="CD1759" s="154"/>
    </row>
    <row r="1760" spans="35:82">
      <c r="AI1760" s="19"/>
      <c r="AO1760" s="19"/>
      <c r="AY1760" s="145"/>
      <c r="AZ1760" s="16"/>
      <c r="BC1760" s="16"/>
      <c r="BD1760" s="20"/>
      <c r="BE1760" s="17"/>
      <c r="BF1760" s="20"/>
      <c r="BG1760" s="146"/>
      <c r="BH1760" s="146"/>
      <c r="BI1760" s="146"/>
      <c r="BJ1760" s="20"/>
      <c r="BK1760" s="20"/>
      <c r="BL1760" s="154"/>
      <c r="BP1760" s="20"/>
      <c r="BQ1760" s="154"/>
      <c r="BR1760" s="18"/>
      <c r="BS1760" s="16"/>
      <c r="BT1760" s="18"/>
      <c r="BU1760" s="18"/>
      <c r="BV1760" s="18"/>
      <c r="BW1760" s="20"/>
      <c r="BX1760" s="154"/>
      <c r="BY1760" s="18"/>
      <c r="BZ1760" s="146"/>
      <c r="CA1760" s="18"/>
      <c r="CB1760" s="18"/>
      <c r="CC1760" s="20"/>
      <c r="CD1760" s="154"/>
    </row>
    <row r="1761" spans="35:82">
      <c r="AI1761" s="19"/>
      <c r="AO1761" s="19"/>
      <c r="AY1761" s="145"/>
      <c r="AZ1761" s="16"/>
      <c r="BC1761" s="16"/>
      <c r="BD1761" s="20"/>
      <c r="BE1761" s="17"/>
      <c r="BF1761" s="20"/>
      <c r="BG1761" s="146"/>
      <c r="BH1761" s="146"/>
      <c r="BI1761" s="146"/>
      <c r="BJ1761" s="20"/>
      <c r="BK1761" s="20"/>
      <c r="BL1761" s="154"/>
      <c r="BP1761" s="20"/>
      <c r="BQ1761" s="154"/>
      <c r="BR1761" s="18"/>
      <c r="BS1761" s="16"/>
      <c r="BT1761" s="18"/>
      <c r="BU1761" s="18"/>
      <c r="BV1761" s="18"/>
      <c r="BW1761" s="20"/>
      <c r="BX1761" s="154"/>
      <c r="BY1761" s="18"/>
      <c r="BZ1761" s="146"/>
      <c r="CA1761" s="18"/>
      <c r="CB1761" s="18"/>
      <c r="CC1761" s="20"/>
      <c r="CD1761" s="154"/>
    </row>
    <row r="1762" spans="35:82">
      <c r="AI1762" s="19"/>
      <c r="AO1762" s="19"/>
      <c r="AY1762" s="145"/>
      <c r="AZ1762" s="16"/>
      <c r="BC1762" s="16"/>
      <c r="BD1762" s="20"/>
      <c r="BE1762" s="17"/>
      <c r="BF1762" s="20"/>
      <c r="BG1762" s="146"/>
      <c r="BH1762" s="146"/>
      <c r="BI1762" s="146"/>
      <c r="BJ1762" s="20"/>
      <c r="BK1762" s="20"/>
      <c r="BL1762" s="154"/>
      <c r="BP1762" s="20"/>
      <c r="BQ1762" s="154"/>
      <c r="BR1762" s="18"/>
      <c r="BS1762" s="16"/>
      <c r="BT1762" s="18"/>
      <c r="BU1762" s="18"/>
      <c r="BV1762" s="18"/>
      <c r="BW1762" s="20"/>
      <c r="BX1762" s="154"/>
      <c r="BY1762" s="18"/>
      <c r="BZ1762" s="146"/>
      <c r="CA1762" s="18"/>
      <c r="CB1762" s="18"/>
      <c r="CC1762" s="20"/>
      <c r="CD1762" s="154"/>
    </row>
    <row r="1763" spans="35:82">
      <c r="AI1763" s="19"/>
      <c r="AO1763" s="19"/>
      <c r="AY1763" s="145"/>
      <c r="AZ1763" s="16"/>
      <c r="BC1763" s="16"/>
      <c r="BD1763" s="20"/>
      <c r="BE1763" s="17"/>
      <c r="BF1763" s="20"/>
      <c r="BG1763" s="146"/>
      <c r="BH1763" s="146"/>
      <c r="BI1763" s="146"/>
      <c r="BJ1763" s="20"/>
      <c r="BK1763" s="20"/>
      <c r="BL1763" s="154"/>
      <c r="BP1763" s="20"/>
      <c r="BQ1763" s="154"/>
      <c r="BR1763" s="18"/>
      <c r="BS1763" s="16"/>
      <c r="BT1763" s="18"/>
      <c r="BU1763" s="18"/>
      <c r="BV1763" s="18"/>
      <c r="BW1763" s="20"/>
      <c r="BX1763" s="154"/>
      <c r="BY1763" s="18"/>
      <c r="BZ1763" s="146"/>
      <c r="CA1763" s="18"/>
      <c r="CB1763" s="18"/>
      <c r="CC1763" s="20"/>
      <c r="CD1763" s="154"/>
    </row>
    <row r="1764" spans="35:82">
      <c r="AI1764" s="19"/>
      <c r="AO1764" s="19"/>
      <c r="AY1764" s="145"/>
      <c r="AZ1764" s="16"/>
      <c r="BC1764" s="16"/>
      <c r="BD1764" s="20"/>
      <c r="BE1764" s="17"/>
      <c r="BF1764" s="20"/>
      <c r="BG1764" s="146"/>
      <c r="BH1764" s="146"/>
      <c r="BI1764" s="146"/>
      <c r="BJ1764" s="20"/>
      <c r="BK1764" s="20"/>
      <c r="BL1764" s="154"/>
      <c r="BP1764" s="20"/>
      <c r="BQ1764" s="154"/>
      <c r="BR1764" s="18"/>
      <c r="BS1764" s="16"/>
      <c r="BT1764" s="18"/>
      <c r="BU1764" s="18"/>
      <c r="BV1764" s="18"/>
      <c r="BW1764" s="20"/>
      <c r="BX1764" s="154"/>
      <c r="BY1764" s="18"/>
      <c r="BZ1764" s="146"/>
      <c r="CA1764" s="18"/>
      <c r="CB1764" s="18"/>
      <c r="CC1764" s="20"/>
      <c r="CD1764" s="154"/>
    </row>
    <row r="1765" spans="35:82">
      <c r="AI1765" s="19"/>
      <c r="AO1765" s="19"/>
      <c r="AY1765" s="145"/>
      <c r="AZ1765" s="16"/>
      <c r="BC1765" s="16"/>
      <c r="BD1765" s="20"/>
      <c r="BE1765" s="17"/>
      <c r="BF1765" s="20"/>
      <c r="BG1765" s="146"/>
      <c r="BH1765" s="146"/>
      <c r="BI1765" s="146"/>
      <c r="BJ1765" s="20"/>
      <c r="BK1765" s="20"/>
      <c r="BL1765" s="154"/>
      <c r="BP1765" s="20"/>
      <c r="BQ1765" s="154"/>
      <c r="BR1765" s="18"/>
      <c r="BS1765" s="16"/>
      <c r="BT1765" s="18"/>
      <c r="BU1765" s="18"/>
      <c r="BV1765" s="18"/>
      <c r="BW1765" s="20"/>
      <c r="BX1765" s="154"/>
      <c r="BY1765" s="18"/>
      <c r="BZ1765" s="146"/>
      <c r="CA1765" s="18"/>
      <c r="CB1765" s="18"/>
      <c r="CC1765" s="20"/>
      <c r="CD1765" s="154"/>
    </row>
    <row r="1766" spans="35:82">
      <c r="AI1766" s="19"/>
      <c r="AO1766" s="19"/>
      <c r="AY1766" s="145"/>
      <c r="AZ1766" s="16"/>
      <c r="BC1766" s="16"/>
      <c r="BD1766" s="20"/>
      <c r="BE1766" s="17"/>
      <c r="BF1766" s="20"/>
      <c r="BG1766" s="146"/>
      <c r="BH1766" s="146"/>
      <c r="BI1766" s="146"/>
      <c r="BJ1766" s="20"/>
      <c r="BK1766" s="20"/>
      <c r="BL1766" s="154"/>
      <c r="BP1766" s="20"/>
      <c r="BQ1766" s="154"/>
      <c r="BR1766" s="18"/>
      <c r="BS1766" s="16"/>
      <c r="BT1766" s="18"/>
      <c r="BU1766" s="18"/>
      <c r="BV1766" s="18"/>
      <c r="BW1766" s="20"/>
      <c r="BX1766" s="154"/>
      <c r="BY1766" s="18"/>
      <c r="BZ1766" s="146"/>
      <c r="CA1766" s="18"/>
      <c r="CB1766" s="18"/>
      <c r="CC1766" s="20"/>
      <c r="CD1766" s="154"/>
    </row>
    <row r="1767" spans="35:82">
      <c r="AI1767" s="19"/>
      <c r="AO1767" s="19"/>
      <c r="AY1767" s="145"/>
      <c r="AZ1767" s="16"/>
      <c r="BC1767" s="16"/>
      <c r="BD1767" s="20"/>
      <c r="BE1767" s="17"/>
      <c r="BF1767" s="20"/>
      <c r="BG1767" s="146"/>
      <c r="BH1767" s="146"/>
      <c r="BI1767" s="146"/>
      <c r="BJ1767" s="20"/>
      <c r="BK1767" s="20"/>
      <c r="BL1767" s="154"/>
      <c r="BP1767" s="20"/>
      <c r="BQ1767" s="154"/>
      <c r="BR1767" s="18"/>
      <c r="BS1767" s="16"/>
      <c r="BT1767" s="18"/>
      <c r="BU1767" s="18"/>
      <c r="BV1767" s="18"/>
      <c r="BW1767" s="20"/>
      <c r="BX1767" s="154"/>
      <c r="BY1767" s="18"/>
      <c r="BZ1767" s="146"/>
      <c r="CA1767" s="18"/>
      <c r="CB1767" s="18"/>
      <c r="CC1767" s="20"/>
      <c r="CD1767" s="154"/>
    </row>
    <row r="1768" spans="35:82">
      <c r="AI1768" s="19"/>
      <c r="AO1768" s="19"/>
      <c r="AY1768" s="145"/>
      <c r="AZ1768" s="16"/>
      <c r="BC1768" s="16"/>
      <c r="BD1768" s="20"/>
      <c r="BE1768" s="17"/>
      <c r="BF1768" s="20"/>
      <c r="BG1768" s="146"/>
      <c r="BH1768" s="146"/>
      <c r="BI1768" s="146"/>
      <c r="BJ1768" s="20"/>
      <c r="BK1768" s="20"/>
      <c r="BL1768" s="154"/>
      <c r="BP1768" s="20"/>
      <c r="BQ1768" s="154"/>
      <c r="BR1768" s="18"/>
      <c r="BS1768" s="16"/>
      <c r="BT1768" s="18"/>
      <c r="BU1768" s="18"/>
      <c r="BV1768" s="18"/>
      <c r="BW1768" s="20"/>
      <c r="BX1768" s="154"/>
      <c r="BY1768" s="18"/>
      <c r="BZ1768" s="146"/>
      <c r="CA1768" s="18"/>
      <c r="CB1768" s="18"/>
      <c r="CC1768" s="20"/>
      <c r="CD1768" s="154"/>
    </row>
    <row r="1769" spans="35:82">
      <c r="AI1769" s="19"/>
      <c r="AO1769" s="19"/>
      <c r="AY1769" s="145"/>
      <c r="AZ1769" s="16"/>
      <c r="BC1769" s="16"/>
      <c r="BD1769" s="20"/>
      <c r="BE1769" s="17"/>
      <c r="BF1769" s="20"/>
      <c r="BG1769" s="146"/>
      <c r="BH1769" s="146"/>
      <c r="BI1769" s="146"/>
      <c r="BJ1769" s="20"/>
      <c r="BK1769" s="20"/>
      <c r="BL1769" s="154"/>
      <c r="BP1769" s="20"/>
      <c r="BQ1769" s="154"/>
      <c r="BR1769" s="18"/>
      <c r="BS1769" s="16"/>
      <c r="BT1769" s="18"/>
      <c r="BU1769" s="18"/>
      <c r="BV1769" s="18"/>
      <c r="BW1769" s="20"/>
      <c r="BX1769" s="154"/>
      <c r="BY1769" s="18"/>
      <c r="BZ1769" s="146"/>
      <c r="CA1769" s="18"/>
      <c r="CB1769" s="18"/>
      <c r="CC1769" s="20"/>
      <c r="CD1769" s="154"/>
    </row>
    <row r="1770" spans="35:82">
      <c r="AI1770" s="19"/>
      <c r="AO1770" s="19"/>
      <c r="AY1770" s="145"/>
      <c r="AZ1770" s="16"/>
      <c r="BC1770" s="16"/>
      <c r="BD1770" s="20"/>
      <c r="BE1770" s="17"/>
      <c r="BF1770" s="20"/>
      <c r="BG1770" s="146"/>
      <c r="BH1770" s="146"/>
      <c r="BI1770" s="146"/>
      <c r="BJ1770" s="20"/>
      <c r="BK1770" s="20"/>
      <c r="BL1770" s="154"/>
      <c r="BP1770" s="20"/>
      <c r="BQ1770" s="154"/>
      <c r="BR1770" s="18"/>
      <c r="BS1770" s="16"/>
      <c r="BT1770" s="18"/>
      <c r="BU1770" s="18"/>
      <c r="BV1770" s="18"/>
      <c r="BW1770" s="20"/>
      <c r="BX1770" s="154"/>
      <c r="BY1770" s="18"/>
      <c r="BZ1770" s="146"/>
      <c r="CA1770" s="18"/>
      <c r="CB1770" s="18"/>
      <c r="CC1770" s="20"/>
      <c r="CD1770" s="154"/>
    </row>
    <row r="1771" spans="35:82">
      <c r="AI1771" s="19"/>
      <c r="AO1771" s="19"/>
      <c r="AY1771" s="145"/>
      <c r="AZ1771" s="16"/>
      <c r="BC1771" s="16"/>
      <c r="BD1771" s="20"/>
      <c r="BE1771" s="17"/>
      <c r="BF1771" s="20"/>
      <c r="BG1771" s="146"/>
      <c r="BH1771" s="146"/>
      <c r="BI1771" s="146"/>
      <c r="BJ1771" s="20"/>
      <c r="BK1771" s="20"/>
      <c r="BL1771" s="154"/>
      <c r="BP1771" s="20"/>
      <c r="BQ1771" s="154"/>
      <c r="BR1771" s="18"/>
      <c r="BS1771" s="16"/>
      <c r="BT1771" s="18"/>
      <c r="BU1771" s="18"/>
      <c r="BV1771" s="18"/>
      <c r="BW1771" s="20"/>
      <c r="BX1771" s="154"/>
      <c r="BY1771" s="18"/>
      <c r="BZ1771" s="146"/>
      <c r="CA1771" s="18"/>
      <c r="CB1771" s="18"/>
      <c r="CC1771" s="20"/>
      <c r="CD1771" s="154"/>
    </row>
    <row r="1772" spans="35:82">
      <c r="AI1772" s="19"/>
      <c r="AO1772" s="19"/>
      <c r="AY1772" s="145"/>
      <c r="AZ1772" s="16"/>
      <c r="BC1772" s="16"/>
      <c r="BD1772" s="20"/>
      <c r="BE1772" s="17"/>
      <c r="BF1772" s="20"/>
      <c r="BG1772" s="146"/>
      <c r="BH1772" s="146"/>
      <c r="BI1772" s="146"/>
      <c r="BJ1772" s="20"/>
      <c r="BK1772" s="20"/>
      <c r="BL1772" s="154"/>
      <c r="BP1772" s="20"/>
      <c r="BQ1772" s="154"/>
      <c r="BR1772" s="18"/>
      <c r="BS1772" s="16"/>
      <c r="BT1772" s="18"/>
      <c r="BU1772" s="18"/>
      <c r="BV1772" s="18"/>
      <c r="BW1772" s="20"/>
      <c r="BX1772" s="154"/>
      <c r="BY1772" s="18"/>
      <c r="BZ1772" s="146"/>
      <c r="CA1772" s="18"/>
      <c r="CB1772" s="18"/>
      <c r="CC1772" s="20"/>
      <c r="CD1772" s="154"/>
    </row>
    <row r="1773" spans="35:82">
      <c r="AI1773" s="19"/>
      <c r="AO1773" s="19"/>
      <c r="AY1773" s="145"/>
      <c r="AZ1773" s="16"/>
      <c r="BC1773" s="16"/>
      <c r="BD1773" s="20"/>
      <c r="BE1773" s="17"/>
      <c r="BF1773" s="20"/>
      <c r="BG1773" s="146"/>
      <c r="BH1773" s="146"/>
      <c r="BI1773" s="146"/>
      <c r="BJ1773" s="20"/>
      <c r="BK1773" s="20"/>
      <c r="BL1773" s="154"/>
      <c r="BP1773" s="20"/>
      <c r="BQ1773" s="154"/>
      <c r="BR1773" s="18"/>
      <c r="BS1773" s="16"/>
      <c r="BT1773" s="18"/>
      <c r="BU1773" s="18"/>
      <c r="BV1773" s="18"/>
      <c r="BW1773" s="20"/>
      <c r="BX1773" s="154"/>
      <c r="BY1773" s="18"/>
      <c r="BZ1773" s="146"/>
      <c r="CA1773" s="18"/>
      <c r="CB1773" s="18"/>
      <c r="CC1773" s="20"/>
      <c r="CD1773" s="154"/>
    </row>
    <row r="1774" spans="35:82">
      <c r="AI1774" s="19"/>
      <c r="AO1774" s="19"/>
      <c r="AY1774" s="145"/>
      <c r="AZ1774" s="16"/>
      <c r="BC1774" s="16"/>
      <c r="BD1774" s="20"/>
      <c r="BE1774" s="17"/>
      <c r="BF1774" s="20"/>
      <c r="BG1774" s="146"/>
      <c r="BH1774" s="146"/>
      <c r="BI1774" s="146"/>
      <c r="BJ1774" s="20"/>
      <c r="BK1774" s="20"/>
      <c r="BL1774" s="154"/>
      <c r="BP1774" s="20"/>
      <c r="BQ1774" s="154"/>
      <c r="BR1774" s="18"/>
      <c r="BS1774" s="16"/>
      <c r="BT1774" s="18"/>
      <c r="BU1774" s="18"/>
      <c r="BV1774" s="18"/>
      <c r="BW1774" s="20"/>
      <c r="BX1774" s="154"/>
      <c r="BY1774" s="18"/>
      <c r="BZ1774" s="146"/>
      <c r="CA1774" s="18"/>
      <c r="CB1774" s="18"/>
      <c r="CC1774" s="20"/>
      <c r="CD1774" s="154"/>
    </row>
    <row r="1775" spans="35:82">
      <c r="AI1775" s="19"/>
      <c r="AO1775" s="19"/>
      <c r="AY1775" s="145"/>
      <c r="AZ1775" s="16"/>
      <c r="BC1775" s="16"/>
      <c r="BD1775" s="20"/>
      <c r="BE1775" s="17"/>
      <c r="BF1775" s="20"/>
      <c r="BG1775" s="146"/>
      <c r="BH1775" s="146"/>
      <c r="BI1775" s="146"/>
      <c r="BJ1775" s="20"/>
      <c r="BK1775" s="20"/>
      <c r="BL1775" s="154"/>
      <c r="BP1775" s="20"/>
      <c r="BQ1775" s="154"/>
      <c r="BR1775" s="18"/>
      <c r="BS1775" s="16"/>
      <c r="BT1775" s="18"/>
      <c r="BU1775" s="18"/>
      <c r="BV1775" s="18"/>
      <c r="BW1775" s="20"/>
      <c r="BX1775" s="154"/>
      <c r="BY1775" s="18"/>
      <c r="BZ1775" s="146"/>
      <c r="CA1775" s="18"/>
      <c r="CB1775" s="18"/>
      <c r="CC1775" s="20"/>
      <c r="CD1775" s="154"/>
    </row>
    <row r="1776" spans="35:82">
      <c r="AI1776" s="19"/>
      <c r="AO1776" s="19"/>
      <c r="AY1776" s="145"/>
      <c r="AZ1776" s="16"/>
      <c r="BC1776" s="16"/>
      <c r="BD1776" s="20"/>
      <c r="BE1776" s="17"/>
      <c r="BF1776" s="20"/>
      <c r="BG1776" s="146"/>
      <c r="BH1776" s="146"/>
      <c r="BI1776" s="146"/>
      <c r="BJ1776" s="20"/>
      <c r="BK1776" s="20"/>
      <c r="BL1776" s="154"/>
      <c r="BP1776" s="20"/>
      <c r="BQ1776" s="154"/>
      <c r="BR1776" s="18"/>
      <c r="BS1776" s="16"/>
      <c r="BT1776" s="18"/>
      <c r="BU1776" s="18"/>
      <c r="BV1776" s="18"/>
      <c r="BW1776" s="20"/>
      <c r="BX1776" s="154"/>
      <c r="BY1776" s="18"/>
      <c r="BZ1776" s="146"/>
      <c r="CA1776" s="18"/>
      <c r="CB1776" s="18"/>
      <c r="CC1776" s="20"/>
      <c r="CD1776" s="154"/>
    </row>
    <row r="1777" spans="35:82">
      <c r="AI1777" s="19"/>
      <c r="AO1777" s="19"/>
      <c r="AY1777" s="145"/>
      <c r="AZ1777" s="16"/>
      <c r="BC1777" s="16"/>
      <c r="BD1777" s="20"/>
      <c r="BE1777" s="17"/>
      <c r="BF1777" s="20"/>
      <c r="BG1777" s="146"/>
      <c r="BH1777" s="146"/>
      <c r="BI1777" s="146"/>
      <c r="BJ1777" s="20"/>
      <c r="BK1777" s="20"/>
      <c r="BL1777" s="154"/>
      <c r="BP1777" s="20"/>
      <c r="BQ1777" s="154"/>
      <c r="BR1777" s="18"/>
      <c r="BS1777" s="16"/>
      <c r="BT1777" s="18"/>
      <c r="BU1777" s="18"/>
      <c r="BV1777" s="18"/>
      <c r="BW1777" s="20"/>
      <c r="BX1777" s="154"/>
      <c r="BY1777" s="18"/>
      <c r="BZ1777" s="146"/>
      <c r="CA1777" s="18"/>
      <c r="CB1777" s="18"/>
      <c r="CC1777" s="20"/>
      <c r="CD1777" s="154"/>
    </row>
    <row r="1778" spans="35:82">
      <c r="AI1778" s="19"/>
      <c r="AO1778" s="19"/>
      <c r="AY1778" s="145"/>
      <c r="AZ1778" s="16"/>
      <c r="BC1778" s="16"/>
      <c r="BD1778" s="20"/>
      <c r="BE1778" s="17"/>
      <c r="BF1778" s="20"/>
      <c r="BG1778" s="146"/>
      <c r="BH1778" s="146"/>
      <c r="BI1778" s="146"/>
      <c r="BJ1778" s="20"/>
      <c r="BK1778" s="20"/>
      <c r="BL1778" s="154"/>
      <c r="BP1778" s="20"/>
      <c r="BQ1778" s="154"/>
      <c r="BR1778" s="18"/>
      <c r="BS1778" s="16"/>
      <c r="BT1778" s="18"/>
      <c r="BU1778" s="18"/>
      <c r="BV1778" s="18"/>
      <c r="BW1778" s="20"/>
      <c r="BX1778" s="154"/>
      <c r="BY1778" s="18"/>
      <c r="BZ1778" s="146"/>
      <c r="CA1778" s="18"/>
      <c r="CB1778" s="18"/>
      <c r="CC1778" s="20"/>
      <c r="CD1778" s="154"/>
    </row>
    <row r="1779" spans="35:82">
      <c r="AI1779" s="19"/>
      <c r="AO1779" s="19"/>
      <c r="AY1779" s="145"/>
      <c r="AZ1779" s="16"/>
      <c r="BC1779" s="16"/>
      <c r="BD1779" s="20"/>
      <c r="BE1779" s="17"/>
      <c r="BF1779" s="20"/>
      <c r="BG1779" s="146"/>
      <c r="BH1779" s="146"/>
      <c r="BI1779" s="146"/>
      <c r="BJ1779" s="20"/>
      <c r="BK1779" s="20"/>
      <c r="BL1779" s="154"/>
      <c r="BP1779" s="20"/>
      <c r="BQ1779" s="154"/>
      <c r="BR1779" s="18"/>
      <c r="BS1779" s="16"/>
      <c r="BT1779" s="18"/>
      <c r="BU1779" s="18"/>
      <c r="BV1779" s="18"/>
      <c r="BW1779" s="20"/>
      <c r="BX1779" s="154"/>
      <c r="BY1779" s="18"/>
      <c r="BZ1779" s="146"/>
      <c r="CA1779" s="18"/>
      <c r="CB1779" s="18"/>
      <c r="CC1779" s="20"/>
      <c r="CD1779" s="154"/>
    </row>
    <row r="1780" spans="35:82">
      <c r="AI1780" s="19"/>
      <c r="AO1780" s="19"/>
      <c r="AY1780" s="145"/>
      <c r="AZ1780" s="16"/>
      <c r="BC1780" s="16"/>
      <c r="BD1780" s="20"/>
      <c r="BE1780" s="17"/>
      <c r="BF1780" s="20"/>
      <c r="BG1780" s="146"/>
      <c r="BH1780" s="146"/>
      <c r="BI1780" s="146"/>
      <c r="BJ1780" s="20"/>
      <c r="BK1780" s="20"/>
      <c r="BL1780" s="154"/>
      <c r="BP1780" s="20"/>
      <c r="BQ1780" s="154"/>
      <c r="BR1780" s="18"/>
      <c r="BS1780" s="16"/>
      <c r="BT1780" s="18"/>
      <c r="BU1780" s="18"/>
      <c r="BV1780" s="18"/>
      <c r="BW1780" s="20"/>
      <c r="BX1780" s="154"/>
      <c r="BY1780" s="18"/>
      <c r="BZ1780" s="146"/>
      <c r="CA1780" s="18"/>
      <c r="CB1780" s="18"/>
      <c r="CC1780" s="20"/>
      <c r="CD1780" s="154"/>
    </row>
    <row r="1781" spans="35:82">
      <c r="AI1781" s="19"/>
      <c r="AO1781" s="19"/>
      <c r="AY1781" s="145"/>
      <c r="AZ1781" s="16"/>
      <c r="BC1781" s="16"/>
      <c r="BD1781" s="20"/>
      <c r="BE1781" s="17"/>
      <c r="BF1781" s="20"/>
      <c r="BG1781" s="146"/>
      <c r="BH1781" s="146"/>
      <c r="BI1781" s="146"/>
      <c r="BJ1781" s="20"/>
      <c r="BK1781" s="20"/>
      <c r="BL1781" s="154"/>
      <c r="BP1781" s="20"/>
      <c r="BQ1781" s="154"/>
      <c r="BR1781" s="18"/>
      <c r="BS1781" s="16"/>
      <c r="BT1781" s="18"/>
      <c r="BU1781" s="18"/>
      <c r="BV1781" s="18"/>
      <c r="BW1781" s="20"/>
      <c r="BX1781" s="154"/>
      <c r="BY1781" s="18"/>
      <c r="BZ1781" s="146"/>
      <c r="CA1781" s="18"/>
      <c r="CB1781" s="18"/>
      <c r="CC1781" s="20"/>
      <c r="CD1781" s="154"/>
    </row>
    <row r="1782" spans="35:82">
      <c r="AI1782" s="19"/>
      <c r="AO1782" s="19"/>
      <c r="AY1782" s="145"/>
      <c r="AZ1782" s="16"/>
      <c r="BC1782" s="16"/>
      <c r="BD1782" s="20"/>
      <c r="BE1782" s="17"/>
      <c r="BF1782" s="20"/>
      <c r="BG1782" s="146"/>
      <c r="BH1782" s="146"/>
      <c r="BI1782" s="146"/>
      <c r="BJ1782" s="20"/>
      <c r="BK1782" s="20"/>
      <c r="BL1782" s="154"/>
      <c r="BP1782" s="20"/>
      <c r="BQ1782" s="154"/>
      <c r="BR1782" s="18"/>
      <c r="BS1782" s="16"/>
      <c r="BT1782" s="18"/>
      <c r="BU1782" s="18"/>
      <c r="BV1782" s="18"/>
      <c r="BW1782" s="20"/>
      <c r="BX1782" s="154"/>
      <c r="BY1782" s="18"/>
      <c r="BZ1782" s="146"/>
      <c r="CA1782" s="18"/>
      <c r="CB1782" s="18"/>
      <c r="CC1782" s="20"/>
      <c r="CD1782" s="154"/>
    </row>
    <row r="1783" spans="35:82">
      <c r="AI1783" s="19"/>
      <c r="AO1783" s="19"/>
      <c r="AY1783" s="145"/>
      <c r="AZ1783" s="16"/>
      <c r="BC1783" s="16"/>
      <c r="BD1783" s="20"/>
      <c r="BE1783" s="17"/>
      <c r="BF1783" s="20"/>
      <c r="BG1783" s="146"/>
      <c r="BH1783" s="146"/>
      <c r="BI1783" s="146"/>
      <c r="BJ1783" s="20"/>
      <c r="BK1783" s="20"/>
      <c r="BL1783" s="154"/>
      <c r="BP1783" s="20"/>
      <c r="BQ1783" s="154"/>
      <c r="BR1783" s="18"/>
      <c r="BS1783" s="16"/>
      <c r="BT1783" s="18"/>
      <c r="BU1783" s="18"/>
      <c r="BV1783" s="18"/>
      <c r="BW1783" s="20"/>
      <c r="BX1783" s="154"/>
      <c r="BY1783" s="18"/>
      <c r="BZ1783" s="146"/>
      <c r="CA1783" s="18"/>
      <c r="CB1783" s="18"/>
      <c r="CC1783" s="20"/>
      <c r="CD1783" s="154"/>
    </row>
    <row r="1784" spans="35:82">
      <c r="AI1784" s="19"/>
      <c r="AO1784" s="19"/>
      <c r="AY1784" s="145"/>
      <c r="AZ1784" s="16"/>
      <c r="BC1784" s="16"/>
      <c r="BD1784" s="20"/>
      <c r="BE1784" s="17"/>
      <c r="BF1784" s="20"/>
      <c r="BG1784" s="146"/>
      <c r="BH1784" s="146"/>
      <c r="BI1784" s="146"/>
      <c r="BJ1784" s="20"/>
      <c r="BK1784" s="20"/>
      <c r="BL1784" s="154"/>
      <c r="BP1784" s="20"/>
      <c r="BQ1784" s="154"/>
      <c r="BR1784" s="18"/>
      <c r="BS1784" s="16"/>
      <c r="BT1784" s="18"/>
      <c r="BU1784" s="18"/>
      <c r="BV1784" s="18"/>
      <c r="BW1784" s="20"/>
      <c r="BX1784" s="154"/>
      <c r="BY1784" s="18"/>
      <c r="BZ1784" s="146"/>
      <c r="CA1784" s="18"/>
      <c r="CB1784" s="18"/>
      <c r="CC1784" s="20"/>
      <c r="CD1784" s="154"/>
    </row>
    <row r="1785" spans="35:82">
      <c r="AI1785" s="19"/>
      <c r="AO1785" s="19"/>
      <c r="AY1785" s="145"/>
      <c r="AZ1785" s="16"/>
      <c r="BC1785" s="16"/>
      <c r="BD1785" s="20"/>
      <c r="BE1785" s="17"/>
      <c r="BF1785" s="20"/>
      <c r="BG1785" s="146"/>
      <c r="BH1785" s="146"/>
      <c r="BI1785" s="146"/>
      <c r="BJ1785" s="20"/>
      <c r="BK1785" s="20"/>
      <c r="BL1785" s="154"/>
      <c r="BP1785" s="20"/>
      <c r="BQ1785" s="154"/>
      <c r="BR1785" s="18"/>
      <c r="BS1785" s="16"/>
      <c r="BT1785" s="18"/>
      <c r="BU1785" s="18"/>
      <c r="BV1785" s="18"/>
      <c r="BW1785" s="20"/>
      <c r="BX1785" s="154"/>
      <c r="BY1785" s="18"/>
      <c r="BZ1785" s="146"/>
      <c r="CA1785" s="18"/>
      <c r="CB1785" s="18"/>
      <c r="CC1785" s="20"/>
      <c r="CD1785" s="154"/>
    </row>
    <row r="1786" spans="35:82">
      <c r="AI1786" s="19"/>
      <c r="AO1786" s="19"/>
      <c r="AY1786" s="145"/>
      <c r="AZ1786" s="16"/>
      <c r="BC1786" s="16"/>
      <c r="BD1786" s="20"/>
      <c r="BE1786" s="17"/>
      <c r="BF1786" s="20"/>
      <c r="BG1786" s="146"/>
      <c r="BH1786" s="146"/>
      <c r="BI1786" s="146"/>
      <c r="BJ1786" s="20"/>
      <c r="BK1786" s="20"/>
      <c r="BL1786" s="154"/>
      <c r="BP1786" s="20"/>
      <c r="BQ1786" s="154"/>
      <c r="BR1786" s="18"/>
      <c r="BS1786" s="16"/>
      <c r="BT1786" s="18"/>
      <c r="BU1786" s="18"/>
      <c r="BV1786" s="18"/>
      <c r="BW1786" s="20"/>
      <c r="BX1786" s="154"/>
      <c r="BY1786" s="18"/>
      <c r="BZ1786" s="146"/>
      <c r="CA1786" s="18"/>
      <c r="CB1786" s="18"/>
      <c r="CC1786" s="20"/>
      <c r="CD1786" s="154"/>
    </row>
    <row r="1787" spans="35:82">
      <c r="AI1787" s="19"/>
      <c r="AO1787" s="19"/>
      <c r="AY1787" s="145"/>
      <c r="AZ1787" s="16"/>
      <c r="BC1787" s="16"/>
      <c r="BD1787" s="20"/>
      <c r="BE1787" s="17"/>
      <c r="BF1787" s="20"/>
      <c r="BG1787" s="146"/>
      <c r="BH1787" s="146"/>
      <c r="BI1787" s="146"/>
      <c r="BJ1787" s="20"/>
      <c r="BK1787" s="20"/>
      <c r="BL1787" s="154"/>
      <c r="BP1787" s="20"/>
      <c r="BQ1787" s="154"/>
      <c r="BR1787" s="18"/>
      <c r="BS1787" s="16"/>
      <c r="BT1787" s="18"/>
      <c r="BU1787" s="18"/>
      <c r="BV1787" s="18"/>
      <c r="BW1787" s="20"/>
      <c r="BX1787" s="154"/>
      <c r="BY1787" s="18"/>
      <c r="BZ1787" s="146"/>
      <c r="CA1787" s="18"/>
      <c r="CB1787" s="18"/>
      <c r="CC1787" s="20"/>
      <c r="CD1787" s="154"/>
    </row>
    <row r="1788" spans="35:82">
      <c r="AI1788" s="19"/>
      <c r="AO1788" s="19"/>
      <c r="AY1788" s="145"/>
      <c r="AZ1788" s="16"/>
      <c r="BC1788" s="16"/>
      <c r="BD1788" s="20"/>
      <c r="BE1788" s="17"/>
      <c r="BF1788" s="20"/>
      <c r="BG1788" s="146"/>
      <c r="BH1788" s="146"/>
      <c r="BI1788" s="146"/>
      <c r="BJ1788" s="20"/>
      <c r="BK1788" s="20"/>
      <c r="BL1788" s="154"/>
      <c r="BP1788" s="20"/>
      <c r="BQ1788" s="154"/>
      <c r="BR1788" s="18"/>
      <c r="BS1788" s="16"/>
      <c r="BT1788" s="18"/>
      <c r="BU1788" s="18"/>
      <c r="BV1788" s="18"/>
      <c r="BW1788" s="20"/>
      <c r="BX1788" s="154"/>
      <c r="BY1788" s="18"/>
      <c r="BZ1788" s="146"/>
      <c r="CA1788" s="18"/>
      <c r="CB1788" s="18"/>
      <c r="CC1788" s="20"/>
      <c r="CD1788" s="154"/>
    </row>
    <row r="1789" spans="35:82">
      <c r="AI1789" s="19"/>
      <c r="AO1789" s="19"/>
      <c r="AY1789" s="145"/>
      <c r="AZ1789" s="16"/>
      <c r="BC1789" s="16"/>
      <c r="BD1789" s="20"/>
      <c r="BE1789" s="17"/>
      <c r="BF1789" s="20"/>
      <c r="BG1789" s="146"/>
      <c r="BH1789" s="146"/>
      <c r="BI1789" s="146"/>
      <c r="BJ1789" s="20"/>
      <c r="BK1789" s="20"/>
      <c r="BL1789" s="154"/>
      <c r="BP1789" s="20"/>
      <c r="BQ1789" s="154"/>
      <c r="BR1789" s="18"/>
      <c r="BS1789" s="16"/>
      <c r="BT1789" s="18"/>
      <c r="BU1789" s="18"/>
      <c r="BV1789" s="18"/>
      <c r="BW1789" s="20"/>
      <c r="BX1789" s="154"/>
      <c r="BY1789" s="18"/>
      <c r="BZ1789" s="146"/>
      <c r="CA1789" s="18"/>
      <c r="CB1789" s="18"/>
      <c r="CC1789" s="20"/>
      <c r="CD1789" s="154"/>
    </row>
    <row r="1790" spans="35:82">
      <c r="AI1790" s="19"/>
      <c r="AO1790" s="19"/>
      <c r="AY1790" s="145"/>
      <c r="AZ1790" s="16"/>
      <c r="BC1790" s="16"/>
      <c r="BD1790" s="20"/>
      <c r="BE1790" s="17"/>
      <c r="BF1790" s="20"/>
      <c r="BG1790" s="146"/>
      <c r="BH1790" s="146"/>
      <c r="BI1790" s="146"/>
      <c r="BJ1790" s="20"/>
      <c r="BK1790" s="20"/>
      <c r="BL1790" s="154"/>
      <c r="BP1790" s="20"/>
      <c r="BQ1790" s="154"/>
      <c r="BR1790" s="18"/>
      <c r="BS1790" s="16"/>
      <c r="BT1790" s="18"/>
      <c r="BU1790" s="18"/>
      <c r="BV1790" s="18"/>
      <c r="BW1790" s="20"/>
      <c r="BX1790" s="154"/>
      <c r="BY1790" s="18"/>
      <c r="BZ1790" s="146"/>
      <c r="CA1790" s="18"/>
      <c r="CB1790" s="18"/>
      <c r="CC1790" s="20"/>
      <c r="CD1790" s="154"/>
    </row>
    <row r="1791" spans="35:82">
      <c r="AI1791" s="19"/>
      <c r="AO1791" s="19"/>
      <c r="AY1791" s="145"/>
      <c r="AZ1791" s="16"/>
      <c r="BC1791" s="16"/>
      <c r="BD1791" s="20"/>
      <c r="BE1791" s="17"/>
      <c r="BF1791" s="20"/>
      <c r="BG1791" s="146"/>
      <c r="BH1791" s="146"/>
      <c r="BI1791" s="146"/>
      <c r="BJ1791" s="20"/>
      <c r="BK1791" s="20"/>
      <c r="BL1791" s="154"/>
      <c r="BP1791" s="20"/>
      <c r="BQ1791" s="154"/>
      <c r="BR1791" s="18"/>
      <c r="BS1791" s="16"/>
      <c r="BT1791" s="18"/>
      <c r="BU1791" s="18"/>
      <c r="BV1791" s="18"/>
      <c r="BW1791" s="20"/>
      <c r="BX1791" s="154"/>
      <c r="BY1791" s="18"/>
      <c r="BZ1791" s="146"/>
      <c r="CA1791" s="18"/>
      <c r="CB1791" s="18"/>
      <c r="CC1791" s="20"/>
      <c r="CD1791" s="154"/>
    </row>
    <row r="1792" spans="35:82">
      <c r="AI1792" s="19"/>
      <c r="AO1792" s="19"/>
      <c r="AY1792" s="145"/>
      <c r="AZ1792" s="16"/>
      <c r="BC1792" s="16"/>
      <c r="BD1792" s="20"/>
      <c r="BE1792" s="17"/>
      <c r="BF1792" s="20"/>
      <c r="BG1792" s="146"/>
      <c r="BH1792" s="146"/>
      <c r="BI1792" s="146"/>
      <c r="BJ1792" s="20"/>
      <c r="BK1792" s="20"/>
      <c r="BL1792" s="154"/>
      <c r="BP1792" s="20"/>
      <c r="BQ1792" s="154"/>
      <c r="BR1792" s="18"/>
      <c r="BS1792" s="16"/>
      <c r="BT1792" s="18"/>
      <c r="BU1792" s="18"/>
      <c r="BV1792" s="18"/>
      <c r="BW1792" s="20"/>
      <c r="BX1792" s="154"/>
      <c r="BY1792" s="18"/>
      <c r="BZ1792" s="146"/>
      <c r="CA1792" s="18"/>
      <c r="CB1792" s="18"/>
      <c r="CC1792" s="20"/>
      <c r="CD1792" s="154"/>
    </row>
    <row r="1793" spans="35:82">
      <c r="AI1793" s="19"/>
      <c r="AO1793" s="19"/>
      <c r="AY1793" s="145"/>
      <c r="AZ1793" s="16"/>
      <c r="BC1793" s="16"/>
      <c r="BD1793" s="20"/>
      <c r="BE1793" s="17"/>
      <c r="BF1793" s="20"/>
      <c r="BG1793" s="146"/>
      <c r="BH1793" s="146"/>
      <c r="BI1793" s="146"/>
      <c r="BJ1793" s="20"/>
      <c r="BK1793" s="20"/>
      <c r="BL1793" s="154"/>
      <c r="BP1793" s="20"/>
      <c r="BQ1793" s="154"/>
      <c r="BR1793" s="18"/>
      <c r="BS1793" s="16"/>
      <c r="BT1793" s="18"/>
      <c r="BU1793" s="18"/>
      <c r="BV1793" s="18"/>
      <c r="BW1793" s="20"/>
      <c r="BX1793" s="154"/>
      <c r="BY1793" s="18"/>
      <c r="BZ1793" s="146"/>
      <c r="CA1793" s="18"/>
      <c r="CB1793" s="18"/>
      <c r="CC1793" s="20"/>
      <c r="CD1793" s="154"/>
    </row>
    <row r="1794" spans="35:82">
      <c r="AI1794" s="19"/>
      <c r="AO1794" s="19"/>
      <c r="AY1794" s="145"/>
      <c r="AZ1794" s="16"/>
      <c r="BC1794" s="16"/>
      <c r="BD1794" s="20"/>
      <c r="BE1794" s="17"/>
      <c r="BF1794" s="20"/>
      <c r="BG1794" s="146"/>
      <c r="BH1794" s="146"/>
      <c r="BI1794" s="146"/>
      <c r="BJ1794" s="20"/>
      <c r="BK1794" s="20"/>
      <c r="BL1794" s="154"/>
      <c r="BP1794" s="20"/>
      <c r="BQ1794" s="154"/>
      <c r="BR1794" s="18"/>
      <c r="BS1794" s="16"/>
      <c r="BT1794" s="18"/>
      <c r="BU1794" s="18"/>
      <c r="BV1794" s="18"/>
      <c r="BW1794" s="20"/>
      <c r="BX1794" s="154"/>
      <c r="BY1794" s="18"/>
      <c r="BZ1794" s="146"/>
      <c r="CA1794" s="18"/>
      <c r="CB1794" s="18"/>
      <c r="CC1794" s="20"/>
      <c r="CD1794" s="154"/>
    </row>
    <row r="1795" spans="35:82">
      <c r="AI1795" s="19"/>
      <c r="AO1795" s="19"/>
      <c r="AY1795" s="145"/>
      <c r="AZ1795" s="16"/>
      <c r="BC1795" s="16"/>
      <c r="BD1795" s="20"/>
      <c r="BE1795" s="17"/>
      <c r="BF1795" s="20"/>
      <c r="BG1795" s="146"/>
      <c r="BH1795" s="146"/>
      <c r="BI1795" s="146"/>
      <c r="BJ1795" s="20"/>
      <c r="BK1795" s="20"/>
      <c r="BL1795" s="154"/>
      <c r="BP1795" s="20"/>
      <c r="BQ1795" s="154"/>
      <c r="BR1795" s="18"/>
      <c r="BS1795" s="16"/>
      <c r="BT1795" s="18"/>
      <c r="BU1795" s="18"/>
      <c r="BV1795" s="18"/>
      <c r="BW1795" s="20"/>
      <c r="BX1795" s="154"/>
      <c r="BY1795" s="18"/>
      <c r="BZ1795" s="146"/>
      <c r="CA1795" s="18"/>
      <c r="CB1795" s="18"/>
      <c r="CC1795" s="20"/>
      <c r="CD1795" s="154"/>
    </row>
    <row r="1796" spans="35:82">
      <c r="AI1796" s="19"/>
      <c r="AO1796" s="19"/>
      <c r="AY1796" s="145"/>
      <c r="AZ1796" s="16"/>
      <c r="BC1796" s="16"/>
      <c r="BD1796" s="20"/>
      <c r="BE1796" s="17"/>
      <c r="BF1796" s="20"/>
      <c r="BG1796" s="146"/>
      <c r="BH1796" s="146"/>
      <c r="BI1796" s="146"/>
      <c r="BJ1796" s="20"/>
      <c r="BK1796" s="20"/>
      <c r="BL1796" s="154"/>
      <c r="BP1796" s="20"/>
      <c r="BQ1796" s="154"/>
      <c r="BR1796" s="18"/>
      <c r="BS1796" s="16"/>
      <c r="BT1796" s="18"/>
      <c r="BU1796" s="18"/>
      <c r="BV1796" s="18"/>
      <c r="BW1796" s="20"/>
      <c r="BX1796" s="154"/>
      <c r="BY1796" s="18"/>
      <c r="BZ1796" s="146"/>
      <c r="CA1796" s="18"/>
      <c r="CB1796" s="18"/>
      <c r="CC1796" s="20"/>
      <c r="CD1796" s="154"/>
    </row>
    <row r="1797" spans="35:82">
      <c r="AI1797" s="19"/>
      <c r="AO1797" s="19"/>
      <c r="AY1797" s="145"/>
      <c r="AZ1797" s="16"/>
      <c r="BC1797" s="16"/>
      <c r="BD1797" s="20"/>
      <c r="BE1797" s="17"/>
      <c r="BF1797" s="20"/>
      <c r="BG1797" s="146"/>
      <c r="BH1797" s="146"/>
      <c r="BI1797" s="146"/>
      <c r="BJ1797" s="20"/>
      <c r="BK1797" s="20"/>
      <c r="BL1797" s="154"/>
      <c r="BP1797" s="20"/>
      <c r="BQ1797" s="154"/>
      <c r="BR1797" s="18"/>
      <c r="BS1797" s="16"/>
      <c r="BT1797" s="18"/>
      <c r="BU1797" s="18"/>
      <c r="BV1797" s="18"/>
      <c r="BW1797" s="20"/>
      <c r="BX1797" s="154"/>
      <c r="BY1797" s="18"/>
      <c r="BZ1797" s="146"/>
      <c r="CA1797" s="18"/>
      <c r="CB1797" s="18"/>
      <c r="CC1797" s="20"/>
      <c r="CD1797" s="154"/>
    </row>
    <row r="1798" spans="35:82">
      <c r="AI1798" s="19"/>
      <c r="AO1798" s="19"/>
      <c r="AY1798" s="145"/>
      <c r="AZ1798" s="16"/>
      <c r="BC1798" s="16"/>
      <c r="BD1798" s="20"/>
      <c r="BE1798" s="17"/>
      <c r="BF1798" s="20"/>
      <c r="BG1798" s="146"/>
      <c r="BH1798" s="146"/>
      <c r="BI1798" s="146"/>
      <c r="BJ1798" s="20"/>
      <c r="BK1798" s="20"/>
      <c r="BL1798" s="154"/>
      <c r="BP1798" s="20"/>
      <c r="BQ1798" s="154"/>
      <c r="BR1798" s="18"/>
      <c r="BS1798" s="16"/>
      <c r="BT1798" s="18"/>
      <c r="BU1798" s="18"/>
      <c r="BV1798" s="18"/>
      <c r="BW1798" s="20"/>
      <c r="BX1798" s="154"/>
      <c r="BY1798" s="18"/>
      <c r="BZ1798" s="146"/>
      <c r="CA1798" s="18"/>
      <c r="CB1798" s="18"/>
      <c r="CC1798" s="20"/>
      <c r="CD1798" s="154"/>
    </row>
    <row r="1799" spans="35:82">
      <c r="AI1799" s="19"/>
      <c r="AO1799" s="19"/>
      <c r="AY1799" s="145"/>
      <c r="AZ1799" s="16"/>
      <c r="BC1799" s="16"/>
      <c r="BD1799" s="20"/>
      <c r="BE1799" s="17"/>
      <c r="BF1799" s="20"/>
      <c r="BG1799" s="146"/>
      <c r="BH1799" s="146"/>
      <c r="BI1799" s="146"/>
      <c r="BJ1799" s="20"/>
      <c r="BK1799" s="20"/>
      <c r="BL1799" s="154"/>
      <c r="BP1799" s="20"/>
      <c r="BQ1799" s="154"/>
      <c r="BR1799" s="18"/>
      <c r="BS1799" s="16"/>
      <c r="BT1799" s="18"/>
      <c r="BU1799" s="18"/>
      <c r="BV1799" s="18"/>
      <c r="BW1799" s="20"/>
      <c r="BX1799" s="154"/>
      <c r="BY1799" s="18"/>
      <c r="BZ1799" s="146"/>
      <c r="CA1799" s="18"/>
      <c r="CB1799" s="18"/>
      <c r="CC1799" s="20"/>
      <c r="CD1799" s="154"/>
    </row>
    <row r="1800" spans="35:82">
      <c r="AI1800" s="19"/>
      <c r="AO1800" s="19"/>
      <c r="AY1800" s="145"/>
      <c r="AZ1800" s="16"/>
      <c r="BC1800" s="16"/>
      <c r="BD1800" s="20"/>
      <c r="BE1800" s="17"/>
      <c r="BF1800" s="20"/>
      <c r="BG1800" s="146"/>
      <c r="BH1800" s="146"/>
      <c r="BI1800" s="146"/>
      <c r="BJ1800" s="20"/>
      <c r="BK1800" s="20"/>
      <c r="BL1800" s="154"/>
      <c r="BP1800" s="20"/>
      <c r="BQ1800" s="154"/>
      <c r="BR1800" s="18"/>
      <c r="BS1800" s="16"/>
      <c r="BT1800" s="18"/>
      <c r="BU1800" s="18"/>
      <c r="BV1800" s="18"/>
      <c r="BW1800" s="20"/>
      <c r="BX1800" s="154"/>
      <c r="BY1800" s="18"/>
      <c r="BZ1800" s="146"/>
      <c r="CA1800" s="18"/>
      <c r="CB1800" s="18"/>
      <c r="CC1800" s="20"/>
      <c r="CD1800" s="154"/>
    </row>
    <row r="1801" spans="35:82">
      <c r="AI1801" s="19"/>
      <c r="AO1801" s="19"/>
      <c r="AY1801" s="145"/>
      <c r="AZ1801" s="16"/>
      <c r="BC1801" s="16"/>
      <c r="BD1801" s="20"/>
      <c r="BE1801" s="17"/>
      <c r="BF1801" s="20"/>
      <c r="BG1801" s="146"/>
      <c r="BH1801" s="146"/>
      <c r="BI1801" s="146"/>
      <c r="BJ1801" s="20"/>
      <c r="BK1801" s="20"/>
      <c r="BL1801" s="154"/>
      <c r="BP1801" s="20"/>
      <c r="BQ1801" s="154"/>
      <c r="BR1801" s="18"/>
      <c r="BS1801" s="16"/>
      <c r="BT1801" s="18"/>
      <c r="BU1801" s="18"/>
      <c r="BV1801" s="18"/>
      <c r="BW1801" s="20"/>
      <c r="BX1801" s="154"/>
      <c r="BY1801" s="18"/>
      <c r="BZ1801" s="146"/>
      <c r="CA1801" s="18"/>
      <c r="CB1801" s="18"/>
      <c r="CC1801" s="20"/>
      <c r="CD1801" s="154"/>
    </row>
    <row r="1802" spans="35:82">
      <c r="AI1802" s="19"/>
      <c r="AO1802" s="19"/>
      <c r="AY1802" s="145"/>
      <c r="AZ1802" s="16"/>
      <c r="BC1802" s="16"/>
      <c r="BD1802" s="20"/>
      <c r="BE1802" s="17"/>
      <c r="BF1802" s="20"/>
      <c r="BG1802" s="146"/>
      <c r="BH1802" s="146"/>
      <c r="BI1802" s="146"/>
      <c r="BJ1802" s="20"/>
      <c r="BK1802" s="20"/>
      <c r="BL1802" s="154"/>
      <c r="BP1802" s="20"/>
      <c r="BQ1802" s="154"/>
      <c r="BR1802" s="18"/>
      <c r="BS1802" s="16"/>
      <c r="BT1802" s="18"/>
      <c r="BU1802" s="18"/>
      <c r="BV1802" s="18"/>
      <c r="BW1802" s="20"/>
      <c r="BX1802" s="154"/>
      <c r="BY1802" s="18"/>
      <c r="BZ1802" s="146"/>
      <c r="CA1802" s="18"/>
      <c r="CB1802" s="18"/>
      <c r="CC1802" s="20"/>
      <c r="CD1802" s="154"/>
    </row>
    <row r="1803" spans="35:82">
      <c r="AI1803" s="19"/>
      <c r="AO1803" s="19"/>
      <c r="AY1803" s="145"/>
      <c r="AZ1803" s="16"/>
      <c r="BC1803" s="16"/>
      <c r="BD1803" s="20"/>
      <c r="BE1803" s="17"/>
      <c r="BF1803" s="20"/>
      <c r="BG1803" s="146"/>
      <c r="BH1803" s="146"/>
      <c r="BI1803" s="146"/>
      <c r="BJ1803" s="20"/>
      <c r="BK1803" s="20"/>
      <c r="BL1803" s="154"/>
      <c r="BP1803" s="20"/>
      <c r="BQ1803" s="154"/>
      <c r="BR1803" s="18"/>
      <c r="BS1803" s="16"/>
      <c r="BT1803" s="18"/>
      <c r="BU1803" s="18"/>
      <c r="BV1803" s="18"/>
      <c r="BW1803" s="20"/>
      <c r="BX1803" s="154"/>
      <c r="BY1803" s="18"/>
      <c r="BZ1803" s="146"/>
      <c r="CA1803" s="18"/>
      <c r="CB1803" s="18"/>
      <c r="CC1803" s="20"/>
      <c r="CD1803" s="154"/>
    </row>
    <row r="1804" spans="35:82">
      <c r="AI1804" s="19"/>
      <c r="AO1804" s="19"/>
      <c r="AY1804" s="145"/>
      <c r="AZ1804" s="16"/>
      <c r="BC1804" s="16"/>
      <c r="BD1804" s="20"/>
      <c r="BE1804" s="17"/>
      <c r="BF1804" s="20"/>
      <c r="BG1804" s="146"/>
      <c r="BH1804" s="146"/>
      <c r="BI1804" s="146"/>
      <c r="BJ1804" s="20"/>
      <c r="BK1804" s="20"/>
      <c r="BL1804" s="154"/>
      <c r="BP1804" s="20"/>
      <c r="BQ1804" s="154"/>
      <c r="BR1804" s="18"/>
      <c r="BS1804" s="16"/>
      <c r="BT1804" s="18"/>
      <c r="BU1804" s="18"/>
      <c r="BV1804" s="18"/>
      <c r="BW1804" s="20"/>
      <c r="BX1804" s="154"/>
      <c r="BY1804" s="18"/>
      <c r="BZ1804" s="146"/>
      <c r="CA1804" s="18"/>
      <c r="CB1804" s="18"/>
      <c r="CC1804" s="20"/>
      <c r="CD1804" s="154"/>
    </row>
    <row r="1805" spans="35:82">
      <c r="AI1805" s="19"/>
      <c r="AO1805" s="19"/>
      <c r="AY1805" s="145"/>
      <c r="AZ1805" s="16"/>
      <c r="BC1805" s="16"/>
      <c r="BD1805" s="20"/>
      <c r="BE1805" s="17"/>
      <c r="BF1805" s="20"/>
      <c r="BG1805" s="146"/>
      <c r="BH1805" s="146"/>
      <c r="BI1805" s="146"/>
      <c r="BJ1805" s="20"/>
      <c r="BK1805" s="20"/>
      <c r="BL1805" s="154"/>
      <c r="BP1805" s="20"/>
      <c r="BQ1805" s="154"/>
      <c r="BR1805" s="18"/>
      <c r="BS1805" s="16"/>
      <c r="BT1805" s="18"/>
      <c r="BU1805" s="18"/>
      <c r="BV1805" s="18"/>
      <c r="BW1805" s="20"/>
      <c r="BX1805" s="154"/>
      <c r="BY1805" s="18"/>
      <c r="BZ1805" s="146"/>
      <c r="CA1805" s="18"/>
      <c r="CB1805" s="18"/>
      <c r="CC1805" s="20"/>
      <c r="CD1805" s="154"/>
    </row>
    <row r="1806" spans="35:82">
      <c r="AI1806" s="19"/>
      <c r="AO1806" s="19"/>
      <c r="AY1806" s="145"/>
      <c r="AZ1806" s="16"/>
      <c r="BC1806" s="16"/>
      <c r="BD1806" s="20"/>
      <c r="BE1806" s="17"/>
      <c r="BF1806" s="20"/>
      <c r="BG1806" s="146"/>
      <c r="BH1806" s="146"/>
      <c r="BI1806" s="146"/>
      <c r="BJ1806" s="20"/>
      <c r="BK1806" s="20"/>
      <c r="BL1806" s="154"/>
      <c r="BP1806" s="20"/>
      <c r="BQ1806" s="154"/>
      <c r="BR1806" s="18"/>
      <c r="BS1806" s="16"/>
      <c r="BT1806" s="18"/>
      <c r="BU1806" s="18"/>
      <c r="BV1806" s="18"/>
      <c r="BW1806" s="20"/>
      <c r="BX1806" s="154"/>
      <c r="BY1806" s="18"/>
      <c r="BZ1806" s="146"/>
      <c r="CA1806" s="18"/>
      <c r="CB1806" s="18"/>
      <c r="CC1806" s="20"/>
      <c r="CD1806" s="154"/>
    </row>
    <row r="1807" spans="35:82">
      <c r="AI1807" s="19"/>
      <c r="AO1807" s="19"/>
      <c r="AY1807" s="145"/>
      <c r="AZ1807" s="16"/>
      <c r="BC1807" s="16"/>
      <c r="BD1807" s="20"/>
      <c r="BE1807" s="17"/>
      <c r="BF1807" s="20"/>
      <c r="BG1807" s="146"/>
      <c r="BH1807" s="146"/>
      <c r="BI1807" s="146"/>
      <c r="BJ1807" s="20"/>
      <c r="BK1807" s="20"/>
      <c r="BL1807" s="154"/>
      <c r="BP1807" s="20"/>
      <c r="BQ1807" s="154"/>
      <c r="BR1807" s="18"/>
      <c r="BS1807" s="16"/>
      <c r="BT1807" s="18"/>
      <c r="BU1807" s="18"/>
      <c r="BV1807" s="18"/>
      <c r="BW1807" s="20"/>
      <c r="BX1807" s="154"/>
      <c r="BY1807" s="18"/>
      <c r="BZ1807" s="146"/>
      <c r="CA1807" s="18"/>
      <c r="CB1807" s="18"/>
      <c r="CC1807" s="20"/>
      <c r="CD1807" s="154"/>
    </row>
    <row r="1808" spans="35:82">
      <c r="AI1808" s="19"/>
      <c r="AO1808" s="19"/>
      <c r="AY1808" s="145"/>
      <c r="AZ1808" s="16"/>
      <c r="BC1808" s="16"/>
      <c r="BD1808" s="20"/>
      <c r="BE1808" s="17"/>
      <c r="BF1808" s="20"/>
      <c r="BG1808" s="146"/>
      <c r="BH1808" s="146"/>
      <c r="BI1808" s="146"/>
      <c r="BJ1808" s="20"/>
      <c r="BK1808" s="20"/>
      <c r="BL1808" s="154"/>
      <c r="BP1808" s="20"/>
      <c r="BQ1808" s="154"/>
      <c r="BR1808" s="18"/>
      <c r="BS1808" s="16"/>
      <c r="BT1808" s="18"/>
      <c r="BU1808" s="18"/>
      <c r="BV1808" s="18"/>
      <c r="BW1808" s="20"/>
      <c r="BX1808" s="154"/>
      <c r="BY1808" s="18"/>
      <c r="BZ1808" s="146"/>
      <c r="CA1808" s="18"/>
      <c r="CB1808" s="18"/>
      <c r="CC1808" s="20"/>
      <c r="CD1808" s="154"/>
    </row>
    <row r="1809" spans="35:82">
      <c r="AI1809" s="19"/>
      <c r="AO1809" s="19"/>
      <c r="AY1809" s="145"/>
      <c r="AZ1809" s="16"/>
      <c r="BC1809" s="16"/>
      <c r="BD1809" s="20"/>
      <c r="BE1809" s="17"/>
      <c r="BF1809" s="20"/>
      <c r="BG1809" s="146"/>
      <c r="BH1809" s="146"/>
      <c r="BI1809" s="146"/>
      <c r="BJ1809" s="20"/>
      <c r="BK1809" s="20"/>
      <c r="BL1809" s="154"/>
      <c r="BP1809" s="20"/>
      <c r="BQ1809" s="154"/>
      <c r="BR1809" s="18"/>
      <c r="BS1809" s="16"/>
      <c r="BT1809" s="18"/>
      <c r="BU1809" s="18"/>
      <c r="BV1809" s="18"/>
      <c r="BW1809" s="20"/>
      <c r="BX1809" s="154"/>
      <c r="BY1809" s="18"/>
      <c r="BZ1809" s="146"/>
      <c r="CA1809" s="18"/>
      <c r="CB1809" s="18"/>
      <c r="CC1809" s="20"/>
      <c r="CD1809" s="154"/>
    </row>
    <row r="1810" spans="35:82">
      <c r="AI1810" s="19"/>
      <c r="AO1810" s="19"/>
      <c r="AY1810" s="145"/>
      <c r="AZ1810" s="16"/>
      <c r="BC1810" s="16"/>
      <c r="BD1810" s="20"/>
      <c r="BE1810" s="17"/>
      <c r="BF1810" s="20"/>
      <c r="BG1810" s="146"/>
      <c r="BH1810" s="146"/>
      <c r="BI1810" s="146"/>
      <c r="BJ1810" s="20"/>
      <c r="BK1810" s="20"/>
      <c r="BL1810" s="154"/>
      <c r="BP1810" s="20"/>
      <c r="BQ1810" s="154"/>
      <c r="BR1810" s="18"/>
      <c r="BS1810" s="16"/>
      <c r="BT1810" s="18"/>
      <c r="BU1810" s="18"/>
      <c r="BV1810" s="18"/>
      <c r="BW1810" s="20"/>
      <c r="BX1810" s="154"/>
      <c r="BY1810" s="18"/>
      <c r="BZ1810" s="146"/>
      <c r="CA1810" s="18"/>
      <c r="CB1810" s="18"/>
      <c r="CC1810" s="20"/>
      <c r="CD1810" s="154"/>
    </row>
    <row r="1811" spans="35:82">
      <c r="AI1811" s="19"/>
      <c r="AO1811" s="19"/>
      <c r="AY1811" s="145"/>
      <c r="AZ1811" s="16"/>
      <c r="BC1811" s="16"/>
      <c r="BD1811" s="20"/>
      <c r="BE1811" s="17"/>
      <c r="BF1811" s="20"/>
      <c r="BG1811" s="146"/>
      <c r="BH1811" s="146"/>
      <c r="BI1811" s="146"/>
      <c r="BJ1811" s="20"/>
      <c r="BK1811" s="20"/>
      <c r="BL1811" s="154"/>
      <c r="BP1811" s="20"/>
      <c r="BQ1811" s="154"/>
      <c r="BR1811" s="18"/>
      <c r="BS1811" s="16"/>
      <c r="BT1811" s="18"/>
      <c r="BU1811" s="18"/>
      <c r="BV1811" s="18"/>
      <c r="BW1811" s="20"/>
      <c r="BX1811" s="154"/>
      <c r="BY1811" s="18"/>
      <c r="BZ1811" s="146"/>
      <c r="CA1811" s="18"/>
      <c r="CB1811" s="18"/>
      <c r="CC1811" s="20"/>
      <c r="CD1811" s="154"/>
    </row>
    <row r="1812" spans="35:82">
      <c r="AI1812" s="19"/>
      <c r="AO1812" s="19"/>
      <c r="AY1812" s="145"/>
      <c r="AZ1812" s="16"/>
      <c r="BC1812" s="16"/>
      <c r="BD1812" s="20"/>
      <c r="BE1812" s="17"/>
      <c r="BF1812" s="20"/>
      <c r="BG1812" s="146"/>
      <c r="BH1812" s="146"/>
      <c r="BI1812" s="146"/>
      <c r="BJ1812" s="20"/>
      <c r="BK1812" s="20"/>
      <c r="BL1812" s="154"/>
      <c r="BP1812" s="20"/>
      <c r="BQ1812" s="154"/>
      <c r="BR1812" s="18"/>
      <c r="BS1812" s="16"/>
      <c r="BT1812" s="18"/>
      <c r="BU1812" s="18"/>
      <c r="BV1812" s="18"/>
      <c r="BW1812" s="20"/>
      <c r="BX1812" s="154"/>
      <c r="BY1812" s="18"/>
      <c r="BZ1812" s="146"/>
      <c r="CA1812" s="18"/>
      <c r="CB1812" s="18"/>
      <c r="CC1812" s="20"/>
      <c r="CD1812" s="154"/>
    </row>
    <row r="1813" spans="35:82">
      <c r="AI1813" s="19"/>
      <c r="AO1813" s="19"/>
      <c r="AY1813" s="145"/>
      <c r="AZ1813" s="16"/>
      <c r="BC1813" s="16"/>
      <c r="BD1813" s="20"/>
      <c r="BE1813" s="17"/>
      <c r="BF1813" s="20"/>
      <c r="BG1813" s="146"/>
      <c r="BH1813" s="146"/>
      <c r="BI1813" s="146"/>
      <c r="BJ1813" s="20"/>
      <c r="BK1813" s="20"/>
      <c r="BL1813" s="154"/>
      <c r="BP1813" s="20"/>
      <c r="BQ1813" s="154"/>
      <c r="BR1813" s="18"/>
      <c r="BS1813" s="16"/>
      <c r="BT1813" s="18"/>
      <c r="BU1813" s="18"/>
      <c r="BV1813" s="18"/>
      <c r="BW1813" s="20"/>
      <c r="BX1813" s="154"/>
      <c r="BY1813" s="18"/>
      <c r="BZ1813" s="146"/>
      <c r="CA1813" s="18"/>
      <c r="CB1813" s="18"/>
      <c r="CC1813" s="20"/>
      <c r="CD1813" s="154"/>
    </row>
    <row r="1814" spans="35:82">
      <c r="AI1814" s="19"/>
      <c r="AO1814" s="19"/>
      <c r="AY1814" s="145"/>
      <c r="AZ1814" s="16"/>
      <c r="BC1814" s="16"/>
      <c r="BD1814" s="20"/>
      <c r="BE1814" s="17"/>
      <c r="BF1814" s="20"/>
      <c r="BG1814" s="146"/>
      <c r="BH1814" s="146"/>
      <c r="BI1814" s="146"/>
      <c r="BJ1814" s="20"/>
      <c r="BK1814" s="20"/>
      <c r="BL1814" s="154"/>
      <c r="BP1814" s="20"/>
      <c r="BQ1814" s="154"/>
      <c r="BR1814" s="18"/>
      <c r="BS1814" s="16"/>
      <c r="BT1814" s="18"/>
      <c r="BU1814" s="18"/>
      <c r="BV1814" s="18"/>
      <c r="BW1814" s="20"/>
      <c r="BX1814" s="154"/>
      <c r="BY1814" s="18"/>
      <c r="BZ1814" s="146"/>
      <c r="CA1814" s="18"/>
      <c r="CB1814" s="18"/>
      <c r="CC1814" s="20"/>
      <c r="CD1814" s="154"/>
    </row>
    <row r="1815" spans="35:82">
      <c r="AI1815" s="19"/>
      <c r="AO1815" s="19"/>
      <c r="AY1815" s="145"/>
      <c r="AZ1815" s="16"/>
      <c r="BC1815" s="16"/>
      <c r="BD1815" s="20"/>
      <c r="BE1815" s="17"/>
      <c r="BF1815" s="20"/>
      <c r="BG1815" s="146"/>
      <c r="BH1815" s="146"/>
      <c r="BI1815" s="146"/>
      <c r="BJ1815" s="20"/>
      <c r="BK1815" s="20"/>
      <c r="BL1815" s="154"/>
      <c r="BP1815" s="20"/>
      <c r="BQ1815" s="154"/>
      <c r="BR1815" s="18"/>
      <c r="BS1815" s="16"/>
      <c r="BT1815" s="18"/>
      <c r="BU1815" s="18"/>
      <c r="BV1815" s="18"/>
      <c r="BW1815" s="20"/>
      <c r="BX1815" s="154"/>
      <c r="BY1815" s="18"/>
      <c r="BZ1815" s="146"/>
      <c r="CA1815" s="18"/>
      <c r="CB1815" s="18"/>
      <c r="CC1815" s="20"/>
      <c r="CD1815" s="154"/>
    </row>
    <row r="1816" spans="35:82">
      <c r="AI1816" s="19"/>
      <c r="AO1816" s="19"/>
      <c r="AY1816" s="145"/>
      <c r="AZ1816" s="16"/>
      <c r="BC1816" s="16"/>
      <c r="BD1816" s="20"/>
      <c r="BE1816" s="17"/>
      <c r="BF1816" s="20"/>
      <c r="BG1816" s="146"/>
      <c r="BH1816" s="146"/>
      <c r="BI1816" s="146"/>
      <c r="BJ1816" s="20"/>
      <c r="BK1816" s="20"/>
      <c r="BL1816" s="154"/>
      <c r="BP1816" s="20"/>
      <c r="BQ1816" s="154"/>
      <c r="BR1816" s="18"/>
      <c r="BS1816" s="16"/>
      <c r="BT1816" s="18"/>
      <c r="BU1816" s="18"/>
      <c r="BV1816" s="18"/>
      <c r="BW1816" s="20"/>
      <c r="BX1816" s="154"/>
      <c r="BY1816" s="18"/>
      <c r="BZ1816" s="146"/>
      <c r="CA1816" s="18"/>
      <c r="CB1816" s="18"/>
      <c r="CC1816" s="20"/>
      <c r="CD1816" s="154"/>
    </row>
    <row r="1817" spans="35:82">
      <c r="AI1817" s="19"/>
      <c r="AO1817" s="19"/>
      <c r="AY1817" s="145"/>
      <c r="AZ1817" s="16"/>
      <c r="BC1817" s="16"/>
      <c r="BD1817" s="20"/>
      <c r="BE1817" s="17"/>
      <c r="BF1817" s="20"/>
      <c r="BG1817" s="146"/>
      <c r="BH1817" s="146"/>
      <c r="BI1817" s="146"/>
      <c r="BJ1817" s="20"/>
      <c r="BK1817" s="20"/>
      <c r="BL1817" s="154"/>
      <c r="BP1817" s="20"/>
      <c r="BQ1817" s="154"/>
      <c r="BR1817" s="18"/>
      <c r="BS1817" s="16"/>
      <c r="BT1817" s="18"/>
      <c r="BU1817" s="18"/>
      <c r="BV1817" s="18"/>
      <c r="BW1817" s="20"/>
      <c r="BX1817" s="154"/>
      <c r="BY1817" s="18"/>
      <c r="BZ1817" s="146"/>
      <c r="CA1817" s="18"/>
      <c r="CB1817" s="18"/>
      <c r="CC1817" s="20"/>
      <c r="CD1817" s="154"/>
    </row>
    <row r="1818" spans="35:82">
      <c r="AI1818" s="19"/>
      <c r="AO1818" s="19"/>
      <c r="AY1818" s="145"/>
      <c r="AZ1818" s="16"/>
      <c r="BC1818" s="16"/>
      <c r="BD1818" s="20"/>
      <c r="BE1818" s="17"/>
      <c r="BF1818" s="20"/>
      <c r="BG1818" s="146"/>
      <c r="BH1818" s="146"/>
      <c r="BI1818" s="146"/>
      <c r="BJ1818" s="20"/>
      <c r="BK1818" s="20"/>
      <c r="BL1818" s="154"/>
      <c r="BP1818" s="20"/>
      <c r="BQ1818" s="154"/>
      <c r="BR1818" s="18"/>
      <c r="BS1818" s="16"/>
      <c r="BT1818" s="18"/>
      <c r="BU1818" s="18"/>
      <c r="BV1818" s="18"/>
      <c r="BW1818" s="20"/>
      <c r="BX1818" s="154"/>
      <c r="BY1818" s="18"/>
      <c r="BZ1818" s="146"/>
      <c r="CA1818" s="18"/>
      <c r="CB1818" s="18"/>
      <c r="CC1818" s="20"/>
      <c r="CD1818" s="154"/>
    </row>
    <row r="1819" spans="35:82">
      <c r="AI1819" s="19"/>
      <c r="AO1819" s="19"/>
      <c r="AY1819" s="145"/>
      <c r="AZ1819" s="16"/>
      <c r="BC1819" s="16"/>
      <c r="BD1819" s="20"/>
      <c r="BE1819" s="17"/>
      <c r="BF1819" s="20"/>
      <c r="BG1819" s="146"/>
      <c r="BH1819" s="146"/>
      <c r="BI1819" s="146"/>
      <c r="BJ1819" s="20"/>
      <c r="BK1819" s="20"/>
      <c r="BL1819" s="154"/>
      <c r="BP1819" s="20"/>
      <c r="BQ1819" s="154"/>
      <c r="BR1819" s="18"/>
      <c r="BS1819" s="16"/>
      <c r="BT1819" s="18"/>
      <c r="BU1819" s="18"/>
      <c r="BV1819" s="18"/>
      <c r="BW1819" s="20"/>
      <c r="BX1819" s="154"/>
      <c r="BY1819" s="18"/>
      <c r="BZ1819" s="146"/>
      <c r="CA1819" s="18"/>
      <c r="CB1819" s="18"/>
      <c r="CC1819" s="20"/>
      <c r="CD1819" s="154"/>
    </row>
    <row r="1820" spans="35:82">
      <c r="AI1820" s="19"/>
      <c r="AO1820" s="19"/>
      <c r="AY1820" s="145"/>
      <c r="AZ1820" s="16"/>
      <c r="BC1820" s="16"/>
      <c r="BD1820" s="20"/>
      <c r="BE1820" s="17"/>
      <c r="BF1820" s="20"/>
      <c r="BG1820" s="146"/>
      <c r="BH1820" s="146"/>
      <c r="BI1820" s="146"/>
      <c r="BJ1820" s="20"/>
      <c r="BK1820" s="20"/>
      <c r="BL1820" s="154"/>
      <c r="BP1820" s="20"/>
      <c r="BQ1820" s="154"/>
      <c r="BR1820" s="18"/>
      <c r="BS1820" s="16"/>
      <c r="BT1820" s="18"/>
      <c r="BU1820" s="18"/>
      <c r="BV1820" s="18"/>
      <c r="BW1820" s="20"/>
      <c r="BX1820" s="154"/>
      <c r="BY1820" s="18"/>
      <c r="BZ1820" s="146"/>
      <c r="CA1820" s="18"/>
      <c r="CB1820" s="18"/>
      <c r="CC1820" s="20"/>
      <c r="CD1820" s="154"/>
    </row>
    <row r="1821" spans="35:82">
      <c r="AI1821" s="19"/>
      <c r="AO1821" s="19"/>
      <c r="AY1821" s="145"/>
      <c r="AZ1821" s="16"/>
      <c r="BC1821" s="16"/>
      <c r="BD1821" s="20"/>
      <c r="BE1821" s="17"/>
      <c r="BF1821" s="20"/>
      <c r="BG1821" s="146"/>
      <c r="BH1821" s="146"/>
      <c r="BI1821" s="146"/>
      <c r="BJ1821" s="20"/>
      <c r="BK1821" s="20"/>
      <c r="BL1821" s="154"/>
      <c r="BP1821" s="20"/>
      <c r="BQ1821" s="154"/>
      <c r="BR1821" s="18"/>
      <c r="BS1821" s="16"/>
      <c r="BT1821" s="18"/>
      <c r="BU1821" s="18"/>
      <c r="BV1821" s="18"/>
      <c r="BW1821" s="20"/>
      <c r="BX1821" s="154"/>
      <c r="BY1821" s="18"/>
      <c r="BZ1821" s="146"/>
      <c r="CA1821" s="18"/>
      <c r="CB1821" s="18"/>
      <c r="CC1821" s="20"/>
      <c r="CD1821" s="154"/>
    </row>
    <row r="1822" spans="35:82">
      <c r="AI1822" s="19"/>
      <c r="AO1822" s="19"/>
      <c r="AY1822" s="145"/>
      <c r="AZ1822" s="16"/>
      <c r="BC1822" s="16"/>
      <c r="BD1822" s="20"/>
      <c r="BE1822" s="17"/>
      <c r="BF1822" s="20"/>
      <c r="BG1822" s="146"/>
      <c r="BH1822" s="146"/>
      <c r="BI1822" s="146"/>
      <c r="BJ1822" s="20"/>
      <c r="BK1822" s="20"/>
      <c r="BL1822" s="154"/>
      <c r="BP1822" s="20"/>
      <c r="BQ1822" s="154"/>
      <c r="BR1822" s="18"/>
      <c r="BS1822" s="16"/>
      <c r="BT1822" s="18"/>
      <c r="BU1822" s="18"/>
      <c r="BV1822" s="18"/>
      <c r="BW1822" s="20"/>
      <c r="BX1822" s="154"/>
      <c r="BY1822" s="18"/>
      <c r="BZ1822" s="146"/>
      <c r="CA1822" s="18"/>
      <c r="CB1822" s="18"/>
      <c r="CC1822" s="20"/>
      <c r="CD1822" s="154"/>
    </row>
    <row r="1823" spans="35:82">
      <c r="AI1823" s="19"/>
      <c r="AO1823" s="19"/>
      <c r="AY1823" s="145"/>
      <c r="AZ1823" s="16"/>
      <c r="BC1823" s="16"/>
      <c r="BD1823" s="20"/>
      <c r="BE1823" s="17"/>
      <c r="BF1823" s="20"/>
      <c r="BG1823" s="146"/>
      <c r="BH1823" s="146"/>
      <c r="BI1823" s="146"/>
      <c r="BJ1823" s="20"/>
      <c r="BK1823" s="20"/>
      <c r="BL1823" s="154"/>
      <c r="BP1823" s="20"/>
      <c r="BQ1823" s="154"/>
      <c r="BR1823" s="18"/>
      <c r="BS1823" s="16"/>
      <c r="BT1823" s="18"/>
      <c r="BU1823" s="18"/>
      <c r="BV1823" s="18"/>
      <c r="BW1823" s="20"/>
      <c r="BX1823" s="154"/>
      <c r="BY1823" s="18"/>
      <c r="BZ1823" s="146"/>
      <c r="CA1823" s="18"/>
      <c r="CB1823" s="18"/>
      <c r="CC1823" s="20"/>
      <c r="CD1823" s="154"/>
    </row>
    <row r="1824" spans="35:82">
      <c r="AI1824" s="19"/>
      <c r="AO1824" s="19"/>
      <c r="AY1824" s="145"/>
      <c r="AZ1824" s="16"/>
      <c r="BC1824" s="16"/>
      <c r="BD1824" s="20"/>
      <c r="BE1824" s="17"/>
      <c r="BF1824" s="20"/>
      <c r="BG1824" s="146"/>
      <c r="BH1824" s="146"/>
      <c r="BI1824" s="146"/>
      <c r="BJ1824" s="20"/>
      <c r="BK1824" s="20"/>
      <c r="BL1824" s="154"/>
      <c r="BP1824" s="20"/>
      <c r="BQ1824" s="154"/>
      <c r="BR1824" s="18"/>
      <c r="BS1824" s="16"/>
      <c r="BT1824" s="18"/>
      <c r="BU1824" s="18"/>
      <c r="BV1824" s="18"/>
      <c r="BW1824" s="20"/>
      <c r="BX1824" s="154"/>
      <c r="BY1824" s="18"/>
      <c r="BZ1824" s="146"/>
      <c r="CA1824" s="18"/>
      <c r="CB1824" s="18"/>
      <c r="CC1824" s="20"/>
      <c r="CD1824" s="154"/>
    </row>
    <row r="1825" spans="35:82">
      <c r="AI1825" s="19"/>
      <c r="AO1825" s="19"/>
      <c r="AY1825" s="145"/>
      <c r="AZ1825" s="16"/>
      <c r="BC1825" s="16"/>
      <c r="BD1825" s="20"/>
      <c r="BE1825" s="17"/>
      <c r="BF1825" s="20"/>
      <c r="BG1825" s="146"/>
      <c r="BH1825" s="146"/>
      <c r="BI1825" s="146"/>
      <c r="BJ1825" s="20"/>
      <c r="BK1825" s="20"/>
      <c r="BL1825" s="154"/>
      <c r="BP1825" s="20"/>
      <c r="BQ1825" s="154"/>
      <c r="BR1825" s="18"/>
      <c r="BS1825" s="16"/>
      <c r="BT1825" s="18"/>
      <c r="BU1825" s="18"/>
      <c r="BV1825" s="18"/>
      <c r="BW1825" s="20"/>
      <c r="BX1825" s="154"/>
      <c r="BY1825" s="18"/>
      <c r="BZ1825" s="146"/>
      <c r="CA1825" s="18"/>
      <c r="CB1825" s="18"/>
      <c r="CC1825" s="20"/>
      <c r="CD1825" s="154"/>
    </row>
    <row r="1826" spans="35:82">
      <c r="AI1826" s="19"/>
      <c r="AO1826" s="19"/>
      <c r="AY1826" s="145"/>
      <c r="AZ1826" s="16"/>
      <c r="BC1826" s="16"/>
      <c r="BD1826" s="20"/>
      <c r="BE1826" s="17"/>
      <c r="BF1826" s="20"/>
      <c r="BG1826" s="146"/>
      <c r="BH1826" s="146"/>
      <c r="BI1826" s="146"/>
      <c r="BJ1826" s="20"/>
      <c r="BK1826" s="20"/>
      <c r="BL1826" s="154"/>
      <c r="BP1826" s="20"/>
      <c r="BQ1826" s="154"/>
      <c r="BR1826" s="18"/>
      <c r="BS1826" s="16"/>
      <c r="BT1826" s="18"/>
      <c r="BU1826" s="18"/>
      <c r="BV1826" s="18"/>
      <c r="BW1826" s="20"/>
      <c r="BX1826" s="154"/>
      <c r="BY1826" s="18"/>
      <c r="BZ1826" s="146"/>
      <c r="CA1826" s="18"/>
      <c r="CB1826" s="18"/>
      <c r="CC1826" s="20"/>
      <c r="CD1826" s="154"/>
    </row>
    <row r="1827" spans="35:82">
      <c r="AI1827" s="19"/>
      <c r="AO1827" s="19"/>
      <c r="AY1827" s="145"/>
      <c r="AZ1827" s="16"/>
      <c r="BC1827" s="16"/>
      <c r="BD1827" s="20"/>
      <c r="BE1827" s="17"/>
      <c r="BF1827" s="20"/>
      <c r="BG1827" s="146"/>
      <c r="BH1827" s="146"/>
      <c r="BI1827" s="146"/>
      <c r="BJ1827" s="20"/>
      <c r="BK1827" s="20"/>
      <c r="BL1827" s="154"/>
      <c r="BP1827" s="20"/>
      <c r="BQ1827" s="154"/>
      <c r="BR1827" s="18"/>
      <c r="BS1827" s="16"/>
      <c r="BT1827" s="18"/>
      <c r="BU1827" s="18"/>
      <c r="BV1827" s="18"/>
      <c r="BW1827" s="20"/>
      <c r="BX1827" s="154"/>
      <c r="BY1827" s="18"/>
      <c r="BZ1827" s="146"/>
      <c r="CA1827" s="18"/>
      <c r="CB1827" s="18"/>
      <c r="CC1827" s="20"/>
      <c r="CD1827" s="154"/>
    </row>
    <row r="1828" spans="35:82">
      <c r="AI1828" s="19"/>
      <c r="AO1828" s="19"/>
      <c r="AY1828" s="145"/>
      <c r="AZ1828" s="16"/>
      <c r="BC1828" s="16"/>
      <c r="BD1828" s="20"/>
      <c r="BE1828" s="17"/>
      <c r="BF1828" s="20"/>
      <c r="BG1828" s="146"/>
      <c r="BH1828" s="146"/>
      <c r="BI1828" s="146"/>
      <c r="BJ1828" s="20"/>
      <c r="BK1828" s="20"/>
      <c r="BL1828" s="154"/>
      <c r="BP1828" s="20"/>
      <c r="BQ1828" s="154"/>
      <c r="BR1828" s="18"/>
      <c r="BS1828" s="16"/>
      <c r="BT1828" s="18"/>
      <c r="BU1828" s="18"/>
      <c r="BV1828" s="18"/>
      <c r="BW1828" s="20"/>
      <c r="BX1828" s="154"/>
      <c r="BY1828" s="18"/>
      <c r="BZ1828" s="146"/>
      <c r="CA1828" s="18"/>
      <c r="CB1828" s="18"/>
      <c r="CC1828" s="20"/>
      <c r="CD1828" s="154"/>
    </row>
    <row r="1829" spans="35:82">
      <c r="AI1829" s="19"/>
      <c r="AO1829" s="19"/>
      <c r="AY1829" s="145"/>
      <c r="AZ1829" s="16"/>
      <c r="BC1829" s="16"/>
      <c r="BD1829" s="20"/>
      <c r="BE1829" s="17"/>
      <c r="BF1829" s="20"/>
      <c r="BG1829" s="146"/>
      <c r="BH1829" s="146"/>
      <c r="BI1829" s="146"/>
      <c r="BJ1829" s="20"/>
      <c r="BK1829" s="20"/>
      <c r="BL1829" s="154"/>
      <c r="BP1829" s="20"/>
      <c r="BQ1829" s="154"/>
      <c r="BR1829" s="18"/>
      <c r="BS1829" s="16"/>
      <c r="BT1829" s="18"/>
      <c r="BU1829" s="18"/>
      <c r="BV1829" s="18"/>
      <c r="BW1829" s="20"/>
      <c r="BX1829" s="154"/>
      <c r="BY1829" s="18"/>
      <c r="BZ1829" s="146"/>
      <c r="CA1829" s="18"/>
      <c r="CB1829" s="18"/>
      <c r="CC1829" s="20"/>
      <c r="CD1829" s="154"/>
    </row>
    <row r="1830" spans="35:82">
      <c r="AI1830" s="19"/>
      <c r="AO1830" s="19"/>
      <c r="AY1830" s="145"/>
      <c r="AZ1830" s="16"/>
      <c r="BC1830" s="16"/>
      <c r="BD1830" s="20"/>
      <c r="BE1830" s="17"/>
      <c r="BF1830" s="20"/>
      <c r="BG1830" s="146"/>
      <c r="BH1830" s="146"/>
      <c r="BI1830" s="146"/>
      <c r="BJ1830" s="20"/>
      <c r="BK1830" s="20"/>
      <c r="BL1830" s="154"/>
      <c r="BP1830" s="20"/>
      <c r="BQ1830" s="154"/>
      <c r="BR1830" s="18"/>
      <c r="BS1830" s="16"/>
      <c r="BT1830" s="18"/>
      <c r="BU1830" s="18"/>
      <c r="BV1830" s="18"/>
      <c r="BW1830" s="20"/>
      <c r="BX1830" s="154"/>
      <c r="BY1830" s="18"/>
      <c r="BZ1830" s="146"/>
      <c r="CA1830" s="18"/>
      <c r="CB1830" s="18"/>
      <c r="CC1830" s="20"/>
      <c r="CD1830" s="154"/>
    </row>
    <row r="1831" spans="35:82">
      <c r="AI1831" s="19"/>
      <c r="AO1831" s="19"/>
      <c r="AY1831" s="145"/>
      <c r="AZ1831" s="16"/>
      <c r="BC1831" s="16"/>
      <c r="BD1831" s="20"/>
      <c r="BE1831" s="17"/>
      <c r="BF1831" s="20"/>
      <c r="BG1831" s="146"/>
      <c r="BH1831" s="146"/>
      <c r="BI1831" s="146"/>
      <c r="BJ1831" s="20"/>
      <c r="BK1831" s="20"/>
      <c r="BL1831" s="154"/>
      <c r="BP1831" s="20"/>
      <c r="BQ1831" s="154"/>
      <c r="BR1831" s="18"/>
      <c r="BS1831" s="16"/>
      <c r="BT1831" s="18"/>
      <c r="BU1831" s="18"/>
      <c r="BV1831" s="18"/>
      <c r="BW1831" s="20"/>
      <c r="BX1831" s="154"/>
      <c r="BY1831" s="18"/>
      <c r="BZ1831" s="146"/>
      <c r="CA1831" s="18"/>
      <c r="CB1831" s="18"/>
      <c r="CC1831" s="20"/>
      <c r="CD1831" s="154"/>
    </row>
    <row r="1832" spans="35:82">
      <c r="AI1832" s="19"/>
      <c r="AO1832" s="19"/>
      <c r="AY1832" s="145"/>
      <c r="AZ1832" s="16"/>
      <c r="BC1832" s="16"/>
      <c r="BD1832" s="20"/>
      <c r="BE1832" s="17"/>
      <c r="BF1832" s="20"/>
      <c r="BG1832" s="146"/>
      <c r="BH1832" s="146"/>
      <c r="BI1832" s="146"/>
      <c r="BJ1832" s="20"/>
      <c r="BK1832" s="20"/>
      <c r="BL1832" s="154"/>
      <c r="BP1832" s="20"/>
      <c r="BQ1832" s="154"/>
      <c r="BR1832" s="18"/>
      <c r="BS1832" s="16"/>
      <c r="BT1832" s="18"/>
      <c r="BU1832" s="18"/>
      <c r="BV1832" s="18"/>
      <c r="BW1832" s="20"/>
      <c r="BX1832" s="154"/>
      <c r="BY1832" s="18"/>
      <c r="BZ1832" s="146"/>
      <c r="CA1832" s="18"/>
      <c r="CB1832" s="18"/>
      <c r="CC1832" s="20"/>
      <c r="CD1832" s="154"/>
    </row>
    <row r="1833" spans="35:82">
      <c r="AI1833" s="19"/>
      <c r="AO1833" s="19"/>
      <c r="AY1833" s="145"/>
      <c r="AZ1833" s="16"/>
      <c r="BC1833" s="16"/>
      <c r="BD1833" s="20"/>
      <c r="BE1833" s="17"/>
      <c r="BF1833" s="20"/>
      <c r="BG1833" s="146"/>
      <c r="BH1833" s="146"/>
      <c r="BI1833" s="146"/>
      <c r="BJ1833" s="20"/>
      <c r="BK1833" s="20"/>
      <c r="BL1833" s="154"/>
      <c r="BP1833" s="20"/>
      <c r="BQ1833" s="154"/>
      <c r="BR1833" s="18"/>
      <c r="BS1833" s="16"/>
      <c r="BT1833" s="18"/>
      <c r="BU1833" s="18"/>
      <c r="BV1833" s="18"/>
      <c r="BW1833" s="20"/>
      <c r="BX1833" s="154"/>
      <c r="BY1833" s="18"/>
      <c r="BZ1833" s="146"/>
      <c r="CA1833" s="18"/>
      <c r="CB1833" s="18"/>
      <c r="CC1833" s="20"/>
      <c r="CD1833" s="154"/>
    </row>
    <row r="1834" spans="35:82">
      <c r="AI1834" s="19"/>
      <c r="AO1834" s="19"/>
      <c r="AY1834" s="145"/>
      <c r="AZ1834" s="16"/>
      <c r="BC1834" s="16"/>
      <c r="BD1834" s="20"/>
      <c r="BE1834" s="17"/>
      <c r="BF1834" s="20"/>
      <c r="BG1834" s="146"/>
      <c r="BH1834" s="146"/>
      <c r="BI1834" s="146"/>
      <c r="BJ1834" s="20"/>
      <c r="BK1834" s="20"/>
      <c r="BL1834" s="154"/>
      <c r="BP1834" s="20"/>
      <c r="BQ1834" s="154"/>
      <c r="BR1834" s="18"/>
      <c r="BS1834" s="16"/>
      <c r="BT1834" s="18"/>
      <c r="BU1834" s="18"/>
      <c r="BV1834" s="18"/>
      <c r="BW1834" s="20"/>
      <c r="BX1834" s="154"/>
      <c r="BY1834" s="18"/>
      <c r="BZ1834" s="146"/>
      <c r="CA1834" s="18"/>
      <c r="CB1834" s="18"/>
      <c r="CC1834" s="20"/>
      <c r="CD1834" s="154"/>
    </row>
    <row r="1835" spans="35:82">
      <c r="AI1835" s="19"/>
      <c r="AO1835" s="19"/>
      <c r="AY1835" s="145"/>
      <c r="AZ1835" s="16"/>
      <c r="BC1835" s="16"/>
      <c r="BD1835" s="20"/>
      <c r="BE1835" s="17"/>
      <c r="BF1835" s="20"/>
      <c r="BG1835" s="146"/>
      <c r="BH1835" s="146"/>
      <c r="BI1835" s="146"/>
      <c r="BJ1835" s="20"/>
      <c r="BK1835" s="20"/>
      <c r="BL1835" s="154"/>
      <c r="BP1835" s="20"/>
      <c r="BQ1835" s="154"/>
      <c r="BR1835" s="18"/>
      <c r="BS1835" s="16"/>
      <c r="BT1835" s="18"/>
      <c r="BU1835" s="18"/>
      <c r="BV1835" s="18"/>
      <c r="BW1835" s="20"/>
      <c r="BX1835" s="154"/>
      <c r="BY1835" s="18"/>
      <c r="BZ1835" s="146"/>
      <c r="CA1835" s="18"/>
      <c r="CB1835" s="18"/>
      <c r="CC1835" s="20"/>
      <c r="CD1835" s="154"/>
    </row>
    <row r="1836" spans="35:82">
      <c r="AI1836" s="19"/>
      <c r="AO1836" s="19"/>
      <c r="AY1836" s="145"/>
      <c r="AZ1836" s="16"/>
      <c r="BC1836" s="16"/>
      <c r="BD1836" s="20"/>
      <c r="BE1836" s="17"/>
      <c r="BF1836" s="20"/>
      <c r="BG1836" s="146"/>
      <c r="BH1836" s="146"/>
      <c r="BI1836" s="146"/>
      <c r="BJ1836" s="20"/>
      <c r="BK1836" s="20"/>
      <c r="BL1836" s="154"/>
      <c r="BP1836" s="20"/>
      <c r="BQ1836" s="154"/>
      <c r="BR1836" s="18"/>
      <c r="BS1836" s="16"/>
      <c r="BT1836" s="18"/>
      <c r="BU1836" s="18"/>
      <c r="BV1836" s="18"/>
      <c r="BW1836" s="20"/>
      <c r="BX1836" s="154"/>
      <c r="BY1836" s="18"/>
      <c r="BZ1836" s="146"/>
      <c r="CA1836" s="18"/>
      <c r="CB1836" s="18"/>
      <c r="CC1836" s="20"/>
      <c r="CD1836" s="154"/>
    </row>
    <row r="1837" spans="35:82">
      <c r="AI1837" s="19"/>
      <c r="AO1837" s="19"/>
      <c r="AY1837" s="145"/>
      <c r="AZ1837" s="16"/>
      <c r="BC1837" s="16"/>
      <c r="BD1837" s="20"/>
      <c r="BE1837" s="17"/>
      <c r="BF1837" s="20"/>
      <c r="BG1837" s="146"/>
      <c r="BH1837" s="146"/>
      <c r="BI1837" s="146"/>
      <c r="BJ1837" s="20"/>
      <c r="BK1837" s="20"/>
      <c r="BL1837" s="154"/>
      <c r="BP1837" s="20"/>
      <c r="BQ1837" s="154"/>
      <c r="BR1837" s="18"/>
      <c r="BS1837" s="16"/>
      <c r="BT1837" s="18"/>
      <c r="BU1837" s="18"/>
      <c r="BV1837" s="18"/>
      <c r="BW1837" s="20"/>
      <c r="BX1837" s="154"/>
      <c r="BY1837" s="18"/>
      <c r="BZ1837" s="146"/>
      <c r="CA1837" s="18"/>
      <c r="CB1837" s="18"/>
      <c r="CC1837" s="20"/>
      <c r="CD1837" s="154"/>
    </row>
    <row r="1838" spans="35:82">
      <c r="AI1838" s="19"/>
      <c r="AO1838" s="19"/>
      <c r="AY1838" s="145"/>
      <c r="AZ1838" s="16"/>
      <c r="BC1838" s="16"/>
      <c r="BD1838" s="20"/>
      <c r="BE1838" s="17"/>
      <c r="BF1838" s="20"/>
      <c r="BG1838" s="146"/>
      <c r="BH1838" s="146"/>
      <c r="BI1838" s="146"/>
      <c r="BJ1838" s="20"/>
      <c r="BK1838" s="20"/>
      <c r="BL1838" s="154"/>
      <c r="BP1838" s="20"/>
      <c r="BQ1838" s="154"/>
      <c r="BR1838" s="18"/>
      <c r="BS1838" s="16"/>
      <c r="BT1838" s="18"/>
      <c r="BU1838" s="18"/>
      <c r="BV1838" s="18"/>
      <c r="BW1838" s="20"/>
      <c r="BX1838" s="154"/>
      <c r="BY1838" s="18"/>
      <c r="BZ1838" s="146"/>
      <c r="CA1838" s="18"/>
      <c r="CB1838" s="18"/>
      <c r="CC1838" s="20"/>
      <c r="CD1838" s="154"/>
    </row>
    <row r="1839" spans="35:82">
      <c r="AI1839" s="19"/>
      <c r="AO1839" s="19"/>
      <c r="AY1839" s="145"/>
      <c r="AZ1839" s="16"/>
      <c r="BC1839" s="16"/>
      <c r="BD1839" s="20"/>
      <c r="BE1839" s="17"/>
      <c r="BF1839" s="20"/>
      <c r="BG1839" s="146"/>
      <c r="BH1839" s="146"/>
      <c r="BI1839" s="146"/>
      <c r="BJ1839" s="20"/>
      <c r="BK1839" s="20"/>
      <c r="BL1839" s="154"/>
      <c r="BP1839" s="20"/>
      <c r="BQ1839" s="154"/>
      <c r="BR1839" s="18"/>
      <c r="BS1839" s="16"/>
      <c r="BT1839" s="18"/>
      <c r="BU1839" s="18"/>
      <c r="BV1839" s="18"/>
      <c r="BW1839" s="20"/>
      <c r="BX1839" s="154"/>
      <c r="BY1839" s="18"/>
      <c r="BZ1839" s="146"/>
      <c r="CA1839" s="18"/>
      <c r="CB1839" s="18"/>
      <c r="CC1839" s="20"/>
      <c r="CD1839" s="154"/>
    </row>
    <row r="1840" spans="35:82">
      <c r="AI1840" s="19"/>
      <c r="AO1840" s="19"/>
      <c r="AY1840" s="145"/>
      <c r="AZ1840" s="16"/>
      <c r="BC1840" s="16"/>
      <c r="BD1840" s="20"/>
      <c r="BE1840" s="17"/>
      <c r="BF1840" s="20"/>
      <c r="BG1840" s="146"/>
      <c r="BH1840" s="146"/>
      <c r="BI1840" s="146"/>
      <c r="BJ1840" s="20"/>
      <c r="BK1840" s="20"/>
      <c r="BL1840" s="154"/>
      <c r="BP1840" s="20"/>
      <c r="BQ1840" s="154"/>
      <c r="BR1840" s="18"/>
      <c r="BS1840" s="16"/>
      <c r="BT1840" s="18"/>
      <c r="BU1840" s="18"/>
      <c r="BV1840" s="18"/>
      <c r="BW1840" s="20"/>
      <c r="BX1840" s="154"/>
      <c r="BY1840" s="18"/>
      <c r="BZ1840" s="146"/>
      <c r="CA1840" s="18"/>
      <c r="CB1840" s="18"/>
      <c r="CC1840" s="20"/>
      <c r="CD1840" s="154"/>
    </row>
    <row r="1841" spans="35:82">
      <c r="AI1841" s="19"/>
      <c r="AO1841" s="19"/>
      <c r="AY1841" s="145"/>
      <c r="AZ1841" s="16"/>
      <c r="BC1841" s="16"/>
      <c r="BD1841" s="20"/>
      <c r="BE1841" s="17"/>
      <c r="BF1841" s="20"/>
      <c r="BG1841" s="146"/>
      <c r="BH1841" s="146"/>
      <c r="BI1841" s="146"/>
      <c r="BJ1841" s="20"/>
      <c r="BK1841" s="20"/>
      <c r="BL1841" s="154"/>
      <c r="BP1841" s="20"/>
      <c r="BQ1841" s="154"/>
      <c r="BR1841" s="18"/>
      <c r="BS1841" s="16"/>
      <c r="BT1841" s="18"/>
      <c r="BU1841" s="18"/>
      <c r="BV1841" s="18"/>
      <c r="BW1841" s="20"/>
      <c r="BX1841" s="154"/>
      <c r="BY1841" s="18"/>
      <c r="BZ1841" s="146"/>
      <c r="CA1841" s="18"/>
      <c r="CB1841" s="18"/>
      <c r="CC1841" s="20"/>
      <c r="CD1841" s="154"/>
    </row>
    <row r="1842" spans="35:82">
      <c r="AI1842" s="19"/>
      <c r="AO1842" s="19"/>
      <c r="AY1842" s="145"/>
      <c r="AZ1842" s="16"/>
      <c r="BC1842" s="16"/>
      <c r="BD1842" s="20"/>
      <c r="BE1842" s="17"/>
      <c r="BF1842" s="20"/>
      <c r="BG1842" s="146"/>
      <c r="BH1842" s="146"/>
      <c r="BI1842" s="146"/>
      <c r="BJ1842" s="20"/>
      <c r="BK1842" s="20"/>
      <c r="BL1842" s="154"/>
      <c r="BP1842" s="20"/>
      <c r="BQ1842" s="154"/>
      <c r="BR1842" s="18"/>
      <c r="BS1842" s="16"/>
      <c r="BT1842" s="18"/>
      <c r="BU1842" s="18"/>
      <c r="BV1842" s="18"/>
      <c r="BW1842" s="20"/>
      <c r="BX1842" s="154"/>
      <c r="BY1842" s="18"/>
      <c r="BZ1842" s="146"/>
      <c r="CA1842" s="18"/>
      <c r="CB1842" s="18"/>
      <c r="CC1842" s="20"/>
      <c r="CD1842" s="154"/>
    </row>
    <row r="1843" spans="35:82">
      <c r="AI1843" s="19"/>
      <c r="AO1843" s="19"/>
      <c r="AY1843" s="145"/>
      <c r="AZ1843" s="16"/>
      <c r="BC1843" s="16"/>
      <c r="BD1843" s="20"/>
      <c r="BE1843" s="17"/>
      <c r="BF1843" s="20"/>
      <c r="BG1843" s="146"/>
      <c r="BH1843" s="146"/>
      <c r="BI1843" s="146"/>
      <c r="BJ1843" s="20"/>
      <c r="BK1843" s="20"/>
      <c r="BL1843" s="154"/>
      <c r="BP1843" s="20"/>
      <c r="BQ1843" s="154"/>
      <c r="BR1843" s="18"/>
      <c r="BS1843" s="16"/>
      <c r="BT1843" s="18"/>
      <c r="BU1843" s="18"/>
      <c r="BV1843" s="18"/>
      <c r="BW1843" s="20"/>
      <c r="BX1843" s="154"/>
      <c r="BY1843" s="18"/>
      <c r="BZ1843" s="146"/>
      <c r="CA1843" s="18"/>
      <c r="CB1843" s="18"/>
      <c r="CC1843" s="20"/>
      <c r="CD1843" s="154"/>
    </row>
    <row r="1844" spans="35:82">
      <c r="AI1844" s="19"/>
      <c r="AO1844" s="19"/>
      <c r="AY1844" s="145"/>
      <c r="AZ1844" s="16"/>
      <c r="BC1844" s="16"/>
      <c r="BD1844" s="20"/>
      <c r="BE1844" s="17"/>
      <c r="BF1844" s="20"/>
      <c r="BG1844" s="146"/>
      <c r="BH1844" s="146"/>
      <c r="BI1844" s="146"/>
      <c r="BJ1844" s="20"/>
      <c r="BK1844" s="20"/>
      <c r="BL1844" s="154"/>
      <c r="BP1844" s="20"/>
      <c r="BQ1844" s="154"/>
      <c r="BR1844" s="18"/>
      <c r="BS1844" s="16"/>
      <c r="BT1844" s="18"/>
      <c r="BU1844" s="18"/>
      <c r="BV1844" s="18"/>
      <c r="BW1844" s="20"/>
      <c r="BX1844" s="154"/>
      <c r="BY1844" s="18"/>
      <c r="BZ1844" s="146"/>
      <c r="CA1844" s="18"/>
      <c r="CB1844" s="18"/>
      <c r="CC1844" s="20"/>
      <c r="CD1844" s="154"/>
    </row>
    <row r="1845" spans="35:82">
      <c r="AI1845" s="19"/>
      <c r="AO1845" s="19"/>
      <c r="AY1845" s="145"/>
      <c r="AZ1845" s="16"/>
      <c r="BC1845" s="16"/>
      <c r="BD1845" s="20"/>
      <c r="BE1845" s="17"/>
      <c r="BF1845" s="20"/>
      <c r="BG1845" s="146"/>
      <c r="BH1845" s="146"/>
      <c r="BI1845" s="146"/>
      <c r="BJ1845" s="20"/>
      <c r="BK1845" s="20"/>
      <c r="BL1845" s="154"/>
      <c r="BP1845" s="20"/>
      <c r="BQ1845" s="154"/>
      <c r="BR1845" s="18"/>
      <c r="BS1845" s="16"/>
      <c r="BT1845" s="18"/>
      <c r="BU1845" s="18"/>
      <c r="BV1845" s="18"/>
      <c r="BW1845" s="20"/>
      <c r="BX1845" s="154"/>
      <c r="BY1845" s="18"/>
      <c r="BZ1845" s="146"/>
      <c r="CA1845" s="18"/>
      <c r="CB1845" s="18"/>
      <c r="CC1845" s="20"/>
      <c r="CD1845" s="154"/>
    </row>
    <row r="1846" spans="35:82">
      <c r="AI1846" s="19"/>
      <c r="AO1846" s="19"/>
      <c r="AY1846" s="145"/>
      <c r="AZ1846" s="16"/>
      <c r="BC1846" s="16"/>
      <c r="BD1846" s="20"/>
      <c r="BE1846" s="17"/>
      <c r="BF1846" s="20"/>
      <c r="BG1846" s="146"/>
      <c r="BH1846" s="146"/>
      <c r="BI1846" s="146"/>
      <c r="BJ1846" s="20"/>
      <c r="BK1846" s="20"/>
      <c r="BL1846" s="154"/>
      <c r="BP1846" s="20"/>
      <c r="BQ1846" s="154"/>
      <c r="BR1846" s="18"/>
      <c r="BS1846" s="16"/>
      <c r="BT1846" s="18"/>
      <c r="BU1846" s="18"/>
      <c r="BV1846" s="18"/>
      <c r="BW1846" s="20"/>
      <c r="BX1846" s="154"/>
      <c r="BY1846" s="18"/>
      <c r="BZ1846" s="146"/>
      <c r="CA1846" s="18"/>
      <c r="CB1846" s="18"/>
      <c r="CC1846" s="20"/>
      <c r="CD1846" s="154"/>
    </row>
    <row r="1847" spans="35:82">
      <c r="AI1847" s="19"/>
      <c r="AO1847" s="19"/>
      <c r="AY1847" s="145"/>
      <c r="AZ1847" s="16"/>
      <c r="BC1847" s="16"/>
      <c r="BD1847" s="20"/>
      <c r="BE1847" s="17"/>
      <c r="BF1847" s="20"/>
      <c r="BG1847" s="146"/>
      <c r="BH1847" s="146"/>
      <c r="BI1847" s="146"/>
      <c r="BJ1847" s="20"/>
      <c r="BK1847" s="20"/>
      <c r="BL1847" s="154"/>
      <c r="BP1847" s="20"/>
      <c r="BQ1847" s="154"/>
      <c r="BR1847" s="18"/>
      <c r="BS1847" s="16"/>
      <c r="BT1847" s="18"/>
      <c r="BU1847" s="18"/>
      <c r="BV1847" s="18"/>
      <c r="BW1847" s="20"/>
      <c r="BX1847" s="154"/>
      <c r="BY1847" s="18"/>
      <c r="BZ1847" s="146"/>
      <c r="CA1847" s="18"/>
      <c r="CB1847" s="18"/>
      <c r="CC1847" s="20"/>
      <c r="CD1847" s="154"/>
    </row>
    <row r="1848" spans="35:82">
      <c r="AI1848" s="19"/>
      <c r="AO1848" s="19"/>
      <c r="AY1848" s="145"/>
      <c r="AZ1848" s="16"/>
      <c r="BC1848" s="16"/>
      <c r="BD1848" s="20"/>
      <c r="BE1848" s="17"/>
      <c r="BF1848" s="20"/>
      <c r="BG1848" s="146"/>
      <c r="BH1848" s="146"/>
      <c r="BI1848" s="146"/>
      <c r="BJ1848" s="20"/>
      <c r="BK1848" s="20"/>
      <c r="BL1848" s="154"/>
      <c r="BP1848" s="20"/>
      <c r="BQ1848" s="154"/>
      <c r="BR1848" s="18"/>
      <c r="BS1848" s="16"/>
      <c r="BT1848" s="18"/>
      <c r="BU1848" s="18"/>
      <c r="BV1848" s="18"/>
      <c r="BW1848" s="20"/>
      <c r="BX1848" s="154"/>
      <c r="BY1848" s="18"/>
      <c r="BZ1848" s="146"/>
      <c r="CA1848" s="18"/>
      <c r="CB1848" s="18"/>
      <c r="CC1848" s="20"/>
      <c r="CD1848" s="154"/>
    </row>
    <row r="1849" spans="35:82">
      <c r="AI1849" s="19"/>
      <c r="AO1849" s="19"/>
      <c r="AY1849" s="145"/>
      <c r="AZ1849" s="16"/>
      <c r="BC1849" s="16"/>
      <c r="BD1849" s="20"/>
      <c r="BE1849" s="17"/>
      <c r="BF1849" s="20"/>
      <c r="BG1849" s="146"/>
      <c r="BH1849" s="146"/>
      <c r="BI1849" s="146"/>
      <c r="BJ1849" s="20"/>
      <c r="BK1849" s="20"/>
      <c r="BL1849" s="154"/>
      <c r="BP1849" s="20"/>
      <c r="BQ1849" s="154"/>
      <c r="BR1849" s="18"/>
      <c r="BS1849" s="16"/>
      <c r="BT1849" s="18"/>
      <c r="BU1849" s="18"/>
      <c r="BV1849" s="18"/>
      <c r="BW1849" s="20"/>
      <c r="BX1849" s="154"/>
      <c r="BY1849" s="18"/>
      <c r="BZ1849" s="146"/>
      <c r="CA1849" s="18"/>
      <c r="CB1849" s="18"/>
      <c r="CC1849" s="20"/>
      <c r="CD1849" s="154"/>
    </row>
    <row r="1850" spans="35:82">
      <c r="AI1850" s="19"/>
      <c r="AO1850" s="19"/>
      <c r="AY1850" s="145"/>
      <c r="AZ1850" s="16"/>
      <c r="BC1850" s="16"/>
      <c r="BD1850" s="20"/>
      <c r="BE1850" s="17"/>
      <c r="BF1850" s="20"/>
      <c r="BG1850" s="146"/>
      <c r="BH1850" s="146"/>
      <c r="BI1850" s="146"/>
      <c r="BJ1850" s="20"/>
      <c r="BK1850" s="20"/>
      <c r="BL1850" s="154"/>
      <c r="BP1850" s="20"/>
      <c r="BQ1850" s="154"/>
      <c r="BR1850" s="18"/>
      <c r="BS1850" s="16"/>
      <c r="BT1850" s="18"/>
      <c r="BU1850" s="18"/>
      <c r="BV1850" s="18"/>
      <c r="BW1850" s="20"/>
      <c r="BX1850" s="154"/>
      <c r="BY1850" s="18"/>
      <c r="BZ1850" s="146"/>
      <c r="CA1850" s="18"/>
      <c r="CB1850" s="18"/>
      <c r="CC1850" s="20"/>
      <c r="CD1850" s="154"/>
    </row>
    <row r="1851" spans="35:82">
      <c r="AI1851" s="19"/>
      <c r="AO1851" s="19"/>
      <c r="AY1851" s="145"/>
      <c r="AZ1851" s="16"/>
      <c r="BC1851" s="16"/>
      <c r="BD1851" s="20"/>
      <c r="BE1851" s="17"/>
      <c r="BF1851" s="20"/>
      <c r="BG1851" s="146"/>
      <c r="BH1851" s="146"/>
      <c r="BI1851" s="146"/>
      <c r="BJ1851" s="20"/>
      <c r="BK1851" s="20"/>
      <c r="BL1851" s="154"/>
      <c r="BP1851" s="20"/>
      <c r="BQ1851" s="154"/>
      <c r="BR1851" s="18"/>
      <c r="BS1851" s="16"/>
      <c r="BT1851" s="18"/>
      <c r="BU1851" s="18"/>
      <c r="BV1851" s="18"/>
      <c r="BW1851" s="20"/>
      <c r="BX1851" s="154"/>
      <c r="BY1851" s="18"/>
      <c r="BZ1851" s="146"/>
      <c r="CA1851" s="18"/>
      <c r="CB1851" s="18"/>
      <c r="CC1851" s="20"/>
      <c r="CD1851" s="154"/>
    </row>
    <row r="1852" spans="35:82">
      <c r="AI1852" s="19"/>
      <c r="AO1852" s="19"/>
      <c r="AY1852" s="145"/>
      <c r="AZ1852" s="16"/>
      <c r="BC1852" s="16"/>
      <c r="BD1852" s="20"/>
      <c r="BE1852" s="17"/>
      <c r="BF1852" s="20"/>
      <c r="BG1852" s="146"/>
      <c r="BH1852" s="146"/>
      <c r="BI1852" s="146"/>
      <c r="BJ1852" s="20"/>
      <c r="BK1852" s="20"/>
      <c r="BL1852" s="154"/>
      <c r="BP1852" s="20"/>
      <c r="BQ1852" s="154"/>
      <c r="BR1852" s="18"/>
      <c r="BS1852" s="16"/>
      <c r="BT1852" s="18"/>
      <c r="BU1852" s="18"/>
      <c r="BV1852" s="18"/>
      <c r="BW1852" s="20"/>
      <c r="BX1852" s="154"/>
      <c r="BY1852" s="18"/>
      <c r="BZ1852" s="146"/>
      <c r="CA1852" s="18"/>
      <c r="CB1852" s="18"/>
      <c r="CC1852" s="20"/>
      <c r="CD1852" s="154"/>
    </row>
    <row r="1853" spans="35:82">
      <c r="AI1853" s="19"/>
      <c r="AO1853" s="19"/>
      <c r="AY1853" s="145"/>
      <c r="AZ1853" s="16"/>
      <c r="BC1853" s="16"/>
      <c r="BD1853" s="20"/>
      <c r="BE1853" s="17"/>
      <c r="BF1853" s="20"/>
      <c r="BG1853" s="146"/>
      <c r="BH1853" s="146"/>
      <c r="BI1853" s="146"/>
      <c r="BJ1853" s="20"/>
      <c r="BK1853" s="20"/>
      <c r="BL1853" s="154"/>
      <c r="BP1853" s="20"/>
      <c r="BQ1853" s="154"/>
      <c r="BR1853" s="18"/>
      <c r="BS1853" s="16"/>
      <c r="BT1853" s="18"/>
      <c r="BU1853" s="18"/>
      <c r="BV1853" s="18"/>
      <c r="BW1853" s="20"/>
      <c r="BX1853" s="154"/>
      <c r="BY1853" s="18"/>
      <c r="BZ1853" s="146"/>
      <c r="CA1853" s="18"/>
      <c r="CB1853" s="18"/>
      <c r="CC1853" s="20"/>
      <c r="CD1853" s="154"/>
    </row>
    <row r="1854" spans="35:82">
      <c r="AI1854" s="19"/>
      <c r="AO1854" s="19"/>
      <c r="AY1854" s="145"/>
      <c r="AZ1854" s="16"/>
      <c r="BC1854" s="16"/>
      <c r="BD1854" s="20"/>
      <c r="BE1854" s="17"/>
      <c r="BF1854" s="20"/>
      <c r="BG1854" s="146"/>
      <c r="BH1854" s="146"/>
      <c r="BI1854" s="146"/>
      <c r="BJ1854" s="20"/>
      <c r="BK1854" s="20"/>
      <c r="BL1854" s="154"/>
      <c r="BP1854" s="20"/>
      <c r="BQ1854" s="154"/>
      <c r="BR1854" s="18"/>
      <c r="BS1854" s="16"/>
      <c r="BT1854" s="18"/>
      <c r="BU1854" s="18"/>
      <c r="BV1854" s="18"/>
      <c r="BW1854" s="20"/>
      <c r="BX1854" s="154"/>
      <c r="BY1854" s="18"/>
      <c r="BZ1854" s="146"/>
      <c r="CA1854" s="18"/>
      <c r="CB1854" s="18"/>
      <c r="CC1854" s="20"/>
      <c r="CD1854" s="154"/>
    </row>
    <row r="1855" spans="35:82">
      <c r="AI1855" s="19"/>
      <c r="AO1855" s="19"/>
      <c r="AY1855" s="145"/>
      <c r="AZ1855" s="16"/>
      <c r="BC1855" s="16"/>
      <c r="BD1855" s="20"/>
      <c r="BE1855" s="17"/>
      <c r="BF1855" s="20"/>
      <c r="BG1855" s="146"/>
      <c r="BH1855" s="146"/>
      <c r="BI1855" s="146"/>
      <c r="BJ1855" s="20"/>
      <c r="BK1855" s="20"/>
      <c r="BL1855" s="154"/>
      <c r="BP1855" s="20"/>
      <c r="BQ1855" s="154"/>
      <c r="BR1855" s="18"/>
      <c r="BS1855" s="16"/>
      <c r="BT1855" s="18"/>
      <c r="BU1855" s="18"/>
      <c r="BV1855" s="18"/>
      <c r="BW1855" s="20"/>
      <c r="BX1855" s="154"/>
      <c r="BY1855" s="18"/>
      <c r="BZ1855" s="146"/>
      <c r="CA1855" s="18"/>
      <c r="CB1855" s="18"/>
      <c r="CC1855" s="20"/>
      <c r="CD1855" s="154"/>
    </row>
    <row r="1856" spans="35:82">
      <c r="AI1856" s="19"/>
      <c r="AO1856" s="19"/>
      <c r="AY1856" s="145"/>
      <c r="AZ1856" s="16"/>
      <c r="BC1856" s="16"/>
      <c r="BD1856" s="20"/>
      <c r="BE1856" s="17"/>
      <c r="BF1856" s="20"/>
      <c r="BG1856" s="146"/>
      <c r="BH1856" s="146"/>
      <c r="BI1856" s="146"/>
      <c r="BJ1856" s="20"/>
      <c r="BK1856" s="20"/>
      <c r="BL1856" s="154"/>
      <c r="BP1856" s="20"/>
      <c r="BQ1856" s="154"/>
      <c r="BR1856" s="18"/>
      <c r="BS1856" s="16"/>
      <c r="BT1856" s="18"/>
      <c r="BU1856" s="18"/>
      <c r="BV1856" s="18"/>
      <c r="BW1856" s="20"/>
      <c r="BX1856" s="154"/>
      <c r="BY1856" s="18"/>
      <c r="BZ1856" s="146"/>
      <c r="CA1856" s="18"/>
      <c r="CB1856" s="18"/>
      <c r="CC1856" s="20"/>
      <c r="CD1856" s="154"/>
    </row>
    <row r="1857" spans="35:82">
      <c r="AI1857" s="19"/>
      <c r="AO1857" s="19"/>
      <c r="AY1857" s="145"/>
      <c r="AZ1857" s="16"/>
      <c r="BC1857" s="16"/>
      <c r="BD1857" s="20"/>
      <c r="BE1857" s="17"/>
      <c r="BF1857" s="20"/>
      <c r="BG1857" s="146"/>
      <c r="BH1857" s="146"/>
      <c r="BI1857" s="146"/>
      <c r="BJ1857" s="20"/>
      <c r="BK1857" s="20"/>
      <c r="BL1857" s="154"/>
      <c r="BP1857" s="20"/>
      <c r="BQ1857" s="154"/>
      <c r="BR1857" s="18"/>
      <c r="BS1857" s="16"/>
      <c r="BT1857" s="18"/>
      <c r="BU1857" s="18"/>
      <c r="BV1857" s="18"/>
      <c r="BW1857" s="20"/>
      <c r="BX1857" s="154"/>
      <c r="BY1857" s="18"/>
      <c r="BZ1857" s="146"/>
      <c r="CA1857" s="18"/>
      <c r="CB1857" s="18"/>
      <c r="CC1857" s="20"/>
      <c r="CD1857" s="154"/>
    </row>
    <row r="1858" spans="35:82">
      <c r="AI1858" s="19"/>
      <c r="AO1858" s="19"/>
      <c r="AY1858" s="145"/>
      <c r="AZ1858" s="16"/>
      <c r="BC1858" s="16"/>
      <c r="BD1858" s="20"/>
      <c r="BE1858" s="17"/>
      <c r="BF1858" s="20"/>
      <c r="BG1858" s="146"/>
      <c r="BH1858" s="146"/>
      <c r="BI1858" s="146"/>
      <c r="BJ1858" s="20"/>
      <c r="BK1858" s="20"/>
      <c r="BL1858" s="154"/>
      <c r="BP1858" s="20"/>
      <c r="BQ1858" s="154"/>
      <c r="BR1858" s="18"/>
      <c r="BS1858" s="16"/>
      <c r="BT1858" s="18"/>
      <c r="BU1858" s="18"/>
      <c r="BV1858" s="18"/>
      <c r="BW1858" s="20"/>
      <c r="BX1858" s="154"/>
      <c r="BY1858" s="18"/>
      <c r="BZ1858" s="146"/>
      <c r="CA1858" s="18"/>
      <c r="CB1858" s="18"/>
      <c r="CC1858" s="20"/>
      <c r="CD1858" s="154"/>
    </row>
    <row r="1859" spans="35:82">
      <c r="AI1859" s="19"/>
      <c r="AO1859" s="19"/>
      <c r="AY1859" s="145"/>
      <c r="AZ1859" s="16"/>
      <c r="BC1859" s="16"/>
      <c r="BD1859" s="20"/>
      <c r="BE1859" s="17"/>
      <c r="BF1859" s="20"/>
      <c r="BG1859" s="146"/>
      <c r="BH1859" s="146"/>
      <c r="BI1859" s="146"/>
      <c r="BJ1859" s="20"/>
      <c r="BK1859" s="20"/>
      <c r="BL1859" s="154"/>
      <c r="BP1859" s="20"/>
      <c r="BQ1859" s="154"/>
      <c r="BR1859" s="18"/>
      <c r="BS1859" s="16"/>
      <c r="BT1859" s="18"/>
      <c r="BU1859" s="18"/>
      <c r="BV1859" s="18"/>
      <c r="BW1859" s="20"/>
      <c r="BX1859" s="154"/>
      <c r="BY1859" s="18"/>
      <c r="BZ1859" s="146"/>
      <c r="CA1859" s="18"/>
      <c r="CB1859" s="18"/>
      <c r="CC1859" s="20"/>
      <c r="CD1859" s="154"/>
    </row>
    <row r="1860" spans="35:82">
      <c r="AI1860" s="19"/>
      <c r="AO1860" s="19"/>
      <c r="AY1860" s="145"/>
      <c r="AZ1860" s="16"/>
      <c r="BC1860" s="16"/>
      <c r="BD1860" s="20"/>
      <c r="BE1860" s="17"/>
      <c r="BF1860" s="20"/>
      <c r="BG1860" s="146"/>
      <c r="BH1860" s="146"/>
      <c r="BI1860" s="146"/>
      <c r="BJ1860" s="20"/>
      <c r="BK1860" s="20"/>
      <c r="BL1860" s="154"/>
      <c r="BP1860" s="20"/>
      <c r="BQ1860" s="154"/>
      <c r="BR1860" s="18"/>
      <c r="BS1860" s="16"/>
      <c r="BT1860" s="18"/>
      <c r="BU1860" s="18"/>
      <c r="BV1860" s="18"/>
      <c r="BW1860" s="20"/>
      <c r="BX1860" s="154"/>
      <c r="BY1860" s="18"/>
      <c r="BZ1860" s="146"/>
      <c r="CA1860" s="18"/>
      <c r="CB1860" s="18"/>
      <c r="CC1860" s="20"/>
      <c r="CD1860" s="154"/>
    </row>
    <row r="1861" spans="35:82">
      <c r="AI1861" s="19"/>
      <c r="AO1861" s="19"/>
      <c r="AY1861" s="145"/>
      <c r="AZ1861" s="16"/>
      <c r="BC1861" s="16"/>
      <c r="BD1861" s="20"/>
      <c r="BE1861" s="17"/>
      <c r="BF1861" s="20"/>
      <c r="BG1861" s="146"/>
      <c r="BH1861" s="146"/>
      <c r="BI1861" s="146"/>
      <c r="BJ1861" s="20"/>
      <c r="BK1861" s="20"/>
      <c r="BL1861" s="154"/>
      <c r="BP1861" s="20"/>
      <c r="BQ1861" s="154"/>
      <c r="BR1861" s="18"/>
      <c r="BS1861" s="16"/>
      <c r="BT1861" s="18"/>
      <c r="BU1861" s="18"/>
      <c r="BV1861" s="18"/>
      <c r="BW1861" s="20"/>
      <c r="BX1861" s="154"/>
      <c r="BY1861" s="18"/>
      <c r="BZ1861" s="146"/>
      <c r="CA1861" s="18"/>
      <c r="CB1861" s="18"/>
      <c r="CC1861" s="20"/>
      <c r="CD1861" s="154"/>
    </row>
    <row r="1862" spans="35:82">
      <c r="AI1862" s="19"/>
      <c r="AO1862" s="19"/>
      <c r="AY1862" s="145"/>
      <c r="AZ1862" s="16"/>
      <c r="BC1862" s="16"/>
      <c r="BD1862" s="20"/>
      <c r="BE1862" s="17"/>
      <c r="BF1862" s="20"/>
      <c r="BG1862" s="146"/>
      <c r="BH1862" s="146"/>
      <c r="BI1862" s="146"/>
      <c r="BJ1862" s="20"/>
      <c r="BK1862" s="20"/>
      <c r="BL1862" s="154"/>
      <c r="BP1862" s="20"/>
      <c r="BQ1862" s="154"/>
      <c r="BR1862" s="18"/>
      <c r="BS1862" s="16"/>
      <c r="BT1862" s="18"/>
      <c r="BU1862" s="18"/>
      <c r="BV1862" s="18"/>
      <c r="BW1862" s="20"/>
      <c r="BX1862" s="154"/>
      <c r="BY1862" s="18"/>
      <c r="BZ1862" s="146"/>
      <c r="CA1862" s="18"/>
      <c r="CB1862" s="18"/>
      <c r="CC1862" s="20"/>
      <c r="CD1862" s="154"/>
    </row>
    <row r="1863" spans="35:82">
      <c r="AI1863" s="19"/>
      <c r="AO1863" s="19"/>
      <c r="AY1863" s="145"/>
      <c r="AZ1863" s="16"/>
      <c r="BC1863" s="16"/>
      <c r="BD1863" s="20"/>
      <c r="BE1863" s="17"/>
      <c r="BF1863" s="20"/>
      <c r="BG1863" s="146"/>
      <c r="BH1863" s="146"/>
      <c r="BI1863" s="146"/>
      <c r="BJ1863" s="20"/>
      <c r="BK1863" s="20"/>
      <c r="BL1863" s="154"/>
      <c r="BP1863" s="20"/>
      <c r="BQ1863" s="154"/>
      <c r="BR1863" s="18"/>
      <c r="BS1863" s="16"/>
      <c r="BT1863" s="18"/>
      <c r="BU1863" s="18"/>
      <c r="BV1863" s="18"/>
      <c r="BW1863" s="20"/>
      <c r="BX1863" s="154"/>
      <c r="BY1863" s="18"/>
      <c r="BZ1863" s="146"/>
      <c r="CA1863" s="18"/>
      <c r="CB1863" s="18"/>
      <c r="CC1863" s="20"/>
      <c r="CD1863" s="154"/>
    </row>
    <row r="1864" spans="35:82">
      <c r="AI1864" s="19"/>
      <c r="AO1864" s="19"/>
      <c r="AY1864" s="145"/>
      <c r="AZ1864" s="16"/>
      <c r="BC1864" s="16"/>
      <c r="BD1864" s="20"/>
      <c r="BE1864" s="17"/>
      <c r="BF1864" s="20"/>
      <c r="BG1864" s="146"/>
      <c r="BH1864" s="146"/>
      <c r="BI1864" s="146"/>
      <c r="BJ1864" s="20"/>
      <c r="BK1864" s="20"/>
      <c r="BL1864" s="154"/>
      <c r="BP1864" s="20"/>
      <c r="BQ1864" s="154"/>
      <c r="BR1864" s="18"/>
      <c r="BS1864" s="16"/>
      <c r="BT1864" s="18"/>
      <c r="BU1864" s="18"/>
      <c r="BV1864" s="18"/>
      <c r="BW1864" s="20"/>
      <c r="BX1864" s="154"/>
      <c r="BY1864" s="18"/>
      <c r="BZ1864" s="146"/>
      <c r="CA1864" s="18"/>
      <c r="CB1864" s="18"/>
      <c r="CC1864" s="20"/>
      <c r="CD1864" s="154"/>
    </row>
    <row r="1865" spans="35:82">
      <c r="AI1865" s="19"/>
      <c r="AO1865" s="19"/>
      <c r="AY1865" s="145"/>
      <c r="AZ1865" s="16"/>
      <c r="BC1865" s="16"/>
      <c r="BD1865" s="20"/>
      <c r="BE1865" s="17"/>
      <c r="BF1865" s="20"/>
      <c r="BG1865" s="146"/>
      <c r="BH1865" s="146"/>
      <c r="BI1865" s="146"/>
      <c r="BJ1865" s="20"/>
      <c r="BK1865" s="20"/>
      <c r="BL1865" s="154"/>
      <c r="BP1865" s="20"/>
      <c r="BQ1865" s="154"/>
      <c r="BR1865" s="18"/>
      <c r="BS1865" s="16"/>
      <c r="BT1865" s="18"/>
      <c r="BU1865" s="18"/>
      <c r="BV1865" s="18"/>
      <c r="BW1865" s="20"/>
      <c r="BX1865" s="154"/>
      <c r="BY1865" s="18"/>
      <c r="BZ1865" s="146"/>
      <c r="CA1865" s="18"/>
      <c r="CB1865" s="18"/>
      <c r="CC1865" s="20"/>
      <c r="CD1865" s="154"/>
    </row>
    <row r="1866" spans="35:82">
      <c r="AI1866" s="19"/>
      <c r="AO1866" s="19"/>
      <c r="AY1866" s="145"/>
      <c r="AZ1866" s="16"/>
      <c r="BC1866" s="16"/>
      <c r="BD1866" s="20"/>
      <c r="BE1866" s="17"/>
      <c r="BF1866" s="20"/>
      <c r="BG1866" s="146"/>
      <c r="BH1866" s="146"/>
      <c r="BI1866" s="146"/>
      <c r="BJ1866" s="20"/>
      <c r="BK1866" s="20"/>
      <c r="BL1866" s="154"/>
      <c r="BP1866" s="20"/>
      <c r="BQ1866" s="154"/>
      <c r="BR1866" s="18"/>
      <c r="BS1866" s="16"/>
      <c r="BT1866" s="18"/>
      <c r="BU1866" s="18"/>
      <c r="BV1866" s="18"/>
      <c r="BW1866" s="20"/>
      <c r="BX1866" s="154"/>
      <c r="BY1866" s="18"/>
      <c r="BZ1866" s="146"/>
      <c r="CA1866" s="18"/>
      <c r="CB1866" s="18"/>
      <c r="CC1866" s="20"/>
      <c r="CD1866" s="154"/>
    </row>
    <row r="1867" spans="35:82">
      <c r="AI1867" s="19"/>
      <c r="AO1867" s="19"/>
      <c r="AY1867" s="145"/>
      <c r="AZ1867" s="16"/>
      <c r="BC1867" s="16"/>
      <c r="BD1867" s="20"/>
      <c r="BE1867" s="17"/>
      <c r="BF1867" s="20"/>
      <c r="BG1867" s="146"/>
      <c r="BH1867" s="146"/>
      <c r="BI1867" s="146"/>
      <c r="BJ1867" s="20"/>
      <c r="BK1867" s="20"/>
      <c r="BL1867" s="154"/>
      <c r="BP1867" s="20"/>
      <c r="BQ1867" s="154"/>
      <c r="BR1867" s="18"/>
      <c r="BS1867" s="16"/>
      <c r="BT1867" s="18"/>
      <c r="BU1867" s="18"/>
      <c r="BV1867" s="18"/>
      <c r="BW1867" s="20"/>
      <c r="BX1867" s="154"/>
      <c r="BY1867" s="18"/>
      <c r="BZ1867" s="146"/>
      <c r="CA1867" s="18"/>
      <c r="CB1867" s="18"/>
      <c r="CC1867" s="20"/>
      <c r="CD1867" s="154"/>
    </row>
    <row r="1868" spans="35:82">
      <c r="AI1868" s="19"/>
      <c r="AO1868" s="19"/>
      <c r="AY1868" s="145"/>
      <c r="AZ1868" s="16"/>
      <c r="BC1868" s="16"/>
      <c r="BD1868" s="20"/>
      <c r="BE1868" s="17"/>
      <c r="BF1868" s="20"/>
      <c r="BG1868" s="146"/>
      <c r="BH1868" s="146"/>
      <c r="BI1868" s="146"/>
      <c r="BJ1868" s="20"/>
      <c r="BK1868" s="20"/>
      <c r="BL1868" s="154"/>
      <c r="BP1868" s="20"/>
      <c r="BQ1868" s="154"/>
      <c r="BR1868" s="18"/>
      <c r="BS1868" s="16"/>
      <c r="BT1868" s="18"/>
      <c r="BU1868" s="18"/>
      <c r="BV1868" s="18"/>
      <c r="BW1868" s="20"/>
      <c r="BX1868" s="154"/>
      <c r="BY1868" s="18"/>
      <c r="BZ1868" s="146"/>
      <c r="CA1868" s="18"/>
      <c r="CB1868" s="18"/>
      <c r="CC1868" s="20"/>
      <c r="CD1868" s="154"/>
    </row>
    <row r="1869" spans="35:82">
      <c r="AI1869" s="19"/>
      <c r="AO1869" s="19"/>
      <c r="AY1869" s="145"/>
      <c r="AZ1869" s="16"/>
      <c r="BC1869" s="16"/>
      <c r="BD1869" s="20"/>
      <c r="BE1869" s="17"/>
      <c r="BF1869" s="20"/>
      <c r="BG1869" s="146"/>
      <c r="BH1869" s="146"/>
      <c r="BI1869" s="146"/>
      <c r="BJ1869" s="20"/>
      <c r="BK1869" s="20"/>
      <c r="BL1869" s="154"/>
      <c r="BP1869" s="20"/>
      <c r="BQ1869" s="154"/>
      <c r="BR1869" s="18"/>
      <c r="BS1869" s="16"/>
      <c r="BT1869" s="18"/>
      <c r="BU1869" s="18"/>
      <c r="BV1869" s="18"/>
      <c r="BW1869" s="20"/>
      <c r="BX1869" s="154"/>
      <c r="BY1869" s="18"/>
      <c r="BZ1869" s="146"/>
      <c r="CA1869" s="18"/>
      <c r="CB1869" s="18"/>
      <c r="CC1869" s="20"/>
      <c r="CD1869" s="154"/>
    </row>
    <row r="1870" spans="35:82">
      <c r="AI1870" s="19"/>
      <c r="AO1870" s="19"/>
      <c r="AY1870" s="145"/>
      <c r="AZ1870" s="16"/>
      <c r="BC1870" s="16"/>
      <c r="BD1870" s="20"/>
      <c r="BE1870" s="17"/>
      <c r="BF1870" s="20"/>
      <c r="BG1870" s="146"/>
      <c r="BH1870" s="146"/>
      <c r="BI1870" s="146"/>
      <c r="BJ1870" s="20"/>
      <c r="BK1870" s="20"/>
      <c r="BL1870" s="154"/>
      <c r="BP1870" s="20"/>
      <c r="BQ1870" s="154"/>
      <c r="BR1870" s="18"/>
      <c r="BS1870" s="16"/>
      <c r="BT1870" s="18"/>
      <c r="BU1870" s="18"/>
      <c r="BV1870" s="18"/>
      <c r="BW1870" s="20"/>
      <c r="BX1870" s="154"/>
      <c r="BY1870" s="18"/>
      <c r="BZ1870" s="146"/>
      <c r="CA1870" s="18"/>
      <c r="CB1870" s="18"/>
      <c r="CC1870" s="20"/>
      <c r="CD1870" s="154"/>
    </row>
    <row r="1871" spans="35:82">
      <c r="AI1871" s="19"/>
      <c r="AO1871" s="19"/>
      <c r="AY1871" s="145"/>
      <c r="AZ1871" s="16"/>
      <c r="BC1871" s="16"/>
      <c r="BD1871" s="20"/>
      <c r="BE1871" s="17"/>
      <c r="BF1871" s="20"/>
      <c r="BG1871" s="146"/>
      <c r="BH1871" s="146"/>
      <c r="BI1871" s="146"/>
      <c r="BJ1871" s="20"/>
      <c r="BK1871" s="20"/>
      <c r="BL1871" s="154"/>
      <c r="BP1871" s="20"/>
      <c r="BQ1871" s="154"/>
      <c r="BR1871" s="18"/>
      <c r="BS1871" s="16"/>
      <c r="BT1871" s="18"/>
      <c r="BU1871" s="18"/>
      <c r="BV1871" s="18"/>
      <c r="BW1871" s="20"/>
      <c r="BX1871" s="154"/>
      <c r="BY1871" s="18"/>
      <c r="BZ1871" s="146"/>
      <c r="CA1871" s="18"/>
      <c r="CB1871" s="18"/>
      <c r="CC1871" s="20"/>
      <c r="CD1871" s="154"/>
    </row>
    <row r="1872" spans="35:82">
      <c r="AI1872" s="19"/>
      <c r="AO1872" s="19"/>
      <c r="AY1872" s="145"/>
      <c r="AZ1872" s="16"/>
      <c r="BC1872" s="16"/>
      <c r="BD1872" s="20"/>
      <c r="BE1872" s="17"/>
      <c r="BF1872" s="20"/>
      <c r="BG1872" s="146"/>
      <c r="BH1872" s="146"/>
      <c r="BI1872" s="146"/>
      <c r="BJ1872" s="20"/>
      <c r="BK1872" s="20"/>
      <c r="BL1872" s="154"/>
      <c r="BP1872" s="20"/>
      <c r="BQ1872" s="154"/>
      <c r="BR1872" s="18"/>
      <c r="BS1872" s="16"/>
      <c r="BT1872" s="18"/>
      <c r="BU1872" s="18"/>
      <c r="BV1872" s="18"/>
      <c r="BW1872" s="20"/>
      <c r="BX1872" s="154"/>
      <c r="BY1872" s="18"/>
      <c r="BZ1872" s="146"/>
      <c r="CA1872" s="18"/>
      <c r="CB1872" s="18"/>
      <c r="CC1872" s="20"/>
      <c r="CD1872" s="154"/>
    </row>
    <row r="1873" spans="35:82">
      <c r="AI1873" s="19"/>
      <c r="AO1873" s="19"/>
      <c r="AY1873" s="145"/>
      <c r="AZ1873" s="16"/>
      <c r="BC1873" s="16"/>
      <c r="BD1873" s="20"/>
      <c r="BE1873" s="17"/>
      <c r="BF1873" s="20"/>
      <c r="BG1873" s="146"/>
      <c r="BH1873" s="146"/>
      <c r="BI1873" s="146"/>
      <c r="BJ1873" s="20"/>
      <c r="BK1873" s="20"/>
      <c r="BL1873" s="154"/>
      <c r="BP1873" s="20"/>
      <c r="BQ1873" s="154"/>
      <c r="BR1873" s="18"/>
      <c r="BS1873" s="16"/>
      <c r="BT1873" s="18"/>
      <c r="BU1873" s="18"/>
      <c r="BV1873" s="18"/>
      <c r="BW1873" s="20"/>
      <c r="BX1873" s="154"/>
      <c r="BY1873" s="18"/>
      <c r="BZ1873" s="146"/>
      <c r="CA1873" s="18"/>
      <c r="CB1873" s="18"/>
      <c r="CC1873" s="20"/>
      <c r="CD1873" s="154"/>
    </row>
    <row r="1874" spans="35:82">
      <c r="AI1874" s="19"/>
      <c r="AO1874" s="19"/>
      <c r="AY1874" s="145"/>
      <c r="AZ1874" s="16"/>
      <c r="BC1874" s="16"/>
      <c r="BD1874" s="20"/>
      <c r="BE1874" s="17"/>
      <c r="BF1874" s="20"/>
      <c r="BG1874" s="146"/>
      <c r="BH1874" s="146"/>
      <c r="BI1874" s="146"/>
      <c r="BJ1874" s="20"/>
      <c r="BK1874" s="20"/>
      <c r="BL1874" s="154"/>
      <c r="BP1874" s="20"/>
      <c r="BQ1874" s="154"/>
      <c r="BR1874" s="18"/>
      <c r="BS1874" s="16"/>
      <c r="BT1874" s="18"/>
      <c r="BU1874" s="18"/>
      <c r="BV1874" s="18"/>
      <c r="BW1874" s="20"/>
      <c r="BX1874" s="154"/>
      <c r="BY1874" s="18"/>
      <c r="BZ1874" s="146"/>
      <c r="CA1874" s="18"/>
      <c r="CB1874" s="18"/>
      <c r="CC1874" s="20"/>
      <c r="CD1874" s="154"/>
    </row>
    <row r="1875" spans="35:82">
      <c r="AI1875" s="19"/>
      <c r="AO1875" s="19"/>
      <c r="AY1875" s="145"/>
      <c r="AZ1875" s="16"/>
      <c r="BC1875" s="16"/>
      <c r="BD1875" s="20"/>
      <c r="BE1875" s="17"/>
      <c r="BF1875" s="20"/>
      <c r="BG1875" s="146"/>
      <c r="BH1875" s="146"/>
      <c r="BI1875" s="146"/>
      <c r="BJ1875" s="20"/>
      <c r="BK1875" s="20"/>
      <c r="BL1875" s="154"/>
      <c r="BP1875" s="20"/>
      <c r="BQ1875" s="154"/>
      <c r="BR1875" s="18"/>
      <c r="BS1875" s="16"/>
      <c r="BT1875" s="18"/>
      <c r="BU1875" s="18"/>
      <c r="BV1875" s="18"/>
      <c r="BW1875" s="20"/>
      <c r="BX1875" s="154"/>
      <c r="BY1875" s="18"/>
      <c r="BZ1875" s="146"/>
      <c r="CA1875" s="18"/>
      <c r="CB1875" s="18"/>
      <c r="CC1875" s="20"/>
      <c r="CD1875" s="154"/>
    </row>
    <row r="1876" spans="35:82">
      <c r="AI1876" s="19"/>
      <c r="AO1876" s="19"/>
      <c r="AY1876" s="145"/>
      <c r="AZ1876" s="16"/>
      <c r="BC1876" s="16"/>
      <c r="BD1876" s="20"/>
      <c r="BE1876" s="17"/>
      <c r="BF1876" s="20"/>
      <c r="BG1876" s="146"/>
      <c r="BH1876" s="146"/>
      <c r="BI1876" s="146"/>
      <c r="BJ1876" s="20"/>
      <c r="BK1876" s="20"/>
      <c r="BL1876" s="154"/>
      <c r="BP1876" s="20"/>
      <c r="BQ1876" s="154"/>
      <c r="BR1876" s="18"/>
      <c r="BS1876" s="16"/>
      <c r="BT1876" s="18"/>
      <c r="BU1876" s="18"/>
      <c r="BV1876" s="18"/>
      <c r="BW1876" s="20"/>
      <c r="BX1876" s="154"/>
      <c r="BY1876" s="18"/>
      <c r="BZ1876" s="146"/>
      <c r="CA1876" s="18"/>
      <c r="CB1876" s="18"/>
      <c r="CC1876" s="20"/>
      <c r="CD1876" s="154"/>
    </row>
    <row r="1877" spans="35:82">
      <c r="AI1877" s="19"/>
      <c r="AO1877" s="19"/>
      <c r="AY1877" s="145"/>
      <c r="AZ1877" s="16"/>
      <c r="BC1877" s="16"/>
      <c r="BD1877" s="20"/>
      <c r="BE1877" s="17"/>
      <c r="BF1877" s="20"/>
      <c r="BG1877" s="146"/>
      <c r="BH1877" s="146"/>
      <c r="BI1877" s="146"/>
      <c r="BJ1877" s="20"/>
      <c r="BK1877" s="20"/>
      <c r="BL1877" s="154"/>
      <c r="BP1877" s="20"/>
      <c r="BQ1877" s="154"/>
      <c r="BR1877" s="18"/>
      <c r="BS1877" s="16"/>
      <c r="BT1877" s="18"/>
      <c r="BU1877" s="18"/>
      <c r="BV1877" s="18"/>
      <c r="BW1877" s="20"/>
      <c r="BX1877" s="154"/>
      <c r="BY1877" s="18"/>
      <c r="BZ1877" s="146"/>
      <c r="CA1877" s="18"/>
      <c r="CB1877" s="18"/>
      <c r="CC1877" s="20"/>
      <c r="CD1877" s="154"/>
    </row>
    <row r="1878" spans="35:82">
      <c r="AI1878" s="19"/>
      <c r="AO1878" s="19"/>
      <c r="AY1878" s="145"/>
      <c r="AZ1878" s="16"/>
      <c r="BC1878" s="16"/>
      <c r="BD1878" s="20"/>
      <c r="BE1878" s="17"/>
      <c r="BF1878" s="20"/>
      <c r="BG1878" s="146"/>
      <c r="BH1878" s="146"/>
      <c r="BI1878" s="146"/>
      <c r="BJ1878" s="20"/>
      <c r="BK1878" s="20"/>
      <c r="BL1878" s="154"/>
      <c r="BP1878" s="20"/>
      <c r="BQ1878" s="154"/>
      <c r="BR1878" s="18"/>
      <c r="BS1878" s="16"/>
      <c r="BT1878" s="18"/>
      <c r="BU1878" s="18"/>
      <c r="BV1878" s="18"/>
      <c r="BW1878" s="20"/>
      <c r="BX1878" s="154"/>
      <c r="BY1878" s="18"/>
      <c r="BZ1878" s="146"/>
      <c r="CA1878" s="18"/>
      <c r="CB1878" s="18"/>
      <c r="CC1878" s="20"/>
      <c r="CD1878" s="154"/>
    </row>
    <row r="1879" spans="35:82">
      <c r="AI1879" s="19"/>
      <c r="AO1879" s="19"/>
      <c r="AY1879" s="145"/>
      <c r="AZ1879" s="16"/>
      <c r="BC1879" s="16"/>
      <c r="BD1879" s="20"/>
      <c r="BE1879" s="17"/>
      <c r="BF1879" s="20"/>
      <c r="BG1879" s="146"/>
      <c r="BH1879" s="146"/>
      <c r="BI1879" s="146"/>
      <c r="BJ1879" s="20"/>
      <c r="BK1879" s="20"/>
      <c r="BL1879" s="154"/>
      <c r="BP1879" s="20"/>
      <c r="BQ1879" s="154"/>
      <c r="BR1879" s="18"/>
      <c r="BS1879" s="16"/>
      <c r="BT1879" s="18"/>
      <c r="BU1879" s="18"/>
      <c r="BV1879" s="18"/>
      <c r="BW1879" s="20"/>
      <c r="BX1879" s="154"/>
      <c r="BY1879" s="18"/>
      <c r="BZ1879" s="146"/>
      <c r="CA1879" s="18"/>
      <c r="CB1879" s="18"/>
      <c r="CC1879" s="20"/>
      <c r="CD1879" s="154"/>
    </row>
    <row r="1880" spans="35:82">
      <c r="AI1880" s="19"/>
      <c r="AO1880" s="19"/>
      <c r="AY1880" s="145"/>
      <c r="AZ1880" s="16"/>
      <c r="BC1880" s="16"/>
      <c r="BD1880" s="20"/>
      <c r="BE1880" s="17"/>
      <c r="BF1880" s="20"/>
      <c r="BG1880" s="146"/>
      <c r="BH1880" s="146"/>
      <c r="BI1880" s="146"/>
      <c r="BJ1880" s="20"/>
      <c r="BK1880" s="20"/>
      <c r="BL1880" s="154"/>
      <c r="BP1880" s="20"/>
      <c r="BQ1880" s="154"/>
      <c r="BR1880" s="18"/>
      <c r="BS1880" s="16"/>
      <c r="BT1880" s="18"/>
      <c r="BU1880" s="18"/>
      <c r="BV1880" s="18"/>
      <c r="BW1880" s="20"/>
      <c r="BX1880" s="154"/>
      <c r="BY1880" s="18"/>
      <c r="BZ1880" s="146"/>
      <c r="CA1880" s="18"/>
      <c r="CB1880" s="18"/>
      <c r="CC1880" s="20"/>
      <c r="CD1880" s="154"/>
    </row>
    <row r="1881" spans="35:82">
      <c r="AI1881" s="19"/>
      <c r="AO1881" s="19"/>
      <c r="AY1881" s="145"/>
      <c r="AZ1881" s="16"/>
      <c r="BC1881" s="16"/>
      <c r="BD1881" s="20"/>
      <c r="BE1881" s="17"/>
      <c r="BF1881" s="20"/>
      <c r="BG1881" s="146"/>
      <c r="BH1881" s="146"/>
      <c r="BI1881" s="146"/>
      <c r="BJ1881" s="20"/>
      <c r="BK1881" s="20"/>
      <c r="BL1881" s="154"/>
      <c r="BP1881" s="20"/>
      <c r="BQ1881" s="154"/>
      <c r="BR1881" s="18"/>
      <c r="BS1881" s="16"/>
      <c r="BT1881" s="18"/>
      <c r="BU1881" s="18"/>
      <c r="BV1881" s="18"/>
      <c r="BW1881" s="20"/>
      <c r="BX1881" s="154"/>
      <c r="BY1881" s="18"/>
      <c r="BZ1881" s="146"/>
      <c r="CA1881" s="18"/>
      <c r="CB1881" s="18"/>
      <c r="CC1881" s="20"/>
      <c r="CD1881" s="154"/>
    </row>
    <row r="1882" spans="35:82">
      <c r="AI1882" s="19"/>
      <c r="AO1882" s="19"/>
      <c r="AY1882" s="145"/>
      <c r="AZ1882" s="16"/>
      <c r="BC1882" s="16"/>
      <c r="BD1882" s="20"/>
      <c r="BE1882" s="17"/>
      <c r="BF1882" s="20"/>
      <c r="BG1882" s="146"/>
      <c r="BH1882" s="146"/>
      <c r="BI1882" s="146"/>
      <c r="BJ1882" s="20"/>
      <c r="BK1882" s="20"/>
      <c r="BL1882" s="154"/>
      <c r="BP1882" s="20"/>
      <c r="BQ1882" s="154"/>
      <c r="BR1882" s="18"/>
      <c r="BS1882" s="16"/>
      <c r="BT1882" s="18"/>
      <c r="BU1882" s="18"/>
      <c r="BV1882" s="18"/>
      <c r="BW1882" s="20"/>
      <c r="BX1882" s="154"/>
      <c r="BY1882" s="18"/>
      <c r="BZ1882" s="146"/>
      <c r="CA1882" s="18"/>
      <c r="CB1882" s="18"/>
      <c r="CC1882" s="20"/>
      <c r="CD1882" s="154"/>
    </row>
    <row r="1883" spans="35:82">
      <c r="AI1883" s="19"/>
      <c r="AO1883" s="19"/>
      <c r="AY1883" s="145"/>
      <c r="AZ1883" s="16"/>
      <c r="BC1883" s="16"/>
      <c r="BD1883" s="20"/>
      <c r="BE1883" s="17"/>
      <c r="BF1883" s="20"/>
      <c r="BG1883" s="146"/>
      <c r="BH1883" s="146"/>
      <c r="BI1883" s="146"/>
      <c r="BJ1883" s="20"/>
      <c r="BK1883" s="20"/>
      <c r="BL1883" s="154"/>
      <c r="BP1883" s="20"/>
      <c r="BQ1883" s="154"/>
      <c r="BR1883" s="18"/>
      <c r="BS1883" s="16"/>
      <c r="BT1883" s="18"/>
      <c r="BU1883" s="18"/>
      <c r="BV1883" s="18"/>
      <c r="BW1883" s="20"/>
      <c r="BX1883" s="154"/>
      <c r="BY1883" s="18"/>
      <c r="BZ1883" s="146"/>
      <c r="CA1883" s="18"/>
      <c r="CB1883" s="18"/>
      <c r="CC1883" s="20"/>
      <c r="CD1883" s="154"/>
    </row>
    <row r="1884" spans="35:82">
      <c r="AI1884" s="19"/>
      <c r="AO1884" s="19"/>
      <c r="AY1884" s="145"/>
      <c r="AZ1884" s="16"/>
      <c r="BC1884" s="16"/>
      <c r="BD1884" s="20"/>
      <c r="BE1884" s="17"/>
      <c r="BF1884" s="20"/>
      <c r="BG1884" s="146"/>
      <c r="BH1884" s="146"/>
      <c r="BI1884" s="146"/>
      <c r="BJ1884" s="20"/>
      <c r="BK1884" s="20"/>
      <c r="BL1884" s="154"/>
      <c r="BP1884" s="20"/>
      <c r="BQ1884" s="154"/>
      <c r="BR1884" s="18"/>
      <c r="BS1884" s="16"/>
      <c r="BT1884" s="18"/>
      <c r="BU1884" s="18"/>
      <c r="BV1884" s="18"/>
      <c r="BW1884" s="20"/>
      <c r="BX1884" s="154"/>
      <c r="BY1884" s="18"/>
      <c r="BZ1884" s="146"/>
      <c r="CA1884" s="18"/>
      <c r="CB1884" s="18"/>
      <c r="CC1884" s="20"/>
      <c r="CD1884" s="154"/>
    </row>
    <row r="1885" spans="35:82">
      <c r="AI1885" s="19"/>
      <c r="AO1885" s="19"/>
      <c r="AY1885" s="145"/>
      <c r="AZ1885" s="16"/>
      <c r="BC1885" s="16"/>
      <c r="BD1885" s="20"/>
      <c r="BE1885" s="17"/>
      <c r="BF1885" s="20"/>
      <c r="BG1885" s="146"/>
      <c r="BH1885" s="146"/>
      <c r="BI1885" s="146"/>
      <c r="BJ1885" s="20"/>
      <c r="BK1885" s="20"/>
      <c r="BL1885" s="154"/>
      <c r="BP1885" s="20"/>
      <c r="BQ1885" s="154"/>
      <c r="BR1885" s="18"/>
      <c r="BS1885" s="16"/>
      <c r="BT1885" s="18"/>
      <c r="BU1885" s="18"/>
      <c r="BV1885" s="18"/>
      <c r="BW1885" s="20"/>
      <c r="BX1885" s="154"/>
      <c r="BY1885" s="18"/>
      <c r="BZ1885" s="146"/>
      <c r="CA1885" s="18"/>
      <c r="CB1885" s="18"/>
      <c r="CC1885" s="20"/>
      <c r="CD1885" s="154"/>
    </row>
    <row r="1886" spans="35:82">
      <c r="AI1886" s="19"/>
      <c r="AO1886" s="19"/>
      <c r="AY1886" s="145"/>
      <c r="AZ1886" s="16"/>
      <c r="BC1886" s="16"/>
      <c r="BD1886" s="20"/>
      <c r="BE1886" s="17"/>
      <c r="BF1886" s="20"/>
      <c r="BG1886" s="146"/>
      <c r="BH1886" s="146"/>
      <c r="BI1886" s="146"/>
      <c r="BJ1886" s="20"/>
      <c r="BK1886" s="20"/>
      <c r="BL1886" s="154"/>
      <c r="BP1886" s="20"/>
      <c r="BQ1886" s="154"/>
      <c r="BR1886" s="18"/>
      <c r="BS1886" s="16"/>
      <c r="BT1886" s="18"/>
      <c r="BU1886" s="18"/>
      <c r="BV1886" s="18"/>
      <c r="BW1886" s="20"/>
      <c r="BX1886" s="154"/>
      <c r="BY1886" s="18"/>
      <c r="BZ1886" s="146"/>
      <c r="CA1886" s="18"/>
      <c r="CB1886" s="18"/>
      <c r="CC1886" s="20"/>
      <c r="CD1886" s="154"/>
    </row>
    <row r="1887" spans="35:82">
      <c r="AI1887" s="19"/>
      <c r="AO1887" s="19"/>
      <c r="AY1887" s="145"/>
      <c r="AZ1887" s="16"/>
      <c r="BC1887" s="16"/>
      <c r="BD1887" s="20"/>
      <c r="BE1887" s="17"/>
      <c r="BF1887" s="20"/>
      <c r="BG1887" s="146"/>
      <c r="BH1887" s="146"/>
      <c r="BI1887" s="146"/>
      <c r="BJ1887" s="20"/>
      <c r="BK1887" s="20"/>
      <c r="BL1887" s="154"/>
      <c r="BP1887" s="20"/>
      <c r="BQ1887" s="154"/>
      <c r="BR1887" s="18"/>
      <c r="BS1887" s="16"/>
      <c r="BT1887" s="18"/>
      <c r="BU1887" s="18"/>
      <c r="BV1887" s="18"/>
      <c r="BW1887" s="20"/>
      <c r="BX1887" s="154"/>
      <c r="BY1887" s="18"/>
      <c r="BZ1887" s="146"/>
      <c r="CA1887" s="18"/>
      <c r="CB1887" s="18"/>
      <c r="CC1887" s="20"/>
      <c r="CD1887" s="154"/>
    </row>
    <row r="1888" spans="35:82">
      <c r="AI1888" s="19"/>
      <c r="AO1888" s="19"/>
      <c r="AY1888" s="145"/>
      <c r="AZ1888" s="16"/>
      <c r="BC1888" s="16"/>
      <c r="BD1888" s="20"/>
      <c r="BE1888" s="17"/>
      <c r="BF1888" s="20"/>
      <c r="BG1888" s="146"/>
      <c r="BH1888" s="146"/>
      <c r="BI1888" s="146"/>
      <c r="BJ1888" s="20"/>
      <c r="BK1888" s="20"/>
      <c r="BL1888" s="154"/>
      <c r="BP1888" s="20"/>
      <c r="BQ1888" s="154"/>
      <c r="BR1888" s="18"/>
      <c r="BS1888" s="16"/>
      <c r="BT1888" s="18"/>
      <c r="BU1888" s="18"/>
      <c r="BV1888" s="18"/>
      <c r="BW1888" s="20"/>
      <c r="BX1888" s="154"/>
      <c r="BY1888" s="18"/>
      <c r="BZ1888" s="146"/>
      <c r="CA1888" s="18"/>
      <c r="CB1888" s="18"/>
      <c r="CC1888" s="20"/>
      <c r="CD1888" s="154"/>
    </row>
    <row r="1889" spans="35:82">
      <c r="AI1889" s="19"/>
      <c r="AO1889" s="19"/>
      <c r="AY1889" s="145"/>
      <c r="AZ1889" s="16"/>
      <c r="BC1889" s="16"/>
      <c r="BD1889" s="20"/>
      <c r="BE1889" s="17"/>
      <c r="BF1889" s="20"/>
      <c r="BG1889" s="146"/>
      <c r="BH1889" s="146"/>
      <c r="BI1889" s="146"/>
      <c r="BJ1889" s="20"/>
      <c r="BK1889" s="20"/>
      <c r="BL1889" s="154"/>
      <c r="BP1889" s="20"/>
      <c r="BQ1889" s="154"/>
      <c r="BR1889" s="18"/>
      <c r="BS1889" s="16"/>
      <c r="BT1889" s="18"/>
      <c r="BU1889" s="18"/>
      <c r="BV1889" s="18"/>
      <c r="BW1889" s="20"/>
      <c r="BX1889" s="154"/>
      <c r="BY1889" s="18"/>
      <c r="BZ1889" s="146"/>
      <c r="CA1889" s="18"/>
      <c r="CB1889" s="18"/>
      <c r="CC1889" s="20"/>
      <c r="CD1889" s="154"/>
    </row>
    <row r="1890" spans="35:82">
      <c r="AI1890" s="19"/>
      <c r="AO1890" s="19"/>
      <c r="AY1890" s="145"/>
      <c r="AZ1890" s="16"/>
      <c r="BC1890" s="16"/>
      <c r="BD1890" s="20"/>
      <c r="BE1890" s="17"/>
      <c r="BF1890" s="20"/>
      <c r="BG1890" s="146"/>
      <c r="BH1890" s="146"/>
      <c r="BI1890" s="146"/>
      <c r="BJ1890" s="20"/>
      <c r="BK1890" s="20"/>
      <c r="BL1890" s="154"/>
      <c r="BP1890" s="20"/>
      <c r="BQ1890" s="154"/>
      <c r="BR1890" s="18"/>
      <c r="BS1890" s="16"/>
      <c r="BT1890" s="18"/>
      <c r="BU1890" s="18"/>
      <c r="BV1890" s="18"/>
      <c r="BW1890" s="20"/>
      <c r="BX1890" s="154"/>
      <c r="BY1890" s="18"/>
      <c r="BZ1890" s="146"/>
      <c r="CA1890" s="18"/>
      <c r="CB1890" s="18"/>
      <c r="CC1890" s="20"/>
      <c r="CD1890" s="154"/>
    </row>
    <row r="1891" spans="35:82">
      <c r="AI1891" s="19"/>
      <c r="AO1891" s="19"/>
      <c r="AY1891" s="145"/>
      <c r="AZ1891" s="16"/>
      <c r="BC1891" s="16"/>
      <c r="BD1891" s="20"/>
      <c r="BE1891" s="17"/>
      <c r="BF1891" s="20"/>
      <c r="BG1891" s="146"/>
      <c r="BH1891" s="146"/>
      <c r="BI1891" s="146"/>
      <c r="BJ1891" s="20"/>
      <c r="BK1891" s="20"/>
      <c r="BL1891" s="154"/>
      <c r="BP1891" s="20"/>
      <c r="BQ1891" s="154"/>
      <c r="BR1891" s="18"/>
      <c r="BS1891" s="16"/>
      <c r="BT1891" s="18"/>
      <c r="BU1891" s="18"/>
      <c r="BV1891" s="18"/>
      <c r="BW1891" s="20"/>
      <c r="BX1891" s="154"/>
      <c r="BY1891" s="18"/>
      <c r="BZ1891" s="146"/>
      <c r="CA1891" s="18"/>
      <c r="CB1891" s="18"/>
      <c r="CC1891" s="20"/>
      <c r="CD1891" s="154"/>
    </row>
    <row r="1892" spans="35:82">
      <c r="AI1892" s="19"/>
      <c r="AO1892" s="19"/>
      <c r="AY1892" s="145"/>
      <c r="AZ1892" s="16"/>
      <c r="BC1892" s="16"/>
      <c r="BD1892" s="20"/>
      <c r="BE1892" s="17"/>
      <c r="BF1892" s="20"/>
      <c r="BG1892" s="146"/>
      <c r="BH1892" s="146"/>
      <c r="BI1892" s="146"/>
      <c r="BJ1892" s="20"/>
      <c r="BK1892" s="20"/>
      <c r="BL1892" s="154"/>
      <c r="BP1892" s="20"/>
      <c r="BQ1892" s="154"/>
      <c r="BR1892" s="18"/>
      <c r="BS1892" s="16"/>
      <c r="BT1892" s="18"/>
      <c r="BU1892" s="18"/>
      <c r="BV1892" s="18"/>
      <c r="BW1892" s="20"/>
      <c r="BX1892" s="154"/>
      <c r="BY1892" s="18"/>
      <c r="BZ1892" s="146"/>
      <c r="CA1892" s="18"/>
      <c r="CB1892" s="18"/>
      <c r="CC1892" s="20"/>
      <c r="CD1892" s="154"/>
    </row>
    <row r="1893" spans="35:82">
      <c r="AI1893" s="19"/>
      <c r="AO1893" s="19"/>
      <c r="AY1893" s="145"/>
      <c r="AZ1893" s="16"/>
      <c r="BC1893" s="16"/>
      <c r="BD1893" s="20"/>
      <c r="BE1893" s="17"/>
      <c r="BF1893" s="20"/>
      <c r="BG1893" s="146"/>
      <c r="BH1893" s="146"/>
      <c r="BI1893" s="146"/>
      <c r="BJ1893" s="20"/>
      <c r="BK1893" s="20"/>
      <c r="BL1893" s="154"/>
      <c r="BP1893" s="20"/>
      <c r="BQ1893" s="154"/>
      <c r="BR1893" s="18"/>
      <c r="BS1893" s="16"/>
      <c r="BT1893" s="18"/>
      <c r="BU1893" s="18"/>
      <c r="BV1893" s="18"/>
      <c r="BW1893" s="20"/>
      <c r="BX1893" s="154"/>
      <c r="BY1893" s="18"/>
      <c r="BZ1893" s="146"/>
      <c r="CA1893" s="18"/>
      <c r="CB1893" s="18"/>
      <c r="CC1893" s="20"/>
      <c r="CD1893" s="154"/>
    </row>
    <row r="1894" spans="35:82">
      <c r="AI1894" s="19"/>
      <c r="AO1894" s="19"/>
      <c r="AY1894" s="145"/>
      <c r="AZ1894" s="16"/>
      <c r="BC1894" s="16"/>
      <c r="BD1894" s="20"/>
      <c r="BE1894" s="17"/>
      <c r="BF1894" s="20"/>
      <c r="BG1894" s="146"/>
      <c r="BH1894" s="146"/>
      <c r="BI1894" s="146"/>
      <c r="BJ1894" s="20"/>
      <c r="BK1894" s="20"/>
      <c r="BL1894" s="154"/>
      <c r="BP1894" s="20"/>
      <c r="BQ1894" s="154"/>
      <c r="BR1894" s="18"/>
      <c r="BS1894" s="16"/>
      <c r="BT1894" s="18"/>
      <c r="BU1894" s="18"/>
      <c r="BV1894" s="18"/>
      <c r="BW1894" s="20"/>
      <c r="BX1894" s="154"/>
      <c r="BY1894" s="18"/>
      <c r="BZ1894" s="146"/>
      <c r="CA1894" s="18"/>
      <c r="CB1894" s="18"/>
      <c r="CC1894" s="20"/>
      <c r="CD1894" s="154"/>
    </row>
    <row r="1895" spans="35:82">
      <c r="AI1895" s="19"/>
      <c r="AO1895" s="19"/>
      <c r="AY1895" s="145"/>
      <c r="AZ1895" s="16"/>
      <c r="BC1895" s="16"/>
      <c r="BD1895" s="20"/>
      <c r="BE1895" s="17"/>
      <c r="BF1895" s="20"/>
      <c r="BG1895" s="146"/>
      <c r="BH1895" s="146"/>
      <c r="BI1895" s="146"/>
      <c r="BJ1895" s="20"/>
      <c r="BK1895" s="20"/>
      <c r="BL1895" s="154"/>
      <c r="BP1895" s="20"/>
      <c r="BQ1895" s="154"/>
      <c r="BR1895" s="18"/>
      <c r="BS1895" s="16"/>
      <c r="BT1895" s="18"/>
      <c r="BU1895" s="18"/>
      <c r="BV1895" s="18"/>
      <c r="BW1895" s="20"/>
      <c r="BX1895" s="154"/>
      <c r="BY1895" s="18"/>
      <c r="BZ1895" s="146"/>
      <c r="CA1895" s="18"/>
      <c r="CB1895" s="18"/>
      <c r="CC1895" s="20"/>
      <c r="CD1895" s="154"/>
    </row>
    <row r="1896" spans="35:82">
      <c r="AI1896" s="19"/>
      <c r="AO1896" s="19"/>
      <c r="AY1896" s="145"/>
      <c r="AZ1896" s="16"/>
      <c r="BC1896" s="16"/>
      <c r="BD1896" s="20"/>
      <c r="BE1896" s="17"/>
      <c r="BF1896" s="20"/>
      <c r="BG1896" s="146"/>
      <c r="BH1896" s="146"/>
      <c r="BI1896" s="146"/>
      <c r="BJ1896" s="20"/>
      <c r="BK1896" s="20"/>
      <c r="BL1896" s="154"/>
      <c r="BP1896" s="20"/>
      <c r="BQ1896" s="154"/>
      <c r="BR1896" s="18"/>
      <c r="BS1896" s="16"/>
      <c r="BT1896" s="18"/>
      <c r="BU1896" s="18"/>
      <c r="BV1896" s="18"/>
      <c r="BW1896" s="20"/>
      <c r="BX1896" s="154"/>
      <c r="BY1896" s="18"/>
      <c r="BZ1896" s="146"/>
      <c r="CA1896" s="18"/>
      <c r="CB1896" s="18"/>
      <c r="CC1896" s="20"/>
      <c r="CD1896" s="154"/>
    </row>
    <row r="1897" spans="35:82">
      <c r="AI1897" s="19"/>
      <c r="AO1897" s="19"/>
      <c r="AY1897" s="145"/>
      <c r="AZ1897" s="16"/>
      <c r="BC1897" s="16"/>
      <c r="BD1897" s="20"/>
      <c r="BE1897" s="17"/>
      <c r="BF1897" s="20"/>
      <c r="BG1897" s="146"/>
      <c r="BH1897" s="146"/>
      <c r="BI1897" s="146"/>
      <c r="BJ1897" s="20"/>
      <c r="BK1897" s="20"/>
      <c r="BL1897" s="154"/>
      <c r="BP1897" s="20"/>
      <c r="BQ1897" s="154"/>
      <c r="BR1897" s="18"/>
      <c r="BS1897" s="16"/>
      <c r="BT1897" s="18"/>
      <c r="BU1897" s="18"/>
      <c r="BV1897" s="18"/>
      <c r="BW1897" s="20"/>
      <c r="BX1897" s="154"/>
      <c r="BY1897" s="18"/>
      <c r="BZ1897" s="146"/>
      <c r="CA1897" s="18"/>
      <c r="CB1897" s="18"/>
      <c r="CC1897" s="20"/>
      <c r="CD1897" s="154"/>
    </row>
    <row r="1898" spans="35:82">
      <c r="AI1898" s="19"/>
      <c r="AO1898" s="19"/>
      <c r="AY1898" s="145"/>
      <c r="AZ1898" s="16"/>
      <c r="BC1898" s="16"/>
      <c r="BD1898" s="20"/>
      <c r="BE1898" s="17"/>
      <c r="BF1898" s="20"/>
      <c r="BG1898" s="146"/>
      <c r="BH1898" s="146"/>
      <c r="BI1898" s="146"/>
      <c r="BJ1898" s="20"/>
      <c r="BK1898" s="20"/>
      <c r="BL1898" s="154"/>
      <c r="BP1898" s="20"/>
      <c r="BQ1898" s="154"/>
      <c r="BR1898" s="18"/>
      <c r="BS1898" s="16"/>
      <c r="BT1898" s="18"/>
      <c r="BU1898" s="18"/>
      <c r="BV1898" s="18"/>
      <c r="BW1898" s="20"/>
      <c r="BX1898" s="154"/>
      <c r="BY1898" s="18"/>
      <c r="BZ1898" s="146"/>
      <c r="CA1898" s="18"/>
      <c r="CB1898" s="18"/>
      <c r="CC1898" s="20"/>
      <c r="CD1898" s="154"/>
    </row>
    <row r="1899" spans="35:82">
      <c r="AI1899" s="19"/>
      <c r="AO1899" s="19"/>
      <c r="AY1899" s="145"/>
      <c r="AZ1899" s="16"/>
      <c r="BC1899" s="16"/>
      <c r="BD1899" s="20"/>
      <c r="BE1899" s="17"/>
      <c r="BF1899" s="20"/>
      <c r="BG1899" s="146"/>
      <c r="BH1899" s="146"/>
      <c r="BI1899" s="146"/>
      <c r="BJ1899" s="20"/>
      <c r="BK1899" s="20"/>
      <c r="BL1899" s="154"/>
      <c r="BP1899" s="20"/>
      <c r="BQ1899" s="154"/>
      <c r="BR1899" s="18"/>
      <c r="BS1899" s="16"/>
      <c r="BT1899" s="18"/>
      <c r="BU1899" s="18"/>
      <c r="BV1899" s="18"/>
      <c r="BW1899" s="20"/>
      <c r="BX1899" s="154"/>
      <c r="BY1899" s="18"/>
      <c r="BZ1899" s="146"/>
      <c r="CA1899" s="18"/>
      <c r="CB1899" s="18"/>
      <c r="CC1899" s="20"/>
      <c r="CD1899" s="154"/>
    </row>
    <row r="1900" spans="35:82">
      <c r="AI1900" s="19"/>
      <c r="AO1900" s="19"/>
      <c r="AY1900" s="145"/>
      <c r="AZ1900" s="16"/>
      <c r="BC1900" s="16"/>
      <c r="BD1900" s="20"/>
      <c r="BE1900" s="17"/>
      <c r="BF1900" s="20"/>
      <c r="BG1900" s="146"/>
      <c r="BH1900" s="146"/>
      <c r="BI1900" s="146"/>
      <c r="BJ1900" s="20"/>
      <c r="BK1900" s="20"/>
      <c r="BL1900" s="154"/>
      <c r="BP1900" s="20"/>
      <c r="BQ1900" s="154"/>
      <c r="BR1900" s="18"/>
      <c r="BS1900" s="16"/>
      <c r="BT1900" s="18"/>
      <c r="BU1900" s="18"/>
      <c r="BV1900" s="18"/>
      <c r="BW1900" s="20"/>
      <c r="BX1900" s="154"/>
      <c r="BY1900" s="18"/>
      <c r="BZ1900" s="146"/>
      <c r="CA1900" s="18"/>
      <c r="CB1900" s="18"/>
      <c r="CC1900" s="20"/>
      <c r="CD1900" s="154"/>
    </row>
    <row r="1901" spans="35:82">
      <c r="AI1901" s="19"/>
      <c r="AO1901" s="19"/>
      <c r="AY1901" s="145"/>
      <c r="AZ1901" s="16"/>
      <c r="BC1901" s="16"/>
      <c r="BD1901" s="20"/>
      <c r="BE1901" s="17"/>
      <c r="BF1901" s="20"/>
      <c r="BG1901" s="146"/>
      <c r="BH1901" s="146"/>
      <c r="BI1901" s="146"/>
      <c r="BJ1901" s="20"/>
      <c r="BK1901" s="20"/>
      <c r="BL1901" s="154"/>
      <c r="BP1901" s="20"/>
      <c r="BQ1901" s="154"/>
      <c r="BR1901" s="18"/>
      <c r="BS1901" s="16"/>
      <c r="BT1901" s="18"/>
      <c r="BU1901" s="18"/>
      <c r="BV1901" s="18"/>
      <c r="BW1901" s="20"/>
      <c r="BX1901" s="154"/>
      <c r="BY1901" s="18"/>
      <c r="BZ1901" s="146"/>
      <c r="CA1901" s="18"/>
      <c r="CB1901" s="18"/>
      <c r="CC1901" s="20"/>
      <c r="CD1901" s="154"/>
    </row>
    <row r="1902" spans="35:82">
      <c r="AI1902" s="19"/>
      <c r="AO1902" s="19"/>
      <c r="AY1902" s="145"/>
      <c r="AZ1902" s="16"/>
      <c r="BC1902" s="16"/>
      <c r="BD1902" s="20"/>
      <c r="BE1902" s="17"/>
      <c r="BF1902" s="20"/>
      <c r="BG1902" s="146"/>
      <c r="BH1902" s="146"/>
      <c r="BI1902" s="146"/>
      <c r="BJ1902" s="20"/>
      <c r="BK1902" s="20"/>
      <c r="BL1902" s="154"/>
      <c r="BP1902" s="20"/>
      <c r="BQ1902" s="154"/>
      <c r="BR1902" s="18"/>
      <c r="BS1902" s="16"/>
      <c r="BT1902" s="18"/>
      <c r="BU1902" s="18"/>
      <c r="BV1902" s="18"/>
      <c r="BW1902" s="20"/>
      <c r="BX1902" s="154"/>
      <c r="BY1902" s="18"/>
      <c r="BZ1902" s="146"/>
      <c r="CA1902" s="18"/>
      <c r="CB1902" s="18"/>
      <c r="CC1902" s="20"/>
      <c r="CD1902" s="154"/>
    </row>
    <row r="1903" spans="35:82">
      <c r="AI1903" s="19"/>
      <c r="AO1903" s="19"/>
      <c r="AY1903" s="145"/>
      <c r="AZ1903" s="16"/>
      <c r="BC1903" s="16"/>
      <c r="BD1903" s="20"/>
      <c r="BE1903" s="17"/>
      <c r="BF1903" s="20"/>
      <c r="BG1903" s="146"/>
      <c r="BH1903" s="146"/>
      <c r="BI1903" s="146"/>
      <c r="BJ1903" s="20"/>
      <c r="BK1903" s="20"/>
      <c r="BL1903" s="154"/>
      <c r="BP1903" s="20"/>
      <c r="BQ1903" s="154"/>
      <c r="BR1903" s="18"/>
      <c r="BS1903" s="16"/>
      <c r="BT1903" s="18"/>
      <c r="BU1903" s="18"/>
      <c r="BV1903" s="18"/>
      <c r="BW1903" s="20"/>
      <c r="BX1903" s="154"/>
      <c r="BY1903" s="18"/>
      <c r="BZ1903" s="146"/>
      <c r="CA1903" s="18"/>
      <c r="CB1903" s="18"/>
      <c r="CC1903" s="20"/>
      <c r="CD1903" s="154"/>
    </row>
    <row r="1904" spans="35:82">
      <c r="AI1904" s="19"/>
      <c r="AO1904" s="19"/>
      <c r="AY1904" s="145"/>
      <c r="AZ1904" s="16"/>
      <c r="BC1904" s="16"/>
      <c r="BD1904" s="20"/>
      <c r="BE1904" s="17"/>
      <c r="BF1904" s="20"/>
      <c r="BG1904" s="146"/>
      <c r="BH1904" s="146"/>
      <c r="BI1904" s="146"/>
      <c r="BJ1904" s="20"/>
      <c r="BK1904" s="20"/>
      <c r="BL1904" s="154"/>
      <c r="BP1904" s="20"/>
      <c r="BQ1904" s="154"/>
      <c r="BR1904" s="18"/>
      <c r="BS1904" s="16"/>
      <c r="BT1904" s="18"/>
      <c r="BU1904" s="18"/>
      <c r="BV1904" s="18"/>
      <c r="BW1904" s="20"/>
      <c r="BX1904" s="154"/>
      <c r="BY1904" s="18"/>
      <c r="BZ1904" s="146"/>
      <c r="CA1904" s="18"/>
      <c r="CB1904" s="18"/>
      <c r="CC1904" s="20"/>
      <c r="CD1904" s="154"/>
    </row>
    <row r="1905" spans="35:82">
      <c r="AI1905" s="19"/>
      <c r="AO1905" s="19"/>
      <c r="AY1905" s="145"/>
      <c r="AZ1905" s="16"/>
      <c r="BC1905" s="16"/>
      <c r="BD1905" s="20"/>
      <c r="BE1905" s="17"/>
      <c r="BF1905" s="20"/>
      <c r="BG1905" s="146"/>
      <c r="BH1905" s="146"/>
      <c r="BI1905" s="146"/>
      <c r="BJ1905" s="20"/>
      <c r="BK1905" s="20"/>
      <c r="BL1905" s="154"/>
      <c r="BP1905" s="20"/>
      <c r="BQ1905" s="154"/>
      <c r="BR1905" s="18"/>
      <c r="BS1905" s="16"/>
      <c r="BT1905" s="18"/>
      <c r="BU1905" s="18"/>
      <c r="BV1905" s="18"/>
      <c r="BW1905" s="20"/>
      <c r="BX1905" s="154"/>
      <c r="BY1905" s="18"/>
      <c r="BZ1905" s="146"/>
      <c r="CA1905" s="18"/>
      <c r="CB1905" s="18"/>
      <c r="CC1905" s="20"/>
      <c r="CD1905" s="154"/>
    </row>
    <row r="1906" spans="35:82">
      <c r="AI1906" s="19"/>
      <c r="AO1906" s="19"/>
      <c r="AY1906" s="145"/>
      <c r="AZ1906" s="16"/>
      <c r="BC1906" s="16"/>
      <c r="BD1906" s="20"/>
      <c r="BE1906" s="17"/>
      <c r="BF1906" s="20"/>
      <c r="BG1906" s="146"/>
      <c r="BH1906" s="146"/>
      <c r="BI1906" s="146"/>
      <c r="BJ1906" s="20"/>
      <c r="BK1906" s="20"/>
      <c r="BL1906" s="154"/>
      <c r="BP1906" s="20"/>
      <c r="BQ1906" s="154"/>
      <c r="BR1906" s="18"/>
      <c r="BS1906" s="16"/>
      <c r="BT1906" s="18"/>
      <c r="BU1906" s="18"/>
      <c r="BV1906" s="18"/>
      <c r="BW1906" s="20"/>
      <c r="BX1906" s="154"/>
      <c r="BY1906" s="18"/>
      <c r="BZ1906" s="146"/>
      <c r="CA1906" s="18"/>
      <c r="CB1906" s="18"/>
      <c r="CC1906" s="20"/>
      <c r="CD1906" s="154"/>
    </row>
    <row r="1907" spans="35:82">
      <c r="AI1907" s="19"/>
      <c r="AO1907" s="19"/>
      <c r="AY1907" s="145"/>
      <c r="AZ1907" s="16"/>
      <c r="BC1907" s="16"/>
      <c r="BD1907" s="20"/>
      <c r="BE1907" s="17"/>
      <c r="BF1907" s="20"/>
      <c r="BG1907" s="146"/>
      <c r="BH1907" s="146"/>
      <c r="BI1907" s="146"/>
      <c r="BJ1907" s="20"/>
      <c r="BK1907" s="20"/>
      <c r="BL1907" s="154"/>
      <c r="BP1907" s="20"/>
      <c r="BQ1907" s="154"/>
      <c r="BR1907" s="18"/>
      <c r="BS1907" s="16"/>
      <c r="BT1907" s="18"/>
      <c r="BU1907" s="18"/>
      <c r="BV1907" s="18"/>
      <c r="BW1907" s="20"/>
      <c r="BX1907" s="154"/>
      <c r="BY1907" s="18"/>
      <c r="BZ1907" s="146"/>
      <c r="CA1907" s="18"/>
      <c r="CB1907" s="18"/>
      <c r="CC1907" s="20"/>
      <c r="CD1907" s="154"/>
    </row>
    <row r="1908" spans="35:82">
      <c r="AI1908" s="19"/>
      <c r="AO1908" s="19"/>
      <c r="AY1908" s="145"/>
      <c r="AZ1908" s="16"/>
      <c r="BC1908" s="16"/>
      <c r="BD1908" s="20"/>
      <c r="BE1908" s="17"/>
      <c r="BF1908" s="20"/>
      <c r="BG1908" s="146"/>
      <c r="BH1908" s="146"/>
      <c r="BI1908" s="146"/>
      <c r="BJ1908" s="20"/>
      <c r="BK1908" s="20"/>
      <c r="BL1908" s="154"/>
      <c r="BP1908" s="20"/>
      <c r="BQ1908" s="154"/>
      <c r="BR1908" s="18"/>
      <c r="BS1908" s="16"/>
      <c r="BT1908" s="18"/>
      <c r="BU1908" s="18"/>
      <c r="BV1908" s="18"/>
      <c r="BW1908" s="20"/>
      <c r="BX1908" s="154"/>
      <c r="BY1908" s="18"/>
      <c r="BZ1908" s="146"/>
      <c r="CA1908" s="18"/>
      <c r="CB1908" s="18"/>
      <c r="CC1908" s="20"/>
      <c r="CD1908" s="154"/>
    </row>
    <row r="1909" spans="35:82">
      <c r="AI1909" s="19"/>
      <c r="AO1909" s="19"/>
      <c r="AY1909" s="145"/>
      <c r="AZ1909" s="16"/>
      <c r="BC1909" s="16"/>
      <c r="BD1909" s="20"/>
      <c r="BE1909" s="17"/>
      <c r="BF1909" s="20"/>
      <c r="BG1909" s="146"/>
      <c r="BH1909" s="146"/>
      <c r="BI1909" s="146"/>
      <c r="BJ1909" s="20"/>
      <c r="BK1909" s="20"/>
      <c r="BL1909" s="154"/>
      <c r="BP1909" s="20"/>
      <c r="BQ1909" s="154"/>
      <c r="BR1909" s="18"/>
      <c r="BS1909" s="16"/>
      <c r="BT1909" s="18"/>
      <c r="BU1909" s="18"/>
      <c r="BV1909" s="18"/>
      <c r="BW1909" s="20"/>
      <c r="BX1909" s="154"/>
      <c r="BY1909" s="18"/>
      <c r="BZ1909" s="146"/>
      <c r="CA1909" s="18"/>
      <c r="CB1909" s="18"/>
      <c r="CC1909" s="20"/>
      <c r="CD1909" s="154"/>
    </row>
    <row r="1910" spans="35:82">
      <c r="AI1910" s="19"/>
      <c r="AO1910" s="19"/>
      <c r="AY1910" s="145"/>
      <c r="AZ1910" s="16"/>
      <c r="BC1910" s="16"/>
      <c r="BD1910" s="20"/>
      <c r="BE1910" s="17"/>
      <c r="BF1910" s="20"/>
      <c r="BG1910" s="146"/>
      <c r="BH1910" s="146"/>
      <c r="BI1910" s="146"/>
      <c r="BJ1910" s="20"/>
      <c r="BK1910" s="20"/>
      <c r="BL1910" s="154"/>
      <c r="BP1910" s="20"/>
      <c r="BQ1910" s="154"/>
      <c r="BR1910" s="18"/>
      <c r="BS1910" s="16"/>
      <c r="BT1910" s="18"/>
      <c r="BU1910" s="18"/>
      <c r="BV1910" s="18"/>
      <c r="BW1910" s="20"/>
      <c r="BX1910" s="154"/>
      <c r="BY1910" s="18"/>
      <c r="BZ1910" s="146"/>
      <c r="CA1910" s="18"/>
      <c r="CB1910" s="18"/>
      <c r="CC1910" s="20"/>
      <c r="CD1910" s="154"/>
    </row>
    <row r="1911" spans="35:82">
      <c r="AI1911" s="19"/>
      <c r="AO1911" s="19"/>
      <c r="AY1911" s="145"/>
      <c r="AZ1911" s="16"/>
      <c r="BC1911" s="16"/>
      <c r="BD1911" s="20"/>
      <c r="BE1911" s="17"/>
      <c r="BF1911" s="20"/>
      <c r="BG1911" s="146"/>
      <c r="BH1911" s="146"/>
      <c r="BI1911" s="146"/>
      <c r="BJ1911" s="20"/>
      <c r="BK1911" s="20"/>
      <c r="BL1911" s="154"/>
      <c r="BP1911" s="20"/>
      <c r="BQ1911" s="154"/>
      <c r="BR1911" s="18"/>
      <c r="BS1911" s="16"/>
      <c r="BT1911" s="18"/>
      <c r="BU1911" s="18"/>
      <c r="BV1911" s="18"/>
      <c r="BW1911" s="20"/>
      <c r="BX1911" s="154"/>
      <c r="BY1911" s="18"/>
      <c r="BZ1911" s="146"/>
      <c r="CA1911" s="18"/>
      <c r="CB1911" s="18"/>
      <c r="CC1911" s="20"/>
      <c r="CD1911" s="154"/>
    </row>
    <row r="1912" spans="35:82">
      <c r="AI1912" s="19"/>
      <c r="AO1912" s="19"/>
      <c r="AY1912" s="145"/>
      <c r="AZ1912" s="16"/>
      <c r="BC1912" s="16"/>
      <c r="BD1912" s="20"/>
      <c r="BE1912" s="17"/>
      <c r="BF1912" s="20"/>
      <c r="BG1912" s="146"/>
      <c r="BH1912" s="146"/>
      <c r="BI1912" s="146"/>
      <c r="BJ1912" s="20"/>
      <c r="BK1912" s="20"/>
      <c r="BL1912" s="154"/>
      <c r="BP1912" s="20"/>
      <c r="BQ1912" s="154"/>
      <c r="BR1912" s="18"/>
      <c r="BS1912" s="16"/>
      <c r="BT1912" s="18"/>
      <c r="BU1912" s="18"/>
      <c r="BV1912" s="18"/>
      <c r="BW1912" s="20"/>
      <c r="BX1912" s="154"/>
      <c r="BY1912" s="18"/>
      <c r="BZ1912" s="146"/>
      <c r="CA1912" s="18"/>
      <c r="CB1912" s="18"/>
      <c r="CC1912" s="20"/>
      <c r="CD1912" s="154"/>
    </row>
    <row r="1913" spans="35:82">
      <c r="AI1913" s="19"/>
      <c r="AO1913" s="19"/>
      <c r="AY1913" s="145"/>
      <c r="AZ1913" s="16"/>
      <c r="BC1913" s="16"/>
      <c r="BD1913" s="20"/>
      <c r="BE1913" s="17"/>
      <c r="BF1913" s="20"/>
      <c r="BG1913" s="146"/>
      <c r="BH1913" s="146"/>
      <c r="BI1913" s="146"/>
      <c r="BJ1913" s="20"/>
      <c r="BK1913" s="20"/>
      <c r="BL1913" s="154"/>
      <c r="BP1913" s="20"/>
      <c r="BQ1913" s="154"/>
      <c r="BR1913" s="18"/>
      <c r="BS1913" s="16"/>
      <c r="BT1913" s="18"/>
      <c r="BU1913" s="18"/>
      <c r="BV1913" s="18"/>
      <c r="BW1913" s="20"/>
      <c r="BX1913" s="154"/>
      <c r="BY1913" s="18"/>
      <c r="BZ1913" s="146"/>
      <c r="CA1913" s="18"/>
      <c r="CB1913" s="18"/>
      <c r="CC1913" s="20"/>
      <c r="CD1913" s="154"/>
    </row>
    <row r="1914" spans="35:82">
      <c r="AI1914" s="19"/>
      <c r="AO1914" s="19"/>
      <c r="AY1914" s="145"/>
      <c r="AZ1914" s="16"/>
      <c r="BC1914" s="16"/>
      <c r="BD1914" s="20"/>
      <c r="BE1914" s="17"/>
      <c r="BF1914" s="20"/>
      <c r="BG1914" s="146"/>
      <c r="BH1914" s="146"/>
      <c r="BI1914" s="146"/>
      <c r="BJ1914" s="20"/>
      <c r="BK1914" s="20"/>
      <c r="BL1914" s="154"/>
      <c r="BP1914" s="20"/>
      <c r="BQ1914" s="154"/>
      <c r="BR1914" s="18"/>
      <c r="BS1914" s="16"/>
      <c r="BT1914" s="18"/>
      <c r="BU1914" s="18"/>
      <c r="BV1914" s="18"/>
      <c r="BW1914" s="20"/>
      <c r="BX1914" s="154"/>
      <c r="BY1914" s="18"/>
      <c r="BZ1914" s="146"/>
      <c r="CA1914" s="18"/>
      <c r="CB1914" s="18"/>
      <c r="CC1914" s="20"/>
      <c r="CD1914" s="154"/>
    </row>
    <row r="1915" spans="35:82">
      <c r="AI1915" s="19"/>
      <c r="AO1915" s="19"/>
      <c r="AY1915" s="145"/>
      <c r="AZ1915" s="16"/>
      <c r="BC1915" s="16"/>
      <c r="BD1915" s="20"/>
      <c r="BE1915" s="17"/>
      <c r="BF1915" s="20"/>
      <c r="BG1915" s="146"/>
      <c r="BH1915" s="146"/>
      <c r="BI1915" s="146"/>
      <c r="BJ1915" s="20"/>
      <c r="BK1915" s="20"/>
      <c r="BL1915" s="154"/>
      <c r="BP1915" s="20"/>
      <c r="BQ1915" s="154"/>
      <c r="BR1915" s="18"/>
      <c r="BS1915" s="16"/>
      <c r="BT1915" s="18"/>
      <c r="BU1915" s="18"/>
      <c r="BV1915" s="18"/>
      <c r="BW1915" s="20"/>
      <c r="BX1915" s="154"/>
      <c r="BY1915" s="18"/>
      <c r="BZ1915" s="146"/>
      <c r="CA1915" s="18"/>
      <c r="CB1915" s="18"/>
      <c r="CC1915" s="20"/>
      <c r="CD1915" s="154"/>
    </row>
    <row r="1916" spans="35:82">
      <c r="AI1916" s="19"/>
      <c r="AO1916" s="19"/>
      <c r="AY1916" s="145"/>
      <c r="AZ1916" s="16"/>
      <c r="BC1916" s="16"/>
      <c r="BD1916" s="20"/>
      <c r="BE1916" s="17"/>
      <c r="BF1916" s="20"/>
      <c r="BG1916" s="146"/>
      <c r="BH1916" s="146"/>
      <c r="BI1916" s="146"/>
      <c r="BJ1916" s="20"/>
      <c r="BK1916" s="20"/>
      <c r="BL1916" s="154"/>
      <c r="BP1916" s="20"/>
      <c r="BQ1916" s="154"/>
      <c r="BR1916" s="18"/>
      <c r="BS1916" s="16"/>
      <c r="BT1916" s="18"/>
      <c r="BU1916" s="18"/>
      <c r="BV1916" s="18"/>
      <c r="BW1916" s="20"/>
      <c r="BX1916" s="154"/>
      <c r="BY1916" s="18"/>
      <c r="BZ1916" s="146"/>
      <c r="CA1916" s="18"/>
      <c r="CB1916" s="18"/>
      <c r="CC1916" s="20"/>
      <c r="CD1916" s="154"/>
    </row>
    <row r="1917" spans="35:82">
      <c r="AI1917" s="19"/>
      <c r="AO1917" s="19"/>
      <c r="AY1917" s="145"/>
      <c r="AZ1917" s="16"/>
      <c r="BC1917" s="16"/>
      <c r="BD1917" s="20"/>
      <c r="BE1917" s="17"/>
      <c r="BF1917" s="20"/>
      <c r="BG1917" s="146"/>
      <c r="BH1917" s="146"/>
      <c r="BI1917" s="146"/>
      <c r="BJ1917" s="20"/>
      <c r="BK1917" s="20"/>
      <c r="BL1917" s="154"/>
      <c r="BP1917" s="20"/>
      <c r="BQ1917" s="154"/>
      <c r="BR1917" s="18"/>
      <c r="BS1917" s="16"/>
      <c r="BT1917" s="18"/>
      <c r="BU1917" s="18"/>
      <c r="BV1917" s="18"/>
      <c r="BW1917" s="20"/>
      <c r="BX1917" s="154"/>
      <c r="BY1917" s="18"/>
      <c r="BZ1917" s="146"/>
      <c r="CA1917" s="18"/>
      <c r="CB1917" s="18"/>
      <c r="CC1917" s="20"/>
      <c r="CD1917" s="154"/>
    </row>
    <row r="1918" spans="35:82">
      <c r="AI1918" s="19"/>
      <c r="AO1918" s="19"/>
      <c r="AY1918" s="145"/>
      <c r="AZ1918" s="16"/>
      <c r="BC1918" s="16"/>
      <c r="BD1918" s="20"/>
      <c r="BE1918" s="17"/>
      <c r="BF1918" s="20"/>
      <c r="BG1918" s="146"/>
      <c r="BH1918" s="146"/>
      <c r="BI1918" s="146"/>
      <c r="BJ1918" s="20"/>
      <c r="BK1918" s="20"/>
      <c r="BL1918" s="154"/>
      <c r="BP1918" s="20"/>
      <c r="BQ1918" s="154"/>
      <c r="BR1918" s="18"/>
      <c r="BS1918" s="16"/>
      <c r="BT1918" s="18"/>
      <c r="BU1918" s="18"/>
      <c r="BV1918" s="18"/>
      <c r="BW1918" s="20"/>
      <c r="BX1918" s="154"/>
      <c r="BY1918" s="18"/>
      <c r="BZ1918" s="146"/>
      <c r="CA1918" s="18"/>
      <c r="CB1918" s="18"/>
      <c r="CC1918" s="20"/>
      <c r="CD1918" s="154"/>
    </row>
    <row r="1919" spans="35:82">
      <c r="AI1919" s="19"/>
      <c r="AO1919" s="19"/>
      <c r="AY1919" s="145"/>
      <c r="AZ1919" s="16"/>
      <c r="BC1919" s="16"/>
      <c r="BD1919" s="20"/>
      <c r="BE1919" s="17"/>
      <c r="BF1919" s="20"/>
      <c r="BG1919" s="146"/>
      <c r="BH1919" s="146"/>
      <c r="BI1919" s="146"/>
      <c r="BJ1919" s="20"/>
      <c r="BK1919" s="20"/>
      <c r="BL1919" s="154"/>
      <c r="BP1919" s="20"/>
      <c r="BQ1919" s="154"/>
      <c r="BR1919" s="18"/>
      <c r="BS1919" s="16"/>
      <c r="BT1919" s="18"/>
      <c r="BU1919" s="18"/>
      <c r="BV1919" s="18"/>
      <c r="BW1919" s="20"/>
      <c r="BX1919" s="154"/>
      <c r="BY1919" s="18"/>
      <c r="BZ1919" s="146"/>
      <c r="CA1919" s="18"/>
      <c r="CB1919" s="18"/>
      <c r="CC1919" s="20"/>
      <c r="CD1919" s="154"/>
    </row>
    <row r="1920" spans="35:82">
      <c r="AI1920" s="19"/>
      <c r="AO1920" s="19"/>
      <c r="AY1920" s="145"/>
      <c r="AZ1920" s="16"/>
      <c r="BC1920" s="16"/>
      <c r="BD1920" s="20"/>
      <c r="BE1920" s="17"/>
      <c r="BF1920" s="20"/>
      <c r="BG1920" s="146"/>
      <c r="BH1920" s="146"/>
      <c r="BI1920" s="146"/>
      <c r="BJ1920" s="20"/>
      <c r="BK1920" s="20"/>
      <c r="BL1920" s="154"/>
      <c r="BP1920" s="20"/>
      <c r="BQ1920" s="154"/>
      <c r="BR1920" s="18"/>
      <c r="BS1920" s="16"/>
      <c r="BT1920" s="18"/>
      <c r="BU1920" s="18"/>
      <c r="BV1920" s="18"/>
      <c r="BW1920" s="20"/>
      <c r="BX1920" s="154"/>
      <c r="BY1920" s="18"/>
      <c r="BZ1920" s="146"/>
      <c r="CA1920" s="18"/>
      <c r="CB1920" s="18"/>
      <c r="CC1920" s="20"/>
      <c r="CD1920" s="154"/>
    </row>
    <row r="1921" spans="35:82">
      <c r="AI1921" s="19"/>
      <c r="AO1921" s="19"/>
      <c r="AY1921" s="145"/>
      <c r="AZ1921" s="16"/>
      <c r="BC1921" s="16"/>
      <c r="BD1921" s="20"/>
      <c r="BE1921" s="17"/>
      <c r="BF1921" s="20"/>
      <c r="BG1921" s="146"/>
      <c r="BH1921" s="146"/>
      <c r="BI1921" s="146"/>
      <c r="BJ1921" s="20"/>
      <c r="BK1921" s="20"/>
      <c r="BL1921" s="154"/>
      <c r="BP1921" s="20"/>
      <c r="BQ1921" s="154"/>
      <c r="BR1921" s="18"/>
      <c r="BS1921" s="16"/>
      <c r="BT1921" s="18"/>
      <c r="BU1921" s="18"/>
      <c r="BV1921" s="18"/>
      <c r="BW1921" s="20"/>
      <c r="BX1921" s="154"/>
      <c r="BY1921" s="18"/>
      <c r="BZ1921" s="146"/>
      <c r="CA1921" s="18"/>
      <c r="CB1921" s="18"/>
      <c r="CC1921" s="20"/>
      <c r="CD1921" s="154"/>
    </row>
    <row r="1922" spans="35:82">
      <c r="AI1922" s="19"/>
      <c r="AO1922" s="19"/>
      <c r="AY1922" s="145"/>
      <c r="AZ1922" s="16"/>
      <c r="BC1922" s="16"/>
      <c r="BD1922" s="20"/>
      <c r="BE1922" s="17"/>
      <c r="BF1922" s="20"/>
      <c r="BG1922" s="146"/>
      <c r="BH1922" s="146"/>
      <c r="BI1922" s="146"/>
      <c r="BJ1922" s="20"/>
      <c r="BK1922" s="20"/>
      <c r="BL1922" s="154"/>
      <c r="BP1922" s="20"/>
      <c r="BQ1922" s="154"/>
      <c r="BR1922" s="18"/>
      <c r="BS1922" s="16"/>
      <c r="BT1922" s="18"/>
      <c r="BU1922" s="18"/>
      <c r="BV1922" s="18"/>
      <c r="BW1922" s="20"/>
      <c r="BX1922" s="154"/>
      <c r="BY1922" s="18"/>
      <c r="BZ1922" s="146"/>
      <c r="CA1922" s="18"/>
      <c r="CB1922" s="18"/>
      <c r="CC1922" s="20"/>
      <c r="CD1922" s="154"/>
    </row>
    <row r="1923" spans="35:82">
      <c r="AI1923" s="19"/>
      <c r="AO1923" s="19"/>
      <c r="AY1923" s="145"/>
      <c r="AZ1923" s="16"/>
      <c r="BC1923" s="16"/>
      <c r="BD1923" s="20"/>
      <c r="BE1923" s="17"/>
      <c r="BF1923" s="20"/>
      <c r="BG1923" s="146"/>
      <c r="BH1923" s="146"/>
      <c r="BI1923" s="146"/>
      <c r="BJ1923" s="20"/>
      <c r="BK1923" s="20"/>
      <c r="BL1923" s="154"/>
      <c r="BP1923" s="20"/>
      <c r="BQ1923" s="154"/>
      <c r="BR1923" s="18"/>
      <c r="BS1923" s="16"/>
      <c r="BT1923" s="18"/>
      <c r="BU1923" s="18"/>
      <c r="BV1923" s="18"/>
      <c r="BW1923" s="20"/>
      <c r="BX1923" s="154"/>
      <c r="BY1923" s="18"/>
      <c r="BZ1923" s="146"/>
      <c r="CA1923" s="18"/>
      <c r="CB1923" s="18"/>
      <c r="CC1923" s="20"/>
      <c r="CD1923" s="154"/>
    </row>
    <row r="1924" spans="35:82">
      <c r="AI1924" s="19"/>
      <c r="AO1924" s="19"/>
      <c r="AY1924" s="145"/>
      <c r="AZ1924" s="16"/>
      <c r="BC1924" s="16"/>
      <c r="BD1924" s="20"/>
      <c r="BE1924" s="17"/>
      <c r="BF1924" s="20"/>
      <c r="BG1924" s="146"/>
      <c r="BH1924" s="146"/>
      <c r="BI1924" s="146"/>
      <c r="BJ1924" s="20"/>
      <c r="BK1924" s="20"/>
      <c r="BL1924" s="154"/>
      <c r="BP1924" s="20"/>
      <c r="BQ1924" s="154"/>
      <c r="BR1924" s="18"/>
      <c r="BS1924" s="16"/>
      <c r="BT1924" s="18"/>
      <c r="BU1924" s="18"/>
      <c r="BV1924" s="18"/>
      <c r="BW1924" s="20"/>
      <c r="BX1924" s="154"/>
      <c r="BY1924" s="18"/>
      <c r="BZ1924" s="146"/>
      <c r="CA1924" s="18"/>
      <c r="CB1924" s="18"/>
      <c r="CC1924" s="20"/>
      <c r="CD1924" s="154"/>
    </row>
    <row r="1925" spans="35:82">
      <c r="AI1925" s="19"/>
      <c r="AO1925" s="19"/>
      <c r="AY1925" s="145"/>
      <c r="AZ1925" s="16"/>
      <c r="BC1925" s="16"/>
      <c r="BD1925" s="20"/>
      <c r="BE1925" s="17"/>
      <c r="BF1925" s="20"/>
      <c r="BG1925" s="146"/>
      <c r="BH1925" s="146"/>
      <c r="BI1925" s="146"/>
      <c r="BJ1925" s="20"/>
      <c r="BK1925" s="20"/>
      <c r="BL1925" s="154"/>
      <c r="BP1925" s="20"/>
      <c r="BQ1925" s="154"/>
      <c r="BR1925" s="18"/>
      <c r="BS1925" s="16"/>
      <c r="BT1925" s="18"/>
      <c r="BU1925" s="18"/>
      <c r="BV1925" s="18"/>
      <c r="BW1925" s="20"/>
      <c r="BX1925" s="154"/>
      <c r="BY1925" s="18"/>
      <c r="BZ1925" s="146"/>
      <c r="CA1925" s="18"/>
      <c r="CB1925" s="18"/>
      <c r="CC1925" s="20"/>
      <c r="CD1925" s="154"/>
    </row>
    <row r="1926" spans="35:82">
      <c r="AI1926" s="19"/>
      <c r="AO1926" s="19"/>
      <c r="AY1926" s="145"/>
      <c r="AZ1926" s="16"/>
      <c r="BC1926" s="16"/>
      <c r="BD1926" s="20"/>
      <c r="BE1926" s="17"/>
      <c r="BF1926" s="20"/>
      <c r="BG1926" s="146"/>
      <c r="BH1926" s="146"/>
      <c r="BI1926" s="146"/>
      <c r="BJ1926" s="20"/>
      <c r="BK1926" s="20"/>
      <c r="BL1926" s="154"/>
      <c r="BP1926" s="20"/>
      <c r="BQ1926" s="154"/>
      <c r="BR1926" s="18"/>
      <c r="BS1926" s="16"/>
      <c r="BT1926" s="18"/>
      <c r="BU1926" s="18"/>
      <c r="BV1926" s="18"/>
      <c r="BW1926" s="20"/>
      <c r="BX1926" s="154"/>
      <c r="BY1926" s="18"/>
      <c r="BZ1926" s="146"/>
      <c r="CA1926" s="18"/>
      <c r="CB1926" s="18"/>
      <c r="CC1926" s="20"/>
      <c r="CD1926" s="154"/>
    </row>
    <row r="1927" spans="35:82">
      <c r="AI1927" s="19"/>
      <c r="AO1927" s="19"/>
      <c r="AY1927" s="145"/>
      <c r="AZ1927" s="16"/>
      <c r="BC1927" s="16"/>
      <c r="BD1927" s="20"/>
      <c r="BE1927" s="17"/>
      <c r="BF1927" s="20"/>
      <c r="BG1927" s="146"/>
      <c r="BH1927" s="146"/>
      <c r="BI1927" s="146"/>
      <c r="BJ1927" s="20"/>
      <c r="BK1927" s="20"/>
      <c r="BL1927" s="154"/>
      <c r="BP1927" s="20"/>
      <c r="BQ1927" s="154"/>
      <c r="BR1927" s="18"/>
      <c r="BS1927" s="16"/>
      <c r="BT1927" s="18"/>
      <c r="BU1927" s="18"/>
      <c r="BV1927" s="18"/>
      <c r="BW1927" s="20"/>
      <c r="BX1927" s="154"/>
      <c r="BY1927" s="18"/>
      <c r="BZ1927" s="146"/>
      <c r="CA1927" s="18"/>
      <c r="CB1927" s="18"/>
      <c r="CC1927" s="20"/>
      <c r="CD1927" s="154"/>
    </row>
    <row r="1928" spans="35:82">
      <c r="AI1928" s="19"/>
      <c r="AO1928" s="19"/>
      <c r="AY1928" s="145"/>
      <c r="AZ1928" s="16"/>
      <c r="BC1928" s="16"/>
      <c r="BD1928" s="20"/>
      <c r="BE1928" s="17"/>
      <c r="BF1928" s="20"/>
      <c r="BG1928" s="146"/>
      <c r="BH1928" s="146"/>
      <c r="BI1928" s="146"/>
      <c r="BJ1928" s="20"/>
      <c r="BK1928" s="20"/>
      <c r="BL1928" s="154"/>
      <c r="BP1928" s="20"/>
      <c r="BQ1928" s="154"/>
      <c r="BR1928" s="18"/>
      <c r="BS1928" s="16"/>
      <c r="BT1928" s="18"/>
      <c r="BU1928" s="18"/>
      <c r="BV1928" s="18"/>
      <c r="BW1928" s="20"/>
      <c r="BX1928" s="154"/>
      <c r="BY1928" s="18"/>
      <c r="BZ1928" s="146"/>
      <c r="CA1928" s="18"/>
      <c r="CB1928" s="18"/>
      <c r="CC1928" s="20"/>
      <c r="CD1928" s="154"/>
    </row>
    <row r="1929" spans="35:82">
      <c r="AI1929" s="19"/>
      <c r="AO1929" s="19"/>
      <c r="AY1929" s="145"/>
      <c r="AZ1929" s="16"/>
      <c r="BC1929" s="16"/>
      <c r="BD1929" s="20"/>
      <c r="BE1929" s="17"/>
      <c r="BF1929" s="20"/>
      <c r="BG1929" s="146"/>
      <c r="BH1929" s="146"/>
      <c r="BI1929" s="146"/>
      <c r="BJ1929" s="20"/>
      <c r="BK1929" s="20"/>
      <c r="BL1929" s="154"/>
      <c r="BP1929" s="20"/>
      <c r="BQ1929" s="154"/>
      <c r="BR1929" s="18"/>
      <c r="BS1929" s="16"/>
      <c r="BT1929" s="18"/>
      <c r="BU1929" s="18"/>
      <c r="BV1929" s="18"/>
      <c r="BW1929" s="20"/>
      <c r="BX1929" s="154"/>
      <c r="BY1929" s="18"/>
      <c r="BZ1929" s="146"/>
      <c r="CA1929" s="18"/>
      <c r="CB1929" s="18"/>
      <c r="CC1929" s="20"/>
      <c r="CD1929" s="154"/>
    </row>
    <row r="1930" spans="35:82">
      <c r="AI1930" s="19"/>
      <c r="AO1930" s="19"/>
      <c r="AY1930" s="145"/>
      <c r="AZ1930" s="16"/>
      <c r="BC1930" s="16"/>
      <c r="BD1930" s="20"/>
      <c r="BE1930" s="17"/>
      <c r="BF1930" s="20"/>
      <c r="BG1930" s="146"/>
      <c r="BH1930" s="146"/>
      <c r="BI1930" s="146"/>
      <c r="BJ1930" s="20"/>
      <c r="BK1930" s="20"/>
      <c r="BL1930" s="154"/>
      <c r="BP1930" s="20"/>
      <c r="BQ1930" s="154"/>
      <c r="BR1930" s="18"/>
      <c r="BS1930" s="16"/>
      <c r="BT1930" s="18"/>
      <c r="BU1930" s="18"/>
      <c r="BV1930" s="18"/>
      <c r="BW1930" s="20"/>
      <c r="BX1930" s="154"/>
      <c r="BY1930" s="18"/>
      <c r="BZ1930" s="146"/>
      <c r="CA1930" s="18"/>
      <c r="CB1930" s="18"/>
      <c r="CC1930" s="20"/>
      <c r="CD1930" s="154"/>
    </row>
    <row r="1931" spans="35:82">
      <c r="AI1931" s="19"/>
      <c r="AO1931" s="19"/>
      <c r="AY1931" s="145"/>
      <c r="AZ1931" s="16"/>
      <c r="BC1931" s="16"/>
      <c r="BD1931" s="20"/>
      <c r="BE1931" s="17"/>
      <c r="BF1931" s="20"/>
      <c r="BG1931" s="146"/>
      <c r="BH1931" s="146"/>
      <c r="BI1931" s="146"/>
      <c r="BJ1931" s="20"/>
      <c r="BK1931" s="20"/>
      <c r="BL1931" s="154"/>
      <c r="BP1931" s="20"/>
      <c r="BQ1931" s="154"/>
      <c r="BR1931" s="18"/>
      <c r="BS1931" s="16"/>
      <c r="BT1931" s="18"/>
      <c r="BU1931" s="18"/>
      <c r="BV1931" s="18"/>
      <c r="BW1931" s="20"/>
      <c r="BX1931" s="154"/>
      <c r="BY1931" s="18"/>
      <c r="BZ1931" s="146"/>
      <c r="CA1931" s="18"/>
      <c r="CB1931" s="18"/>
      <c r="CC1931" s="20"/>
      <c r="CD1931" s="154"/>
    </row>
    <row r="1932" spans="35:82">
      <c r="AI1932" s="19"/>
      <c r="AO1932" s="19"/>
      <c r="AY1932" s="145"/>
      <c r="AZ1932" s="16"/>
      <c r="BC1932" s="16"/>
      <c r="BD1932" s="20"/>
      <c r="BE1932" s="17"/>
      <c r="BF1932" s="20"/>
      <c r="BG1932" s="146"/>
      <c r="BH1932" s="146"/>
      <c r="BI1932" s="146"/>
      <c r="BJ1932" s="20"/>
      <c r="BK1932" s="20"/>
      <c r="BL1932" s="154"/>
      <c r="BP1932" s="20"/>
      <c r="BQ1932" s="154"/>
      <c r="BR1932" s="18"/>
      <c r="BS1932" s="16"/>
      <c r="BT1932" s="18"/>
      <c r="BU1932" s="18"/>
      <c r="BV1932" s="18"/>
      <c r="BW1932" s="20"/>
      <c r="BX1932" s="154"/>
      <c r="BY1932" s="18"/>
      <c r="BZ1932" s="146"/>
      <c r="CA1932" s="18"/>
      <c r="CB1932" s="18"/>
      <c r="CC1932" s="20"/>
      <c r="CD1932" s="154"/>
    </row>
    <row r="1933" spans="35:82">
      <c r="AI1933" s="19"/>
      <c r="AO1933" s="19"/>
      <c r="AY1933" s="145"/>
      <c r="AZ1933" s="16"/>
      <c r="BC1933" s="16"/>
      <c r="BD1933" s="20"/>
      <c r="BE1933" s="17"/>
      <c r="BF1933" s="20"/>
      <c r="BG1933" s="146"/>
      <c r="BH1933" s="146"/>
      <c r="BI1933" s="146"/>
      <c r="BJ1933" s="20"/>
      <c r="BK1933" s="20"/>
      <c r="BL1933" s="154"/>
      <c r="BP1933" s="20"/>
      <c r="BQ1933" s="154"/>
      <c r="BR1933" s="18"/>
      <c r="BS1933" s="16"/>
      <c r="BT1933" s="18"/>
      <c r="BU1933" s="18"/>
      <c r="BV1933" s="18"/>
      <c r="BW1933" s="20"/>
      <c r="BX1933" s="154"/>
      <c r="BY1933" s="18"/>
      <c r="BZ1933" s="146"/>
      <c r="CA1933" s="18"/>
      <c r="CB1933" s="18"/>
      <c r="CC1933" s="20"/>
      <c r="CD1933" s="154"/>
    </row>
    <row r="1934" spans="35:82">
      <c r="AI1934" s="19"/>
      <c r="AO1934" s="19"/>
      <c r="AY1934" s="145"/>
      <c r="AZ1934" s="16"/>
      <c r="BC1934" s="16"/>
      <c r="BD1934" s="20"/>
      <c r="BE1934" s="17"/>
      <c r="BF1934" s="20"/>
      <c r="BG1934" s="146"/>
      <c r="BH1934" s="146"/>
      <c r="BI1934" s="146"/>
      <c r="BJ1934" s="20"/>
      <c r="BK1934" s="20"/>
      <c r="BL1934" s="154"/>
      <c r="BP1934" s="20"/>
      <c r="BQ1934" s="154"/>
      <c r="BR1934" s="18"/>
      <c r="BS1934" s="16"/>
      <c r="BT1934" s="18"/>
      <c r="BU1934" s="18"/>
      <c r="BV1934" s="18"/>
      <c r="BW1934" s="20"/>
      <c r="BX1934" s="154"/>
      <c r="BY1934" s="18"/>
      <c r="BZ1934" s="146"/>
      <c r="CA1934" s="18"/>
      <c r="CB1934" s="18"/>
      <c r="CC1934" s="20"/>
      <c r="CD1934" s="154"/>
    </row>
    <row r="1935" spans="35:82">
      <c r="AI1935" s="19"/>
      <c r="AO1935" s="19"/>
      <c r="AY1935" s="145"/>
      <c r="AZ1935" s="16"/>
      <c r="BC1935" s="16"/>
      <c r="BD1935" s="20"/>
      <c r="BE1935" s="17"/>
      <c r="BF1935" s="20"/>
      <c r="BG1935" s="146"/>
      <c r="BH1935" s="146"/>
      <c r="BI1935" s="146"/>
      <c r="BJ1935" s="20"/>
      <c r="BK1935" s="20"/>
      <c r="BL1935" s="154"/>
      <c r="BP1935" s="20"/>
      <c r="BQ1935" s="154"/>
      <c r="BR1935" s="18"/>
      <c r="BS1935" s="16"/>
      <c r="BT1935" s="18"/>
      <c r="BU1935" s="18"/>
      <c r="BV1935" s="18"/>
      <c r="BW1935" s="20"/>
      <c r="BX1935" s="154"/>
      <c r="BY1935" s="18"/>
      <c r="BZ1935" s="146"/>
      <c r="CA1935" s="18"/>
      <c r="CB1935" s="18"/>
      <c r="CC1935" s="20"/>
      <c r="CD1935" s="154"/>
    </row>
    <row r="1936" spans="35:82">
      <c r="AI1936" s="19"/>
      <c r="AO1936" s="19"/>
      <c r="AY1936" s="145"/>
      <c r="AZ1936" s="16"/>
      <c r="BC1936" s="16"/>
      <c r="BD1936" s="20"/>
      <c r="BE1936" s="17"/>
      <c r="BF1936" s="20"/>
      <c r="BG1936" s="146"/>
      <c r="BH1936" s="146"/>
      <c r="BI1936" s="146"/>
      <c r="BJ1936" s="20"/>
      <c r="BK1936" s="20"/>
      <c r="BL1936" s="154"/>
      <c r="BP1936" s="20"/>
      <c r="BQ1936" s="154"/>
      <c r="BR1936" s="18"/>
      <c r="BS1936" s="16"/>
      <c r="BT1936" s="18"/>
      <c r="BU1936" s="18"/>
      <c r="BV1936" s="18"/>
      <c r="BW1936" s="20"/>
      <c r="BX1936" s="154"/>
      <c r="BY1936" s="18"/>
      <c r="BZ1936" s="146"/>
      <c r="CA1936" s="18"/>
      <c r="CB1936" s="18"/>
      <c r="CC1936" s="20"/>
      <c r="CD1936" s="154"/>
    </row>
    <row r="1937" spans="35:82">
      <c r="AI1937" s="19"/>
      <c r="AO1937" s="19"/>
      <c r="AY1937" s="145"/>
      <c r="AZ1937" s="16"/>
      <c r="BC1937" s="16"/>
      <c r="BD1937" s="20"/>
      <c r="BE1937" s="17"/>
      <c r="BF1937" s="20"/>
      <c r="BG1937" s="146"/>
      <c r="BH1937" s="146"/>
      <c r="BI1937" s="146"/>
      <c r="BJ1937" s="20"/>
      <c r="BK1937" s="20"/>
      <c r="BL1937" s="154"/>
      <c r="BP1937" s="20"/>
      <c r="BQ1937" s="154"/>
      <c r="BR1937" s="18"/>
      <c r="BS1937" s="16"/>
      <c r="BT1937" s="18"/>
      <c r="BU1937" s="18"/>
      <c r="BV1937" s="18"/>
      <c r="BW1937" s="20"/>
      <c r="BX1937" s="154"/>
      <c r="BY1937" s="18"/>
      <c r="BZ1937" s="146"/>
      <c r="CA1937" s="18"/>
      <c r="CB1937" s="18"/>
      <c r="CC1937" s="20"/>
      <c r="CD1937" s="154"/>
    </row>
    <row r="1938" spans="35:82">
      <c r="AI1938" s="19"/>
      <c r="AO1938" s="19"/>
      <c r="AY1938" s="145"/>
      <c r="AZ1938" s="16"/>
      <c r="BC1938" s="16"/>
      <c r="BD1938" s="20"/>
      <c r="BE1938" s="17"/>
      <c r="BF1938" s="20"/>
      <c r="BG1938" s="146"/>
      <c r="BH1938" s="146"/>
      <c r="BI1938" s="146"/>
      <c r="BJ1938" s="20"/>
      <c r="BK1938" s="20"/>
      <c r="BL1938" s="154"/>
      <c r="BP1938" s="20"/>
      <c r="BQ1938" s="154"/>
      <c r="BR1938" s="18"/>
      <c r="BS1938" s="16"/>
      <c r="BT1938" s="18"/>
      <c r="BU1938" s="18"/>
      <c r="BV1938" s="18"/>
      <c r="BW1938" s="20"/>
      <c r="BX1938" s="154"/>
      <c r="BY1938" s="18"/>
      <c r="BZ1938" s="146"/>
      <c r="CA1938" s="18"/>
      <c r="CB1938" s="18"/>
      <c r="CC1938" s="20"/>
      <c r="CD1938" s="154"/>
    </row>
    <row r="1939" spans="35:82">
      <c r="AI1939" s="19"/>
      <c r="AO1939" s="19"/>
      <c r="AY1939" s="145"/>
      <c r="AZ1939" s="16"/>
      <c r="BC1939" s="16"/>
      <c r="BD1939" s="20"/>
      <c r="BE1939" s="17"/>
      <c r="BF1939" s="20"/>
      <c r="BG1939" s="146"/>
      <c r="BH1939" s="146"/>
      <c r="BI1939" s="146"/>
      <c r="BJ1939" s="20"/>
      <c r="BK1939" s="20"/>
      <c r="BL1939" s="154"/>
      <c r="BP1939" s="20"/>
      <c r="BQ1939" s="154"/>
      <c r="BR1939" s="18"/>
      <c r="BS1939" s="16"/>
      <c r="BT1939" s="18"/>
      <c r="BU1939" s="18"/>
      <c r="BV1939" s="18"/>
      <c r="BW1939" s="20"/>
      <c r="BX1939" s="154"/>
      <c r="BY1939" s="18"/>
      <c r="BZ1939" s="146"/>
      <c r="CA1939" s="18"/>
      <c r="CB1939" s="18"/>
      <c r="CC1939" s="20"/>
      <c r="CD1939" s="154"/>
    </row>
    <row r="1940" spans="35:82">
      <c r="AI1940" s="19"/>
      <c r="AO1940" s="19"/>
      <c r="AY1940" s="145"/>
      <c r="AZ1940" s="16"/>
      <c r="BC1940" s="16"/>
      <c r="BD1940" s="20"/>
      <c r="BE1940" s="17"/>
      <c r="BF1940" s="20"/>
      <c r="BG1940" s="146"/>
      <c r="BH1940" s="146"/>
      <c r="BI1940" s="146"/>
      <c r="BJ1940" s="20"/>
      <c r="BK1940" s="20"/>
      <c r="BL1940" s="154"/>
      <c r="BP1940" s="20"/>
      <c r="BQ1940" s="154"/>
      <c r="BR1940" s="18"/>
      <c r="BS1940" s="16"/>
      <c r="BT1940" s="18"/>
      <c r="BU1940" s="18"/>
      <c r="BV1940" s="18"/>
      <c r="BW1940" s="20"/>
      <c r="BX1940" s="154"/>
      <c r="BY1940" s="18"/>
      <c r="BZ1940" s="146"/>
      <c r="CA1940" s="18"/>
      <c r="CB1940" s="18"/>
      <c r="CC1940" s="20"/>
      <c r="CD1940" s="154"/>
    </row>
    <row r="1941" spans="35:82">
      <c r="AI1941" s="19"/>
      <c r="AO1941" s="19"/>
      <c r="AY1941" s="145"/>
      <c r="AZ1941" s="16"/>
      <c r="BC1941" s="16"/>
      <c r="BD1941" s="20"/>
      <c r="BE1941" s="17"/>
      <c r="BF1941" s="20"/>
      <c r="BG1941" s="146"/>
      <c r="BH1941" s="146"/>
      <c r="BI1941" s="146"/>
      <c r="BJ1941" s="20"/>
      <c r="BK1941" s="20"/>
      <c r="BL1941" s="154"/>
      <c r="BP1941" s="20"/>
      <c r="BQ1941" s="154"/>
      <c r="BR1941" s="18"/>
      <c r="BS1941" s="16"/>
      <c r="BT1941" s="18"/>
      <c r="BU1941" s="18"/>
      <c r="BV1941" s="18"/>
      <c r="BW1941" s="20"/>
      <c r="BX1941" s="154"/>
      <c r="BY1941" s="18"/>
      <c r="BZ1941" s="146"/>
      <c r="CA1941" s="18"/>
      <c r="CB1941" s="18"/>
      <c r="CC1941" s="20"/>
      <c r="CD1941" s="154"/>
    </row>
    <row r="1942" spans="35:82">
      <c r="AI1942" s="19"/>
      <c r="AO1942" s="19"/>
      <c r="AY1942" s="145"/>
      <c r="AZ1942" s="16"/>
      <c r="BC1942" s="16"/>
      <c r="BD1942" s="20"/>
      <c r="BE1942" s="17"/>
      <c r="BF1942" s="20"/>
      <c r="BG1942" s="146"/>
      <c r="BH1942" s="146"/>
      <c r="BI1942" s="146"/>
      <c r="BJ1942" s="20"/>
      <c r="BK1942" s="20"/>
      <c r="BL1942" s="154"/>
      <c r="BP1942" s="20"/>
      <c r="BQ1942" s="154"/>
      <c r="BR1942" s="18"/>
      <c r="BS1942" s="16"/>
      <c r="BT1942" s="18"/>
      <c r="BU1942" s="18"/>
      <c r="BV1942" s="18"/>
      <c r="BW1942" s="20"/>
      <c r="BX1942" s="154"/>
      <c r="BY1942" s="18"/>
      <c r="BZ1942" s="146"/>
      <c r="CA1942" s="18"/>
      <c r="CB1942" s="18"/>
      <c r="CC1942" s="20"/>
      <c r="CD1942" s="154"/>
    </row>
    <row r="1943" spans="35:82">
      <c r="AI1943" s="19"/>
      <c r="AO1943" s="19"/>
      <c r="AY1943" s="145"/>
      <c r="AZ1943" s="16"/>
      <c r="BC1943" s="16"/>
      <c r="BD1943" s="20"/>
      <c r="BE1943" s="17"/>
      <c r="BF1943" s="20"/>
      <c r="BG1943" s="146"/>
      <c r="BH1943" s="146"/>
      <c r="BI1943" s="146"/>
      <c r="BJ1943" s="20"/>
      <c r="BK1943" s="20"/>
      <c r="BL1943" s="154"/>
      <c r="BP1943" s="20"/>
      <c r="BQ1943" s="154"/>
      <c r="BR1943" s="18"/>
      <c r="BS1943" s="16"/>
      <c r="BT1943" s="18"/>
      <c r="BU1943" s="18"/>
      <c r="BV1943" s="18"/>
      <c r="BW1943" s="20"/>
      <c r="BX1943" s="154"/>
      <c r="BY1943" s="18"/>
      <c r="BZ1943" s="146"/>
      <c r="CA1943" s="18"/>
      <c r="CB1943" s="18"/>
      <c r="CC1943" s="20"/>
      <c r="CD1943" s="154"/>
    </row>
    <row r="1944" spans="35:82">
      <c r="AI1944" s="19"/>
      <c r="AO1944" s="19"/>
      <c r="AY1944" s="145"/>
      <c r="AZ1944" s="16"/>
      <c r="BC1944" s="16"/>
      <c r="BD1944" s="20"/>
      <c r="BE1944" s="17"/>
      <c r="BF1944" s="20"/>
      <c r="BG1944" s="146"/>
      <c r="BH1944" s="146"/>
      <c r="BI1944" s="146"/>
      <c r="BJ1944" s="20"/>
      <c r="BK1944" s="20"/>
      <c r="BL1944" s="154"/>
      <c r="BP1944" s="20"/>
      <c r="BQ1944" s="154"/>
      <c r="BR1944" s="18"/>
      <c r="BS1944" s="16"/>
      <c r="BT1944" s="18"/>
      <c r="BU1944" s="18"/>
      <c r="BV1944" s="18"/>
      <c r="BW1944" s="20"/>
      <c r="BX1944" s="154"/>
      <c r="BY1944" s="18"/>
      <c r="BZ1944" s="146"/>
      <c r="CA1944" s="18"/>
      <c r="CB1944" s="18"/>
      <c r="CC1944" s="20"/>
      <c r="CD1944" s="154"/>
    </row>
    <row r="1945" spans="35:82">
      <c r="AI1945" s="19"/>
      <c r="AO1945" s="19"/>
      <c r="AY1945" s="145"/>
      <c r="AZ1945" s="16"/>
      <c r="BC1945" s="16"/>
      <c r="BD1945" s="20"/>
      <c r="BE1945" s="17"/>
      <c r="BF1945" s="20"/>
      <c r="BG1945" s="146"/>
      <c r="BH1945" s="146"/>
      <c r="BI1945" s="146"/>
      <c r="BJ1945" s="20"/>
      <c r="BK1945" s="20"/>
      <c r="BL1945" s="154"/>
      <c r="BP1945" s="20"/>
      <c r="BQ1945" s="154"/>
      <c r="BR1945" s="18"/>
      <c r="BS1945" s="16"/>
      <c r="BT1945" s="18"/>
      <c r="BU1945" s="18"/>
      <c r="BV1945" s="18"/>
      <c r="BW1945" s="20"/>
      <c r="BX1945" s="154"/>
      <c r="BY1945" s="18"/>
      <c r="BZ1945" s="146"/>
      <c r="CA1945" s="18"/>
      <c r="CB1945" s="18"/>
      <c r="CC1945" s="20"/>
      <c r="CD1945" s="154"/>
    </row>
    <row r="1946" spans="35:82">
      <c r="AI1946" s="19"/>
      <c r="AO1946" s="19"/>
      <c r="AY1946" s="145"/>
      <c r="AZ1946" s="16"/>
      <c r="BC1946" s="16"/>
      <c r="BD1946" s="20"/>
      <c r="BE1946" s="17"/>
      <c r="BF1946" s="20"/>
      <c r="BG1946" s="146"/>
      <c r="BH1946" s="146"/>
      <c r="BI1946" s="146"/>
      <c r="BJ1946" s="20"/>
      <c r="BK1946" s="20"/>
      <c r="BL1946" s="154"/>
      <c r="BP1946" s="20"/>
      <c r="BQ1946" s="154"/>
      <c r="BR1946" s="18"/>
      <c r="BS1946" s="16"/>
      <c r="BT1946" s="18"/>
      <c r="BU1946" s="18"/>
      <c r="BV1946" s="18"/>
      <c r="BW1946" s="20"/>
      <c r="BX1946" s="154"/>
      <c r="BY1946" s="18"/>
      <c r="BZ1946" s="146"/>
      <c r="CA1946" s="18"/>
      <c r="CB1946" s="18"/>
      <c r="CC1946" s="20"/>
      <c r="CD1946" s="154"/>
    </row>
    <row r="1947" spans="35:82">
      <c r="AI1947" s="19"/>
      <c r="AO1947" s="19"/>
      <c r="AY1947" s="145"/>
      <c r="AZ1947" s="16"/>
      <c r="BC1947" s="16"/>
      <c r="BD1947" s="20"/>
      <c r="BE1947" s="17"/>
      <c r="BF1947" s="20"/>
      <c r="BG1947" s="146"/>
      <c r="BH1947" s="146"/>
      <c r="BI1947" s="146"/>
      <c r="BJ1947" s="20"/>
      <c r="BK1947" s="20"/>
      <c r="BL1947" s="154"/>
      <c r="BP1947" s="20"/>
      <c r="BQ1947" s="154"/>
      <c r="BR1947" s="18"/>
      <c r="BS1947" s="16"/>
      <c r="BT1947" s="18"/>
      <c r="BU1947" s="18"/>
      <c r="BV1947" s="18"/>
      <c r="BW1947" s="20"/>
      <c r="BX1947" s="154"/>
      <c r="BY1947" s="18"/>
      <c r="BZ1947" s="146"/>
      <c r="CA1947" s="18"/>
      <c r="CB1947" s="18"/>
      <c r="CC1947" s="20"/>
      <c r="CD1947" s="154"/>
    </row>
    <row r="1948" spans="35:82">
      <c r="AI1948" s="19"/>
      <c r="AO1948" s="19"/>
      <c r="AY1948" s="145"/>
      <c r="AZ1948" s="16"/>
      <c r="BC1948" s="16"/>
      <c r="BD1948" s="20"/>
      <c r="BE1948" s="17"/>
      <c r="BF1948" s="20"/>
      <c r="BG1948" s="146"/>
      <c r="BH1948" s="146"/>
      <c r="BI1948" s="146"/>
      <c r="BJ1948" s="20"/>
      <c r="BK1948" s="20"/>
      <c r="BL1948" s="154"/>
      <c r="BP1948" s="20"/>
      <c r="BQ1948" s="154"/>
      <c r="BR1948" s="18"/>
      <c r="BS1948" s="16"/>
      <c r="BT1948" s="18"/>
      <c r="BU1948" s="18"/>
      <c r="BV1948" s="18"/>
      <c r="BW1948" s="20"/>
      <c r="BX1948" s="154"/>
      <c r="BY1948" s="18"/>
      <c r="BZ1948" s="146"/>
      <c r="CA1948" s="18"/>
      <c r="CB1948" s="18"/>
      <c r="CC1948" s="20"/>
      <c r="CD1948" s="154"/>
    </row>
    <row r="1949" spans="35:82">
      <c r="AI1949" s="19"/>
      <c r="AO1949" s="19"/>
      <c r="AY1949" s="145"/>
      <c r="AZ1949" s="16"/>
      <c r="BC1949" s="16"/>
      <c r="BD1949" s="20"/>
      <c r="BE1949" s="17"/>
      <c r="BF1949" s="20"/>
      <c r="BG1949" s="146"/>
      <c r="BH1949" s="146"/>
      <c r="BI1949" s="146"/>
      <c r="BJ1949" s="20"/>
      <c r="BK1949" s="20"/>
      <c r="BL1949" s="154"/>
      <c r="BP1949" s="20"/>
      <c r="BQ1949" s="154"/>
      <c r="BR1949" s="18"/>
      <c r="BS1949" s="16"/>
      <c r="BT1949" s="18"/>
      <c r="BU1949" s="18"/>
      <c r="BV1949" s="18"/>
      <c r="BW1949" s="20"/>
      <c r="BX1949" s="154"/>
      <c r="BY1949" s="18"/>
      <c r="BZ1949" s="146"/>
      <c r="CA1949" s="18"/>
      <c r="CB1949" s="18"/>
      <c r="CC1949" s="20"/>
      <c r="CD1949" s="154"/>
    </row>
    <row r="1950" spans="35:82">
      <c r="AI1950" s="19"/>
      <c r="AO1950" s="19"/>
      <c r="AY1950" s="145"/>
      <c r="AZ1950" s="16"/>
      <c r="BC1950" s="16"/>
      <c r="BD1950" s="20"/>
      <c r="BE1950" s="17"/>
      <c r="BF1950" s="20"/>
      <c r="BG1950" s="146"/>
      <c r="BH1950" s="146"/>
      <c r="BI1950" s="146"/>
      <c r="BJ1950" s="20"/>
      <c r="BK1950" s="20"/>
      <c r="BL1950" s="154"/>
      <c r="BP1950" s="20"/>
      <c r="BQ1950" s="154"/>
      <c r="BR1950" s="18"/>
      <c r="BS1950" s="16"/>
      <c r="BT1950" s="18"/>
      <c r="BU1950" s="18"/>
      <c r="BV1950" s="18"/>
      <c r="BW1950" s="20"/>
      <c r="BX1950" s="154"/>
      <c r="BY1950" s="18"/>
      <c r="BZ1950" s="146"/>
      <c r="CA1950" s="18"/>
      <c r="CB1950" s="18"/>
      <c r="CC1950" s="20"/>
      <c r="CD1950" s="154"/>
    </row>
    <row r="1951" spans="35:82">
      <c r="AI1951" s="19"/>
      <c r="AO1951" s="19"/>
      <c r="AY1951" s="145"/>
      <c r="AZ1951" s="16"/>
      <c r="BC1951" s="16"/>
      <c r="BD1951" s="20"/>
      <c r="BE1951" s="17"/>
      <c r="BF1951" s="20"/>
      <c r="BG1951" s="146"/>
      <c r="BH1951" s="146"/>
      <c r="BI1951" s="146"/>
      <c r="BJ1951" s="20"/>
      <c r="BK1951" s="20"/>
      <c r="BL1951" s="154"/>
      <c r="BP1951" s="20"/>
      <c r="BQ1951" s="154"/>
      <c r="BR1951" s="18"/>
      <c r="BS1951" s="16"/>
      <c r="BT1951" s="18"/>
      <c r="BU1951" s="18"/>
      <c r="BV1951" s="18"/>
      <c r="BW1951" s="20"/>
      <c r="BX1951" s="154"/>
      <c r="BY1951" s="18"/>
      <c r="BZ1951" s="146"/>
      <c r="CA1951" s="18"/>
      <c r="CB1951" s="18"/>
      <c r="CC1951" s="20"/>
      <c r="CD1951" s="154"/>
    </row>
    <row r="1952" spans="35:82">
      <c r="AI1952" s="19"/>
      <c r="AO1952" s="19"/>
      <c r="AY1952" s="145"/>
      <c r="AZ1952" s="16"/>
      <c r="BC1952" s="16"/>
      <c r="BD1952" s="20"/>
      <c r="BE1952" s="17"/>
      <c r="BF1952" s="20"/>
      <c r="BG1952" s="146"/>
      <c r="BH1952" s="146"/>
      <c r="BI1952" s="146"/>
      <c r="BJ1952" s="20"/>
      <c r="BK1952" s="20"/>
      <c r="BL1952" s="154"/>
      <c r="BP1952" s="20"/>
      <c r="BQ1952" s="154"/>
      <c r="BR1952" s="18"/>
      <c r="BS1952" s="16"/>
      <c r="BT1952" s="18"/>
      <c r="BU1952" s="18"/>
      <c r="BV1952" s="18"/>
      <c r="BW1952" s="20"/>
      <c r="BX1952" s="154"/>
      <c r="BY1952" s="18"/>
      <c r="BZ1952" s="146"/>
      <c r="CA1952" s="18"/>
      <c r="CB1952" s="18"/>
      <c r="CC1952" s="20"/>
      <c r="CD1952" s="154"/>
    </row>
    <row r="1953" spans="35:82">
      <c r="AI1953" s="19"/>
      <c r="AO1953" s="19"/>
      <c r="AY1953" s="145"/>
      <c r="AZ1953" s="16"/>
      <c r="BC1953" s="16"/>
      <c r="BD1953" s="20"/>
      <c r="BE1953" s="17"/>
      <c r="BF1953" s="20"/>
      <c r="BG1953" s="146"/>
      <c r="BH1953" s="146"/>
      <c r="BI1953" s="146"/>
      <c r="BJ1953" s="20"/>
      <c r="BK1953" s="20"/>
      <c r="BL1953" s="154"/>
      <c r="BP1953" s="20"/>
      <c r="BQ1953" s="154"/>
      <c r="BR1953" s="18"/>
      <c r="BS1953" s="16"/>
      <c r="BT1953" s="18"/>
      <c r="BU1953" s="18"/>
      <c r="BV1953" s="18"/>
      <c r="BW1953" s="20"/>
      <c r="BX1953" s="154"/>
      <c r="BY1953" s="18"/>
      <c r="BZ1953" s="146"/>
      <c r="CA1953" s="18"/>
      <c r="CB1953" s="18"/>
      <c r="CC1953" s="20"/>
      <c r="CD1953" s="154"/>
    </row>
    <row r="1954" spans="35:82">
      <c r="AI1954" s="19"/>
      <c r="AO1954" s="19"/>
      <c r="AY1954" s="145"/>
      <c r="AZ1954" s="16"/>
      <c r="BC1954" s="16"/>
      <c r="BD1954" s="20"/>
      <c r="BE1954" s="17"/>
      <c r="BF1954" s="20"/>
      <c r="BG1954" s="146"/>
      <c r="BH1954" s="146"/>
      <c r="BI1954" s="146"/>
      <c r="BJ1954" s="20"/>
      <c r="BK1954" s="20"/>
      <c r="BL1954" s="154"/>
      <c r="BP1954" s="20"/>
      <c r="BQ1954" s="154"/>
      <c r="BR1954" s="18"/>
      <c r="BS1954" s="16"/>
      <c r="BT1954" s="18"/>
      <c r="BU1954" s="18"/>
      <c r="BV1954" s="18"/>
      <c r="BW1954" s="20"/>
      <c r="BX1954" s="154"/>
      <c r="BY1954" s="18"/>
      <c r="BZ1954" s="146"/>
      <c r="CA1954" s="18"/>
      <c r="CB1954" s="18"/>
      <c r="CC1954" s="20"/>
      <c r="CD1954" s="154"/>
    </row>
    <row r="1955" spans="35:82">
      <c r="AI1955" s="19"/>
      <c r="AO1955" s="19"/>
      <c r="AY1955" s="145"/>
      <c r="AZ1955" s="16"/>
      <c r="BC1955" s="16"/>
      <c r="BD1955" s="20"/>
      <c r="BE1955" s="17"/>
      <c r="BF1955" s="20"/>
      <c r="BG1955" s="146"/>
      <c r="BH1955" s="146"/>
      <c r="BI1955" s="146"/>
      <c r="BJ1955" s="20"/>
      <c r="BK1955" s="20"/>
      <c r="BL1955" s="154"/>
      <c r="BP1955" s="20"/>
      <c r="BQ1955" s="154"/>
      <c r="BR1955" s="18"/>
      <c r="BS1955" s="16"/>
      <c r="BT1955" s="18"/>
      <c r="BU1955" s="18"/>
      <c r="BV1955" s="18"/>
      <c r="BW1955" s="20"/>
      <c r="BX1955" s="154"/>
      <c r="BY1955" s="18"/>
      <c r="BZ1955" s="146"/>
      <c r="CA1955" s="18"/>
      <c r="CB1955" s="18"/>
      <c r="CC1955" s="20"/>
      <c r="CD1955" s="154"/>
    </row>
    <row r="1956" spans="35:82">
      <c r="AI1956" s="19"/>
      <c r="AO1956" s="19"/>
      <c r="AY1956" s="145"/>
      <c r="AZ1956" s="16"/>
      <c r="BC1956" s="16"/>
      <c r="BD1956" s="20"/>
      <c r="BE1956" s="17"/>
      <c r="BF1956" s="20"/>
      <c r="BG1956" s="146"/>
      <c r="BH1956" s="146"/>
      <c r="BI1956" s="146"/>
      <c r="BJ1956" s="20"/>
      <c r="BK1956" s="20"/>
      <c r="BL1956" s="154"/>
      <c r="BP1956" s="20"/>
      <c r="BQ1956" s="154"/>
      <c r="BR1956" s="18"/>
      <c r="BS1956" s="16"/>
      <c r="BT1956" s="18"/>
      <c r="BU1956" s="18"/>
      <c r="BV1956" s="18"/>
      <c r="BW1956" s="20"/>
      <c r="BX1956" s="154"/>
      <c r="BY1956" s="18"/>
      <c r="BZ1956" s="146"/>
      <c r="CA1956" s="18"/>
      <c r="CB1956" s="18"/>
      <c r="CC1956" s="20"/>
      <c r="CD1956" s="154"/>
    </row>
    <row r="1957" spans="35:82">
      <c r="AI1957" s="19"/>
      <c r="AO1957" s="19"/>
      <c r="AY1957" s="145"/>
      <c r="AZ1957" s="16"/>
      <c r="BC1957" s="16"/>
      <c r="BD1957" s="20"/>
      <c r="BE1957" s="17"/>
      <c r="BF1957" s="20"/>
      <c r="BG1957" s="146"/>
      <c r="BH1957" s="146"/>
      <c r="BI1957" s="146"/>
      <c r="BJ1957" s="20"/>
      <c r="BK1957" s="20"/>
      <c r="BL1957" s="154"/>
      <c r="BP1957" s="20"/>
      <c r="BQ1957" s="154"/>
      <c r="BR1957" s="18"/>
      <c r="BS1957" s="16"/>
      <c r="BT1957" s="18"/>
      <c r="BU1957" s="18"/>
      <c r="BV1957" s="18"/>
      <c r="BW1957" s="20"/>
      <c r="BX1957" s="154"/>
      <c r="BY1957" s="18"/>
      <c r="BZ1957" s="146"/>
      <c r="CA1957" s="18"/>
      <c r="CB1957" s="18"/>
      <c r="CC1957" s="20"/>
      <c r="CD1957" s="154"/>
    </row>
    <row r="1958" spans="35:82">
      <c r="AI1958" s="19"/>
      <c r="AO1958" s="19"/>
      <c r="AY1958" s="145"/>
      <c r="AZ1958" s="16"/>
      <c r="BC1958" s="16"/>
      <c r="BD1958" s="20"/>
      <c r="BE1958" s="17"/>
      <c r="BF1958" s="20"/>
      <c r="BG1958" s="146"/>
      <c r="BH1958" s="146"/>
      <c r="BI1958" s="146"/>
      <c r="BJ1958" s="20"/>
      <c r="BK1958" s="20"/>
      <c r="BL1958" s="154"/>
      <c r="BP1958" s="20"/>
      <c r="BQ1958" s="154"/>
      <c r="BR1958" s="18"/>
      <c r="BS1958" s="16"/>
      <c r="BT1958" s="18"/>
      <c r="BU1958" s="18"/>
      <c r="BV1958" s="18"/>
      <c r="BW1958" s="20"/>
      <c r="BX1958" s="154"/>
      <c r="BY1958" s="18"/>
      <c r="BZ1958" s="146"/>
      <c r="CA1958" s="18"/>
      <c r="CB1958" s="18"/>
      <c r="CC1958" s="20"/>
      <c r="CD1958" s="154"/>
    </row>
    <row r="1959" spans="35:82">
      <c r="AI1959" s="19"/>
      <c r="AO1959" s="19"/>
      <c r="AY1959" s="145"/>
      <c r="AZ1959" s="16"/>
      <c r="BC1959" s="16"/>
      <c r="BD1959" s="20"/>
      <c r="BE1959" s="17"/>
      <c r="BF1959" s="20"/>
      <c r="BG1959" s="146"/>
      <c r="BH1959" s="146"/>
      <c r="BI1959" s="146"/>
      <c r="BJ1959" s="20"/>
      <c r="BK1959" s="20"/>
      <c r="BL1959" s="154"/>
      <c r="BP1959" s="20"/>
      <c r="BQ1959" s="154"/>
      <c r="BR1959" s="18"/>
      <c r="BS1959" s="16"/>
      <c r="BT1959" s="18"/>
      <c r="BU1959" s="18"/>
      <c r="BV1959" s="18"/>
      <c r="BW1959" s="20"/>
      <c r="BX1959" s="154"/>
      <c r="BY1959" s="18"/>
      <c r="BZ1959" s="146"/>
      <c r="CA1959" s="18"/>
      <c r="CB1959" s="18"/>
      <c r="CC1959" s="20"/>
      <c r="CD1959" s="154"/>
    </row>
    <row r="1960" spans="35:82">
      <c r="AI1960" s="19"/>
      <c r="AO1960" s="19"/>
      <c r="AY1960" s="145"/>
      <c r="AZ1960" s="16"/>
      <c r="BC1960" s="16"/>
      <c r="BD1960" s="20"/>
      <c r="BE1960" s="17"/>
      <c r="BF1960" s="20"/>
      <c r="BG1960" s="146"/>
      <c r="BH1960" s="146"/>
      <c r="BI1960" s="146"/>
      <c r="BJ1960" s="20"/>
      <c r="BK1960" s="20"/>
      <c r="BL1960" s="154"/>
      <c r="BP1960" s="20"/>
      <c r="BQ1960" s="154"/>
      <c r="BR1960" s="18"/>
      <c r="BS1960" s="16"/>
      <c r="BT1960" s="18"/>
      <c r="BU1960" s="18"/>
      <c r="BV1960" s="18"/>
      <c r="BW1960" s="20"/>
      <c r="BX1960" s="154"/>
      <c r="BY1960" s="18"/>
      <c r="BZ1960" s="146"/>
      <c r="CA1960" s="18"/>
      <c r="CB1960" s="18"/>
      <c r="CC1960" s="20"/>
      <c r="CD1960" s="154"/>
    </row>
    <row r="1961" spans="35:82">
      <c r="AI1961" s="19"/>
      <c r="AO1961" s="19"/>
      <c r="AY1961" s="145"/>
      <c r="AZ1961" s="16"/>
      <c r="BC1961" s="16"/>
      <c r="BD1961" s="20"/>
      <c r="BE1961" s="17"/>
      <c r="BF1961" s="20"/>
      <c r="BG1961" s="146"/>
      <c r="BH1961" s="146"/>
      <c r="BI1961" s="146"/>
      <c r="BJ1961" s="20"/>
      <c r="BK1961" s="20"/>
      <c r="BL1961" s="154"/>
      <c r="BP1961" s="20"/>
      <c r="BQ1961" s="154"/>
      <c r="BR1961" s="18"/>
      <c r="BS1961" s="16"/>
      <c r="BT1961" s="18"/>
      <c r="BU1961" s="18"/>
      <c r="BV1961" s="18"/>
      <c r="BW1961" s="20"/>
      <c r="BX1961" s="154"/>
      <c r="BY1961" s="18"/>
      <c r="BZ1961" s="146"/>
      <c r="CA1961" s="18"/>
      <c r="CB1961" s="18"/>
      <c r="CC1961" s="20"/>
      <c r="CD1961" s="154"/>
    </row>
    <row r="1962" spans="35:82">
      <c r="AI1962" s="19"/>
      <c r="AO1962" s="19"/>
      <c r="AY1962" s="145"/>
      <c r="AZ1962" s="16"/>
      <c r="BC1962" s="16"/>
      <c r="BD1962" s="20"/>
      <c r="BE1962" s="17"/>
      <c r="BF1962" s="20"/>
      <c r="BG1962" s="146"/>
      <c r="BH1962" s="146"/>
      <c r="BI1962" s="146"/>
      <c r="BJ1962" s="20"/>
      <c r="BK1962" s="20"/>
      <c r="BL1962" s="154"/>
      <c r="BP1962" s="20"/>
      <c r="BQ1962" s="154"/>
      <c r="BR1962" s="18"/>
      <c r="BS1962" s="16"/>
      <c r="BT1962" s="18"/>
      <c r="BU1962" s="18"/>
      <c r="BV1962" s="18"/>
      <c r="BW1962" s="20"/>
      <c r="BX1962" s="154"/>
      <c r="BY1962" s="18"/>
      <c r="BZ1962" s="146"/>
      <c r="CA1962" s="18"/>
      <c r="CB1962" s="18"/>
      <c r="CC1962" s="20"/>
      <c r="CD1962" s="154"/>
    </row>
    <row r="1963" spans="35:82">
      <c r="AI1963" s="19"/>
      <c r="AO1963" s="19"/>
      <c r="AY1963" s="145"/>
      <c r="AZ1963" s="16"/>
      <c r="BC1963" s="16"/>
      <c r="BD1963" s="20"/>
      <c r="BE1963" s="17"/>
      <c r="BF1963" s="20"/>
      <c r="BG1963" s="146"/>
      <c r="BH1963" s="146"/>
      <c r="BI1963" s="146"/>
      <c r="BJ1963" s="20"/>
      <c r="BK1963" s="20"/>
      <c r="BL1963" s="154"/>
      <c r="BP1963" s="20"/>
      <c r="BQ1963" s="154"/>
      <c r="BR1963" s="18"/>
      <c r="BS1963" s="16"/>
      <c r="BT1963" s="18"/>
      <c r="BU1963" s="18"/>
      <c r="BV1963" s="18"/>
      <c r="BW1963" s="20"/>
      <c r="BX1963" s="154"/>
      <c r="BY1963" s="18"/>
      <c r="BZ1963" s="146"/>
      <c r="CA1963" s="18"/>
      <c r="CB1963" s="18"/>
      <c r="CC1963" s="20"/>
      <c r="CD1963" s="154"/>
    </row>
    <row r="1964" spans="35:82">
      <c r="AI1964" s="19"/>
      <c r="AO1964" s="19"/>
      <c r="AY1964" s="145"/>
      <c r="AZ1964" s="16"/>
      <c r="BC1964" s="16"/>
      <c r="BD1964" s="20"/>
      <c r="BE1964" s="17"/>
      <c r="BF1964" s="20"/>
      <c r="BG1964" s="146"/>
      <c r="BH1964" s="146"/>
      <c r="BI1964" s="146"/>
      <c r="BJ1964" s="20"/>
      <c r="BK1964" s="20"/>
      <c r="BL1964" s="154"/>
      <c r="BP1964" s="20"/>
      <c r="BQ1964" s="154"/>
      <c r="BR1964" s="18"/>
      <c r="BS1964" s="16"/>
      <c r="BT1964" s="18"/>
      <c r="BU1964" s="18"/>
      <c r="BV1964" s="18"/>
      <c r="BW1964" s="20"/>
      <c r="BX1964" s="154"/>
      <c r="BY1964" s="18"/>
      <c r="BZ1964" s="146"/>
      <c r="CA1964" s="18"/>
      <c r="CB1964" s="18"/>
      <c r="CC1964" s="20"/>
      <c r="CD1964" s="154"/>
    </row>
    <row r="1965" spans="35:82">
      <c r="AI1965" s="19"/>
      <c r="AO1965" s="19"/>
      <c r="AY1965" s="145"/>
      <c r="AZ1965" s="16"/>
      <c r="BC1965" s="16"/>
      <c r="BD1965" s="20"/>
      <c r="BE1965" s="17"/>
      <c r="BF1965" s="20"/>
      <c r="BG1965" s="146"/>
      <c r="BH1965" s="146"/>
      <c r="BI1965" s="146"/>
      <c r="BJ1965" s="20"/>
      <c r="BK1965" s="20"/>
      <c r="BL1965" s="154"/>
      <c r="BP1965" s="20"/>
      <c r="BQ1965" s="154"/>
      <c r="BR1965" s="18"/>
      <c r="BS1965" s="16"/>
      <c r="BT1965" s="18"/>
      <c r="BU1965" s="18"/>
      <c r="BV1965" s="18"/>
      <c r="BW1965" s="20"/>
      <c r="BX1965" s="154"/>
      <c r="BY1965" s="18"/>
      <c r="BZ1965" s="146"/>
      <c r="CA1965" s="18"/>
      <c r="CB1965" s="18"/>
      <c r="CC1965" s="20"/>
      <c r="CD1965" s="154"/>
    </row>
    <row r="1966" spans="35:82">
      <c r="AI1966" s="19"/>
      <c r="AO1966" s="19"/>
      <c r="AY1966" s="145"/>
      <c r="AZ1966" s="16"/>
      <c r="BC1966" s="16"/>
      <c r="BD1966" s="20"/>
      <c r="BE1966" s="17"/>
      <c r="BF1966" s="20"/>
      <c r="BG1966" s="146"/>
      <c r="BH1966" s="146"/>
      <c r="BI1966" s="146"/>
      <c r="BJ1966" s="20"/>
      <c r="BK1966" s="20"/>
      <c r="BL1966" s="154"/>
      <c r="BP1966" s="20"/>
      <c r="BQ1966" s="154"/>
      <c r="BR1966" s="18"/>
      <c r="BS1966" s="16"/>
      <c r="BT1966" s="18"/>
      <c r="BU1966" s="18"/>
      <c r="BV1966" s="18"/>
      <c r="BW1966" s="20"/>
      <c r="BX1966" s="154"/>
      <c r="BY1966" s="18"/>
      <c r="BZ1966" s="146"/>
      <c r="CA1966" s="18"/>
      <c r="CB1966" s="18"/>
      <c r="CC1966" s="20"/>
      <c r="CD1966" s="154"/>
    </row>
    <row r="1967" spans="35:82">
      <c r="AI1967" s="19"/>
      <c r="AO1967" s="19"/>
      <c r="AY1967" s="145"/>
      <c r="AZ1967" s="16"/>
      <c r="BC1967" s="16"/>
      <c r="BD1967" s="20"/>
      <c r="BE1967" s="17"/>
      <c r="BF1967" s="20"/>
      <c r="BG1967" s="146"/>
      <c r="BH1967" s="146"/>
      <c r="BI1967" s="146"/>
      <c r="BJ1967" s="20"/>
      <c r="BK1967" s="20"/>
      <c r="BL1967" s="154"/>
      <c r="BP1967" s="20"/>
      <c r="BQ1967" s="154"/>
      <c r="BR1967" s="18"/>
      <c r="BS1967" s="16"/>
      <c r="BT1967" s="18"/>
      <c r="BU1967" s="18"/>
      <c r="BV1967" s="18"/>
      <c r="BW1967" s="20"/>
      <c r="BX1967" s="154"/>
      <c r="BY1967" s="18"/>
      <c r="BZ1967" s="146"/>
      <c r="CA1967" s="18"/>
      <c r="CB1967" s="18"/>
      <c r="CC1967" s="20"/>
      <c r="CD1967" s="154"/>
    </row>
    <row r="1968" spans="35:82">
      <c r="AI1968" s="19"/>
      <c r="AO1968" s="19"/>
      <c r="AY1968" s="145"/>
      <c r="AZ1968" s="16"/>
      <c r="BC1968" s="16"/>
      <c r="BD1968" s="20"/>
      <c r="BE1968" s="17"/>
      <c r="BF1968" s="20"/>
      <c r="BG1968" s="146"/>
      <c r="BH1968" s="146"/>
      <c r="BI1968" s="146"/>
      <c r="BJ1968" s="20"/>
      <c r="BK1968" s="20"/>
      <c r="BL1968" s="154"/>
      <c r="BP1968" s="20"/>
      <c r="BQ1968" s="154"/>
      <c r="BR1968" s="18"/>
      <c r="BS1968" s="16"/>
      <c r="BT1968" s="18"/>
      <c r="BU1968" s="18"/>
      <c r="BV1968" s="18"/>
      <c r="BW1968" s="20"/>
      <c r="BX1968" s="154"/>
      <c r="BY1968" s="18"/>
      <c r="BZ1968" s="146"/>
      <c r="CA1968" s="18"/>
      <c r="CB1968" s="18"/>
      <c r="CC1968" s="20"/>
      <c r="CD1968" s="154"/>
    </row>
    <row r="1969" spans="35:82">
      <c r="AI1969" s="19"/>
      <c r="AO1969" s="19"/>
      <c r="AY1969" s="145"/>
      <c r="AZ1969" s="16"/>
      <c r="BC1969" s="16"/>
      <c r="BD1969" s="20"/>
      <c r="BE1969" s="17"/>
      <c r="BF1969" s="20"/>
      <c r="BG1969" s="146"/>
      <c r="BH1969" s="146"/>
      <c r="BI1969" s="146"/>
      <c r="BJ1969" s="20"/>
      <c r="BK1969" s="20"/>
      <c r="BL1969" s="154"/>
      <c r="BP1969" s="20"/>
      <c r="BQ1969" s="154"/>
      <c r="BR1969" s="18"/>
      <c r="BS1969" s="16"/>
      <c r="BT1969" s="18"/>
      <c r="BU1969" s="18"/>
      <c r="BV1969" s="18"/>
      <c r="BW1969" s="20"/>
      <c r="BX1969" s="154"/>
      <c r="BY1969" s="18"/>
      <c r="BZ1969" s="146"/>
      <c r="CA1969" s="18"/>
      <c r="CB1969" s="18"/>
      <c r="CC1969" s="20"/>
      <c r="CD1969" s="154"/>
    </row>
    <row r="1970" spans="35:82">
      <c r="AI1970" s="19"/>
      <c r="AO1970" s="19"/>
      <c r="AY1970" s="145"/>
      <c r="AZ1970" s="16"/>
      <c r="BC1970" s="16"/>
      <c r="BD1970" s="20"/>
      <c r="BE1970" s="17"/>
      <c r="BF1970" s="20"/>
      <c r="BG1970" s="146"/>
      <c r="BH1970" s="146"/>
      <c r="BI1970" s="146"/>
      <c r="BJ1970" s="20"/>
      <c r="BK1970" s="20"/>
      <c r="BL1970" s="154"/>
      <c r="BP1970" s="20"/>
      <c r="BQ1970" s="154"/>
      <c r="BR1970" s="18"/>
      <c r="BS1970" s="16"/>
      <c r="BT1970" s="18"/>
      <c r="BU1970" s="18"/>
      <c r="BV1970" s="18"/>
      <c r="BW1970" s="20"/>
      <c r="BX1970" s="154"/>
      <c r="BY1970" s="18"/>
      <c r="BZ1970" s="146"/>
      <c r="CA1970" s="18"/>
      <c r="CB1970" s="18"/>
      <c r="CC1970" s="20"/>
      <c r="CD1970" s="154"/>
    </row>
    <row r="1971" spans="35:82">
      <c r="AI1971" s="19"/>
      <c r="AO1971" s="19"/>
      <c r="AY1971" s="145"/>
      <c r="AZ1971" s="16"/>
      <c r="BC1971" s="16"/>
      <c r="BD1971" s="20"/>
      <c r="BE1971" s="17"/>
      <c r="BF1971" s="20"/>
      <c r="BG1971" s="146"/>
      <c r="BH1971" s="146"/>
      <c r="BI1971" s="146"/>
      <c r="BJ1971" s="20"/>
      <c r="BK1971" s="20"/>
      <c r="BL1971" s="154"/>
      <c r="BP1971" s="20"/>
      <c r="BQ1971" s="154"/>
      <c r="BR1971" s="18"/>
      <c r="BS1971" s="16"/>
      <c r="BT1971" s="18"/>
      <c r="BU1971" s="18"/>
      <c r="BV1971" s="18"/>
      <c r="BW1971" s="20"/>
      <c r="BX1971" s="154"/>
      <c r="BY1971" s="18"/>
      <c r="BZ1971" s="146"/>
      <c r="CA1971" s="18"/>
      <c r="CB1971" s="18"/>
      <c r="CC1971" s="20"/>
      <c r="CD1971" s="154"/>
    </row>
    <row r="1972" spans="35:82">
      <c r="AI1972" s="19"/>
      <c r="AO1972" s="19"/>
      <c r="AY1972" s="145"/>
      <c r="AZ1972" s="16"/>
      <c r="BC1972" s="16"/>
      <c r="BD1972" s="20"/>
      <c r="BE1972" s="17"/>
      <c r="BF1972" s="20"/>
      <c r="BG1972" s="146"/>
      <c r="BH1972" s="146"/>
      <c r="BI1972" s="146"/>
      <c r="BJ1972" s="20"/>
      <c r="BK1972" s="20"/>
      <c r="BL1972" s="154"/>
      <c r="BP1972" s="20"/>
      <c r="BQ1972" s="154"/>
      <c r="BR1972" s="18"/>
      <c r="BS1972" s="16"/>
      <c r="BT1972" s="18"/>
      <c r="BU1972" s="18"/>
      <c r="BV1972" s="18"/>
      <c r="BW1972" s="20"/>
      <c r="BX1972" s="154"/>
      <c r="BY1972" s="18"/>
      <c r="BZ1972" s="146"/>
      <c r="CA1972" s="18"/>
      <c r="CB1972" s="18"/>
      <c r="CC1972" s="20"/>
      <c r="CD1972" s="154"/>
    </row>
    <row r="1973" spans="35:82">
      <c r="AI1973" s="19"/>
      <c r="AO1973" s="19"/>
      <c r="AY1973" s="145"/>
      <c r="AZ1973" s="16"/>
      <c r="BC1973" s="16"/>
      <c r="BD1973" s="20"/>
      <c r="BE1973" s="17"/>
      <c r="BF1973" s="20"/>
      <c r="BG1973" s="146"/>
      <c r="BH1973" s="146"/>
      <c r="BI1973" s="146"/>
      <c r="BJ1973" s="20"/>
      <c r="BK1973" s="20"/>
      <c r="BL1973" s="154"/>
      <c r="BP1973" s="20"/>
      <c r="BQ1973" s="154"/>
      <c r="BR1973" s="18"/>
      <c r="BS1973" s="16"/>
      <c r="BT1973" s="18"/>
      <c r="BU1973" s="18"/>
      <c r="BV1973" s="18"/>
      <c r="BW1973" s="20"/>
      <c r="BX1973" s="154"/>
      <c r="BY1973" s="18"/>
      <c r="BZ1973" s="146"/>
      <c r="CA1973" s="18"/>
      <c r="CB1973" s="18"/>
      <c r="CC1973" s="20"/>
      <c r="CD1973" s="154"/>
    </row>
    <row r="1974" spans="35:82">
      <c r="AI1974" s="19"/>
      <c r="AO1974" s="19"/>
      <c r="AY1974" s="145"/>
      <c r="AZ1974" s="16"/>
      <c r="BC1974" s="16"/>
      <c r="BD1974" s="20"/>
      <c r="BE1974" s="17"/>
      <c r="BF1974" s="20"/>
      <c r="BG1974" s="146"/>
      <c r="BH1974" s="146"/>
      <c r="BI1974" s="146"/>
      <c r="BJ1974" s="20"/>
      <c r="BK1974" s="20"/>
      <c r="BL1974" s="154"/>
      <c r="BP1974" s="20"/>
      <c r="BQ1974" s="154"/>
      <c r="BR1974" s="18"/>
      <c r="BS1974" s="16"/>
      <c r="BT1974" s="18"/>
      <c r="BU1974" s="18"/>
      <c r="BV1974" s="18"/>
      <c r="BW1974" s="20"/>
      <c r="BX1974" s="154"/>
      <c r="BY1974" s="18"/>
      <c r="BZ1974" s="146"/>
      <c r="CA1974" s="18"/>
      <c r="CB1974" s="18"/>
      <c r="CC1974" s="20"/>
      <c r="CD1974" s="154"/>
    </row>
    <row r="1975" spans="35:82">
      <c r="AI1975" s="19"/>
      <c r="AO1975" s="19"/>
      <c r="AY1975" s="145"/>
      <c r="AZ1975" s="16"/>
      <c r="BC1975" s="16"/>
      <c r="BD1975" s="20"/>
      <c r="BE1975" s="17"/>
      <c r="BF1975" s="20"/>
      <c r="BG1975" s="146"/>
      <c r="BH1975" s="146"/>
      <c r="BI1975" s="146"/>
      <c r="BJ1975" s="20"/>
      <c r="BK1975" s="20"/>
      <c r="BL1975" s="154"/>
      <c r="BP1975" s="20"/>
      <c r="BQ1975" s="154"/>
      <c r="BR1975" s="18"/>
      <c r="BS1975" s="16"/>
      <c r="BT1975" s="18"/>
      <c r="BU1975" s="18"/>
      <c r="BV1975" s="18"/>
      <c r="BW1975" s="20"/>
      <c r="BX1975" s="154"/>
      <c r="BY1975" s="18"/>
      <c r="BZ1975" s="146"/>
      <c r="CA1975" s="18"/>
      <c r="CB1975" s="18"/>
      <c r="CC1975" s="20"/>
      <c r="CD1975" s="154"/>
    </row>
    <row r="1976" spans="35:82">
      <c r="AI1976" s="19"/>
      <c r="AO1976" s="19"/>
      <c r="AY1976" s="145"/>
      <c r="AZ1976" s="16"/>
      <c r="BC1976" s="16"/>
      <c r="BD1976" s="20"/>
      <c r="BE1976" s="17"/>
      <c r="BF1976" s="20"/>
      <c r="BG1976" s="146"/>
      <c r="BH1976" s="146"/>
      <c r="BI1976" s="146"/>
      <c r="BJ1976" s="20"/>
      <c r="BK1976" s="20"/>
      <c r="BL1976" s="154"/>
      <c r="BP1976" s="20"/>
      <c r="BQ1976" s="154"/>
      <c r="BR1976" s="18"/>
      <c r="BS1976" s="16"/>
      <c r="BT1976" s="18"/>
      <c r="BU1976" s="18"/>
      <c r="BV1976" s="18"/>
      <c r="BW1976" s="20"/>
      <c r="BX1976" s="154"/>
      <c r="BY1976" s="18"/>
      <c r="BZ1976" s="146"/>
      <c r="CA1976" s="18"/>
      <c r="CB1976" s="18"/>
      <c r="CC1976" s="20"/>
      <c r="CD1976" s="154"/>
    </row>
    <row r="1977" spans="35:82">
      <c r="AI1977" s="19"/>
      <c r="AO1977" s="19"/>
      <c r="AY1977" s="145"/>
      <c r="AZ1977" s="16"/>
      <c r="BC1977" s="16"/>
      <c r="BD1977" s="20"/>
      <c r="BE1977" s="17"/>
      <c r="BF1977" s="20"/>
      <c r="BG1977" s="146"/>
      <c r="BH1977" s="146"/>
      <c r="BI1977" s="146"/>
      <c r="BJ1977" s="20"/>
      <c r="BK1977" s="20"/>
      <c r="BL1977" s="154"/>
      <c r="BP1977" s="20"/>
      <c r="BQ1977" s="154"/>
      <c r="BR1977" s="18"/>
      <c r="BS1977" s="16"/>
      <c r="BT1977" s="18"/>
      <c r="BU1977" s="18"/>
      <c r="BV1977" s="18"/>
      <c r="BW1977" s="20"/>
      <c r="BX1977" s="154"/>
      <c r="BY1977" s="18"/>
      <c r="BZ1977" s="146"/>
      <c r="CA1977" s="18"/>
      <c r="CB1977" s="18"/>
      <c r="CC1977" s="20"/>
      <c r="CD1977" s="154"/>
    </row>
    <row r="1978" spans="35:82">
      <c r="AI1978" s="19"/>
      <c r="AO1978" s="19"/>
      <c r="AY1978" s="145"/>
      <c r="AZ1978" s="16"/>
      <c r="BC1978" s="16"/>
      <c r="BD1978" s="20"/>
      <c r="BE1978" s="17"/>
      <c r="BF1978" s="20"/>
      <c r="BG1978" s="146"/>
      <c r="BH1978" s="146"/>
      <c r="BI1978" s="146"/>
      <c r="BJ1978" s="20"/>
      <c r="BK1978" s="20"/>
      <c r="BL1978" s="154"/>
      <c r="BP1978" s="20"/>
      <c r="BQ1978" s="154"/>
      <c r="BR1978" s="18"/>
      <c r="BS1978" s="16"/>
      <c r="BT1978" s="18"/>
      <c r="BU1978" s="18"/>
      <c r="BV1978" s="18"/>
      <c r="BW1978" s="20"/>
      <c r="BX1978" s="154"/>
      <c r="BY1978" s="18"/>
      <c r="BZ1978" s="146"/>
      <c r="CA1978" s="18"/>
      <c r="CB1978" s="18"/>
      <c r="CC1978" s="20"/>
      <c r="CD1978" s="154"/>
    </row>
    <row r="1979" spans="35:82">
      <c r="AI1979" s="19"/>
      <c r="AO1979" s="19"/>
      <c r="AY1979" s="145"/>
      <c r="AZ1979" s="16"/>
      <c r="BC1979" s="16"/>
      <c r="BD1979" s="20"/>
      <c r="BE1979" s="17"/>
      <c r="BF1979" s="20"/>
      <c r="BG1979" s="146"/>
      <c r="BH1979" s="146"/>
      <c r="BI1979" s="146"/>
      <c r="BJ1979" s="20"/>
      <c r="BK1979" s="20"/>
      <c r="BL1979" s="154"/>
      <c r="BP1979" s="20"/>
      <c r="BQ1979" s="154"/>
      <c r="BR1979" s="18"/>
      <c r="BS1979" s="16"/>
      <c r="BT1979" s="18"/>
      <c r="BU1979" s="18"/>
      <c r="BV1979" s="18"/>
      <c r="BW1979" s="20"/>
      <c r="BX1979" s="154"/>
      <c r="BY1979" s="18"/>
      <c r="BZ1979" s="146"/>
      <c r="CA1979" s="18"/>
      <c r="CB1979" s="18"/>
      <c r="CC1979" s="20"/>
      <c r="CD1979" s="154"/>
    </row>
    <row r="1980" spans="35:82">
      <c r="AI1980" s="19"/>
      <c r="AO1980" s="19"/>
      <c r="AY1980" s="145"/>
      <c r="AZ1980" s="16"/>
      <c r="BC1980" s="16"/>
      <c r="BD1980" s="20"/>
      <c r="BE1980" s="17"/>
      <c r="BF1980" s="20"/>
      <c r="BG1980" s="146"/>
      <c r="BH1980" s="146"/>
      <c r="BI1980" s="146"/>
      <c r="BJ1980" s="20"/>
      <c r="BK1980" s="20"/>
      <c r="BL1980" s="154"/>
      <c r="BP1980" s="20"/>
      <c r="BQ1980" s="154"/>
      <c r="BR1980" s="18"/>
      <c r="BS1980" s="16"/>
      <c r="BT1980" s="18"/>
      <c r="BU1980" s="18"/>
      <c r="BV1980" s="18"/>
      <c r="BW1980" s="20"/>
      <c r="BX1980" s="154"/>
      <c r="BY1980" s="18"/>
      <c r="BZ1980" s="146"/>
      <c r="CA1980" s="18"/>
      <c r="CB1980" s="18"/>
      <c r="CC1980" s="20"/>
      <c r="CD1980" s="154"/>
    </row>
    <row r="1981" spans="35:82">
      <c r="AI1981" s="19"/>
      <c r="AO1981" s="19"/>
      <c r="AY1981" s="145"/>
      <c r="AZ1981" s="16"/>
      <c r="BC1981" s="16"/>
      <c r="BD1981" s="20"/>
      <c r="BE1981" s="17"/>
      <c r="BF1981" s="20"/>
      <c r="BG1981" s="146"/>
      <c r="BH1981" s="146"/>
      <c r="BI1981" s="146"/>
      <c r="BJ1981" s="20"/>
      <c r="BK1981" s="20"/>
      <c r="BL1981" s="154"/>
      <c r="BP1981" s="20"/>
      <c r="BQ1981" s="154"/>
      <c r="BR1981" s="18"/>
      <c r="BS1981" s="16"/>
      <c r="BT1981" s="18"/>
      <c r="BU1981" s="18"/>
      <c r="BV1981" s="18"/>
      <c r="BW1981" s="20"/>
      <c r="BX1981" s="154"/>
      <c r="BY1981" s="18"/>
      <c r="BZ1981" s="146"/>
      <c r="CA1981" s="18"/>
      <c r="CB1981" s="18"/>
      <c r="CC1981" s="20"/>
      <c r="CD1981" s="154"/>
    </row>
    <row r="1982" spans="35:82">
      <c r="AI1982" s="19"/>
      <c r="AO1982" s="19"/>
      <c r="AY1982" s="145"/>
      <c r="AZ1982" s="16"/>
      <c r="BC1982" s="16"/>
      <c r="BD1982" s="20"/>
      <c r="BE1982" s="17"/>
      <c r="BF1982" s="20"/>
      <c r="BG1982" s="146"/>
      <c r="BH1982" s="146"/>
      <c r="BI1982" s="146"/>
      <c r="BJ1982" s="20"/>
      <c r="BK1982" s="20"/>
      <c r="BL1982" s="154"/>
      <c r="BP1982" s="20"/>
      <c r="BQ1982" s="154"/>
      <c r="BR1982" s="18"/>
      <c r="BS1982" s="16"/>
      <c r="BT1982" s="18"/>
      <c r="BU1982" s="18"/>
      <c r="BV1982" s="18"/>
      <c r="BW1982" s="20"/>
      <c r="BX1982" s="154"/>
      <c r="BY1982" s="18"/>
      <c r="BZ1982" s="146"/>
      <c r="CA1982" s="18"/>
      <c r="CB1982" s="18"/>
      <c r="CC1982" s="20"/>
      <c r="CD1982" s="154"/>
    </row>
    <row r="1983" spans="35:82">
      <c r="AI1983" s="19"/>
      <c r="AO1983" s="19"/>
      <c r="AY1983" s="145"/>
      <c r="AZ1983" s="16"/>
      <c r="BC1983" s="16"/>
      <c r="BD1983" s="20"/>
      <c r="BE1983" s="17"/>
      <c r="BF1983" s="20"/>
      <c r="BG1983" s="146"/>
      <c r="BH1983" s="146"/>
      <c r="BI1983" s="146"/>
      <c r="BJ1983" s="20"/>
      <c r="BK1983" s="20"/>
      <c r="BL1983" s="154"/>
      <c r="BP1983" s="20"/>
      <c r="BQ1983" s="154"/>
      <c r="BR1983" s="18"/>
      <c r="BS1983" s="16"/>
      <c r="BT1983" s="18"/>
      <c r="BU1983" s="18"/>
      <c r="BV1983" s="18"/>
      <c r="BW1983" s="20"/>
      <c r="BX1983" s="154"/>
      <c r="BY1983" s="18"/>
      <c r="BZ1983" s="146"/>
      <c r="CA1983" s="18"/>
      <c r="CB1983" s="18"/>
      <c r="CC1983" s="20"/>
      <c r="CD1983" s="154"/>
    </row>
    <row r="1984" spans="35:82">
      <c r="AI1984" s="19"/>
      <c r="AO1984" s="19"/>
      <c r="AY1984" s="145"/>
      <c r="AZ1984" s="16"/>
      <c r="BC1984" s="16"/>
      <c r="BD1984" s="20"/>
      <c r="BE1984" s="17"/>
      <c r="BF1984" s="20"/>
      <c r="BG1984" s="146"/>
      <c r="BH1984" s="146"/>
      <c r="BI1984" s="146"/>
      <c r="BJ1984" s="20"/>
      <c r="BK1984" s="20"/>
      <c r="BL1984" s="154"/>
      <c r="BP1984" s="20"/>
      <c r="BQ1984" s="154"/>
      <c r="BR1984" s="18"/>
      <c r="BS1984" s="16"/>
      <c r="BT1984" s="18"/>
      <c r="BU1984" s="18"/>
      <c r="BV1984" s="18"/>
      <c r="BW1984" s="20"/>
      <c r="BX1984" s="154"/>
      <c r="BY1984" s="18"/>
      <c r="BZ1984" s="146"/>
      <c r="CA1984" s="18"/>
      <c r="CB1984" s="18"/>
      <c r="CC1984" s="20"/>
      <c r="CD1984" s="154"/>
    </row>
    <row r="1985" spans="35:82">
      <c r="AI1985" s="19"/>
      <c r="AO1985" s="19"/>
      <c r="AY1985" s="145"/>
      <c r="AZ1985" s="16"/>
      <c r="BC1985" s="16"/>
      <c r="BD1985" s="20"/>
      <c r="BE1985" s="17"/>
      <c r="BF1985" s="20"/>
      <c r="BG1985" s="146"/>
      <c r="BH1985" s="146"/>
      <c r="BI1985" s="146"/>
      <c r="BJ1985" s="20"/>
      <c r="BK1985" s="20"/>
      <c r="BL1985" s="154"/>
      <c r="BP1985" s="20"/>
      <c r="BQ1985" s="154"/>
      <c r="BR1985" s="18"/>
      <c r="BS1985" s="16"/>
      <c r="BT1985" s="18"/>
      <c r="BU1985" s="18"/>
      <c r="BV1985" s="18"/>
      <c r="BW1985" s="20"/>
      <c r="BX1985" s="154"/>
      <c r="BY1985" s="18"/>
      <c r="BZ1985" s="146"/>
      <c r="CA1985" s="18"/>
      <c r="CB1985" s="18"/>
      <c r="CC1985" s="20"/>
      <c r="CD1985" s="154"/>
    </row>
    <row r="1986" spans="35:82">
      <c r="AI1986" s="19"/>
      <c r="AO1986" s="19"/>
      <c r="AY1986" s="145"/>
      <c r="AZ1986" s="16"/>
      <c r="BC1986" s="16"/>
      <c r="BD1986" s="20"/>
      <c r="BE1986" s="17"/>
      <c r="BF1986" s="20"/>
      <c r="BG1986" s="146"/>
      <c r="BH1986" s="146"/>
      <c r="BI1986" s="146"/>
      <c r="BJ1986" s="20"/>
      <c r="BK1986" s="20"/>
      <c r="BL1986" s="154"/>
      <c r="BP1986" s="20"/>
      <c r="BQ1986" s="154"/>
      <c r="BR1986" s="18"/>
      <c r="BS1986" s="16"/>
      <c r="BT1986" s="18"/>
      <c r="BU1986" s="18"/>
      <c r="BV1986" s="18"/>
      <c r="BW1986" s="20"/>
      <c r="BX1986" s="154"/>
      <c r="BY1986" s="18"/>
      <c r="BZ1986" s="146"/>
      <c r="CA1986" s="18"/>
      <c r="CB1986" s="18"/>
      <c r="CC1986" s="20"/>
      <c r="CD1986" s="154"/>
    </row>
    <row r="1987" spans="35:82">
      <c r="AI1987" s="19"/>
      <c r="AO1987" s="19"/>
      <c r="AY1987" s="145"/>
      <c r="AZ1987" s="16"/>
      <c r="BC1987" s="16"/>
      <c r="BD1987" s="20"/>
      <c r="BE1987" s="17"/>
      <c r="BF1987" s="20"/>
      <c r="BG1987" s="146"/>
      <c r="BH1987" s="146"/>
      <c r="BI1987" s="146"/>
      <c r="BJ1987" s="20"/>
      <c r="BK1987" s="20"/>
      <c r="BL1987" s="154"/>
      <c r="BP1987" s="20"/>
      <c r="BQ1987" s="154"/>
      <c r="BR1987" s="18"/>
      <c r="BS1987" s="16"/>
      <c r="BT1987" s="18"/>
      <c r="BU1987" s="18"/>
      <c r="BV1987" s="18"/>
      <c r="BW1987" s="20"/>
      <c r="BX1987" s="154"/>
      <c r="BY1987" s="18"/>
      <c r="BZ1987" s="146"/>
      <c r="CA1987" s="18"/>
      <c r="CB1987" s="18"/>
      <c r="CC1987" s="20"/>
      <c r="CD1987" s="154"/>
    </row>
    <row r="1988" spans="35:82">
      <c r="AI1988" s="19"/>
      <c r="AO1988" s="19"/>
      <c r="AY1988" s="145"/>
      <c r="AZ1988" s="16"/>
      <c r="BC1988" s="16"/>
      <c r="BD1988" s="20"/>
      <c r="BE1988" s="17"/>
      <c r="BF1988" s="20"/>
      <c r="BG1988" s="146"/>
      <c r="BH1988" s="146"/>
      <c r="BI1988" s="146"/>
      <c r="BJ1988" s="20"/>
      <c r="BK1988" s="20"/>
      <c r="BL1988" s="154"/>
      <c r="BP1988" s="20"/>
      <c r="BQ1988" s="154"/>
      <c r="BR1988" s="18"/>
      <c r="BS1988" s="16"/>
      <c r="BT1988" s="18"/>
      <c r="BU1988" s="18"/>
      <c r="BV1988" s="18"/>
      <c r="BW1988" s="20"/>
      <c r="BX1988" s="154"/>
      <c r="BY1988" s="18"/>
      <c r="BZ1988" s="146"/>
      <c r="CA1988" s="18"/>
      <c r="CB1988" s="18"/>
      <c r="CC1988" s="20"/>
      <c r="CD1988" s="154"/>
    </row>
    <row r="1989" spans="35:82">
      <c r="AI1989" s="19"/>
      <c r="AO1989" s="19"/>
      <c r="AY1989" s="145"/>
      <c r="AZ1989" s="16"/>
      <c r="BC1989" s="16"/>
      <c r="BD1989" s="20"/>
      <c r="BE1989" s="17"/>
      <c r="BF1989" s="20"/>
      <c r="BG1989" s="146"/>
      <c r="BH1989" s="146"/>
      <c r="BI1989" s="146"/>
      <c r="BJ1989" s="20"/>
      <c r="BK1989" s="20"/>
      <c r="BL1989" s="154"/>
      <c r="BP1989" s="20"/>
      <c r="BQ1989" s="154"/>
      <c r="BR1989" s="18"/>
      <c r="BS1989" s="16"/>
      <c r="BT1989" s="18"/>
      <c r="BU1989" s="18"/>
      <c r="BV1989" s="18"/>
      <c r="BW1989" s="20"/>
      <c r="BX1989" s="154"/>
      <c r="BY1989" s="18"/>
      <c r="BZ1989" s="146"/>
      <c r="CA1989" s="18"/>
      <c r="CB1989" s="18"/>
      <c r="CC1989" s="20"/>
      <c r="CD1989" s="154"/>
    </row>
    <row r="1990" spans="35:82">
      <c r="AI1990" s="19"/>
      <c r="AO1990" s="19"/>
      <c r="AY1990" s="145"/>
      <c r="AZ1990" s="16"/>
      <c r="BC1990" s="16"/>
      <c r="BD1990" s="20"/>
      <c r="BE1990" s="17"/>
      <c r="BF1990" s="20"/>
      <c r="BG1990" s="146"/>
      <c r="BH1990" s="146"/>
      <c r="BI1990" s="146"/>
      <c r="BJ1990" s="20"/>
      <c r="BK1990" s="20"/>
      <c r="BL1990" s="154"/>
      <c r="BP1990" s="20"/>
      <c r="BQ1990" s="154"/>
      <c r="BR1990" s="18"/>
      <c r="BS1990" s="16"/>
      <c r="BT1990" s="18"/>
      <c r="BU1990" s="18"/>
      <c r="BV1990" s="18"/>
      <c r="BW1990" s="20"/>
      <c r="BX1990" s="154"/>
      <c r="BY1990" s="18"/>
      <c r="BZ1990" s="146"/>
      <c r="CA1990" s="18"/>
      <c r="CB1990" s="18"/>
      <c r="CC1990" s="20"/>
      <c r="CD1990" s="154"/>
    </row>
    <row r="1991" spans="35:82">
      <c r="AI1991" s="19"/>
      <c r="AO1991" s="19"/>
      <c r="AY1991" s="145"/>
      <c r="AZ1991" s="16"/>
      <c r="BC1991" s="16"/>
      <c r="BD1991" s="20"/>
      <c r="BE1991" s="17"/>
      <c r="BF1991" s="20"/>
      <c r="BG1991" s="146"/>
      <c r="BH1991" s="146"/>
      <c r="BI1991" s="146"/>
      <c r="BJ1991" s="20"/>
      <c r="BK1991" s="20"/>
      <c r="BL1991" s="154"/>
      <c r="BP1991" s="20"/>
      <c r="BQ1991" s="154"/>
      <c r="BR1991" s="18"/>
      <c r="BS1991" s="16"/>
      <c r="BT1991" s="18"/>
      <c r="BU1991" s="18"/>
      <c r="BV1991" s="18"/>
      <c r="BW1991" s="20"/>
      <c r="BX1991" s="154"/>
      <c r="BY1991" s="18"/>
      <c r="BZ1991" s="146"/>
      <c r="CA1991" s="18"/>
      <c r="CB1991" s="18"/>
      <c r="CC1991" s="20"/>
      <c r="CD1991" s="154"/>
    </row>
    <row r="1992" spans="35:82">
      <c r="AI1992" s="19"/>
      <c r="AO1992" s="19"/>
      <c r="AY1992" s="145"/>
      <c r="AZ1992" s="16"/>
      <c r="BC1992" s="16"/>
      <c r="BD1992" s="20"/>
      <c r="BE1992" s="17"/>
      <c r="BF1992" s="20"/>
      <c r="BG1992" s="146"/>
      <c r="BH1992" s="146"/>
      <c r="BI1992" s="146"/>
      <c r="BJ1992" s="20"/>
      <c r="BK1992" s="20"/>
      <c r="BL1992" s="154"/>
      <c r="BP1992" s="20"/>
      <c r="BQ1992" s="154"/>
      <c r="BR1992" s="18"/>
      <c r="BS1992" s="16"/>
      <c r="BT1992" s="18"/>
      <c r="BU1992" s="18"/>
      <c r="BV1992" s="18"/>
      <c r="BW1992" s="20"/>
      <c r="BX1992" s="154"/>
      <c r="BY1992" s="18"/>
      <c r="BZ1992" s="146"/>
      <c r="CA1992" s="18"/>
      <c r="CB1992" s="18"/>
      <c r="CC1992" s="20"/>
      <c r="CD1992" s="154"/>
    </row>
    <row r="1993" spans="35:82">
      <c r="AI1993" s="19"/>
      <c r="AO1993" s="19"/>
      <c r="AY1993" s="145"/>
      <c r="AZ1993" s="16"/>
      <c r="BC1993" s="16"/>
      <c r="BD1993" s="20"/>
      <c r="BE1993" s="17"/>
      <c r="BF1993" s="20"/>
      <c r="BG1993" s="146"/>
      <c r="BH1993" s="146"/>
      <c r="BI1993" s="146"/>
      <c r="BJ1993" s="20"/>
      <c r="BK1993" s="20"/>
      <c r="BL1993" s="154"/>
      <c r="BP1993" s="20"/>
      <c r="BQ1993" s="154"/>
      <c r="BR1993" s="18"/>
      <c r="BS1993" s="16"/>
      <c r="BT1993" s="18"/>
      <c r="BU1993" s="18"/>
      <c r="BV1993" s="18"/>
      <c r="BW1993" s="20"/>
      <c r="BX1993" s="154"/>
      <c r="BY1993" s="18"/>
      <c r="BZ1993" s="146"/>
      <c r="CA1993" s="18"/>
      <c r="CB1993" s="18"/>
      <c r="CC1993" s="20"/>
      <c r="CD1993" s="154"/>
    </row>
    <row r="1994" spans="35:82">
      <c r="AI1994" s="19"/>
      <c r="AO1994" s="19"/>
      <c r="AY1994" s="145"/>
      <c r="AZ1994" s="16"/>
      <c r="BC1994" s="16"/>
      <c r="BD1994" s="20"/>
      <c r="BE1994" s="17"/>
      <c r="BF1994" s="20"/>
      <c r="BG1994" s="146"/>
      <c r="BH1994" s="146"/>
      <c r="BI1994" s="146"/>
      <c r="BJ1994" s="20"/>
      <c r="BK1994" s="20"/>
      <c r="BL1994" s="154"/>
      <c r="BP1994" s="20"/>
      <c r="BQ1994" s="154"/>
      <c r="BR1994" s="18"/>
      <c r="BS1994" s="16"/>
      <c r="BT1994" s="18"/>
      <c r="BU1994" s="18"/>
      <c r="BV1994" s="18"/>
      <c r="BW1994" s="20"/>
      <c r="BX1994" s="154"/>
      <c r="BY1994" s="18"/>
      <c r="BZ1994" s="146"/>
      <c r="CA1994" s="18"/>
      <c r="CB1994" s="18"/>
      <c r="CC1994" s="20"/>
      <c r="CD1994" s="154"/>
    </row>
    <row r="1995" spans="35:82">
      <c r="AI1995" s="19"/>
      <c r="AO1995" s="19"/>
      <c r="AY1995" s="145"/>
      <c r="AZ1995" s="16"/>
      <c r="BC1995" s="16"/>
      <c r="BD1995" s="20"/>
      <c r="BE1995" s="17"/>
      <c r="BF1995" s="20"/>
      <c r="BG1995" s="146"/>
      <c r="BH1995" s="146"/>
      <c r="BI1995" s="146"/>
      <c r="BJ1995" s="20"/>
      <c r="BK1995" s="20"/>
      <c r="BL1995" s="154"/>
      <c r="BP1995" s="20"/>
      <c r="BQ1995" s="154"/>
      <c r="BR1995" s="18"/>
      <c r="BS1995" s="16"/>
      <c r="BT1995" s="18"/>
      <c r="BU1995" s="18"/>
      <c r="BV1995" s="18"/>
      <c r="BW1995" s="20"/>
      <c r="BX1995" s="154"/>
      <c r="BY1995" s="18"/>
      <c r="BZ1995" s="146"/>
      <c r="CA1995" s="18"/>
      <c r="CB1995" s="18"/>
      <c r="CC1995" s="20"/>
      <c r="CD1995" s="154"/>
    </row>
    <row r="1996" spans="35:82">
      <c r="AI1996" s="19"/>
      <c r="AO1996" s="19"/>
      <c r="AY1996" s="145"/>
      <c r="AZ1996" s="16"/>
      <c r="BC1996" s="16"/>
      <c r="BD1996" s="20"/>
      <c r="BE1996" s="17"/>
      <c r="BF1996" s="20"/>
      <c r="BG1996" s="146"/>
      <c r="BH1996" s="146"/>
      <c r="BI1996" s="146"/>
      <c r="BJ1996" s="20"/>
      <c r="BK1996" s="20"/>
      <c r="BL1996" s="154"/>
      <c r="BP1996" s="20"/>
      <c r="BQ1996" s="154"/>
      <c r="BR1996" s="18"/>
      <c r="BS1996" s="16"/>
      <c r="BT1996" s="18"/>
      <c r="BU1996" s="18"/>
      <c r="BV1996" s="18"/>
      <c r="BW1996" s="20"/>
      <c r="BX1996" s="154"/>
      <c r="BY1996" s="18"/>
      <c r="BZ1996" s="146"/>
      <c r="CA1996" s="18"/>
      <c r="CB1996" s="18"/>
      <c r="CC1996" s="20"/>
      <c r="CD1996" s="154"/>
    </row>
    <row r="1997" spans="35:82">
      <c r="AI1997" s="19"/>
      <c r="AO1997" s="19"/>
      <c r="AY1997" s="145"/>
      <c r="AZ1997" s="16"/>
      <c r="BC1997" s="16"/>
      <c r="BD1997" s="20"/>
      <c r="BE1997" s="17"/>
      <c r="BF1997" s="20"/>
      <c r="BG1997" s="146"/>
      <c r="BH1997" s="146"/>
      <c r="BI1997" s="146"/>
      <c r="BJ1997" s="20"/>
      <c r="BK1997" s="20"/>
      <c r="BL1997" s="154"/>
      <c r="BP1997" s="20"/>
      <c r="BQ1997" s="154"/>
      <c r="BR1997" s="18"/>
      <c r="BS1997" s="16"/>
      <c r="BT1997" s="18"/>
      <c r="BU1997" s="18"/>
      <c r="BV1997" s="18"/>
      <c r="BW1997" s="20"/>
      <c r="BX1997" s="154"/>
      <c r="BY1997" s="18"/>
      <c r="BZ1997" s="146"/>
      <c r="CA1997" s="18"/>
      <c r="CB1997" s="18"/>
      <c r="CC1997" s="20"/>
      <c r="CD1997" s="154"/>
    </row>
    <row r="1998" spans="35:82">
      <c r="AI1998" s="19"/>
      <c r="AO1998" s="19"/>
      <c r="AY1998" s="145"/>
      <c r="AZ1998" s="16"/>
      <c r="BC1998" s="16"/>
      <c r="BD1998" s="20"/>
      <c r="BE1998" s="17"/>
      <c r="BF1998" s="20"/>
      <c r="BG1998" s="146"/>
      <c r="BH1998" s="146"/>
      <c r="BI1998" s="146"/>
      <c r="BJ1998" s="20"/>
      <c r="BK1998" s="20"/>
      <c r="BL1998" s="154"/>
      <c r="BP1998" s="20"/>
      <c r="BQ1998" s="154"/>
      <c r="BR1998" s="18"/>
      <c r="BS1998" s="16"/>
      <c r="BT1998" s="18"/>
      <c r="BU1998" s="18"/>
      <c r="BV1998" s="18"/>
      <c r="BW1998" s="20"/>
      <c r="BX1998" s="154"/>
      <c r="BY1998" s="18"/>
      <c r="BZ1998" s="146"/>
      <c r="CA1998" s="18"/>
      <c r="CB1998" s="18"/>
      <c r="CC1998" s="20"/>
      <c r="CD1998" s="154"/>
    </row>
    <row r="1999" spans="35:82">
      <c r="AI1999" s="19"/>
      <c r="AO1999" s="19"/>
      <c r="AY1999" s="145"/>
      <c r="AZ1999" s="16"/>
      <c r="BC1999" s="16"/>
      <c r="BD1999" s="20"/>
      <c r="BE1999" s="17"/>
      <c r="BF1999" s="20"/>
      <c r="BG1999" s="146"/>
      <c r="BH1999" s="146"/>
      <c r="BI1999" s="146"/>
      <c r="BJ1999" s="20"/>
      <c r="BK1999" s="20"/>
      <c r="BL1999" s="154"/>
      <c r="BP1999" s="20"/>
      <c r="BQ1999" s="154"/>
      <c r="BR1999" s="18"/>
      <c r="BS1999" s="16"/>
      <c r="BT1999" s="18"/>
      <c r="BU1999" s="18"/>
      <c r="BV1999" s="18"/>
      <c r="BW1999" s="20"/>
      <c r="BX1999" s="154"/>
      <c r="BY1999" s="18"/>
      <c r="BZ1999" s="146"/>
      <c r="CA1999" s="18"/>
      <c r="CB1999" s="18"/>
      <c r="CC1999" s="20"/>
      <c r="CD1999" s="154"/>
    </row>
    <row r="2000" spans="35:82">
      <c r="AI2000" s="19"/>
      <c r="AO2000" s="19"/>
      <c r="AY2000" s="145"/>
      <c r="AZ2000" s="16"/>
      <c r="BC2000" s="16"/>
      <c r="BD2000" s="20"/>
      <c r="BE2000" s="17"/>
      <c r="BF2000" s="20"/>
      <c r="BG2000" s="146"/>
      <c r="BH2000" s="146"/>
      <c r="BI2000" s="146"/>
      <c r="BJ2000" s="20"/>
      <c r="BK2000" s="20"/>
      <c r="BL2000" s="154"/>
      <c r="BP2000" s="20"/>
      <c r="BQ2000" s="154"/>
      <c r="BR2000" s="18"/>
      <c r="BS2000" s="16"/>
      <c r="BT2000" s="18"/>
      <c r="BU2000" s="18"/>
      <c r="BV2000" s="18"/>
      <c r="BW2000" s="20"/>
      <c r="BX2000" s="154"/>
      <c r="BY2000" s="18"/>
      <c r="BZ2000" s="146"/>
      <c r="CA2000" s="18"/>
      <c r="CB2000" s="18"/>
      <c r="CC2000" s="20"/>
      <c r="CD2000" s="154"/>
    </row>
    <row r="2001" spans="35:82">
      <c r="AI2001" s="19"/>
      <c r="AO2001" s="19"/>
      <c r="AY2001" s="145"/>
      <c r="AZ2001" s="16"/>
      <c r="BC2001" s="16"/>
      <c r="BD2001" s="20"/>
      <c r="BE2001" s="17"/>
      <c r="BF2001" s="20"/>
      <c r="BG2001" s="146"/>
      <c r="BH2001" s="146"/>
      <c r="BI2001" s="146"/>
      <c r="BJ2001" s="20"/>
      <c r="BK2001" s="20"/>
      <c r="BL2001" s="154"/>
      <c r="BP2001" s="20"/>
      <c r="BQ2001" s="154"/>
      <c r="BR2001" s="18"/>
      <c r="BS2001" s="16"/>
      <c r="BT2001" s="18"/>
      <c r="BU2001" s="18"/>
      <c r="BV2001" s="18"/>
      <c r="BW2001" s="20"/>
      <c r="BX2001" s="154"/>
      <c r="BY2001" s="18"/>
      <c r="BZ2001" s="146"/>
      <c r="CA2001" s="18"/>
      <c r="CB2001" s="18"/>
      <c r="CC2001" s="20"/>
      <c r="CD2001" s="154"/>
    </row>
    <row r="2002" spans="35:82">
      <c r="AI2002" s="19"/>
      <c r="AO2002" s="19"/>
      <c r="AY2002" s="145"/>
      <c r="AZ2002" s="16"/>
      <c r="BC2002" s="16"/>
      <c r="BD2002" s="20"/>
      <c r="BE2002" s="17"/>
      <c r="BF2002" s="20"/>
      <c r="BG2002" s="146"/>
      <c r="BH2002" s="146"/>
      <c r="BI2002" s="146"/>
      <c r="BJ2002" s="20"/>
      <c r="BK2002" s="20"/>
      <c r="BL2002" s="154"/>
      <c r="BP2002" s="20"/>
      <c r="BQ2002" s="154"/>
      <c r="BR2002" s="18"/>
      <c r="BS2002" s="16"/>
      <c r="BT2002" s="18"/>
      <c r="BU2002" s="18"/>
      <c r="BV2002" s="18"/>
      <c r="BW2002" s="20"/>
      <c r="BX2002" s="154"/>
      <c r="BY2002" s="18"/>
      <c r="BZ2002" s="146"/>
      <c r="CA2002" s="18"/>
      <c r="CB2002" s="18"/>
      <c r="CC2002" s="20"/>
      <c r="CD2002" s="154"/>
    </row>
    <row r="2003" spans="35:82">
      <c r="AI2003" s="19"/>
      <c r="AO2003" s="19"/>
      <c r="AY2003" s="145"/>
      <c r="AZ2003" s="16"/>
      <c r="BC2003" s="16"/>
      <c r="BD2003" s="20"/>
      <c r="BE2003" s="17"/>
      <c r="BF2003" s="20"/>
      <c r="BG2003" s="146"/>
      <c r="BH2003" s="146"/>
      <c r="BI2003" s="146"/>
      <c r="BJ2003" s="20"/>
      <c r="BK2003" s="20"/>
      <c r="BL2003" s="154"/>
      <c r="BP2003" s="20"/>
      <c r="BQ2003" s="154"/>
      <c r="BR2003" s="18"/>
      <c r="BS2003" s="16"/>
      <c r="BT2003" s="18"/>
      <c r="BU2003" s="18"/>
      <c r="BV2003" s="18"/>
      <c r="BW2003" s="20"/>
      <c r="BX2003" s="154"/>
      <c r="BY2003" s="18"/>
      <c r="BZ2003" s="146"/>
      <c r="CA2003" s="18"/>
      <c r="CB2003" s="18"/>
      <c r="CC2003" s="20"/>
      <c r="CD2003" s="154"/>
    </row>
    <row r="2004" spans="35:82">
      <c r="AI2004" s="19"/>
      <c r="AO2004" s="19"/>
      <c r="AY2004" s="145"/>
      <c r="AZ2004" s="16"/>
      <c r="BC2004" s="16"/>
      <c r="BD2004" s="20"/>
      <c r="BE2004" s="17"/>
      <c r="BF2004" s="20"/>
      <c r="BG2004" s="146"/>
      <c r="BH2004" s="146"/>
      <c r="BI2004" s="146"/>
      <c r="BJ2004" s="20"/>
      <c r="BK2004" s="20"/>
      <c r="BL2004" s="154"/>
      <c r="BP2004" s="20"/>
      <c r="BQ2004" s="154"/>
      <c r="BR2004" s="18"/>
      <c r="BS2004" s="16"/>
      <c r="BT2004" s="18"/>
      <c r="BU2004" s="18"/>
      <c r="BV2004" s="18"/>
      <c r="BW2004" s="20"/>
      <c r="BX2004" s="154"/>
      <c r="BY2004" s="18"/>
      <c r="BZ2004" s="146"/>
      <c r="CA2004" s="18"/>
      <c r="CB2004" s="18"/>
      <c r="CC2004" s="20"/>
      <c r="CD2004" s="154"/>
    </row>
    <row r="2005" spans="35:82">
      <c r="AI2005" s="19"/>
      <c r="AO2005" s="19"/>
      <c r="AY2005" s="145"/>
      <c r="AZ2005" s="16"/>
      <c r="BC2005" s="16"/>
      <c r="BD2005" s="20"/>
      <c r="BE2005" s="17"/>
      <c r="BF2005" s="20"/>
      <c r="BG2005" s="146"/>
      <c r="BH2005" s="146"/>
      <c r="BI2005" s="146"/>
      <c r="BJ2005" s="20"/>
      <c r="BK2005" s="20"/>
      <c r="BL2005" s="154"/>
      <c r="BP2005" s="20"/>
      <c r="BQ2005" s="154"/>
      <c r="BR2005" s="18"/>
      <c r="BS2005" s="16"/>
      <c r="BT2005" s="18"/>
      <c r="BU2005" s="18"/>
      <c r="BV2005" s="18"/>
      <c r="BW2005" s="20"/>
      <c r="BX2005" s="154"/>
      <c r="BY2005" s="18"/>
      <c r="BZ2005" s="146"/>
      <c r="CA2005" s="18"/>
      <c r="CB2005" s="18"/>
      <c r="CC2005" s="20"/>
      <c r="CD2005" s="154"/>
    </row>
    <row r="2006" spans="35:82">
      <c r="AI2006" s="19"/>
      <c r="AO2006" s="19"/>
      <c r="AY2006" s="145"/>
      <c r="AZ2006" s="16"/>
      <c r="BC2006" s="16"/>
      <c r="BD2006" s="20"/>
      <c r="BE2006" s="17"/>
      <c r="BF2006" s="20"/>
      <c r="BG2006" s="146"/>
      <c r="BH2006" s="146"/>
      <c r="BI2006" s="146"/>
      <c r="BJ2006" s="20"/>
      <c r="BK2006" s="20"/>
      <c r="BL2006" s="154"/>
      <c r="BP2006" s="20"/>
      <c r="BQ2006" s="154"/>
      <c r="BR2006" s="18"/>
      <c r="BS2006" s="16"/>
      <c r="BT2006" s="18"/>
      <c r="BU2006" s="18"/>
      <c r="BV2006" s="18"/>
      <c r="BW2006" s="20"/>
      <c r="BX2006" s="154"/>
      <c r="BY2006" s="18"/>
      <c r="BZ2006" s="146"/>
      <c r="CA2006" s="18"/>
      <c r="CB2006" s="18"/>
      <c r="CC2006" s="20"/>
      <c r="CD2006" s="154"/>
    </row>
    <row r="2007" spans="35:82">
      <c r="AI2007" s="19"/>
      <c r="AO2007" s="19"/>
      <c r="AY2007" s="145"/>
      <c r="AZ2007" s="16"/>
      <c r="BC2007" s="16"/>
      <c r="BD2007" s="20"/>
      <c r="BE2007" s="17"/>
      <c r="BF2007" s="20"/>
      <c r="BG2007" s="146"/>
      <c r="BH2007" s="146"/>
      <c r="BI2007" s="146"/>
      <c r="BJ2007" s="20"/>
      <c r="BK2007" s="20"/>
      <c r="BL2007" s="154"/>
      <c r="BP2007" s="20"/>
      <c r="BQ2007" s="154"/>
      <c r="BR2007" s="18"/>
      <c r="BS2007" s="16"/>
      <c r="BT2007" s="18"/>
      <c r="BU2007" s="18"/>
      <c r="BV2007" s="18"/>
      <c r="BW2007" s="20"/>
      <c r="BX2007" s="154"/>
      <c r="BY2007" s="18"/>
      <c r="BZ2007" s="146"/>
      <c r="CA2007" s="18"/>
      <c r="CB2007" s="18"/>
      <c r="CC2007" s="20"/>
      <c r="CD2007" s="154"/>
    </row>
    <row r="2008" spans="35:82">
      <c r="AI2008" s="19"/>
      <c r="AO2008" s="19"/>
      <c r="AY2008" s="145"/>
      <c r="AZ2008" s="16"/>
      <c r="BC2008" s="16"/>
      <c r="BD2008" s="20"/>
      <c r="BE2008" s="17"/>
      <c r="BF2008" s="20"/>
      <c r="BG2008" s="146"/>
      <c r="BH2008" s="146"/>
      <c r="BI2008" s="146"/>
      <c r="BJ2008" s="20"/>
      <c r="BK2008" s="20"/>
      <c r="BL2008" s="154"/>
      <c r="BP2008" s="20"/>
      <c r="BQ2008" s="154"/>
      <c r="BR2008" s="18"/>
      <c r="BS2008" s="16"/>
      <c r="BT2008" s="18"/>
      <c r="BU2008" s="18"/>
      <c r="BV2008" s="18"/>
      <c r="BW2008" s="20"/>
      <c r="BX2008" s="154"/>
      <c r="BY2008" s="18"/>
      <c r="BZ2008" s="146"/>
      <c r="CA2008" s="18"/>
      <c r="CB2008" s="18"/>
      <c r="CC2008" s="20"/>
      <c r="CD2008" s="154"/>
    </row>
    <row r="2009" spans="35:82">
      <c r="AI2009" s="19"/>
      <c r="AO2009" s="19"/>
      <c r="AY2009" s="145"/>
      <c r="AZ2009" s="16"/>
      <c r="BC2009" s="16"/>
      <c r="BD2009" s="20"/>
      <c r="BE2009" s="17"/>
      <c r="BF2009" s="20"/>
      <c r="BG2009" s="146"/>
      <c r="BH2009" s="146"/>
      <c r="BI2009" s="146"/>
      <c r="BJ2009" s="20"/>
      <c r="BK2009" s="20"/>
      <c r="BL2009" s="154"/>
      <c r="BP2009" s="20"/>
      <c r="BQ2009" s="154"/>
      <c r="BR2009" s="18"/>
      <c r="BS2009" s="16"/>
      <c r="BT2009" s="18"/>
      <c r="BU2009" s="18"/>
      <c r="BV2009" s="18"/>
      <c r="BW2009" s="20"/>
      <c r="BX2009" s="154"/>
      <c r="BY2009" s="18"/>
      <c r="BZ2009" s="146"/>
      <c r="CA2009" s="18"/>
      <c r="CB2009" s="18"/>
      <c r="CC2009" s="20"/>
      <c r="CD2009" s="154"/>
    </row>
    <row r="2010" spans="35:82">
      <c r="AI2010" s="19"/>
      <c r="AO2010" s="19"/>
      <c r="AY2010" s="145"/>
      <c r="AZ2010" s="16"/>
      <c r="BC2010" s="16"/>
      <c r="BD2010" s="20"/>
      <c r="BE2010" s="17"/>
      <c r="BF2010" s="20"/>
      <c r="BG2010" s="146"/>
      <c r="BH2010" s="146"/>
      <c r="BI2010" s="146"/>
      <c r="BJ2010" s="20"/>
      <c r="BK2010" s="20"/>
      <c r="BL2010" s="154"/>
      <c r="BP2010" s="20"/>
      <c r="BQ2010" s="154"/>
      <c r="BR2010" s="18"/>
      <c r="BS2010" s="16"/>
      <c r="BT2010" s="18"/>
      <c r="BU2010" s="18"/>
      <c r="BV2010" s="18"/>
      <c r="BW2010" s="20"/>
      <c r="BX2010" s="154"/>
      <c r="BY2010" s="18"/>
      <c r="BZ2010" s="146"/>
      <c r="CA2010" s="18"/>
      <c r="CB2010" s="18"/>
      <c r="CC2010" s="20"/>
      <c r="CD2010" s="154"/>
    </row>
    <row r="2011" spans="35:82">
      <c r="AI2011" s="19"/>
      <c r="AO2011" s="19"/>
      <c r="AY2011" s="145"/>
      <c r="AZ2011" s="16"/>
      <c r="BC2011" s="16"/>
      <c r="BD2011" s="20"/>
      <c r="BE2011" s="17"/>
      <c r="BF2011" s="20"/>
      <c r="BG2011" s="146"/>
      <c r="BH2011" s="146"/>
      <c r="BI2011" s="146"/>
      <c r="BJ2011" s="20"/>
      <c r="BK2011" s="20"/>
      <c r="BL2011" s="154"/>
      <c r="BP2011" s="20"/>
      <c r="BQ2011" s="154"/>
      <c r="BR2011" s="18"/>
      <c r="BS2011" s="16"/>
      <c r="BT2011" s="18"/>
      <c r="BU2011" s="18"/>
      <c r="BV2011" s="18"/>
      <c r="BW2011" s="20"/>
      <c r="BX2011" s="154"/>
      <c r="BY2011" s="18"/>
      <c r="BZ2011" s="146"/>
      <c r="CA2011" s="18"/>
      <c r="CB2011" s="18"/>
      <c r="CC2011" s="20"/>
      <c r="CD2011" s="154"/>
    </row>
    <row r="2012" spans="35:82">
      <c r="AI2012" s="19"/>
      <c r="AO2012" s="19"/>
      <c r="AY2012" s="145"/>
      <c r="AZ2012" s="16"/>
      <c r="BC2012" s="16"/>
      <c r="BD2012" s="20"/>
      <c r="BE2012" s="17"/>
      <c r="BF2012" s="20"/>
      <c r="BG2012" s="146"/>
      <c r="BH2012" s="146"/>
      <c r="BI2012" s="146"/>
      <c r="BJ2012" s="20"/>
      <c r="BK2012" s="20"/>
      <c r="BL2012" s="154"/>
      <c r="BP2012" s="20"/>
      <c r="BQ2012" s="154"/>
      <c r="BR2012" s="18"/>
      <c r="BS2012" s="16"/>
      <c r="BT2012" s="18"/>
      <c r="BU2012" s="18"/>
      <c r="BV2012" s="18"/>
      <c r="BW2012" s="20"/>
      <c r="BX2012" s="154"/>
      <c r="BY2012" s="18"/>
      <c r="BZ2012" s="146"/>
      <c r="CA2012" s="18"/>
      <c r="CB2012" s="18"/>
      <c r="CC2012" s="20"/>
      <c r="CD2012" s="154"/>
    </row>
    <row r="2013" spans="35:82">
      <c r="AI2013" s="19"/>
      <c r="AO2013" s="19"/>
      <c r="AY2013" s="145"/>
      <c r="AZ2013" s="16"/>
      <c r="BC2013" s="16"/>
      <c r="BD2013" s="20"/>
      <c r="BE2013" s="17"/>
      <c r="BF2013" s="20"/>
      <c r="BG2013" s="146"/>
      <c r="BH2013" s="146"/>
      <c r="BI2013" s="146"/>
      <c r="BJ2013" s="20"/>
      <c r="BK2013" s="20"/>
      <c r="BL2013" s="154"/>
      <c r="BP2013" s="20"/>
      <c r="BQ2013" s="154"/>
      <c r="BR2013" s="18"/>
      <c r="BS2013" s="16"/>
      <c r="BT2013" s="18"/>
      <c r="BU2013" s="18"/>
      <c r="BV2013" s="18"/>
      <c r="BW2013" s="20"/>
      <c r="BX2013" s="154"/>
      <c r="BY2013" s="18"/>
      <c r="BZ2013" s="146"/>
      <c r="CA2013" s="18"/>
      <c r="CB2013" s="18"/>
      <c r="CC2013" s="20"/>
      <c r="CD2013" s="154"/>
    </row>
    <row r="2014" spans="35:82">
      <c r="AI2014" s="19"/>
      <c r="AO2014" s="19"/>
      <c r="AY2014" s="145"/>
      <c r="AZ2014" s="16"/>
      <c r="BC2014" s="16"/>
      <c r="BD2014" s="20"/>
      <c r="BE2014" s="17"/>
      <c r="BF2014" s="20"/>
      <c r="BG2014" s="146"/>
      <c r="BH2014" s="146"/>
      <c r="BI2014" s="146"/>
      <c r="BJ2014" s="20"/>
      <c r="BK2014" s="20"/>
      <c r="BL2014" s="154"/>
      <c r="BP2014" s="20"/>
      <c r="BQ2014" s="154"/>
      <c r="BR2014" s="18"/>
      <c r="BS2014" s="16"/>
      <c r="BT2014" s="18"/>
      <c r="BU2014" s="18"/>
      <c r="BV2014" s="18"/>
      <c r="BW2014" s="20"/>
      <c r="BX2014" s="154"/>
      <c r="BY2014" s="18"/>
      <c r="BZ2014" s="146"/>
      <c r="CA2014" s="18"/>
      <c r="CB2014" s="18"/>
      <c r="CC2014" s="20"/>
      <c r="CD2014" s="154"/>
    </row>
    <row r="2015" spans="35:82">
      <c r="AI2015" s="19"/>
      <c r="AO2015" s="19"/>
      <c r="AY2015" s="145"/>
      <c r="AZ2015" s="16"/>
      <c r="BC2015" s="16"/>
      <c r="BD2015" s="20"/>
      <c r="BE2015" s="17"/>
      <c r="BF2015" s="20"/>
      <c r="BG2015" s="146"/>
      <c r="BH2015" s="146"/>
      <c r="BI2015" s="146"/>
      <c r="BJ2015" s="20"/>
      <c r="BK2015" s="20"/>
      <c r="BL2015" s="154"/>
      <c r="BP2015" s="20"/>
      <c r="BQ2015" s="154"/>
      <c r="BR2015" s="18"/>
      <c r="BS2015" s="16"/>
      <c r="BT2015" s="18"/>
      <c r="BU2015" s="18"/>
      <c r="BV2015" s="18"/>
      <c r="BW2015" s="20"/>
      <c r="BX2015" s="154"/>
      <c r="BY2015" s="18"/>
      <c r="BZ2015" s="146"/>
      <c r="CA2015" s="18"/>
      <c r="CB2015" s="18"/>
      <c r="CC2015" s="20"/>
      <c r="CD2015" s="154"/>
    </row>
    <row r="2016" spans="35:82">
      <c r="AI2016" s="19"/>
      <c r="AO2016" s="19"/>
      <c r="AY2016" s="145"/>
      <c r="AZ2016" s="16"/>
      <c r="BC2016" s="16"/>
      <c r="BD2016" s="20"/>
      <c r="BE2016" s="17"/>
      <c r="BF2016" s="20"/>
      <c r="BG2016" s="146"/>
      <c r="BH2016" s="146"/>
      <c r="BI2016" s="146"/>
      <c r="BJ2016" s="20"/>
      <c r="BK2016" s="20"/>
      <c r="BL2016" s="154"/>
      <c r="BP2016" s="20"/>
      <c r="BQ2016" s="154"/>
      <c r="BR2016" s="18"/>
      <c r="BS2016" s="16"/>
      <c r="BT2016" s="18"/>
      <c r="BU2016" s="18"/>
      <c r="BV2016" s="18"/>
      <c r="BW2016" s="20"/>
      <c r="BX2016" s="154"/>
      <c r="BY2016" s="18"/>
      <c r="BZ2016" s="146"/>
      <c r="CA2016" s="18"/>
      <c r="CB2016" s="18"/>
      <c r="CC2016" s="20"/>
      <c r="CD2016" s="154"/>
    </row>
    <row r="2017" spans="35:82">
      <c r="AI2017" s="19"/>
      <c r="AO2017" s="19"/>
      <c r="AY2017" s="145"/>
      <c r="AZ2017" s="16"/>
      <c r="BC2017" s="16"/>
      <c r="BD2017" s="20"/>
      <c r="BE2017" s="17"/>
      <c r="BF2017" s="20"/>
      <c r="BG2017" s="146"/>
      <c r="BH2017" s="146"/>
      <c r="BI2017" s="146"/>
      <c r="BJ2017" s="20"/>
      <c r="BK2017" s="20"/>
      <c r="BL2017" s="154"/>
      <c r="BP2017" s="20"/>
      <c r="BQ2017" s="154"/>
      <c r="BR2017" s="18"/>
      <c r="BS2017" s="16"/>
      <c r="BT2017" s="18"/>
      <c r="BU2017" s="18"/>
      <c r="BV2017" s="18"/>
      <c r="BW2017" s="20"/>
      <c r="BX2017" s="154"/>
      <c r="BY2017" s="18"/>
      <c r="BZ2017" s="146"/>
      <c r="CA2017" s="18"/>
      <c r="CB2017" s="18"/>
      <c r="CC2017" s="20"/>
      <c r="CD2017" s="154"/>
    </row>
    <row r="2018" spans="35:82">
      <c r="AI2018" s="19"/>
      <c r="AO2018" s="19"/>
      <c r="AY2018" s="145"/>
      <c r="AZ2018" s="16"/>
      <c r="BC2018" s="16"/>
      <c r="BD2018" s="20"/>
      <c r="BE2018" s="17"/>
      <c r="BF2018" s="20"/>
      <c r="BG2018" s="146"/>
      <c r="BH2018" s="146"/>
      <c r="BI2018" s="146"/>
      <c r="BJ2018" s="20"/>
      <c r="BK2018" s="20"/>
      <c r="BL2018" s="154"/>
      <c r="BP2018" s="20"/>
      <c r="BQ2018" s="154"/>
      <c r="BR2018" s="18"/>
      <c r="BS2018" s="16"/>
      <c r="BT2018" s="18"/>
      <c r="BU2018" s="18"/>
      <c r="BV2018" s="18"/>
      <c r="BW2018" s="20"/>
      <c r="BX2018" s="154"/>
      <c r="BY2018" s="18"/>
      <c r="BZ2018" s="146"/>
      <c r="CA2018" s="18"/>
      <c r="CB2018" s="18"/>
      <c r="CC2018" s="20"/>
      <c r="CD2018" s="154"/>
    </row>
    <row r="2019" spans="35:82">
      <c r="AI2019" s="19"/>
      <c r="AO2019" s="19"/>
      <c r="AY2019" s="145"/>
      <c r="AZ2019" s="16"/>
      <c r="BC2019" s="16"/>
      <c r="BD2019" s="20"/>
      <c r="BE2019" s="17"/>
      <c r="BF2019" s="20"/>
      <c r="BG2019" s="146"/>
      <c r="BH2019" s="146"/>
      <c r="BI2019" s="146"/>
      <c r="BJ2019" s="20"/>
      <c r="BK2019" s="20"/>
      <c r="BL2019" s="154"/>
      <c r="BP2019" s="20"/>
      <c r="BQ2019" s="154"/>
      <c r="BR2019" s="18"/>
      <c r="BS2019" s="16"/>
      <c r="BT2019" s="18"/>
      <c r="BU2019" s="18"/>
      <c r="BV2019" s="18"/>
      <c r="BW2019" s="20"/>
      <c r="BX2019" s="154"/>
      <c r="BY2019" s="18"/>
      <c r="BZ2019" s="146"/>
      <c r="CA2019" s="18"/>
      <c r="CB2019" s="18"/>
      <c r="CC2019" s="20"/>
      <c r="CD2019" s="154"/>
    </row>
    <row r="2020" spans="35:82">
      <c r="AI2020" s="19"/>
      <c r="AO2020" s="19"/>
      <c r="AY2020" s="145"/>
      <c r="AZ2020" s="16"/>
      <c r="BC2020" s="16"/>
      <c r="BD2020" s="20"/>
      <c r="BE2020" s="17"/>
      <c r="BF2020" s="20"/>
      <c r="BG2020" s="146"/>
      <c r="BH2020" s="146"/>
      <c r="BI2020" s="146"/>
      <c r="BJ2020" s="20"/>
      <c r="BK2020" s="20"/>
      <c r="BL2020" s="154"/>
      <c r="BP2020" s="20"/>
      <c r="BQ2020" s="154"/>
      <c r="BR2020" s="18"/>
      <c r="BS2020" s="16"/>
      <c r="BT2020" s="18"/>
      <c r="BU2020" s="18"/>
      <c r="BV2020" s="18"/>
      <c r="BW2020" s="20"/>
      <c r="BX2020" s="154"/>
      <c r="BY2020" s="18"/>
      <c r="BZ2020" s="146"/>
      <c r="CA2020" s="18"/>
      <c r="CB2020" s="18"/>
      <c r="CC2020" s="20"/>
      <c r="CD2020" s="154"/>
    </row>
    <row r="2021" spans="35:82">
      <c r="AI2021" s="19"/>
      <c r="AO2021" s="19"/>
      <c r="AY2021" s="145"/>
      <c r="AZ2021" s="16"/>
      <c r="BC2021" s="16"/>
      <c r="BD2021" s="20"/>
      <c r="BE2021" s="17"/>
      <c r="BF2021" s="20"/>
      <c r="BG2021" s="146"/>
      <c r="BH2021" s="146"/>
      <c r="BI2021" s="146"/>
      <c r="BJ2021" s="20"/>
      <c r="BK2021" s="20"/>
      <c r="BL2021" s="154"/>
      <c r="BP2021" s="20"/>
      <c r="BQ2021" s="154"/>
      <c r="BR2021" s="18"/>
      <c r="BS2021" s="16"/>
      <c r="BT2021" s="18"/>
      <c r="BU2021" s="18"/>
      <c r="BV2021" s="18"/>
      <c r="BW2021" s="20"/>
      <c r="BX2021" s="154"/>
      <c r="BY2021" s="18"/>
      <c r="BZ2021" s="146"/>
      <c r="CA2021" s="18"/>
      <c r="CB2021" s="18"/>
      <c r="CC2021" s="20"/>
      <c r="CD2021" s="154"/>
    </row>
    <row r="2022" spans="35:82">
      <c r="AI2022" s="19"/>
      <c r="AO2022" s="19"/>
      <c r="AY2022" s="145"/>
      <c r="AZ2022" s="16"/>
      <c r="BC2022" s="16"/>
      <c r="BD2022" s="20"/>
      <c r="BE2022" s="17"/>
      <c r="BF2022" s="20"/>
      <c r="BG2022" s="146"/>
      <c r="BH2022" s="146"/>
      <c r="BI2022" s="146"/>
      <c r="BJ2022" s="20"/>
      <c r="BK2022" s="20"/>
      <c r="BL2022" s="154"/>
      <c r="BP2022" s="20"/>
      <c r="BQ2022" s="154"/>
      <c r="BR2022" s="18"/>
      <c r="BS2022" s="16"/>
      <c r="BT2022" s="18"/>
      <c r="BU2022" s="18"/>
      <c r="BV2022" s="18"/>
      <c r="BW2022" s="20"/>
      <c r="BX2022" s="154"/>
      <c r="BY2022" s="18"/>
      <c r="BZ2022" s="146"/>
      <c r="CA2022" s="18"/>
      <c r="CB2022" s="18"/>
      <c r="CC2022" s="20"/>
      <c r="CD2022" s="154"/>
    </row>
    <row r="2023" spans="35:82">
      <c r="AI2023" s="19"/>
      <c r="AO2023" s="19"/>
      <c r="AY2023" s="145"/>
      <c r="AZ2023" s="16"/>
      <c r="BC2023" s="16"/>
      <c r="BD2023" s="20"/>
      <c r="BE2023" s="17"/>
      <c r="BF2023" s="20"/>
      <c r="BG2023" s="146"/>
      <c r="BH2023" s="146"/>
      <c r="BI2023" s="146"/>
      <c r="BJ2023" s="20"/>
      <c r="BK2023" s="20"/>
      <c r="BL2023" s="154"/>
      <c r="BP2023" s="20"/>
      <c r="BQ2023" s="154"/>
      <c r="BR2023" s="18"/>
      <c r="BS2023" s="16"/>
      <c r="BT2023" s="18"/>
      <c r="BU2023" s="18"/>
      <c r="BV2023" s="18"/>
      <c r="BW2023" s="20"/>
      <c r="BX2023" s="154"/>
      <c r="BY2023" s="18"/>
      <c r="BZ2023" s="146"/>
      <c r="CA2023" s="18"/>
      <c r="CB2023" s="18"/>
      <c r="CC2023" s="20"/>
      <c r="CD2023" s="154"/>
    </row>
    <row r="2024" spans="35:82">
      <c r="AI2024" s="19"/>
      <c r="AO2024" s="19"/>
      <c r="AY2024" s="145"/>
      <c r="AZ2024" s="16"/>
      <c r="BC2024" s="16"/>
      <c r="BD2024" s="20"/>
      <c r="BE2024" s="17"/>
      <c r="BF2024" s="20"/>
      <c r="BG2024" s="146"/>
      <c r="BH2024" s="146"/>
      <c r="BI2024" s="146"/>
      <c r="BJ2024" s="20"/>
      <c r="BK2024" s="20"/>
      <c r="BL2024" s="154"/>
      <c r="BP2024" s="20"/>
      <c r="BQ2024" s="154"/>
      <c r="BR2024" s="18"/>
      <c r="BS2024" s="16"/>
      <c r="BT2024" s="18"/>
      <c r="BU2024" s="18"/>
      <c r="BV2024" s="18"/>
      <c r="BW2024" s="20"/>
      <c r="BX2024" s="154"/>
      <c r="BY2024" s="18"/>
      <c r="BZ2024" s="146"/>
      <c r="CA2024" s="18"/>
      <c r="CB2024" s="18"/>
      <c r="CC2024" s="20"/>
      <c r="CD2024" s="154"/>
    </row>
    <row r="2025" spans="35:82">
      <c r="AI2025" s="19"/>
      <c r="AO2025" s="19"/>
      <c r="AY2025" s="145"/>
      <c r="AZ2025" s="16"/>
      <c r="BC2025" s="16"/>
      <c r="BD2025" s="20"/>
      <c r="BE2025" s="17"/>
      <c r="BF2025" s="20"/>
      <c r="BG2025" s="146"/>
      <c r="BH2025" s="146"/>
      <c r="BI2025" s="146"/>
      <c r="BJ2025" s="20"/>
      <c r="BK2025" s="20"/>
      <c r="BL2025" s="154"/>
      <c r="BP2025" s="20"/>
      <c r="BQ2025" s="154"/>
      <c r="BR2025" s="18"/>
      <c r="BS2025" s="16"/>
      <c r="BT2025" s="18"/>
      <c r="BU2025" s="18"/>
      <c r="BV2025" s="18"/>
      <c r="BW2025" s="20"/>
      <c r="BX2025" s="154"/>
      <c r="BY2025" s="18"/>
      <c r="BZ2025" s="146"/>
      <c r="CA2025" s="18"/>
      <c r="CB2025" s="18"/>
      <c r="CC2025" s="20"/>
      <c r="CD2025" s="154"/>
    </row>
    <row r="2026" spans="35:82">
      <c r="AI2026" s="19"/>
      <c r="AO2026" s="19"/>
      <c r="AY2026" s="145"/>
      <c r="AZ2026" s="16"/>
      <c r="BC2026" s="16"/>
      <c r="BD2026" s="20"/>
      <c r="BE2026" s="17"/>
      <c r="BF2026" s="20"/>
      <c r="BG2026" s="146"/>
      <c r="BH2026" s="146"/>
      <c r="BI2026" s="146"/>
      <c r="BJ2026" s="20"/>
      <c r="BK2026" s="20"/>
      <c r="BL2026" s="154"/>
      <c r="BP2026" s="20"/>
      <c r="BQ2026" s="154"/>
      <c r="BR2026" s="18"/>
      <c r="BS2026" s="16"/>
      <c r="BT2026" s="18"/>
      <c r="BU2026" s="18"/>
      <c r="BV2026" s="18"/>
      <c r="BW2026" s="20"/>
      <c r="BX2026" s="154"/>
      <c r="BY2026" s="18"/>
      <c r="BZ2026" s="146"/>
      <c r="CA2026" s="18"/>
      <c r="CB2026" s="18"/>
      <c r="CC2026" s="20"/>
      <c r="CD2026" s="154"/>
    </row>
    <row r="2027" spans="35:82">
      <c r="AI2027" s="19"/>
      <c r="AO2027" s="19"/>
      <c r="AY2027" s="145"/>
      <c r="AZ2027" s="16"/>
      <c r="BC2027" s="16"/>
      <c r="BD2027" s="20"/>
      <c r="BE2027" s="17"/>
      <c r="BF2027" s="20"/>
      <c r="BG2027" s="146"/>
      <c r="BH2027" s="146"/>
      <c r="BI2027" s="146"/>
      <c r="BJ2027" s="20"/>
      <c r="BK2027" s="20"/>
      <c r="BL2027" s="154"/>
      <c r="BP2027" s="20"/>
      <c r="BQ2027" s="154"/>
      <c r="BR2027" s="18"/>
      <c r="BS2027" s="16"/>
      <c r="BT2027" s="18"/>
      <c r="BU2027" s="18"/>
      <c r="BV2027" s="18"/>
      <c r="BW2027" s="20"/>
      <c r="BX2027" s="154"/>
      <c r="BY2027" s="18"/>
      <c r="BZ2027" s="146"/>
      <c r="CA2027" s="18"/>
      <c r="CB2027" s="18"/>
      <c r="CC2027" s="20"/>
      <c r="CD2027" s="154"/>
    </row>
    <row r="2028" spans="35:82">
      <c r="AI2028" s="19"/>
      <c r="AO2028" s="19"/>
      <c r="AY2028" s="145"/>
      <c r="AZ2028" s="16"/>
      <c r="BC2028" s="16"/>
      <c r="BD2028" s="20"/>
      <c r="BE2028" s="17"/>
      <c r="BF2028" s="20"/>
      <c r="BG2028" s="146"/>
      <c r="BH2028" s="146"/>
      <c r="BI2028" s="146"/>
      <c r="BJ2028" s="20"/>
      <c r="BK2028" s="20"/>
      <c r="BL2028" s="154"/>
      <c r="BP2028" s="20"/>
      <c r="BQ2028" s="154"/>
      <c r="BR2028" s="18"/>
      <c r="BS2028" s="16"/>
      <c r="BT2028" s="18"/>
      <c r="BU2028" s="18"/>
      <c r="BV2028" s="18"/>
      <c r="BW2028" s="20"/>
      <c r="BX2028" s="154"/>
      <c r="BY2028" s="18"/>
      <c r="BZ2028" s="146"/>
      <c r="CA2028" s="18"/>
      <c r="CB2028" s="18"/>
      <c r="CC2028" s="20"/>
      <c r="CD2028" s="154"/>
    </row>
    <row r="2029" spans="35:82">
      <c r="AI2029" s="19"/>
      <c r="AO2029" s="19"/>
      <c r="AY2029" s="145"/>
      <c r="AZ2029" s="16"/>
      <c r="BC2029" s="16"/>
      <c r="BD2029" s="20"/>
      <c r="BE2029" s="17"/>
      <c r="BF2029" s="20"/>
      <c r="BG2029" s="146"/>
      <c r="BH2029" s="146"/>
      <c r="BI2029" s="146"/>
      <c r="BJ2029" s="20"/>
      <c r="BK2029" s="20"/>
      <c r="BL2029" s="154"/>
      <c r="BP2029" s="20"/>
      <c r="BQ2029" s="154"/>
      <c r="BR2029" s="18"/>
      <c r="BS2029" s="16"/>
      <c r="BT2029" s="18"/>
      <c r="BU2029" s="18"/>
      <c r="BV2029" s="18"/>
      <c r="BW2029" s="20"/>
      <c r="BX2029" s="154"/>
      <c r="BY2029" s="18"/>
      <c r="BZ2029" s="146"/>
      <c r="CA2029" s="18"/>
      <c r="CB2029" s="18"/>
      <c r="CC2029" s="20"/>
      <c r="CD2029" s="154"/>
    </row>
    <row r="2030" spans="35:82">
      <c r="AI2030" s="19"/>
      <c r="AO2030" s="19"/>
      <c r="AY2030" s="145"/>
      <c r="AZ2030" s="16"/>
      <c r="BC2030" s="16"/>
      <c r="BD2030" s="20"/>
      <c r="BE2030" s="17"/>
      <c r="BF2030" s="20"/>
      <c r="BG2030" s="146"/>
      <c r="BH2030" s="146"/>
      <c r="BI2030" s="146"/>
      <c r="BJ2030" s="20"/>
      <c r="BK2030" s="20"/>
      <c r="BL2030" s="154"/>
      <c r="BP2030" s="20"/>
      <c r="BQ2030" s="154"/>
      <c r="BR2030" s="18"/>
      <c r="BS2030" s="16"/>
      <c r="BT2030" s="18"/>
      <c r="BU2030" s="18"/>
      <c r="BV2030" s="18"/>
      <c r="BW2030" s="20"/>
      <c r="BX2030" s="154"/>
      <c r="BY2030" s="18"/>
      <c r="BZ2030" s="146"/>
      <c r="CA2030" s="18"/>
      <c r="CB2030" s="18"/>
      <c r="CC2030" s="20"/>
      <c r="CD2030" s="154"/>
    </row>
    <row r="2031" spans="35:82">
      <c r="AI2031" s="19"/>
      <c r="AO2031" s="19"/>
      <c r="AY2031" s="145"/>
      <c r="AZ2031" s="16"/>
      <c r="BC2031" s="16"/>
      <c r="BD2031" s="20"/>
      <c r="BE2031" s="17"/>
      <c r="BF2031" s="20"/>
      <c r="BG2031" s="146"/>
      <c r="BH2031" s="146"/>
      <c r="BI2031" s="146"/>
      <c r="BJ2031" s="20"/>
      <c r="BK2031" s="20"/>
      <c r="BL2031" s="154"/>
      <c r="BP2031" s="20"/>
      <c r="BQ2031" s="154"/>
      <c r="BR2031" s="18"/>
      <c r="BS2031" s="16"/>
      <c r="BT2031" s="18"/>
      <c r="BU2031" s="18"/>
      <c r="BV2031" s="18"/>
      <c r="BW2031" s="20"/>
      <c r="BX2031" s="154"/>
      <c r="BY2031" s="18"/>
      <c r="BZ2031" s="146"/>
      <c r="CA2031" s="18"/>
      <c r="CB2031" s="18"/>
      <c r="CC2031" s="20"/>
      <c r="CD2031" s="154"/>
    </row>
    <row r="2032" spans="35:82">
      <c r="AI2032" s="19"/>
      <c r="AO2032" s="19"/>
      <c r="AY2032" s="145"/>
      <c r="AZ2032" s="16"/>
      <c r="BC2032" s="16"/>
      <c r="BD2032" s="20"/>
      <c r="BE2032" s="17"/>
      <c r="BF2032" s="20"/>
      <c r="BG2032" s="146"/>
      <c r="BH2032" s="146"/>
      <c r="BI2032" s="146"/>
      <c r="BJ2032" s="20"/>
      <c r="BK2032" s="20"/>
      <c r="BL2032" s="154"/>
      <c r="BP2032" s="20"/>
      <c r="BQ2032" s="154"/>
      <c r="BR2032" s="18"/>
      <c r="BS2032" s="16"/>
      <c r="BT2032" s="18"/>
      <c r="BU2032" s="18"/>
      <c r="BV2032" s="18"/>
      <c r="BW2032" s="20"/>
      <c r="BX2032" s="154"/>
      <c r="BY2032" s="18"/>
      <c r="BZ2032" s="146"/>
      <c r="CA2032" s="18"/>
      <c r="CB2032" s="18"/>
      <c r="CC2032" s="20"/>
      <c r="CD2032" s="154"/>
    </row>
    <row r="2033" spans="35:82">
      <c r="AI2033" s="19"/>
      <c r="AO2033" s="19"/>
      <c r="AY2033" s="145"/>
      <c r="AZ2033" s="16"/>
      <c r="BC2033" s="16"/>
      <c r="BD2033" s="20"/>
      <c r="BE2033" s="17"/>
      <c r="BF2033" s="20"/>
      <c r="BG2033" s="146"/>
      <c r="BH2033" s="146"/>
      <c r="BI2033" s="146"/>
      <c r="BJ2033" s="20"/>
      <c r="BK2033" s="20"/>
      <c r="BL2033" s="154"/>
      <c r="BP2033" s="20"/>
      <c r="BQ2033" s="154"/>
      <c r="BR2033" s="18"/>
      <c r="BS2033" s="16"/>
      <c r="BT2033" s="18"/>
      <c r="BU2033" s="18"/>
      <c r="BV2033" s="18"/>
      <c r="BW2033" s="20"/>
      <c r="BX2033" s="154"/>
      <c r="BY2033" s="18"/>
      <c r="BZ2033" s="146"/>
      <c r="CA2033" s="18"/>
      <c r="CB2033" s="18"/>
      <c r="CC2033" s="20"/>
      <c r="CD2033" s="154"/>
    </row>
    <row r="2034" spans="35:82">
      <c r="AI2034" s="19"/>
      <c r="AO2034" s="19"/>
      <c r="AY2034" s="145"/>
      <c r="AZ2034" s="16"/>
      <c r="BC2034" s="16"/>
      <c r="BD2034" s="20"/>
      <c r="BE2034" s="17"/>
      <c r="BF2034" s="20"/>
      <c r="BG2034" s="146"/>
      <c r="BH2034" s="146"/>
      <c r="BI2034" s="146"/>
      <c r="BJ2034" s="20"/>
      <c r="BK2034" s="20"/>
      <c r="BL2034" s="154"/>
      <c r="BP2034" s="20"/>
      <c r="BQ2034" s="154"/>
      <c r="BR2034" s="18"/>
      <c r="BS2034" s="16"/>
      <c r="BT2034" s="18"/>
      <c r="BU2034" s="18"/>
      <c r="BV2034" s="18"/>
      <c r="BW2034" s="20"/>
      <c r="BX2034" s="154"/>
      <c r="BY2034" s="18"/>
      <c r="BZ2034" s="146"/>
      <c r="CA2034" s="18"/>
      <c r="CB2034" s="18"/>
      <c r="CC2034" s="20"/>
      <c r="CD2034" s="154"/>
    </row>
    <row r="2035" spans="35:82">
      <c r="AI2035" s="19"/>
      <c r="AO2035" s="19"/>
      <c r="AY2035" s="145"/>
      <c r="AZ2035" s="16"/>
      <c r="BC2035" s="16"/>
      <c r="BD2035" s="20"/>
      <c r="BE2035" s="17"/>
      <c r="BF2035" s="20"/>
      <c r="BG2035" s="146"/>
      <c r="BH2035" s="146"/>
      <c r="BI2035" s="146"/>
      <c r="BJ2035" s="20"/>
      <c r="BK2035" s="20"/>
      <c r="BL2035" s="154"/>
      <c r="BP2035" s="20"/>
      <c r="BQ2035" s="154"/>
      <c r="BR2035" s="18"/>
      <c r="BS2035" s="16"/>
      <c r="BT2035" s="18"/>
      <c r="BU2035" s="18"/>
      <c r="BV2035" s="18"/>
      <c r="BW2035" s="20"/>
      <c r="BX2035" s="154"/>
      <c r="BY2035" s="18"/>
      <c r="BZ2035" s="146"/>
      <c r="CA2035" s="18"/>
      <c r="CB2035" s="18"/>
      <c r="CC2035" s="20"/>
      <c r="CD2035" s="154"/>
    </row>
    <row r="2036" spans="35:82">
      <c r="AI2036" s="19"/>
      <c r="AO2036" s="19"/>
      <c r="AY2036" s="145"/>
      <c r="AZ2036" s="16"/>
      <c r="BC2036" s="16"/>
      <c r="BD2036" s="20"/>
      <c r="BE2036" s="17"/>
      <c r="BF2036" s="20"/>
      <c r="BG2036" s="146"/>
      <c r="BH2036" s="146"/>
      <c r="BI2036" s="146"/>
      <c r="BJ2036" s="20"/>
      <c r="BK2036" s="20"/>
      <c r="BL2036" s="154"/>
      <c r="BP2036" s="20"/>
      <c r="BQ2036" s="154"/>
      <c r="BR2036" s="18"/>
      <c r="BS2036" s="16"/>
      <c r="BT2036" s="18"/>
      <c r="BU2036" s="18"/>
      <c r="BV2036" s="18"/>
      <c r="BW2036" s="20"/>
      <c r="BX2036" s="154"/>
      <c r="BY2036" s="18"/>
      <c r="BZ2036" s="146"/>
      <c r="CA2036" s="18"/>
      <c r="CB2036" s="18"/>
      <c r="CC2036" s="20"/>
      <c r="CD2036" s="154"/>
    </row>
    <row r="2037" spans="35:82">
      <c r="AI2037" s="19"/>
      <c r="AO2037" s="19"/>
      <c r="AY2037" s="145"/>
      <c r="AZ2037" s="16"/>
      <c r="BC2037" s="16"/>
      <c r="BD2037" s="20"/>
      <c r="BE2037" s="17"/>
      <c r="BF2037" s="20"/>
      <c r="BG2037" s="146"/>
      <c r="BH2037" s="146"/>
      <c r="BI2037" s="146"/>
      <c r="BJ2037" s="20"/>
      <c r="BK2037" s="20"/>
      <c r="BL2037" s="154"/>
      <c r="BP2037" s="20"/>
      <c r="BQ2037" s="154"/>
      <c r="BR2037" s="18"/>
      <c r="BS2037" s="16"/>
      <c r="BT2037" s="18"/>
      <c r="BU2037" s="18"/>
      <c r="BV2037" s="18"/>
      <c r="BW2037" s="20"/>
      <c r="BX2037" s="154"/>
      <c r="BY2037" s="18"/>
      <c r="BZ2037" s="146"/>
      <c r="CA2037" s="18"/>
      <c r="CB2037" s="18"/>
      <c r="CC2037" s="20"/>
      <c r="CD2037" s="154"/>
    </row>
    <row r="2038" spans="35:82">
      <c r="AI2038" s="19"/>
      <c r="AO2038" s="19"/>
      <c r="AY2038" s="145"/>
      <c r="AZ2038" s="16"/>
      <c r="BC2038" s="16"/>
      <c r="BD2038" s="20"/>
      <c r="BE2038" s="17"/>
      <c r="BF2038" s="20"/>
      <c r="BG2038" s="146"/>
      <c r="BH2038" s="146"/>
      <c r="BI2038" s="146"/>
      <c r="BJ2038" s="20"/>
      <c r="BK2038" s="20"/>
      <c r="BL2038" s="154"/>
      <c r="BP2038" s="20"/>
      <c r="BQ2038" s="154"/>
      <c r="BR2038" s="18"/>
      <c r="BS2038" s="16"/>
      <c r="BT2038" s="18"/>
      <c r="BU2038" s="18"/>
      <c r="BV2038" s="18"/>
      <c r="BW2038" s="20"/>
      <c r="BX2038" s="154"/>
      <c r="BY2038" s="18"/>
      <c r="BZ2038" s="146"/>
      <c r="CA2038" s="18"/>
      <c r="CB2038" s="18"/>
      <c r="CC2038" s="20"/>
      <c r="CD2038" s="154"/>
    </row>
    <row r="2039" spans="35:82">
      <c r="AI2039" s="19"/>
      <c r="AO2039" s="19"/>
      <c r="AY2039" s="145"/>
      <c r="AZ2039" s="16"/>
      <c r="BC2039" s="16"/>
      <c r="BD2039" s="20"/>
      <c r="BE2039" s="17"/>
      <c r="BF2039" s="20"/>
      <c r="BG2039" s="146"/>
      <c r="BH2039" s="146"/>
      <c r="BI2039" s="146"/>
      <c r="BJ2039" s="20"/>
      <c r="BK2039" s="20"/>
      <c r="BL2039" s="154"/>
      <c r="BP2039" s="20"/>
      <c r="BQ2039" s="154"/>
      <c r="BR2039" s="18"/>
      <c r="BS2039" s="16"/>
      <c r="BT2039" s="18"/>
      <c r="BU2039" s="18"/>
      <c r="BV2039" s="18"/>
      <c r="BW2039" s="20"/>
      <c r="BX2039" s="154"/>
      <c r="BY2039" s="18"/>
      <c r="BZ2039" s="146"/>
      <c r="CA2039" s="18"/>
      <c r="CB2039" s="18"/>
      <c r="CC2039" s="20"/>
      <c r="CD2039" s="154"/>
    </row>
    <row r="2040" spans="35:82">
      <c r="AI2040" s="19"/>
      <c r="AO2040" s="19"/>
      <c r="AY2040" s="145"/>
      <c r="AZ2040" s="16"/>
      <c r="BC2040" s="16"/>
      <c r="BD2040" s="20"/>
      <c r="BE2040" s="17"/>
      <c r="BF2040" s="20"/>
      <c r="BG2040" s="146"/>
      <c r="BH2040" s="146"/>
      <c r="BI2040" s="146"/>
      <c r="BJ2040" s="20"/>
      <c r="BK2040" s="20"/>
      <c r="BL2040" s="154"/>
      <c r="BP2040" s="20"/>
      <c r="BQ2040" s="154"/>
      <c r="BR2040" s="18"/>
      <c r="BS2040" s="16"/>
      <c r="BT2040" s="18"/>
      <c r="BU2040" s="18"/>
      <c r="BV2040" s="18"/>
      <c r="BW2040" s="20"/>
      <c r="BX2040" s="154"/>
      <c r="BY2040" s="18"/>
      <c r="BZ2040" s="146"/>
      <c r="CA2040" s="18"/>
      <c r="CB2040" s="18"/>
      <c r="CC2040" s="20"/>
      <c r="CD2040" s="154"/>
    </row>
    <row r="2041" spans="35:82">
      <c r="AI2041" s="19"/>
      <c r="AO2041" s="19"/>
      <c r="AY2041" s="145"/>
      <c r="AZ2041" s="16"/>
      <c r="BC2041" s="16"/>
      <c r="BD2041" s="20"/>
      <c r="BE2041" s="17"/>
      <c r="BF2041" s="20"/>
      <c r="BG2041" s="146"/>
      <c r="BH2041" s="146"/>
      <c r="BI2041" s="146"/>
      <c r="BJ2041" s="20"/>
      <c r="BK2041" s="20"/>
      <c r="BL2041" s="154"/>
      <c r="BP2041" s="20"/>
      <c r="BQ2041" s="154"/>
      <c r="BR2041" s="18"/>
      <c r="BS2041" s="16"/>
      <c r="BT2041" s="18"/>
      <c r="BU2041" s="18"/>
      <c r="BV2041" s="18"/>
      <c r="BW2041" s="20"/>
      <c r="BX2041" s="154"/>
      <c r="BY2041" s="18"/>
      <c r="BZ2041" s="146"/>
      <c r="CA2041" s="18"/>
      <c r="CB2041" s="18"/>
      <c r="CC2041" s="20"/>
      <c r="CD2041" s="154"/>
    </row>
    <row r="2042" spans="35:82">
      <c r="AI2042" s="19"/>
      <c r="AO2042" s="19"/>
      <c r="AY2042" s="145"/>
      <c r="AZ2042" s="16"/>
      <c r="BC2042" s="16"/>
      <c r="BD2042" s="20"/>
      <c r="BE2042" s="17"/>
      <c r="BF2042" s="20"/>
      <c r="BG2042" s="146"/>
      <c r="BH2042" s="146"/>
      <c r="BI2042" s="146"/>
      <c r="BJ2042" s="20"/>
      <c r="BK2042" s="20"/>
      <c r="BL2042" s="154"/>
      <c r="BP2042" s="20"/>
      <c r="BQ2042" s="154"/>
      <c r="BR2042" s="18"/>
      <c r="BS2042" s="16"/>
      <c r="BT2042" s="18"/>
      <c r="BU2042" s="18"/>
      <c r="BV2042" s="18"/>
      <c r="BW2042" s="20"/>
      <c r="BX2042" s="154"/>
      <c r="BY2042" s="18"/>
      <c r="BZ2042" s="146"/>
      <c r="CA2042" s="18"/>
      <c r="CB2042" s="18"/>
      <c r="CC2042" s="20"/>
      <c r="CD2042" s="154"/>
    </row>
    <row r="2043" spans="35:82">
      <c r="AI2043" s="19"/>
      <c r="AO2043" s="19"/>
      <c r="AY2043" s="145"/>
      <c r="AZ2043" s="16"/>
      <c r="BC2043" s="16"/>
      <c r="BD2043" s="20"/>
      <c r="BE2043" s="17"/>
      <c r="BF2043" s="20"/>
      <c r="BG2043" s="146"/>
      <c r="BH2043" s="146"/>
      <c r="BI2043" s="146"/>
      <c r="BJ2043" s="20"/>
      <c r="BK2043" s="20"/>
      <c r="BL2043" s="154"/>
      <c r="BP2043" s="20"/>
      <c r="BQ2043" s="154"/>
      <c r="BR2043" s="18"/>
      <c r="BS2043" s="16"/>
      <c r="BT2043" s="18"/>
      <c r="BU2043" s="18"/>
      <c r="BV2043" s="18"/>
      <c r="BW2043" s="20"/>
      <c r="BX2043" s="154"/>
      <c r="BY2043" s="18"/>
      <c r="BZ2043" s="146"/>
      <c r="CA2043" s="18"/>
      <c r="CB2043" s="18"/>
      <c r="CC2043" s="20"/>
      <c r="CD2043" s="154"/>
    </row>
    <row r="2044" spans="35:82">
      <c r="AI2044" s="19"/>
      <c r="AO2044" s="19"/>
      <c r="AY2044" s="145"/>
      <c r="AZ2044" s="16"/>
      <c r="BC2044" s="16"/>
      <c r="BD2044" s="20"/>
      <c r="BE2044" s="17"/>
      <c r="BF2044" s="20"/>
      <c r="BG2044" s="146"/>
      <c r="BH2044" s="146"/>
      <c r="BI2044" s="146"/>
      <c r="BJ2044" s="20"/>
      <c r="BK2044" s="20"/>
      <c r="BL2044" s="154"/>
      <c r="BP2044" s="20"/>
      <c r="BQ2044" s="154"/>
      <c r="BR2044" s="18"/>
      <c r="BS2044" s="16"/>
      <c r="BT2044" s="18"/>
      <c r="BU2044" s="18"/>
      <c r="BV2044" s="18"/>
      <c r="BW2044" s="20"/>
      <c r="BX2044" s="154"/>
      <c r="BY2044" s="18"/>
      <c r="BZ2044" s="146"/>
      <c r="CA2044" s="18"/>
      <c r="CB2044" s="18"/>
      <c r="CC2044" s="20"/>
      <c r="CD2044" s="154"/>
    </row>
    <row r="2045" spans="35:82">
      <c r="AI2045" s="19"/>
      <c r="AO2045" s="19"/>
      <c r="AY2045" s="145"/>
      <c r="AZ2045" s="16"/>
      <c r="BC2045" s="16"/>
      <c r="BD2045" s="20"/>
      <c r="BE2045" s="17"/>
      <c r="BF2045" s="20"/>
      <c r="BG2045" s="146"/>
      <c r="BH2045" s="146"/>
      <c r="BI2045" s="146"/>
      <c r="BJ2045" s="20"/>
      <c r="BK2045" s="20"/>
      <c r="BL2045" s="154"/>
      <c r="BP2045" s="20"/>
      <c r="BQ2045" s="154"/>
      <c r="BR2045" s="18"/>
      <c r="BS2045" s="16"/>
      <c r="BT2045" s="18"/>
      <c r="BU2045" s="18"/>
      <c r="BV2045" s="18"/>
      <c r="BW2045" s="20"/>
      <c r="BX2045" s="154"/>
      <c r="BY2045" s="18"/>
      <c r="BZ2045" s="146"/>
      <c r="CA2045" s="18"/>
      <c r="CB2045" s="18"/>
      <c r="CC2045" s="20"/>
      <c r="CD2045" s="154"/>
    </row>
    <row r="2046" spans="35:82">
      <c r="AI2046" s="19"/>
      <c r="AO2046" s="19"/>
      <c r="AY2046" s="145"/>
      <c r="AZ2046" s="16"/>
      <c r="BC2046" s="16"/>
      <c r="BD2046" s="20"/>
      <c r="BE2046" s="17"/>
      <c r="BF2046" s="20"/>
      <c r="BG2046" s="146"/>
      <c r="BH2046" s="146"/>
      <c r="BI2046" s="146"/>
      <c r="BJ2046" s="20"/>
      <c r="BK2046" s="20"/>
      <c r="BL2046" s="154"/>
      <c r="BP2046" s="20"/>
      <c r="BQ2046" s="154"/>
      <c r="BR2046" s="18"/>
      <c r="BS2046" s="16"/>
      <c r="BT2046" s="18"/>
      <c r="BU2046" s="18"/>
      <c r="BV2046" s="18"/>
      <c r="BW2046" s="20"/>
      <c r="BX2046" s="154"/>
      <c r="BY2046" s="18"/>
      <c r="BZ2046" s="146"/>
      <c r="CA2046" s="18"/>
      <c r="CB2046" s="18"/>
      <c r="CC2046" s="20"/>
      <c r="CD2046" s="154"/>
    </row>
    <row r="2047" spans="35:82">
      <c r="AI2047" s="19"/>
      <c r="AO2047" s="19"/>
      <c r="AY2047" s="145"/>
      <c r="AZ2047" s="16"/>
      <c r="BC2047" s="16"/>
      <c r="BD2047" s="20"/>
      <c r="BE2047" s="17"/>
      <c r="BF2047" s="20"/>
      <c r="BG2047" s="146"/>
      <c r="BH2047" s="146"/>
      <c r="BI2047" s="146"/>
      <c r="BJ2047" s="20"/>
      <c r="BK2047" s="20"/>
      <c r="BL2047" s="154"/>
      <c r="BP2047" s="20"/>
      <c r="BQ2047" s="154"/>
      <c r="BR2047" s="18"/>
      <c r="BS2047" s="16"/>
      <c r="BT2047" s="18"/>
      <c r="BU2047" s="18"/>
      <c r="BV2047" s="18"/>
      <c r="BW2047" s="20"/>
      <c r="BX2047" s="154"/>
      <c r="BY2047" s="18"/>
      <c r="BZ2047" s="146"/>
      <c r="CA2047" s="18"/>
      <c r="CB2047" s="18"/>
      <c r="CC2047" s="20"/>
      <c r="CD2047" s="154"/>
    </row>
    <row r="2048" spans="35:82">
      <c r="AI2048" s="19"/>
      <c r="AO2048" s="19"/>
      <c r="AY2048" s="145"/>
      <c r="AZ2048" s="16"/>
      <c r="BC2048" s="16"/>
      <c r="BD2048" s="20"/>
      <c r="BE2048" s="17"/>
      <c r="BF2048" s="20"/>
      <c r="BG2048" s="146"/>
      <c r="BH2048" s="146"/>
      <c r="BI2048" s="146"/>
      <c r="BJ2048" s="20"/>
      <c r="BK2048" s="20"/>
      <c r="BL2048" s="154"/>
      <c r="BP2048" s="20"/>
      <c r="BQ2048" s="154"/>
      <c r="BR2048" s="18"/>
      <c r="BS2048" s="16"/>
      <c r="BT2048" s="18"/>
      <c r="BU2048" s="18"/>
      <c r="BV2048" s="18"/>
      <c r="BW2048" s="20"/>
      <c r="BX2048" s="154"/>
      <c r="BY2048" s="18"/>
      <c r="BZ2048" s="146"/>
      <c r="CA2048" s="18"/>
      <c r="CB2048" s="18"/>
      <c r="CC2048" s="20"/>
      <c r="CD2048" s="154"/>
    </row>
    <row r="2049" spans="35:82">
      <c r="AI2049" s="19"/>
      <c r="AO2049" s="19"/>
      <c r="AY2049" s="145"/>
      <c r="AZ2049" s="16"/>
      <c r="BC2049" s="16"/>
      <c r="BD2049" s="20"/>
      <c r="BE2049" s="17"/>
      <c r="BF2049" s="20"/>
      <c r="BG2049" s="146"/>
      <c r="BH2049" s="146"/>
      <c r="BI2049" s="146"/>
      <c r="BJ2049" s="20"/>
      <c r="BK2049" s="20"/>
      <c r="BL2049" s="154"/>
      <c r="BP2049" s="20"/>
      <c r="BQ2049" s="154"/>
      <c r="BR2049" s="18"/>
      <c r="BS2049" s="16"/>
      <c r="BT2049" s="18"/>
      <c r="BU2049" s="18"/>
      <c r="BV2049" s="18"/>
      <c r="BW2049" s="20"/>
      <c r="BX2049" s="154"/>
      <c r="BY2049" s="18"/>
      <c r="BZ2049" s="146"/>
      <c r="CA2049" s="18"/>
      <c r="CB2049" s="18"/>
      <c r="CC2049" s="20"/>
      <c r="CD2049" s="154"/>
    </row>
    <row r="2050" spans="35:82">
      <c r="AI2050" s="19"/>
      <c r="AO2050" s="19"/>
      <c r="AY2050" s="145"/>
      <c r="AZ2050" s="16"/>
      <c r="BC2050" s="16"/>
      <c r="BD2050" s="20"/>
      <c r="BE2050" s="17"/>
      <c r="BF2050" s="20"/>
      <c r="BG2050" s="146"/>
      <c r="BH2050" s="146"/>
      <c r="BI2050" s="146"/>
      <c r="BJ2050" s="20"/>
      <c r="BK2050" s="20"/>
      <c r="BL2050" s="154"/>
      <c r="BP2050" s="20"/>
      <c r="BQ2050" s="154"/>
      <c r="BR2050" s="18"/>
      <c r="BS2050" s="16"/>
      <c r="BT2050" s="18"/>
      <c r="BU2050" s="18"/>
      <c r="BV2050" s="18"/>
      <c r="BW2050" s="20"/>
      <c r="BX2050" s="154"/>
      <c r="BY2050" s="18"/>
      <c r="BZ2050" s="146"/>
      <c r="CA2050" s="18"/>
      <c r="CB2050" s="18"/>
      <c r="CC2050" s="20"/>
      <c r="CD2050" s="154"/>
    </row>
    <row r="2051" spans="35:82">
      <c r="AI2051" s="19"/>
      <c r="AO2051" s="19"/>
      <c r="AY2051" s="145"/>
      <c r="AZ2051" s="16"/>
      <c r="BC2051" s="16"/>
      <c r="BD2051" s="20"/>
      <c r="BE2051" s="17"/>
      <c r="BF2051" s="20"/>
      <c r="BG2051" s="146"/>
      <c r="BH2051" s="146"/>
      <c r="BI2051" s="146"/>
      <c r="BJ2051" s="20"/>
      <c r="BK2051" s="20"/>
      <c r="BL2051" s="154"/>
      <c r="BP2051" s="20"/>
      <c r="BQ2051" s="154"/>
      <c r="BR2051" s="18"/>
      <c r="BS2051" s="16"/>
      <c r="BT2051" s="18"/>
      <c r="BU2051" s="18"/>
      <c r="BV2051" s="18"/>
      <c r="BW2051" s="20"/>
      <c r="BX2051" s="154"/>
      <c r="BY2051" s="18"/>
      <c r="BZ2051" s="146"/>
      <c r="CA2051" s="18"/>
      <c r="CB2051" s="18"/>
      <c r="CC2051" s="20"/>
      <c r="CD2051" s="154"/>
    </row>
    <row r="2052" spans="35:82">
      <c r="AI2052" s="19"/>
      <c r="AO2052" s="19"/>
      <c r="AY2052" s="145"/>
      <c r="AZ2052" s="16"/>
      <c r="BC2052" s="16"/>
      <c r="BD2052" s="20"/>
      <c r="BE2052" s="17"/>
      <c r="BF2052" s="20"/>
      <c r="BG2052" s="146"/>
      <c r="BH2052" s="146"/>
      <c r="BI2052" s="146"/>
      <c r="BJ2052" s="20"/>
      <c r="BK2052" s="20"/>
      <c r="BL2052" s="154"/>
      <c r="BP2052" s="20"/>
      <c r="BQ2052" s="154"/>
      <c r="BR2052" s="18"/>
      <c r="BS2052" s="16"/>
      <c r="BT2052" s="18"/>
      <c r="BU2052" s="18"/>
      <c r="BV2052" s="18"/>
      <c r="BW2052" s="20"/>
      <c r="BX2052" s="154"/>
      <c r="BY2052" s="18"/>
      <c r="BZ2052" s="146"/>
      <c r="CA2052" s="18"/>
      <c r="CB2052" s="18"/>
      <c r="CC2052" s="20"/>
      <c r="CD2052" s="154"/>
    </row>
    <row r="2053" spans="35:82">
      <c r="AI2053" s="19"/>
      <c r="AO2053" s="19"/>
      <c r="AY2053" s="145"/>
      <c r="AZ2053" s="16"/>
      <c r="BC2053" s="16"/>
      <c r="BD2053" s="20"/>
      <c r="BE2053" s="17"/>
      <c r="BF2053" s="20"/>
      <c r="BG2053" s="146"/>
      <c r="BH2053" s="146"/>
      <c r="BI2053" s="146"/>
      <c r="BJ2053" s="20"/>
      <c r="BK2053" s="20"/>
      <c r="BL2053" s="154"/>
      <c r="BP2053" s="20"/>
      <c r="BQ2053" s="154"/>
      <c r="BR2053" s="18"/>
      <c r="BS2053" s="16"/>
      <c r="BT2053" s="18"/>
      <c r="BU2053" s="18"/>
      <c r="BV2053" s="18"/>
      <c r="BW2053" s="20"/>
      <c r="BX2053" s="154"/>
      <c r="BY2053" s="18"/>
      <c r="BZ2053" s="146"/>
      <c r="CA2053" s="18"/>
      <c r="CB2053" s="18"/>
      <c r="CC2053" s="20"/>
      <c r="CD2053" s="154"/>
    </row>
    <row r="2054" spans="35:82">
      <c r="AI2054" s="19"/>
      <c r="AO2054" s="19"/>
      <c r="AY2054" s="145"/>
      <c r="AZ2054" s="16"/>
      <c r="BC2054" s="16"/>
      <c r="BD2054" s="20"/>
      <c r="BE2054" s="17"/>
      <c r="BF2054" s="20"/>
      <c r="BG2054" s="146"/>
      <c r="BH2054" s="146"/>
      <c r="BI2054" s="146"/>
      <c r="BJ2054" s="20"/>
      <c r="BK2054" s="20"/>
      <c r="BL2054" s="154"/>
      <c r="BP2054" s="20"/>
      <c r="BQ2054" s="154"/>
      <c r="BR2054" s="18"/>
      <c r="BS2054" s="16"/>
      <c r="BT2054" s="18"/>
      <c r="BU2054" s="18"/>
      <c r="BV2054" s="18"/>
      <c r="BW2054" s="20"/>
      <c r="BX2054" s="154"/>
      <c r="BY2054" s="18"/>
      <c r="BZ2054" s="146"/>
      <c r="CA2054" s="18"/>
      <c r="CB2054" s="18"/>
      <c r="CC2054" s="20"/>
      <c r="CD2054" s="154"/>
    </row>
    <row r="2055" spans="35:82">
      <c r="AI2055" s="19"/>
      <c r="AO2055" s="19"/>
      <c r="AY2055" s="145"/>
      <c r="AZ2055" s="16"/>
      <c r="BC2055" s="16"/>
      <c r="BD2055" s="20"/>
      <c r="BE2055" s="17"/>
      <c r="BF2055" s="20"/>
      <c r="BG2055" s="146"/>
      <c r="BH2055" s="146"/>
      <c r="BI2055" s="146"/>
      <c r="BJ2055" s="20"/>
      <c r="BK2055" s="20"/>
      <c r="BL2055" s="154"/>
      <c r="BP2055" s="20"/>
      <c r="BQ2055" s="154"/>
      <c r="BR2055" s="18"/>
      <c r="BS2055" s="16"/>
      <c r="BT2055" s="18"/>
      <c r="BU2055" s="18"/>
      <c r="BV2055" s="18"/>
      <c r="BW2055" s="20"/>
      <c r="BX2055" s="154"/>
      <c r="BY2055" s="18"/>
      <c r="BZ2055" s="146"/>
      <c r="CA2055" s="18"/>
      <c r="CB2055" s="18"/>
      <c r="CC2055" s="20"/>
      <c r="CD2055" s="154"/>
    </row>
    <row r="2056" spans="35:82">
      <c r="AI2056" s="19"/>
      <c r="AO2056" s="19"/>
      <c r="AY2056" s="145"/>
      <c r="AZ2056" s="16"/>
      <c r="BC2056" s="16"/>
      <c r="BD2056" s="20"/>
      <c r="BE2056" s="17"/>
      <c r="BF2056" s="20"/>
      <c r="BG2056" s="146"/>
      <c r="BH2056" s="146"/>
      <c r="BI2056" s="146"/>
      <c r="BJ2056" s="20"/>
      <c r="BK2056" s="20"/>
      <c r="BL2056" s="154"/>
      <c r="BP2056" s="20"/>
      <c r="BQ2056" s="154"/>
      <c r="BR2056" s="18"/>
      <c r="BS2056" s="16"/>
      <c r="BT2056" s="18"/>
      <c r="BU2056" s="18"/>
      <c r="BV2056" s="18"/>
      <c r="BW2056" s="20"/>
      <c r="BX2056" s="154"/>
      <c r="BY2056" s="18"/>
      <c r="BZ2056" s="146"/>
      <c r="CA2056" s="18"/>
      <c r="CB2056" s="18"/>
      <c r="CC2056" s="20"/>
      <c r="CD2056" s="154"/>
    </row>
    <row r="2057" spans="35:82">
      <c r="AI2057" s="19"/>
      <c r="AO2057" s="19"/>
      <c r="AY2057" s="145"/>
      <c r="AZ2057" s="16"/>
      <c r="BC2057" s="16"/>
      <c r="BD2057" s="20"/>
      <c r="BE2057" s="17"/>
      <c r="BF2057" s="20"/>
      <c r="BG2057" s="146"/>
      <c r="BH2057" s="146"/>
      <c r="BI2057" s="146"/>
      <c r="BJ2057" s="20"/>
      <c r="BK2057" s="20"/>
      <c r="BL2057" s="154"/>
      <c r="BP2057" s="20"/>
      <c r="BQ2057" s="154"/>
      <c r="BR2057" s="18"/>
      <c r="BS2057" s="16"/>
      <c r="BT2057" s="18"/>
      <c r="BU2057" s="18"/>
      <c r="BV2057" s="18"/>
      <c r="BW2057" s="20"/>
      <c r="BX2057" s="154"/>
      <c r="BY2057" s="18"/>
      <c r="BZ2057" s="146"/>
      <c r="CA2057" s="18"/>
      <c r="CB2057" s="18"/>
      <c r="CC2057" s="20"/>
      <c r="CD2057" s="154"/>
    </row>
    <row r="2058" spans="35:82">
      <c r="AI2058" s="19"/>
      <c r="AO2058" s="19"/>
      <c r="AY2058" s="145"/>
      <c r="AZ2058" s="16"/>
      <c r="BC2058" s="16"/>
      <c r="BD2058" s="20"/>
      <c r="BE2058" s="17"/>
      <c r="BF2058" s="20"/>
      <c r="BG2058" s="146"/>
      <c r="BH2058" s="146"/>
      <c r="BI2058" s="146"/>
      <c r="BJ2058" s="20"/>
      <c r="BK2058" s="20"/>
      <c r="BL2058" s="154"/>
      <c r="BP2058" s="20"/>
      <c r="BQ2058" s="154"/>
      <c r="BR2058" s="18"/>
      <c r="BS2058" s="16"/>
      <c r="BT2058" s="18"/>
      <c r="BU2058" s="18"/>
      <c r="BV2058" s="18"/>
      <c r="BW2058" s="20"/>
      <c r="BX2058" s="154"/>
      <c r="BY2058" s="18"/>
      <c r="BZ2058" s="146"/>
      <c r="CA2058" s="18"/>
      <c r="CB2058" s="18"/>
      <c r="CC2058" s="20"/>
      <c r="CD2058" s="154"/>
    </row>
    <row r="2059" spans="35:82">
      <c r="AI2059" s="19"/>
      <c r="AO2059" s="19"/>
      <c r="AY2059" s="145"/>
      <c r="AZ2059" s="16"/>
      <c r="BC2059" s="16"/>
      <c r="BD2059" s="20"/>
      <c r="BE2059" s="17"/>
      <c r="BF2059" s="20"/>
      <c r="BG2059" s="146"/>
      <c r="BH2059" s="146"/>
      <c r="BI2059" s="146"/>
      <c r="BJ2059" s="20"/>
      <c r="BK2059" s="20"/>
      <c r="BL2059" s="154"/>
      <c r="BP2059" s="20"/>
      <c r="BQ2059" s="154"/>
      <c r="BR2059" s="18"/>
      <c r="BS2059" s="16"/>
      <c r="BT2059" s="18"/>
      <c r="BU2059" s="18"/>
      <c r="BV2059" s="18"/>
      <c r="BW2059" s="20"/>
      <c r="BX2059" s="154"/>
      <c r="BY2059" s="18"/>
      <c r="BZ2059" s="146"/>
      <c r="CA2059" s="18"/>
      <c r="CB2059" s="18"/>
      <c r="CC2059" s="20"/>
      <c r="CD2059" s="154"/>
    </row>
    <row r="2060" spans="35:82">
      <c r="AI2060" s="19"/>
      <c r="AO2060" s="19"/>
      <c r="AY2060" s="145"/>
      <c r="AZ2060" s="16"/>
      <c r="BC2060" s="16"/>
      <c r="BD2060" s="20"/>
      <c r="BE2060" s="17"/>
      <c r="BF2060" s="20"/>
      <c r="BG2060" s="146"/>
      <c r="BH2060" s="146"/>
      <c r="BI2060" s="146"/>
      <c r="BJ2060" s="20"/>
      <c r="BK2060" s="20"/>
      <c r="BL2060" s="154"/>
      <c r="BP2060" s="20"/>
      <c r="BQ2060" s="154"/>
      <c r="BR2060" s="18"/>
      <c r="BS2060" s="16"/>
      <c r="BT2060" s="18"/>
      <c r="BU2060" s="18"/>
      <c r="BV2060" s="18"/>
      <c r="BW2060" s="20"/>
      <c r="BX2060" s="154"/>
      <c r="BY2060" s="18"/>
      <c r="BZ2060" s="146"/>
      <c r="CA2060" s="18"/>
      <c r="CB2060" s="18"/>
      <c r="CC2060" s="20"/>
      <c r="CD2060" s="154"/>
    </row>
    <row r="2061" spans="35:82">
      <c r="AI2061" s="19"/>
      <c r="AO2061" s="19"/>
      <c r="AY2061" s="145"/>
      <c r="AZ2061" s="16"/>
      <c r="BC2061" s="16"/>
      <c r="BD2061" s="20"/>
      <c r="BE2061" s="17"/>
      <c r="BF2061" s="20"/>
      <c r="BG2061" s="146"/>
      <c r="BH2061" s="146"/>
      <c r="BI2061" s="146"/>
      <c r="BJ2061" s="20"/>
      <c r="BK2061" s="20"/>
      <c r="BL2061" s="154"/>
      <c r="BP2061" s="20"/>
      <c r="BQ2061" s="154"/>
      <c r="BR2061" s="18"/>
      <c r="BS2061" s="16"/>
      <c r="BT2061" s="18"/>
      <c r="BU2061" s="18"/>
      <c r="BV2061" s="18"/>
      <c r="BW2061" s="20"/>
      <c r="BX2061" s="154"/>
      <c r="BY2061" s="18"/>
      <c r="BZ2061" s="146"/>
      <c r="CA2061" s="18"/>
      <c r="CB2061" s="18"/>
      <c r="CC2061" s="20"/>
      <c r="CD2061" s="154"/>
    </row>
    <row r="2062" spans="35:82">
      <c r="AI2062" s="19"/>
      <c r="AO2062" s="19"/>
      <c r="AY2062" s="145"/>
      <c r="AZ2062" s="16"/>
      <c r="BC2062" s="16"/>
      <c r="BD2062" s="20"/>
      <c r="BE2062" s="17"/>
      <c r="BF2062" s="20"/>
      <c r="BG2062" s="146"/>
      <c r="BH2062" s="146"/>
      <c r="BI2062" s="146"/>
      <c r="BJ2062" s="20"/>
      <c r="BK2062" s="20"/>
      <c r="BL2062" s="154"/>
      <c r="BP2062" s="20"/>
      <c r="BQ2062" s="154"/>
      <c r="BR2062" s="18"/>
      <c r="BS2062" s="16"/>
      <c r="BT2062" s="18"/>
      <c r="BU2062" s="18"/>
      <c r="BV2062" s="18"/>
      <c r="BW2062" s="20"/>
      <c r="BX2062" s="154"/>
      <c r="BY2062" s="18"/>
      <c r="BZ2062" s="146"/>
      <c r="CA2062" s="18"/>
      <c r="CB2062" s="18"/>
      <c r="CC2062" s="20"/>
      <c r="CD2062" s="154"/>
    </row>
    <row r="2063" spans="35:82">
      <c r="AI2063" s="19"/>
      <c r="AO2063" s="19"/>
      <c r="AY2063" s="145"/>
      <c r="AZ2063" s="16"/>
      <c r="BC2063" s="16"/>
      <c r="BD2063" s="20"/>
      <c r="BE2063" s="17"/>
      <c r="BF2063" s="20"/>
      <c r="BG2063" s="146"/>
      <c r="BH2063" s="146"/>
      <c r="BI2063" s="146"/>
      <c r="BJ2063" s="20"/>
      <c r="BK2063" s="20"/>
      <c r="BL2063" s="154"/>
      <c r="BP2063" s="20"/>
      <c r="BQ2063" s="154"/>
      <c r="BR2063" s="18"/>
      <c r="BS2063" s="16"/>
      <c r="BT2063" s="18"/>
      <c r="BU2063" s="18"/>
      <c r="BV2063" s="18"/>
      <c r="BW2063" s="20"/>
      <c r="BX2063" s="154"/>
      <c r="BY2063" s="18"/>
      <c r="BZ2063" s="146"/>
      <c r="CA2063" s="18"/>
      <c r="CB2063" s="18"/>
      <c r="CC2063" s="20"/>
      <c r="CD2063" s="154"/>
    </row>
    <row r="2064" spans="35:82">
      <c r="AI2064" s="19"/>
      <c r="AO2064" s="19"/>
      <c r="AY2064" s="145"/>
      <c r="AZ2064" s="16"/>
      <c r="BC2064" s="16"/>
      <c r="BD2064" s="20"/>
      <c r="BE2064" s="17"/>
      <c r="BF2064" s="20"/>
      <c r="BG2064" s="146"/>
      <c r="BH2064" s="146"/>
      <c r="BI2064" s="146"/>
      <c r="BJ2064" s="20"/>
      <c r="BK2064" s="20"/>
      <c r="BL2064" s="154"/>
      <c r="BP2064" s="20"/>
      <c r="BQ2064" s="154"/>
      <c r="BR2064" s="18"/>
      <c r="BS2064" s="16"/>
      <c r="BT2064" s="18"/>
      <c r="BU2064" s="18"/>
      <c r="BV2064" s="18"/>
      <c r="BW2064" s="20"/>
      <c r="BX2064" s="154"/>
      <c r="BY2064" s="18"/>
      <c r="BZ2064" s="146"/>
      <c r="CA2064" s="18"/>
      <c r="CB2064" s="18"/>
      <c r="CC2064" s="20"/>
      <c r="CD2064" s="154"/>
    </row>
    <row r="2065" spans="35:82">
      <c r="AI2065" s="19"/>
      <c r="AO2065" s="19"/>
      <c r="AY2065" s="145"/>
      <c r="AZ2065" s="16"/>
      <c r="BC2065" s="16"/>
      <c r="BD2065" s="20"/>
      <c r="BE2065" s="17"/>
      <c r="BF2065" s="20"/>
      <c r="BG2065" s="146"/>
      <c r="BH2065" s="146"/>
      <c r="BI2065" s="146"/>
      <c r="BJ2065" s="20"/>
      <c r="BK2065" s="20"/>
      <c r="BL2065" s="154"/>
      <c r="BP2065" s="20"/>
      <c r="BQ2065" s="154"/>
      <c r="BR2065" s="18"/>
      <c r="BS2065" s="16"/>
      <c r="BT2065" s="18"/>
      <c r="BU2065" s="18"/>
      <c r="BV2065" s="18"/>
      <c r="BW2065" s="20"/>
      <c r="BX2065" s="154"/>
      <c r="BY2065" s="18"/>
      <c r="BZ2065" s="146"/>
      <c r="CA2065" s="18"/>
      <c r="CB2065" s="18"/>
      <c r="CC2065" s="20"/>
      <c r="CD2065" s="154"/>
    </row>
    <row r="2066" spans="35:82">
      <c r="AI2066" s="19"/>
      <c r="AO2066" s="19"/>
      <c r="AY2066" s="145"/>
      <c r="AZ2066" s="16"/>
      <c r="BC2066" s="16"/>
      <c r="BD2066" s="20"/>
      <c r="BE2066" s="17"/>
      <c r="BF2066" s="20"/>
      <c r="BG2066" s="146"/>
      <c r="BH2066" s="146"/>
      <c r="BI2066" s="146"/>
      <c r="BJ2066" s="20"/>
      <c r="BK2066" s="20"/>
      <c r="BL2066" s="154"/>
      <c r="BP2066" s="20"/>
      <c r="BQ2066" s="154"/>
      <c r="BR2066" s="18"/>
      <c r="BS2066" s="16"/>
      <c r="BT2066" s="18"/>
      <c r="BU2066" s="18"/>
      <c r="BV2066" s="18"/>
      <c r="BW2066" s="20"/>
      <c r="BX2066" s="154"/>
      <c r="BY2066" s="18"/>
      <c r="BZ2066" s="146"/>
      <c r="CA2066" s="18"/>
      <c r="CB2066" s="18"/>
      <c r="CC2066" s="20"/>
      <c r="CD2066" s="154"/>
    </row>
    <row r="2067" spans="35:82">
      <c r="AI2067" s="19"/>
      <c r="AO2067" s="19"/>
      <c r="AY2067" s="145"/>
      <c r="AZ2067" s="16"/>
      <c r="BC2067" s="16"/>
      <c r="BD2067" s="20"/>
      <c r="BE2067" s="17"/>
      <c r="BF2067" s="20"/>
      <c r="BG2067" s="146"/>
      <c r="BH2067" s="146"/>
      <c r="BI2067" s="146"/>
      <c r="BJ2067" s="20"/>
      <c r="BK2067" s="20"/>
      <c r="BL2067" s="154"/>
      <c r="BP2067" s="20"/>
      <c r="BQ2067" s="154"/>
      <c r="BR2067" s="18"/>
      <c r="BS2067" s="16"/>
      <c r="BT2067" s="18"/>
      <c r="BU2067" s="18"/>
      <c r="BV2067" s="18"/>
      <c r="BW2067" s="20"/>
      <c r="BX2067" s="154"/>
      <c r="BY2067" s="18"/>
      <c r="BZ2067" s="146"/>
      <c r="CA2067" s="18"/>
      <c r="CB2067" s="18"/>
      <c r="CC2067" s="20"/>
      <c r="CD2067" s="154"/>
    </row>
    <row r="2068" spans="35:82">
      <c r="AI2068" s="19"/>
      <c r="AO2068" s="19"/>
      <c r="AY2068" s="145"/>
      <c r="AZ2068" s="16"/>
      <c r="BC2068" s="16"/>
      <c r="BD2068" s="20"/>
      <c r="BE2068" s="17"/>
      <c r="BF2068" s="20"/>
      <c r="BG2068" s="146"/>
      <c r="BH2068" s="146"/>
      <c r="BI2068" s="146"/>
      <c r="BJ2068" s="20"/>
      <c r="BK2068" s="20"/>
      <c r="BL2068" s="154"/>
      <c r="BP2068" s="20"/>
      <c r="BQ2068" s="154"/>
      <c r="BR2068" s="18"/>
      <c r="BS2068" s="16"/>
      <c r="BT2068" s="18"/>
      <c r="BU2068" s="18"/>
      <c r="BV2068" s="18"/>
      <c r="BW2068" s="20"/>
      <c r="BX2068" s="154"/>
      <c r="BY2068" s="18"/>
      <c r="BZ2068" s="146"/>
      <c r="CA2068" s="18"/>
      <c r="CB2068" s="18"/>
      <c r="CC2068" s="20"/>
      <c r="CD2068" s="154"/>
    </row>
    <row r="2069" spans="35:82">
      <c r="AI2069" s="19"/>
      <c r="AO2069" s="19"/>
      <c r="AY2069" s="145"/>
      <c r="AZ2069" s="16"/>
      <c r="BC2069" s="16"/>
      <c r="BD2069" s="20"/>
      <c r="BE2069" s="17"/>
      <c r="BF2069" s="20"/>
      <c r="BG2069" s="146"/>
      <c r="BH2069" s="146"/>
      <c r="BI2069" s="146"/>
      <c r="BJ2069" s="20"/>
      <c r="BK2069" s="20"/>
      <c r="BL2069" s="154"/>
      <c r="BP2069" s="20"/>
      <c r="BQ2069" s="154"/>
      <c r="BR2069" s="18"/>
      <c r="BS2069" s="16"/>
      <c r="BT2069" s="18"/>
      <c r="BU2069" s="18"/>
      <c r="BV2069" s="18"/>
      <c r="BW2069" s="20"/>
      <c r="BX2069" s="154"/>
      <c r="BY2069" s="18"/>
      <c r="BZ2069" s="146"/>
      <c r="CA2069" s="18"/>
      <c r="CB2069" s="18"/>
      <c r="CC2069" s="20"/>
      <c r="CD2069" s="154"/>
    </row>
    <row r="2070" spans="35:82">
      <c r="AI2070" s="19"/>
      <c r="AO2070" s="19"/>
      <c r="AY2070" s="145"/>
      <c r="AZ2070" s="16"/>
      <c r="BC2070" s="16"/>
      <c r="BD2070" s="20"/>
      <c r="BE2070" s="17"/>
      <c r="BF2070" s="20"/>
      <c r="BG2070" s="146"/>
      <c r="BH2070" s="146"/>
      <c r="BI2070" s="146"/>
      <c r="BJ2070" s="20"/>
      <c r="BK2070" s="20"/>
      <c r="BL2070" s="154"/>
      <c r="BP2070" s="20"/>
      <c r="BQ2070" s="154"/>
      <c r="BR2070" s="18"/>
      <c r="BS2070" s="16"/>
      <c r="BT2070" s="18"/>
      <c r="BU2070" s="18"/>
      <c r="BV2070" s="18"/>
      <c r="BW2070" s="20"/>
      <c r="BX2070" s="154"/>
      <c r="BY2070" s="18"/>
      <c r="BZ2070" s="146"/>
      <c r="CA2070" s="18"/>
      <c r="CB2070" s="18"/>
      <c r="CC2070" s="20"/>
      <c r="CD2070" s="154"/>
    </row>
    <row r="2071" spans="35:82">
      <c r="AI2071" s="19"/>
      <c r="AO2071" s="19"/>
      <c r="AY2071" s="145"/>
      <c r="AZ2071" s="16"/>
      <c r="BC2071" s="16"/>
      <c r="BD2071" s="20"/>
      <c r="BE2071" s="17"/>
      <c r="BF2071" s="20"/>
      <c r="BG2071" s="146"/>
      <c r="BH2071" s="146"/>
      <c r="BI2071" s="146"/>
      <c r="BJ2071" s="20"/>
      <c r="BK2071" s="20"/>
      <c r="BL2071" s="154"/>
      <c r="BP2071" s="20"/>
      <c r="BQ2071" s="154"/>
      <c r="BR2071" s="18"/>
      <c r="BS2071" s="16"/>
      <c r="BT2071" s="18"/>
      <c r="BU2071" s="18"/>
      <c r="BV2071" s="18"/>
      <c r="BW2071" s="20"/>
      <c r="BX2071" s="154"/>
      <c r="BY2071" s="18"/>
      <c r="BZ2071" s="146"/>
      <c r="CA2071" s="18"/>
      <c r="CB2071" s="18"/>
      <c r="CC2071" s="20"/>
      <c r="CD2071" s="154"/>
    </row>
    <row r="2072" spans="35:82">
      <c r="AI2072" s="19"/>
      <c r="AO2072" s="19"/>
      <c r="AY2072" s="145"/>
      <c r="AZ2072" s="16"/>
      <c r="BC2072" s="16"/>
      <c r="BD2072" s="20"/>
      <c r="BE2072" s="17"/>
      <c r="BF2072" s="20"/>
      <c r="BG2072" s="146"/>
      <c r="BH2072" s="146"/>
      <c r="BI2072" s="146"/>
      <c r="BJ2072" s="20"/>
      <c r="BK2072" s="20"/>
      <c r="BL2072" s="154"/>
      <c r="BP2072" s="20"/>
      <c r="BQ2072" s="154"/>
      <c r="BR2072" s="18"/>
      <c r="BS2072" s="16"/>
      <c r="BT2072" s="18"/>
      <c r="BU2072" s="18"/>
      <c r="BV2072" s="18"/>
      <c r="BW2072" s="20"/>
      <c r="BX2072" s="154"/>
      <c r="BY2072" s="18"/>
      <c r="BZ2072" s="146"/>
      <c r="CA2072" s="18"/>
      <c r="CB2072" s="18"/>
      <c r="CC2072" s="20"/>
      <c r="CD2072" s="154"/>
    </row>
    <row r="2073" spans="35:82">
      <c r="AI2073" s="19"/>
      <c r="AO2073" s="19"/>
      <c r="AY2073" s="145"/>
      <c r="AZ2073" s="16"/>
      <c r="BC2073" s="16"/>
      <c r="BD2073" s="20"/>
      <c r="BE2073" s="17"/>
      <c r="BF2073" s="20"/>
      <c r="BG2073" s="146"/>
      <c r="BH2073" s="146"/>
      <c r="BI2073" s="146"/>
      <c r="BJ2073" s="20"/>
      <c r="BK2073" s="20"/>
      <c r="BL2073" s="154"/>
      <c r="BP2073" s="20"/>
      <c r="BQ2073" s="154"/>
      <c r="BR2073" s="18"/>
      <c r="BS2073" s="16"/>
      <c r="BT2073" s="18"/>
      <c r="BU2073" s="18"/>
      <c r="BV2073" s="18"/>
      <c r="BW2073" s="20"/>
      <c r="BX2073" s="154"/>
      <c r="BY2073" s="18"/>
      <c r="BZ2073" s="146"/>
      <c r="CA2073" s="18"/>
      <c r="CB2073" s="18"/>
      <c r="CC2073" s="20"/>
      <c r="CD2073" s="154"/>
    </row>
    <row r="2074" spans="35:82">
      <c r="AI2074" s="19"/>
      <c r="AO2074" s="19"/>
      <c r="AY2074" s="145"/>
      <c r="AZ2074" s="16"/>
      <c r="BC2074" s="16"/>
      <c r="BD2074" s="20"/>
      <c r="BE2074" s="17"/>
      <c r="BF2074" s="20"/>
      <c r="BG2074" s="146"/>
      <c r="BH2074" s="146"/>
      <c r="BI2074" s="146"/>
      <c r="BJ2074" s="20"/>
      <c r="BK2074" s="20"/>
      <c r="BL2074" s="154"/>
      <c r="BP2074" s="20"/>
      <c r="BQ2074" s="154"/>
      <c r="BR2074" s="18"/>
      <c r="BS2074" s="16"/>
      <c r="BT2074" s="18"/>
      <c r="BU2074" s="18"/>
      <c r="BV2074" s="18"/>
      <c r="BW2074" s="20"/>
      <c r="BX2074" s="154"/>
      <c r="BY2074" s="18"/>
      <c r="BZ2074" s="146"/>
      <c r="CA2074" s="18"/>
      <c r="CB2074" s="18"/>
      <c r="CC2074" s="20"/>
      <c r="CD2074" s="154"/>
    </row>
    <row r="2075" spans="35:82">
      <c r="AI2075" s="19"/>
      <c r="AO2075" s="19"/>
      <c r="AY2075" s="145"/>
      <c r="AZ2075" s="16"/>
      <c r="BC2075" s="16"/>
      <c r="BD2075" s="20"/>
      <c r="BE2075" s="17"/>
      <c r="BF2075" s="20"/>
      <c r="BG2075" s="146"/>
      <c r="BH2075" s="146"/>
      <c r="BI2075" s="146"/>
      <c r="BJ2075" s="20"/>
      <c r="BK2075" s="20"/>
      <c r="BL2075" s="154"/>
      <c r="BP2075" s="20"/>
      <c r="BQ2075" s="154"/>
      <c r="BR2075" s="18"/>
      <c r="BS2075" s="16"/>
      <c r="BT2075" s="18"/>
      <c r="BU2075" s="18"/>
      <c r="BV2075" s="18"/>
      <c r="BW2075" s="20"/>
      <c r="BX2075" s="154"/>
      <c r="BY2075" s="18"/>
      <c r="BZ2075" s="146"/>
      <c r="CA2075" s="18"/>
      <c r="CB2075" s="18"/>
      <c r="CC2075" s="20"/>
      <c r="CD2075" s="154"/>
    </row>
    <row r="2076" spans="35:82">
      <c r="AI2076" s="19"/>
      <c r="AO2076" s="19"/>
      <c r="AY2076" s="145"/>
      <c r="AZ2076" s="16"/>
      <c r="BC2076" s="16"/>
      <c r="BD2076" s="20"/>
      <c r="BE2076" s="17"/>
      <c r="BF2076" s="20"/>
      <c r="BG2076" s="146"/>
      <c r="BH2076" s="146"/>
      <c r="BI2076" s="146"/>
      <c r="BJ2076" s="20"/>
      <c r="BK2076" s="20"/>
      <c r="BL2076" s="154"/>
      <c r="BP2076" s="20"/>
      <c r="BQ2076" s="154"/>
      <c r="BR2076" s="18"/>
      <c r="BS2076" s="16"/>
      <c r="BT2076" s="18"/>
      <c r="BU2076" s="18"/>
      <c r="BV2076" s="18"/>
      <c r="BW2076" s="20"/>
      <c r="BX2076" s="154"/>
      <c r="BY2076" s="18"/>
      <c r="BZ2076" s="146"/>
      <c r="CA2076" s="18"/>
      <c r="CB2076" s="18"/>
      <c r="CC2076" s="20"/>
      <c r="CD2076" s="154"/>
    </row>
    <row r="2077" spans="35:82">
      <c r="AI2077" s="19"/>
      <c r="AO2077" s="19"/>
      <c r="AY2077" s="145"/>
      <c r="AZ2077" s="16"/>
      <c r="BC2077" s="16"/>
      <c r="BD2077" s="20"/>
      <c r="BE2077" s="17"/>
      <c r="BF2077" s="20"/>
      <c r="BG2077" s="146"/>
      <c r="BH2077" s="146"/>
      <c r="BI2077" s="146"/>
      <c r="BJ2077" s="20"/>
      <c r="BK2077" s="20"/>
      <c r="BL2077" s="154"/>
      <c r="BP2077" s="20"/>
      <c r="BQ2077" s="154"/>
      <c r="BR2077" s="18"/>
      <c r="BS2077" s="16"/>
      <c r="BT2077" s="18"/>
      <c r="BU2077" s="18"/>
      <c r="BV2077" s="18"/>
      <c r="BW2077" s="20"/>
      <c r="BX2077" s="154"/>
      <c r="BY2077" s="18"/>
      <c r="BZ2077" s="146"/>
      <c r="CA2077" s="18"/>
      <c r="CB2077" s="18"/>
      <c r="CC2077" s="20"/>
      <c r="CD2077" s="154"/>
    </row>
    <row r="2078" spans="35:82">
      <c r="AI2078" s="19"/>
      <c r="AO2078" s="19"/>
      <c r="AY2078" s="145"/>
      <c r="AZ2078" s="16"/>
      <c r="BC2078" s="16"/>
      <c r="BD2078" s="20"/>
      <c r="BE2078" s="17"/>
      <c r="BF2078" s="20"/>
      <c r="BG2078" s="146"/>
      <c r="BH2078" s="146"/>
      <c r="BI2078" s="146"/>
      <c r="BJ2078" s="20"/>
      <c r="BK2078" s="20"/>
      <c r="BL2078" s="154"/>
      <c r="BP2078" s="20"/>
      <c r="BQ2078" s="154"/>
      <c r="BR2078" s="18"/>
      <c r="BS2078" s="16"/>
      <c r="BT2078" s="18"/>
      <c r="BU2078" s="18"/>
      <c r="BV2078" s="18"/>
      <c r="BW2078" s="20"/>
      <c r="BX2078" s="154"/>
      <c r="BY2078" s="18"/>
      <c r="BZ2078" s="146"/>
      <c r="CA2078" s="18"/>
      <c r="CB2078" s="18"/>
      <c r="CC2078" s="20"/>
      <c r="CD2078" s="154"/>
    </row>
    <row r="2079" spans="35:82">
      <c r="AI2079" s="19"/>
      <c r="AO2079" s="19"/>
      <c r="AY2079" s="145"/>
      <c r="AZ2079" s="16"/>
      <c r="BC2079" s="16"/>
      <c r="BD2079" s="20"/>
      <c r="BE2079" s="17"/>
      <c r="BF2079" s="20"/>
      <c r="BG2079" s="146"/>
      <c r="BH2079" s="146"/>
      <c r="BI2079" s="146"/>
      <c r="BJ2079" s="20"/>
      <c r="BK2079" s="20"/>
      <c r="BL2079" s="154"/>
      <c r="BP2079" s="20"/>
      <c r="BQ2079" s="154"/>
      <c r="BR2079" s="18"/>
      <c r="BS2079" s="16"/>
      <c r="BT2079" s="18"/>
      <c r="BU2079" s="18"/>
      <c r="BV2079" s="18"/>
      <c r="BW2079" s="20"/>
      <c r="BX2079" s="154"/>
      <c r="BY2079" s="18"/>
      <c r="BZ2079" s="146"/>
      <c r="CA2079" s="18"/>
      <c r="CB2079" s="18"/>
      <c r="CC2079" s="20"/>
      <c r="CD2079" s="154"/>
    </row>
    <row r="2080" spans="35:82">
      <c r="AI2080" s="19"/>
      <c r="AO2080" s="19"/>
      <c r="AY2080" s="145"/>
      <c r="AZ2080" s="16"/>
      <c r="BC2080" s="16"/>
      <c r="BD2080" s="20"/>
      <c r="BE2080" s="17"/>
      <c r="BF2080" s="20"/>
      <c r="BG2080" s="146"/>
      <c r="BH2080" s="146"/>
      <c r="BI2080" s="146"/>
      <c r="BJ2080" s="20"/>
      <c r="BK2080" s="20"/>
      <c r="BL2080" s="154"/>
      <c r="BP2080" s="20"/>
      <c r="BQ2080" s="154"/>
      <c r="BR2080" s="18"/>
      <c r="BS2080" s="16"/>
      <c r="BT2080" s="18"/>
      <c r="BU2080" s="18"/>
      <c r="BV2080" s="18"/>
      <c r="BW2080" s="20"/>
      <c r="BX2080" s="154"/>
      <c r="BY2080" s="18"/>
      <c r="BZ2080" s="146"/>
      <c r="CA2080" s="18"/>
      <c r="CB2080" s="18"/>
      <c r="CC2080" s="20"/>
      <c r="CD2080" s="154"/>
    </row>
    <row r="2081" spans="35:82">
      <c r="AI2081" s="19"/>
      <c r="AO2081" s="19"/>
      <c r="AY2081" s="145"/>
      <c r="AZ2081" s="16"/>
      <c r="BC2081" s="16"/>
      <c r="BD2081" s="20"/>
      <c r="BE2081" s="17"/>
      <c r="BF2081" s="20"/>
      <c r="BG2081" s="146"/>
      <c r="BH2081" s="146"/>
      <c r="BI2081" s="146"/>
      <c r="BJ2081" s="20"/>
      <c r="BK2081" s="20"/>
      <c r="BL2081" s="154"/>
      <c r="BP2081" s="20"/>
      <c r="BQ2081" s="154"/>
      <c r="BR2081" s="18"/>
      <c r="BS2081" s="16"/>
      <c r="BT2081" s="18"/>
      <c r="BU2081" s="18"/>
      <c r="BV2081" s="18"/>
      <c r="BW2081" s="20"/>
      <c r="BX2081" s="154"/>
      <c r="BY2081" s="18"/>
      <c r="BZ2081" s="146"/>
      <c r="CA2081" s="18"/>
      <c r="CB2081" s="18"/>
      <c r="CC2081" s="20"/>
      <c r="CD2081" s="154"/>
    </row>
    <row r="2082" spans="35:82">
      <c r="AI2082" s="19"/>
      <c r="AO2082" s="19"/>
      <c r="AY2082" s="145"/>
      <c r="AZ2082" s="16"/>
      <c r="BC2082" s="16"/>
      <c r="BD2082" s="20"/>
      <c r="BE2082" s="17"/>
      <c r="BF2082" s="20"/>
      <c r="BG2082" s="146"/>
      <c r="BH2082" s="146"/>
      <c r="BI2082" s="146"/>
      <c r="BJ2082" s="20"/>
      <c r="BK2082" s="20"/>
      <c r="BL2082" s="154"/>
      <c r="BP2082" s="20"/>
      <c r="BQ2082" s="154"/>
      <c r="BR2082" s="18"/>
      <c r="BS2082" s="16"/>
      <c r="BT2082" s="18"/>
      <c r="BU2082" s="18"/>
      <c r="BV2082" s="18"/>
      <c r="BW2082" s="20"/>
      <c r="BX2082" s="154"/>
      <c r="BY2082" s="18"/>
      <c r="BZ2082" s="146"/>
      <c r="CA2082" s="18"/>
      <c r="CB2082" s="18"/>
      <c r="CC2082" s="20"/>
      <c r="CD2082" s="154"/>
    </row>
    <row r="2083" spans="35:82">
      <c r="AI2083" s="19"/>
      <c r="AO2083" s="19"/>
      <c r="AY2083" s="145"/>
      <c r="AZ2083" s="16"/>
      <c r="BC2083" s="16"/>
      <c r="BD2083" s="20"/>
      <c r="BE2083" s="17"/>
      <c r="BF2083" s="20"/>
      <c r="BG2083" s="146"/>
      <c r="BH2083" s="146"/>
      <c r="BI2083" s="146"/>
      <c r="BJ2083" s="20"/>
      <c r="BK2083" s="20"/>
      <c r="BL2083" s="154"/>
      <c r="BP2083" s="20"/>
      <c r="BQ2083" s="154"/>
      <c r="BR2083" s="18"/>
      <c r="BS2083" s="16"/>
      <c r="BT2083" s="18"/>
      <c r="BU2083" s="18"/>
      <c r="BV2083" s="18"/>
      <c r="BW2083" s="20"/>
      <c r="BX2083" s="154"/>
      <c r="BY2083" s="18"/>
      <c r="BZ2083" s="146"/>
      <c r="CA2083" s="18"/>
      <c r="CB2083" s="18"/>
      <c r="CC2083" s="20"/>
      <c r="CD2083" s="154"/>
    </row>
    <row r="2084" spans="35:82">
      <c r="AI2084" s="19"/>
      <c r="AO2084" s="19"/>
      <c r="AY2084" s="145"/>
      <c r="AZ2084" s="16"/>
      <c r="BC2084" s="16"/>
      <c r="BD2084" s="20"/>
      <c r="BE2084" s="17"/>
      <c r="BF2084" s="20"/>
      <c r="BG2084" s="146"/>
      <c r="BH2084" s="146"/>
      <c r="BI2084" s="146"/>
      <c r="BJ2084" s="20"/>
      <c r="BK2084" s="20"/>
      <c r="BL2084" s="154"/>
      <c r="BP2084" s="20"/>
      <c r="BQ2084" s="154"/>
      <c r="BR2084" s="18"/>
      <c r="BS2084" s="16"/>
      <c r="BT2084" s="18"/>
      <c r="BU2084" s="18"/>
      <c r="BV2084" s="18"/>
      <c r="BW2084" s="20"/>
      <c r="BX2084" s="154"/>
      <c r="BY2084" s="18"/>
      <c r="BZ2084" s="146"/>
      <c r="CA2084" s="18"/>
      <c r="CB2084" s="18"/>
      <c r="CC2084" s="20"/>
      <c r="CD2084" s="154"/>
    </row>
    <row r="2085" spans="35:82">
      <c r="AI2085" s="19"/>
      <c r="AO2085" s="19"/>
      <c r="AY2085" s="145"/>
      <c r="AZ2085" s="16"/>
      <c r="BC2085" s="16"/>
      <c r="BD2085" s="20"/>
      <c r="BE2085" s="17"/>
      <c r="BF2085" s="20"/>
      <c r="BG2085" s="146"/>
      <c r="BH2085" s="146"/>
      <c r="BI2085" s="146"/>
      <c r="BJ2085" s="20"/>
      <c r="BK2085" s="20"/>
      <c r="BL2085" s="154"/>
      <c r="BP2085" s="20"/>
      <c r="BQ2085" s="154"/>
      <c r="BR2085" s="18"/>
      <c r="BS2085" s="16"/>
      <c r="BT2085" s="18"/>
      <c r="BU2085" s="18"/>
      <c r="BV2085" s="18"/>
      <c r="BW2085" s="20"/>
      <c r="BX2085" s="154"/>
      <c r="BY2085" s="18"/>
      <c r="BZ2085" s="146"/>
      <c r="CA2085" s="18"/>
      <c r="CB2085" s="18"/>
      <c r="CC2085" s="20"/>
      <c r="CD2085" s="154"/>
    </row>
    <row r="2086" spans="35:82">
      <c r="AI2086" s="19"/>
      <c r="AO2086" s="19"/>
      <c r="AY2086" s="145"/>
      <c r="AZ2086" s="16"/>
      <c r="BC2086" s="16"/>
      <c r="BD2086" s="20"/>
      <c r="BE2086" s="17"/>
      <c r="BF2086" s="20"/>
      <c r="BG2086" s="146"/>
      <c r="BH2086" s="146"/>
      <c r="BI2086" s="146"/>
      <c r="BJ2086" s="20"/>
      <c r="BK2086" s="20"/>
      <c r="BL2086" s="154"/>
      <c r="BP2086" s="20"/>
      <c r="BQ2086" s="154"/>
      <c r="BR2086" s="18"/>
      <c r="BS2086" s="16"/>
      <c r="BT2086" s="18"/>
      <c r="BU2086" s="18"/>
      <c r="BV2086" s="18"/>
      <c r="BW2086" s="20"/>
      <c r="BX2086" s="154"/>
      <c r="BY2086" s="18"/>
      <c r="BZ2086" s="146"/>
      <c r="CA2086" s="18"/>
      <c r="CB2086" s="18"/>
      <c r="CC2086" s="20"/>
      <c r="CD2086" s="154"/>
    </row>
    <row r="2087" spans="35:82">
      <c r="AI2087" s="19"/>
      <c r="AO2087" s="19"/>
      <c r="AY2087" s="145"/>
      <c r="AZ2087" s="16"/>
      <c r="BC2087" s="16"/>
      <c r="BD2087" s="20"/>
      <c r="BE2087" s="17"/>
      <c r="BF2087" s="20"/>
      <c r="BG2087" s="146"/>
      <c r="BH2087" s="146"/>
      <c r="BI2087" s="146"/>
      <c r="BJ2087" s="20"/>
      <c r="BK2087" s="20"/>
      <c r="BL2087" s="154"/>
      <c r="BP2087" s="20"/>
      <c r="BQ2087" s="154"/>
      <c r="BR2087" s="18"/>
      <c r="BS2087" s="16"/>
      <c r="BT2087" s="18"/>
      <c r="BU2087" s="18"/>
      <c r="BV2087" s="18"/>
      <c r="BW2087" s="20"/>
      <c r="BX2087" s="154"/>
      <c r="BY2087" s="18"/>
      <c r="BZ2087" s="146"/>
      <c r="CA2087" s="18"/>
      <c r="CB2087" s="18"/>
      <c r="CC2087" s="20"/>
      <c r="CD2087" s="154"/>
    </row>
    <row r="2088" spans="35:82">
      <c r="AI2088" s="19"/>
      <c r="AO2088" s="19"/>
      <c r="AY2088" s="145"/>
      <c r="AZ2088" s="16"/>
      <c r="BC2088" s="16"/>
      <c r="BD2088" s="20"/>
      <c r="BE2088" s="17"/>
      <c r="BF2088" s="20"/>
      <c r="BG2088" s="146"/>
      <c r="BH2088" s="146"/>
      <c r="BI2088" s="146"/>
      <c r="BJ2088" s="20"/>
      <c r="BK2088" s="20"/>
      <c r="BL2088" s="154"/>
      <c r="BP2088" s="20"/>
      <c r="BQ2088" s="154"/>
      <c r="BR2088" s="18"/>
      <c r="BS2088" s="16"/>
      <c r="BT2088" s="18"/>
      <c r="BU2088" s="18"/>
      <c r="BV2088" s="18"/>
      <c r="BW2088" s="20"/>
      <c r="BX2088" s="154"/>
      <c r="BY2088" s="18"/>
      <c r="BZ2088" s="146"/>
      <c r="CA2088" s="18"/>
      <c r="CB2088" s="18"/>
      <c r="CC2088" s="20"/>
      <c r="CD2088" s="154"/>
    </row>
    <row r="2089" spans="35:82">
      <c r="AI2089" s="19"/>
      <c r="AO2089" s="19"/>
      <c r="AY2089" s="145"/>
      <c r="AZ2089" s="16"/>
      <c r="BC2089" s="16"/>
      <c r="BD2089" s="20"/>
      <c r="BE2089" s="17"/>
      <c r="BF2089" s="20"/>
      <c r="BG2089" s="146"/>
      <c r="BH2089" s="146"/>
      <c r="BI2089" s="146"/>
      <c r="BJ2089" s="20"/>
      <c r="BK2089" s="20"/>
      <c r="BL2089" s="154"/>
      <c r="BP2089" s="20"/>
      <c r="BQ2089" s="154"/>
      <c r="BR2089" s="18"/>
      <c r="BS2089" s="16"/>
      <c r="BT2089" s="18"/>
      <c r="BU2089" s="18"/>
      <c r="BV2089" s="18"/>
      <c r="BW2089" s="20"/>
      <c r="BX2089" s="154"/>
      <c r="BY2089" s="18"/>
      <c r="BZ2089" s="146"/>
      <c r="CA2089" s="18"/>
      <c r="CB2089" s="18"/>
      <c r="CC2089" s="20"/>
      <c r="CD2089" s="154"/>
    </row>
    <row r="2090" spans="35:82">
      <c r="AI2090" s="19"/>
      <c r="AO2090" s="19"/>
      <c r="AY2090" s="145"/>
      <c r="AZ2090" s="16"/>
      <c r="BC2090" s="16"/>
      <c r="BD2090" s="20"/>
      <c r="BE2090" s="17"/>
      <c r="BF2090" s="20"/>
      <c r="BG2090" s="146"/>
      <c r="BH2090" s="146"/>
      <c r="BI2090" s="146"/>
      <c r="BJ2090" s="20"/>
      <c r="BK2090" s="20"/>
      <c r="BL2090" s="154"/>
      <c r="BP2090" s="20"/>
      <c r="BQ2090" s="154"/>
      <c r="BR2090" s="18"/>
      <c r="BS2090" s="16"/>
      <c r="BT2090" s="18"/>
      <c r="BU2090" s="18"/>
      <c r="BV2090" s="18"/>
      <c r="BW2090" s="20"/>
      <c r="BX2090" s="154"/>
      <c r="BY2090" s="18"/>
      <c r="BZ2090" s="146"/>
      <c r="CA2090" s="18"/>
      <c r="CB2090" s="18"/>
      <c r="CC2090" s="20"/>
      <c r="CD2090" s="154"/>
    </row>
    <row r="2091" spans="35:82">
      <c r="AI2091" s="19"/>
      <c r="AO2091" s="19"/>
      <c r="AY2091" s="145"/>
      <c r="AZ2091" s="16"/>
      <c r="BC2091" s="16"/>
      <c r="BD2091" s="20"/>
      <c r="BE2091" s="17"/>
      <c r="BF2091" s="20"/>
      <c r="BG2091" s="146"/>
      <c r="BH2091" s="146"/>
      <c r="BI2091" s="146"/>
      <c r="BJ2091" s="20"/>
      <c r="BK2091" s="20"/>
      <c r="BL2091" s="154"/>
      <c r="BP2091" s="20"/>
      <c r="BQ2091" s="154"/>
      <c r="BR2091" s="18"/>
      <c r="BS2091" s="16"/>
      <c r="BT2091" s="18"/>
      <c r="BU2091" s="18"/>
      <c r="BV2091" s="18"/>
      <c r="BW2091" s="20"/>
      <c r="BX2091" s="154"/>
      <c r="BY2091" s="18"/>
      <c r="BZ2091" s="146"/>
      <c r="CA2091" s="18"/>
      <c r="CB2091" s="18"/>
      <c r="CC2091" s="20"/>
      <c r="CD2091" s="154"/>
    </row>
    <row r="2092" spans="35:82">
      <c r="AI2092" s="19"/>
      <c r="AO2092" s="19"/>
      <c r="AY2092" s="145"/>
      <c r="AZ2092" s="16"/>
      <c r="BC2092" s="16"/>
      <c r="BD2092" s="20"/>
      <c r="BE2092" s="17"/>
      <c r="BF2092" s="20"/>
      <c r="BG2092" s="146"/>
      <c r="BH2092" s="146"/>
      <c r="BI2092" s="146"/>
      <c r="BJ2092" s="20"/>
      <c r="BK2092" s="20"/>
      <c r="BL2092" s="154"/>
      <c r="BP2092" s="20"/>
      <c r="BQ2092" s="154"/>
      <c r="BR2092" s="18"/>
      <c r="BS2092" s="16"/>
      <c r="BT2092" s="18"/>
      <c r="BU2092" s="18"/>
      <c r="BV2092" s="18"/>
      <c r="BW2092" s="20"/>
      <c r="BX2092" s="154"/>
      <c r="BY2092" s="18"/>
      <c r="BZ2092" s="146"/>
      <c r="CA2092" s="18"/>
      <c r="CB2092" s="18"/>
      <c r="CC2092" s="20"/>
      <c r="CD2092" s="154"/>
    </row>
    <row r="2093" spans="35:82">
      <c r="AI2093" s="19"/>
      <c r="AO2093" s="19"/>
      <c r="AY2093" s="145"/>
      <c r="AZ2093" s="16"/>
      <c r="BC2093" s="16"/>
      <c r="BD2093" s="20"/>
      <c r="BE2093" s="17"/>
      <c r="BF2093" s="20"/>
      <c r="BG2093" s="146"/>
      <c r="BH2093" s="146"/>
      <c r="BI2093" s="146"/>
      <c r="BJ2093" s="20"/>
      <c r="BK2093" s="20"/>
      <c r="BL2093" s="154"/>
      <c r="BP2093" s="20"/>
      <c r="BQ2093" s="154"/>
      <c r="BR2093" s="18"/>
      <c r="BS2093" s="16"/>
      <c r="BT2093" s="18"/>
      <c r="BU2093" s="18"/>
      <c r="BV2093" s="18"/>
      <c r="BW2093" s="20"/>
      <c r="BX2093" s="154"/>
      <c r="BY2093" s="18"/>
      <c r="BZ2093" s="146"/>
      <c r="CA2093" s="18"/>
      <c r="CB2093" s="18"/>
      <c r="CC2093" s="20"/>
      <c r="CD2093" s="154"/>
    </row>
    <row r="2094" spans="35:82">
      <c r="AI2094" s="19"/>
      <c r="AO2094" s="19"/>
      <c r="AY2094" s="145"/>
      <c r="AZ2094" s="16"/>
      <c r="BC2094" s="16"/>
      <c r="BD2094" s="20"/>
      <c r="BE2094" s="17"/>
      <c r="BF2094" s="20"/>
      <c r="BG2094" s="146"/>
      <c r="BH2094" s="146"/>
      <c r="BI2094" s="146"/>
      <c r="BJ2094" s="20"/>
      <c r="BK2094" s="20"/>
      <c r="BL2094" s="154"/>
      <c r="BP2094" s="20"/>
      <c r="BQ2094" s="154"/>
      <c r="BR2094" s="18"/>
      <c r="BS2094" s="16"/>
      <c r="BT2094" s="18"/>
      <c r="BU2094" s="18"/>
      <c r="BV2094" s="18"/>
      <c r="BW2094" s="20"/>
      <c r="BX2094" s="154"/>
      <c r="BY2094" s="18"/>
      <c r="BZ2094" s="146"/>
      <c r="CA2094" s="18"/>
      <c r="CB2094" s="18"/>
      <c r="CC2094" s="20"/>
      <c r="CD2094" s="154"/>
    </row>
    <row r="2095" spans="35:82">
      <c r="AI2095" s="19"/>
      <c r="AO2095" s="19"/>
      <c r="AY2095" s="145"/>
      <c r="AZ2095" s="16"/>
      <c r="BC2095" s="16"/>
      <c r="BD2095" s="20"/>
      <c r="BE2095" s="17"/>
      <c r="BF2095" s="20"/>
      <c r="BG2095" s="146"/>
      <c r="BH2095" s="146"/>
      <c r="BI2095" s="146"/>
      <c r="BJ2095" s="20"/>
      <c r="BK2095" s="20"/>
      <c r="BL2095" s="154"/>
      <c r="BP2095" s="20"/>
      <c r="BQ2095" s="154"/>
      <c r="BR2095" s="18"/>
      <c r="BS2095" s="16"/>
      <c r="BT2095" s="18"/>
      <c r="BU2095" s="18"/>
      <c r="BV2095" s="18"/>
      <c r="BW2095" s="20"/>
      <c r="BX2095" s="154"/>
      <c r="BY2095" s="18"/>
      <c r="BZ2095" s="146"/>
      <c r="CA2095" s="18"/>
      <c r="CB2095" s="18"/>
      <c r="CC2095" s="20"/>
      <c r="CD2095" s="154"/>
    </row>
    <row r="2096" spans="35:82">
      <c r="AI2096" s="19"/>
      <c r="AO2096" s="19"/>
      <c r="AY2096" s="145"/>
      <c r="AZ2096" s="16"/>
      <c r="BC2096" s="16"/>
      <c r="BD2096" s="20"/>
      <c r="BE2096" s="17"/>
      <c r="BF2096" s="20"/>
      <c r="BG2096" s="146"/>
      <c r="BH2096" s="146"/>
      <c r="BI2096" s="146"/>
      <c r="BJ2096" s="20"/>
      <c r="BK2096" s="20"/>
      <c r="BL2096" s="154"/>
      <c r="BP2096" s="20"/>
      <c r="BQ2096" s="154"/>
      <c r="BR2096" s="18"/>
      <c r="BS2096" s="16"/>
      <c r="BT2096" s="18"/>
      <c r="BU2096" s="18"/>
      <c r="BV2096" s="18"/>
      <c r="BW2096" s="20"/>
      <c r="BX2096" s="154"/>
      <c r="BY2096" s="18"/>
      <c r="BZ2096" s="146"/>
      <c r="CA2096" s="18"/>
      <c r="CB2096" s="18"/>
      <c r="CC2096" s="20"/>
      <c r="CD2096" s="154"/>
    </row>
    <row r="2097" spans="35:82">
      <c r="AI2097" s="19"/>
      <c r="AO2097" s="19"/>
      <c r="AY2097" s="145"/>
      <c r="AZ2097" s="16"/>
      <c r="BC2097" s="16"/>
      <c r="BD2097" s="20"/>
      <c r="BE2097" s="17"/>
      <c r="BF2097" s="20"/>
      <c r="BG2097" s="146"/>
      <c r="BH2097" s="146"/>
      <c r="BI2097" s="146"/>
      <c r="BJ2097" s="20"/>
      <c r="BK2097" s="20"/>
      <c r="BL2097" s="154"/>
      <c r="BP2097" s="20"/>
      <c r="BQ2097" s="154"/>
      <c r="BR2097" s="18"/>
      <c r="BS2097" s="16"/>
      <c r="BT2097" s="18"/>
      <c r="BU2097" s="18"/>
      <c r="BV2097" s="18"/>
      <c r="BW2097" s="20"/>
      <c r="BX2097" s="154"/>
      <c r="BY2097" s="18"/>
      <c r="BZ2097" s="146"/>
      <c r="CA2097" s="18"/>
      <c r="CB2097" s="18"/>
      <c r="CC2097" s="20"/>
      <c r="CD2097" s="154"/>
    </row>
    <row r="2098" spans="35:82">
      <c r="AI2098" s="19"/>
      <c r="AO2098" s="19"/>
      <c r="AY2098" s="145"/>
      <c r="AZ2098" s="16"/>
      <c r="BC2098" s="16"/>
      <c r="BD2098" s="20"/>
      <c r="BE2098" s="17"/>
      <c r="BF2098" s="20"/>
      <c r="BG2098" s="146"/>
      <c r="BH2098" s="146"/>
      <c r="BI2098" s="146"/>
      <c r="BJ2098" s="20"/>
      <c r="BK2098" s="20"/>
      <c r="BL2098" s="154"/>
      <c r="BP2098" s="20"/>
      <c r="BQ2098" s="154"/>
      <c r="BR2098" s="18"/>
      <c r="BS2098" s="16"/>
      <c r="BT2098" s="18"/>
      <c r="BU2098" s="18"/>
      <c r="BV2098" s="18"/>
      <c r="BW2098" s="20"/>
      <c r="BX2098" s="154"/>
      <c r="BY2098" s="18"/>
      <c r="BZ2098" s="146"/>
      <c r="CA2098" s="18"/>
      <c r="CB2098" s="18"/>
      <c r="CC2098" s="20"/>
      <c r="CD2098" s="154"/>
    </row>
    <row r="2099" spans="35:82">
      <c r="AI2099" s="19"/>
      <c r="AO2099" s="19"/>
      <c r="AY2099" s="145"/>
      <c r="AZ2099" s="16"/>
      <c r="BC2099" s="16"/>
      <c r="BD2099" s="20"/>
      <c r="BE2099" s="17"/>
      <c r="BF2099" s="20"/>
      <c r="BG2099" s="146"/>
      <c r="BH2099" s="146"/>
      <c r="BI2099" s="146"/>
      <c r="BJ2099" s="20"/>
      <c r="BK2099" s="20"/>
      <c r="BL2099" s="154"/>
      <c r="BP2099" s="20"/>
      <c r="BQ2099" s="154"/>
      <c r="BR2099" s="18"/>
      <c r="BS2099" s="16"/>
      <c r="BT2099" s="18"/>
      <c r="BU2099" s="18"/>
      <c r="BV2099" s="18"/>
      <c r="BW2099" s="20"/>
      <c r="BX2099" s="154"/>
      <c r="BY2099" s="18"/>
      <c r="BZ2099" s="146"/>
      <c r="CA2099" s="18"/>
      <c r="CB2099" s="18"/>
      <c r="CC2099" s="20"/>
      <c r="CD2099" s="154"/>
    </row>
    <row r="2100" spans="35:82">
      <c r="AI2100" s="19"/>
      <c r="AO2100" s="19"/>
      <c r="AY2100" s="145"/>
      <c r="AZ2100" s="16"/>
      <c r="BC2100" s="16"/>
      <c r="BD2100" s="20"/>
      <c r="BE2100" s="17"/>
      <c r="BF2100" s="20"/>
      <c r="BG2100" s="146"/>
      <c r="BH2100" s="146"/>
      <c r="BI2100" s="146"/>
      <c r="BJ2100" s="20"/>
      <c r="BK2100" s="20"/>
      <c r="BL2100" s="154"/>
      <c r="BP2100" s="20"/>
      <c r="BQ2100" s="154"/>
      <c r="BR2100" s="18"/>
      <c r="BS2100" s="16"/>
      <c r="BT2100" s="18"/>
      <c r="BU2100" s="18"/>
      <c r="BV2100" s="18"/>
      <c r="BW2100" s="20"/>
      <c r="BX2100" s="154"/>
      <c r="BY2100" s="18"/>
      <c r="BZ2100" s="146"/>
      <c r="CA2100" s="18"/>
      <c r="CB2100" s="18"/>
      <c r="CC2100" s="20"/>
      <c r="CD2100" s="154"/>
    </row>
    <row r="2101" spans="35:82">
      <c r="AI2101" s="19"/>
      <c r="AO2101" s="19"/>
      <c r="AY2101" s="145"/>
      <c r="AZ2101" s="16"/>
      <c r="BC2101" s="16"/>
      <c r="BD2101" s="20"/>
      <c r="BE2101" s="17"/>
      <c r="BF2101" s="20"/>
      <c r="BG2101" s="146"/>
      <c r="BH2101" s="146"/>
      <c r="BI2101" s="146"/>
      <c r="BJ2101" s="20"/>
      <c r="BK2101" s="20"/>
      <c r="BL2101" s="154"/>
      <c r="BP2101" s="20"/>
      <c r="BQ2101" s="154"/>
      <c r="BR2101" s="18"/>
      <c r="BS2101" s="16"/>
      <c r="BT2101" s="18"/>
      <c r="BU2101" s="18"/>
      <c r="BV2101" s="18"/>
      <c r="BW2101" s="20"/>
      <c r="BX2101" s="154"/>
      <c r="BY2101" s="18"/>
      <c r="BZ2101" s="146"/>
      <c r="CA2101" s="18"/>
      <c r="CB2101" s="18"/>
      <c r="CC2101" s="20"/>
      <c r="CD2101" s="154"/>
    </row>
    <row r="2102" spans="35:82">
      <c r="AI2102" s="19"/>
      <c r="AO2102" s="19"/>
      <c r="AY2102" s="145"/>
      <c r="AZ2102" s="16"/>
      <c r="BC2102" s="16"/>
      <c r="BD2102" s="20"/>
      <c r="BE2102" s="17"/>
      <c r="BF2102" s="20"/>
      <c r="BG2102" s="146"/>
      <c r="BH2102" s="146"/>
      <c r="BI2102" s="146"/>
      <c r="BJ2102" s="20"/>
      <c r="BK2102" s="20"/>
      <c r="BL2102" s="154"/>
      <c r="BP2102" s="20"/>
      <c r="BQ2102" s="154"/>
      <c r="BR2102" s="18"/>
      <c r="BS2102" s="16"/>
      <c r="BT2102" s="18"/>
      <c r="BU2102" s="18"/>
      <c r="BV2102" s="18"/>
      <c r="BW2102" s="20"/>
      <c r="BX2102" s="154"/>
      <c r="BY2102" s="18"/>
      <c r="BZ2102" s="146"/>
      <c r="CA2102" s="18"/>
      <c r="CB2102" s="18"/>
      <c r="CC2102" s="20"/>
      <c r="CD2102" s="154"/>
    </row>
    <row r="2103" spans="35:82">
      <c r="AI2103" s="19"/>
      <c r="AO2103" s="19"/>
      <c r="AY2103" s="145"/>
      <c r="AZ2103" s="16"/>
      <c r="BC2103" s="16"/>
      <c r="BD2103" s="20"/>
      <c r="BE2103" s="17"/>
      <c r="BF2103" s="20"/>
      <c r="BG2103" s="146"/>
      <c r="BH2103" s="146"/>
      <c r="BI2103" s="146"/>
      <c r="BJ2103" s="20"/>
      <c r="BK2103" s="20"/>
      <c r="BL2103" s="154"/>
      <c r="BP2103" s="20"/>
      <c r="BQ2103" s="154"/>
      <c r="BR2103" s="18"/>
      <c r="BS2103" s="16"/>
      <c r="BT2103" s="18"/>
      <c r="BU2103" s="18"/>
      <c r="BV2103" s="18"/>
      <c r="BW2103" s="20"/>
      <c r="BX2103" s="154"/>
      <c r="BY2103" s="18"/>
      <c r="BZ2103" s="146"/>
      <c r="CA2103" s="18"/>
      <c r="CB2103" s="18"/>
      <c r="CC2103" s="20"/>
      <c r="CD2103" s="154"/>
    </row>
    <row r="2104" spans="35:82">
      <c r="AI2104" s="19"/>
      <c r="AO2104" s="19"/>
      <c r="AY2104" s="145"/>
      <c r="AZ2104" s="16"/>
      <c r="BC2104" s="16"/>
      <c r="BD2104" s="20"/>
      <c r="BE2104" s="17"/>
      <c r="BF2104" s="20"/>
      <c r="BG2104" s="146"/>
      <c r="BH2104" s="146"/>
      <c r="BI2104" s="146"/>
      <c r="BJ2104" s="20"/>
      <c r="BK2104" s="20"/>
      <c r="BL2104" s="154"/>
      <c r="BP2104" s="20"/>
      <c r="BQ2104" s="154"/>
      <c r="BR2104" s="18"/>
      <c r="BS2104" s="16"/>
      <c r="BT2104" s="18"/>
      <c r="BU2104" s="18"/>
      <c r="BV2104" s="18"/>
      <c r="BW2104" s="20"/>
      <c r="BX2104" s="154"/>
      <c r="BY2104" s="18"/>
      <c r="BZ2104" s="146"/>
      <c r="CA2104" s="18"/>
      <c r="CB2104" s="18"/>
      <c r="CC2104" s="20"/>
      <c r="CD2104" s="154"/>
    </row>
    <row r="2105" spans="35:82">
      <c r="AI2105" s="19"/>
      <c r="AO2105" s="19"/>
      <c r="AY2105" s="145"/>
      <c r="AZ2105" s="16"/>
      <c r="BC2105" s="16"/>
      <c r="BD2105" s="20"/>
      <c r="BE2105" s="17"/>
      <c r="BF2105" s="20"/>
      <c r="BG2105" s="146"/>
      <c r="BH2105" s="146"/>
      <c r="BI2105" s="146"/>
      <c r="BJ2105" s="20"/>
      <c r="BK2105" s="20"/>
      <c r="BL2105" s="154"/>
      <c r="BP2105" s="20"/>
      <c r="BQ2105" s="154"/>
      <c r="BR2105" s="18"/>
      <c r="BS2105" s="16"/>
      <c r="BT2105" s="18"/>
      <c r="BU2105" s="18"/>
      <c r="BV2105" s="18"/>
      <c r="BW2105" s="20"/>
      <c r="BX2105" s="154"/>
      <c r="BY2105" s="18"/>
      <c r="BZ2105" s="146"/>
      <c r="CA2105" s="18"/>
      <c r="CB2105" s="18"/>
      <c r="CC2105" s="20"/>
      <c r="CD2105" s="154"/>
    </row>
    <row r="2106" spans="35:82">
      <c r="AI2106" s="19"/>
      <c r="AO2106" s="19"/>
      <c r="AY2106" s="145"/>
      <c r="AZ2106" s="16"/>
      <c r="BC2106" s="16"/>
      <c r="BD2106" s="20"/>
      <c r="BE2106" s="17"/>
      <c r="BF2106" s="20"/>
      <c r="BG2106" s="146"/>
      <c r="BH2106" s="146"/>
      <c r="BI2106" s="146"/>
      <c r="BJ2106" s="20"/>
      <c r="BK2106" s="20"/>
      <c r="BL2106" s="154"/>
      <c r="BP2106" s="20"/>
      <c r="BQ2106" s="154"/>
      <c r="BR2106" s="18"/>
      <c r="BS2106" s="16"/>
      <c r="BT2106" s="18"/>
      <c r="BU2106" s="18"/>
      <c r="BV2106" s="18"/>
      <c r="BW2106" s="20"/>
      <c r="BX2106" s="154"/>
      <c r="BY2106" s="18"/>
      <c r="BZ2106" s="146"/>
      <c r="CA2106" s="18"/>
      <c r="CB2106" s="18"/>
      <c r="CC2106" s="20"/>
      <c r="CD2106" s="154"/>
    </row>
    <row r="2107" spans="35:82">
      <c r="AI2107" s="19"/>
      <c r="AO2107" s="19"/>
      <c r="AY2107" s="145"/>
      <c r="AZ2107" s="16"/>
      <c r="BC2107" s="16"/>
      <c r="BD2107" s="20"/>
      <c r="BE2107" s="17"/>
      <c r="BF2107" s="20"/>
      <c r="BG2107" s="146"/>
      <c r="BH2107" s="146"/>
      <c r="BI2107" s="146"/>
      <c r="BJ2107" s="20"/>
      <c r="BK2107" s="20"/>
      <c r="BL2107" s="154"/>
      <c r="BP2107" s="20"/>
      <c r="BQ2107" s="154"/>
      <c r="BR2107" s="18"/>
      <c r="BS2107" s="16"/>
      <c r="BT2107" s="18"/>
      <c r="BU2107" s="18"/>
      <c r="BV2107" s="18"/>
      <c r="BW2107" s="20"/>
      <c r="BX2107" s="154"/>
      <c r="BY2107" s="18"/>
      <c r="BZ2107" s="146"/>
      <c r="CA2107" s="18"/>
      <c r="CB2107" s="18"/>
      <c r="CC2107" s="20"/>
      <c r="CD2107" s="154"/>
    </row>
    <row r="2108" spans="35:82">
      <c r="AI2108" s="19"/>
      <c r="AO2108" s="19"/>
      <c r="AY2108" s="145"/>
      <c r="AZ2108" s="16"/>
      <c r="BC2108" s="16"/>
      <c r="BD2108" s="20"/>
      <c r="BE2108" s="17"/>
      <c r="BF2108" s="20"/>
      <c r="BG2108" s="146"/>
      <c r="BH2108" s="146"/>
      <c r="BI2108" s="146"/>
      <c r="BJ2108" s="20"/>
      <c r="BK2108" s="20"/>
      <c r="BL2108" s="154"/>
      <c r="BP2108" s="20"/>
      <c r="BQ2108" s="154"/>
      <c r="BR2108" s="18"/>
      <c r="BS2108" s="16"/>
      <c r="BT2108" s="18"/>
      <c r="BU2108" s="18"/>
      <c r="BV2108" s="18"/>
      <c r="BW2108" s="20"/>
      <c r="BX2108" s="154"/>
      <c r="BY2108" s="18"/>
      <c r="BZ2108" s="146"/>
      <c r="CA2108" s="18"/>
      <c r="CB2108" s="18"/>
      <c r="CC2108" s="20"/>
      <c r="CD2108" s="154"/>
    </row>
    <row r="2109" spans="35:82">
      <c r="AI2109" s="19"/>
      <c r="AO2109" s="19"/>
      <c r="AY2109" s="145"/>
      <c r="AZ2109" s="16"/>
      <c r="BC2109" s="16"/>
      <c r="BD2109" s="20"/>
      <c r="BE2109" s="17"/>
      <c r="BF2109" s="20"/>
      <c r="BG2109" s="146"/>
      <c r="BH2109" s="146"/>
      <c r="BI2109" s="146"/>
      <c r="BJ2109" s="20"/>
      <c r="BK2109" s="20"/>
      <c r="BL2109" s="154"/>
      <c r="BP2109" s="20"/>
      <c r="BQ2109" s="154"/>
      <c r="BR2109" s="18"/>
      <c r="BS2109" s="16"/>
      <c r="BT2109" s="18"/>
      <c r="BU2109" s="18"/>
      <c r="BV2109" s="18"/>
      <c r="BW2109" s="20"/>
      <c r="BX2109" s="154"/>
      <c r="BY2109" s="18"/>
      <c r="BZ2109" s="146"/>
      <c r="CA2109" s="18"/>
      <c r="CB2109" s="18"/>
      <c r="CC2109" s="20"/>
      <c r="CD2109" s="154"/>
    </row>
    <row r="2110" spans="35:82">
      <c r="AI2110" s="19"/>
      <c r="AO2110" s="19"/>
      <c r="AY2110" s="145"/>
      <c r="AZ2110" s="16"/>
      <c r="BC2110" s="16"/>
      <c r="BD2110" s="20"/>
      <c r="BE2110" s="17"/>
      <c r="BF2110" s="20"/>
      <c r="BG2110" s="146"/>
      <c r="BH2110" s="146"/>
      <c r="BI2110" s="146"/>
      <c r="BJ2110" s="20"/>
      <c r="BK2110" s="20"/>
      <c r="BL2110" s="154"/>
      <c r="BP2110" s="20"/>
      <c r="BQ2110" s="154"/>
      <c r="BR2110" s="18"/>
      <c r="BS2110" s="16"/>
      <c r="BT2110" s="18"/>
      <c r="BU2110" s="18"/>
      <c r="BV2110" s="18"/>
      <c r="BW2110" s="20"/>
      <c r="BX2110" s="154"/>
      <c r="BY2110" s="18"/>
      <c r="BZ2110" s="146"/>
      <c r="CA2110" s="18"/>
      <c r="CB2110" s="18"/>
      <c r="CC2110" s="20"/>
      <c r="CD2110" s="154"/>
    </row>
    <row r="2111" spans="35:82">
      <c r="AI2111" s="19"/>
      <c r="AO2111" s="19"/>
      <c r="AY2111" s="145"/>
      <c r="AZ2111" s="16"/>
      <c r="BC2111" s="16"/>
      <c r="BD2111" s="20"/>
      <c r="BE2111" s="17"/>
      <c r="BF2111" s="20"/>
      <c r="BG2111" s="146"/>
      <c r="BH2111" s="146"/>
      <c r="BI2111" s="146"/>
      <c r="BJ2111" s="20"/>
      <c r="BK2111" s="20"/>
      <c r="BL2111" s="154"/>
      <c r="BP2111" s="20"/>
      <c r="BQ2111" s="154"/>
      <c r="BR2111" s="18"/>
      <c r="BS2111" s="16"/>
      <c r="BT2111" s="18"/>
      <c r="BU2111" s="18"/>
      <c r="BV2111" s="18"/>
      <c r="BW2111" s="20"/>
      <c r="BX2111" s="154"/>
      <c r="BY2111" s="18"/>
      <c r="BZ2111" s="146"/>
      <c r="CA2111" s="18"/>
      <c r="CB2111" s="18"/>
      <c r="CC2111" s="20"/>
      <c r="CD2111" s="154"/>
    </row>
    <row r="2112" spans="35:82">
      <c r="AI2112" s="19"/>
      <c r="AO2112" s="19"/>
      <c r="AY2112" s="145"/>
      <c r="AZ2112" s="16"/>
      <c r="BC2112" s="16"/>
      <c r="BD2112" s="20"/>
      <c r="BE2112" s="17"/>
      <c r="BF2112" s="20"/>
      <c r="BG2112" s="146"/>
      <c r="BH2112" s="146"/>
      <c r="BI2112" s="146"/>
      <c r="BJ2112" s="20"/>
      <c r="BK2112" s="20"/>
      <c r="BL2112" s="154"/>
      <c r="BP2112" s="20"/>
      <c r="BQ2112" s="154"/>
      <c r="BR2112" s="18"/>
      <c r="BS2112" s="16"/>
      <c r="BT2112" s="18"/>
      <c r="BU2112" s="18"/>
      <c r="BV2112" s="18"/>
      <c r="BW2112" s="20"/>
      <c r="BX2112" s="154"/>
      <c r="BY2112" s="18"/>
      <c r="BZ2112" s="146"/>
      <c r="CA2112" s="18"/>
      <c r="CB2112" s="18"/>
      <c r="CC2112" s="20"/>
      <c r="CD2112" s="154"/>
    </row>
    <row r="2113" spans="35:82">
      <c r="AI2113" s="19"/>
      <c r="AO2113" s="19"/>
      <c r="AY2113" s="145"/>
      <c r="AZ2113" s="16"/>
      <c r="BC2113" s="16"/>
      <c r="BD2113" s="20"/>
      <c r="BE2113" s="17"/>
      <c r="BF2113" s="20"/>
      <c r="BG2113" s="146"/>
      <c r="BH2113" s="146"/>
      <c r="BI2113" s="146"/>
      <c r="BJ2113" s="20"/>
      <c r="BK2113" s="20"/>
      <c r="BL2113" s="154"/>
      <c r="BP2113" s="20"/>
      <c r="BQ2113" s="154"/>
      <c r="BR2113" s="18"/>
      <c r="BS2113" s="16"/>
      <c r="BT2113" s="18"/>
      <c r="BU2113" s="18"/>
      <c r="BV2113" s="18"/>
      <c r="BW2113" s="20"/>
      <c r="BX2113" s="154"/>
      <c r="BY2113" s="18"/>
      <c r="BZ2113" s="146"/>
      <c r="CA2113" s="18"/>
      <c r="CB2113" s="18"/>
      <c r="CC2113" s="20"/>
      <c r="CD2113" s="154"/>
    </row>
    <row r="2114" spans="35:82">
      <c r="AI2114" s="19"/>
      <c r="AO2114" s="19"/>
      <c r="AY2114" s="145"/>
      <c r="AZ2114" s="16"/>
      <c r="BC2114" s="16"/>
      <c r="BD2114" s="20"/>
      <c r="BE2114" s="17"/>
      <c r="BF2114" s="20"/>
      <c r="BG2114" s="146"/>
      <c r="BH2114" s="146"/>
      <c r="BI2114" s="146"/>
      <c r="BJ2114" s="20"/>
      <c r="BK2114" s="20"/>
      <c r="BL2114" s="154"/>
      <c r="BP2114" s="20"/>
      <c r="BQ2114" s="154"/>
      <c r="BR2114" s="18"/>
      <c r="BS2114" s="16"/>
      <c r="BT2114" s="18"/>
      <c r="BU2114" s="18"/>
      <c r="BV2114" s="18"/>
      <c r="BW2114" s="20"/>
      <c r="BX2114" s="154"/>
      <c r="BY2114" s="18"/>
      <c r="BZ2114" s="146"/>
      <c r="CA2114" s="18"/>
      <c r="CB2114" s="18"/>
      <c r="CC2114" s="20"/>
      <c r="CD2114" s="154"/>
    </row>
    <row r="2115" spans="35:82">
      <c r="AI2115" s="19"/>
      <c r="AO2115" s="19"/>
      <c r="AY2115" s="145"/>
      <c r="AZ2115" s="16"/>
      <c r="BC2115" s="16"/>
      <c r="BD2115" s="20"/>
      <c r="BE2115" s="17"/>
      <c r="BF2115" s="20"/>
      <c r="BG2115" s="146"/>
      <c r="BH2115" s="146"/>
      <c r="BI2115" s="146"/>
      <c r="BJ2115" s="20"/>
      <c r="BK2115" s="20"/>
      <c r="BL2115" s="154"/>
      <c r="BP2115" s="20"/>
      <c r="BQ2115" s="154"/>
      <c r="BR2115" s="18"/>
      <c r="BS2115" s="16"/>
      <c r="BT2115" s="18"/>
      <c r="BU2115" s="18"/>
      <c r="BV2115" s="18"/>
      <c r="BW2115" s="20"/>
      <c r="BX2115" s="154"/>
      <c r="BY2115" s="18"/>
      <c r="BZ2115" s="146"/>
      <c r="CA2115" s="18"/>
      <c r="CB2115" s="18"/>
      <c r="CC2115" s="20"/>
      <c r="CD2115" s="154"/>
    </row>
    <row r="2116" spans="35:82">
      <c r="AI2116" s="19"/>
      <c r="AO2116" s="19"/>
      <c r="AY2116" s="145"/>
      <c r="AZ2116" s="16"/>
      <c r="BC2116" s="16"/>
      <c r="BD2116" s="20"/>
      <c r="BE2116" s="17"/>
      <c r="BF2116" s="20"/>
      <c r="BG2116" s="146"/>
      <c r="BH2116" s="146"/>
      <c r="BI2116" s="146"/>
      <c r="BJ2116" s="20"/>
      <c r="BK2116" s="20"/>
      <c r="BL2116" s="154"/>
      <c r="BP2116" s="20"/>
      <c r="BQ2116" s="154"/>
      <c r="BR2116" s="18"/>
      <c r="BS2116" s="16"/>
      <c r="BT2116" s="18"/>
      <c r="BU2116" s="18"/>
      <c r="BV2116" s="18"/>
      <c r="BW2116" s="20"/>
      <c r="BX2116" s="154"/>
      <c r="BY2116" s="18"/>
      <c r="BZ2116" s="146"/>
      <c r="CA2116" s="18"/>
      <c r="CB2116" s="18"/>
      <c r="CC2116" s="20"/>
      <c r="CD2116" s="154"/>
    </row>
    <row r="2117" spans="35:82">
      <c r="AI2117" s="19"/>
      <c r="AO2117" s="19"/>
      <c r="AY2117" s="145"/>
      <c r="AZ2117" s="16"/>
      <c r="BC2117" s="16"/>
      <c r="BD2117" s="20"/>
      <c r="BE2117" s="17"/>
      <c r="BF2117" s="20"/>
      <c r="BG2117" s="146"/>
      <c r="BH2117" s="146"/>
      <c r="BI2117" s="146"/>
      <c r="BJ2117" s="20"/>
      <c r="BK2117" s="20"/>
      <c r="BL2117" s="154"/>
      <c r="BP2117" s="20"/>
      <c r="BQ2117" s="154"/>
      <c r="BR2117" s="18"/>
      <c r="BS2117" s="16"/>
      <c r="BT2117" s="18"/>
      <c r="BU2117" s="18"/>
      <c r="BV2117" s="18"/>
      <c r="BW2117" s="20"/>
      <c r="BX2117" s="154"/>
      <c r="BY2117" s="18"/>
      <c r="BZ2117" s="146"/>
      <c r="CA2117" s="18"/>
      <c r="CB2117" s="18"/>
      <c r="CC2117" s="20"/>
      <c r="CD2117" s="154"/>
    </row>
    <row r="2118" spans="35:82">
      <c r="AI2118" s="19"/>
      <c r="AO2118" s="19"/>
      <c r="AY2118" s="145"/>
      <c r="AZ2118" s="16"/>
      <c r="BC2118" s="16"/>
      <c r="BD2118" s="20"/>
      <c r="BE2118" s="17"/>
      <c r="BF2118" s="20"/>
      <c r="BG2118" s="146"/>
      <c r="BH2118" s="146"/>
      <c r="BI2118" s="146"/>
      <c r="BJ2118" s="20"/>
      <c r="BK2118" s="20"/>
      <c r="BL2118" s="154"/>
      <c r="BP2118" s="20"/>
      <c r="BQ2118" s="154"/>
      <c r="BR2118" s="18"/>
      <c r="BS2118" s="16"/>
      <c r="BT2118" s="18"/>
      <c r="BU2118" s="18"/>
      <c r="BV2118" s="18"/>
      <c r="BW2118" s="20"/>
      <c r="BX2118" s="154"/>
      <c r="BY2118" s="18"/>
      <c r="BZ2118" s="146"/>
      <c r="CA2118" s="18"/>
      <c r="CB2118" s="18"/>
      <c r="CC2118" s="20"/>
      <c r="CD2118" s="154"/>
    </row>
    <row r="2119" spans="35:82">
      <c r="AI2119" s="19"/>
      <c r="AO2119" s="19"/>
      <c r="AY2119" s="145"/>
      <c r="AZ2119" s="16"/>
      <c r="BC2119" s="16"/>
      <c r="BD2119" s="20"/>
      <c r="BE2119" s="17"/>
      <c r="BF2119" s="20"/>
      <c r="BG2119" s="146"/>
      <c r="BH2119" s="146"/>
      <c r="BI2119" s="146"/>
      <c r="BJ2119" s="20"/>
      <c r="BK2119" s="20"/>
      <c r="BL2119" s="154"/>
      <c r="BP2119" s="20"/>
      <c r="BQ2119" s="154"/>
      <c r="BR2119" s="18"/>
      <c r="BS2119" s="16"/>
      <c r="BT2119" s="18"/>
      <c r="BU2119" s="18"/>
      <c r="BV2119" s="18"/>
      <c r="BW2119" s="20"/>
      <c r="BX2119" s="154"/>
      <c r="BY2119" s="18"/>
      <c r="BZ2119" s="146"/>
      <c r="CA2119" s="18"/>
      <c r="CB2119" s="18"/>
      <c r="CC2119" s="20"/>
      <c r="CD2119" s="154"/>
    </row>
    <row r="2120" spans="35:82">
      <c r="AI2120" s="19"/>
      <c r="AO2120" s="19"/>
      <c r="AY2120" s="145"/>
      <c r="AZ2120" s="16"/>
      <c r="BC2120" s="16"/>
      <c r="BD2120" s="20"/>
      <c r="BE2120" s="17"/>
      <c r="BF2120" s="20"/>
      <c r="BG2120" s="146"/>
      <c r="BH2120" s="146"/>
      <c r="BI2120" s="146"/>
      <c r="BJ2120" s="20"/>
      <c r="BK2120" s="20"/>
      <c r="BL2120" s="154"/>
      <c r="BP2120" s="20"/>
      <c r="BQ2120" s="154"/>
      <c r="BR2120" s="18"/>
      <c r="BS2120" s="16"/>
      <c r="BT2120" s="18"/>
      <c r="BU2120" s="18"/>
      <c r="BV2120" s="18"/>
      <c r="BW2120" s="20"/>
      <c r="BX2120" s="154"/>
      <c r="BY2120" s="18"/>
      <c r="BZ2120" s="146"/>
      <c r="CA2120" s="18"/>
      <c r="CB2120" s="18"/>
      <c r="CC2120" s="20"/>
      <c r="CD2120" s="154"/>
    </row>
    <row r="2121" spans="35:82">
      <c r="AI2121" s="19"/>
      <c r="AO2121" s="19"/>
      <c r="AY2121" s="145"/>
      <c r="AZ2121" s="16"/>
      <c r="BC2121" s="16"/>
      <c r="BD2121" s="20"/>
      <c r="BE2121" s="17"/>
      <c r="BF2121" s="20"/>
      <c r="BG2121" s="146"/>
      <c r="BH2121" s="146"/>
      <c r="BI2121" s="146"/>
      <c r="BJ2121" s="20"/>
      <c r="BK2121" s="20"/>
      <c r="BL2121" s="154"/>
      <c r="BP2121" s="20"/>
      <c r="BQ2121" s="154"/>
      <c r="BR2121" s="18"/>
      <c r="BS2121" s="16"/>
      <c r="BT2121" s="18"/>
      <c r="BU2121" s="18"/>
      <c r="BV2121" s="18"/>
      <c r="BW2121" s="20"/>
      <c r="BX2121" s="154"/>
      <c r="BY2121" s="18"/>
      <c r="BZ2121" s="146"/>
      <c r="CA2121" s="18"/>
      <c r="CB2121" s="18"/>
      <c r="CC2121" s="20"/>
      <c r="CD2121" s="154"/>
    </row>
    <row r="2122" spans="35:82">
      <c r="AI2122" s="19"/>
      <c r="AO2122" s="19"/>
      <c r="AY2122" s="145"/>
      <c r="AZ2122" s="16"/>
      <c r="BC2122" s="16"/>
      <c r="BD2122" s="20"/>
      <c r="BE2122" s="17"/>
      <c r="BF2122" s="20"/>
      <c r="BG2122" s="146"/>
      <c r="BH2122" s="146"/>
      <c r="BI2122" s="146"/>
      <c r="BJ2122" s="20"/>
      <c r="BK2122" s="20"/>
      <c r="BL2122" s="154"/>
      <c r="BP2122" s="20"/>
      <c r="BQ2122" s="154"/>
      <c r="BR2122" s="18"/>
      <c r="BS2122" s="16"/>
      <c r="BT2122" s="18"/>
      <c r="BU2122" s="18"/>
      <c r="BV2122" s="18"/>
      <c r="BW2122" s="20"/>
      <c r="BX2122" s="154"/>
      <c r="BY2122" s="18"/>
      <c r="BZ2122" s="146"/>
      <c r="CA2122" s="18"/>
      <c r="CB2122" s="18"/>
      <c r="CC2122" s="20"/>
      <c r="CD2122" s="154"/>
    </row>
    <row r="2123" spans="35:82">
      <c r="AI2123" s="19"/>
      <c r="AO2123" s="19"/>
      <c r="AY2123" s="145"/>
      <c r="AZ2123" s="16"/>
      <c r="BC2123" s="16"/>
      <c r="BD2123" s="20"/>
      <c r="BE2123" s="17"/>
      <c r="BF2123" s="20"/>
      <c r="BG2123" s="146"/>
      <c r="BH2123" s="146"/>
      <c r="BI2123" s="146"/>
      <c r="BJ2123" s="20"/>
      <c r="BK2123" s="20"/>
      <c r="BL2123" s="154"/>
      <c r="BP2123" s="20"/>
      <c r="BQ2123" s="154"/>
      <c r="BR2123" s="18"/>
      <c r="BS2123" s="16"/>
      <c r="BT2123" s="18"/>
      <c r="BU2123" s="18"/>
      <c r="BV2123" s="18"/>
      <c r="BW2123" s="20"/>
      <c r="BX2123" s="154"/>
      <c r="BY2123" s="18"/>
      <c r="BZ2123" s="146"/>
      <c r="CA2123" s="18"/>
      <c r="CB2123" s="18"/>
      <c r="CC2123" s="20"/>
      <c r="CD2123" s="154"/>
    </row>
    <row r="2124" spans="35:82">
      <c r="AI2124" s="19"/>
      <c r="AO2124" s="19"/>
      <c r="AY2124" s="145"/>
      <c r="AZ2124" s="16"/>
      <c r="BC2124" s="16"/>
      <c r="BD2124" s="20"/>
      <c r="BE2124" s="17"/>
      <c r="BF2124" s="20"/>
      <c r="BG2124" s="146"/>
      <c r="BH2124" s="146"/>
      <c r="BI2124" s="146"/>
      <c r="BJ2124" s="20"/>
      <c r="BK2124" s="20"/>
      <c r="BL2124" s="154"/>
      <c r="BP2124" s="20"/>
      <c r="BQ2124" s="154"/>
      <c r="BR2124" s="18"/>
      <c r="BS2124" s="16"/>
      <c r="BT2124" s="18"/>
      <c r="BU2124" s="18"/>
      <c r="BV2124" s="18"/>
      <c r="BW2124" s="20"/>
      <c r="BX2124" s="154"/>
      <c r="BY2124" s="18"/>
      <c r="BZ2124" s="146"/>
      <c r="CA2124" s="18"/>
      <c r="CB2124" s="18"/>
      <c r="CC2124" s="20"/>
      <c r="CD2124" s="154"/>
    </row>
    <row r="2125" spans="35:82">
      <c r="AI2125" s="19"/>
      <c r="AO2125" s="19"/>
      <c r="AY2125" s="145"/>
      <c r="AZ2125" s="16"/>
      <c r="BC2125" s="16"/>
      <c r="BD2125" s="20"/>
      <c r="BE2125" s="17"/>
      <c r="BF2125" s="20"/>
      <c r="BG2125" s="146"/>
      <c r="BH2125" s="146"/>
      <c r="BI2125" s="146"/>
      <c r="BJ2125" s="20"/>
      <c r="BK2125" s="20"/>
      <c r="BL2125" s="154"/>
      <c r="BP2125" s="20"/>
      <c r="BQ2125" s="154"/>
      <c r="BR2125" s="18"/>
      <c r="BS2125" s="16"/>
      <c r="BT2125" s="18"/>
      <c r="BU2125" s="18"/>
      <c r="BV2125" s="18"/>
      <c r="BW2125" s="20"/>
      <c r="BX2125" s="154"/>
      <c r="BY2125" s="18"/>
      <c r="BZ2125" s="146"/>
      <c r="CA2125" s="18"/>
      <c r="CB2125" s="18"/>
      <c r="CC2125" s="20"/>
      <c r="CD2125" s="154"/>
    </row>
    <row r="2126" spans="35:82">
      <c r="AI2126" s="19"/>
      <c r="AO2126" s="19"/>
      <c r="AY2126" s="145"/>
      <c r="AZ2126" s="16"/>
      <c r="BC2126" s="16"/>
      <c r="BD2126" s="20"/>
      <c r="BE2126" s="17"/>
      <c r="BF2126" s="20"/>
      <c r="BG2126" s="146"/>
      <c r="BH2126" s="146"/>
      <c r="BI2126" s="146"/>
      <c r="BJ2126" s="20"/>
      <c r="BK2126" s="20"/>
      <c r="BL2126" s="154"/>
      <c r="BP2126" s="20"/>
      <c r="BQ2126" s="154"/>
      <c r="BR2126" s="18"/>
      <c r="BS2126" s="16"/>
      <c r="BT2126" s="18"/>
      <c r="BU2126" s="18"/>
      <c r="BV2126" s="18"/>
      <c r="BW2126" s="20"/>
      <c r="BX2126" s="154"/>
      <c r="BY2126" s="18"/>
      <c r="BZ2126" s="146"/>
      <c r="CA2126" s="18"/>
      <c r="CB2126" s="18"/>
      <c r="CC2126" s="20"/>
      <c r="CD2126" s="154"/>
    </row>
    <row r="2127" spans="35:82">
      <c r="AI2127" s="19"/>
      <c r="AO2127" s="19"/>
      <c r="AY2127" s="145"/>
      <c r="AZ2127" s="16"/>
      <c r="BC2127" s="16"/>
      <c r="BD2127" s="20"/>
      <c r="BE2127" s="17"/>
      <c r="BF2127" s="20"/>
      <c r="BG2127" s="146"/>
      <c r="BH2127" s="146"/>
      <c r="BI2127" s="146"/>
      <c r="BJ2127" s="20"/>
      <c r="BK2127" s="20"/>
      <c r="BL2127" s="154"/>
      <c r="BP2127" s="20"/>
      <c r="BQ2127" s="154"/>
      <c r="BR2127" s="18"/>
      <c r="BS2127" s="16"/>
      <c r="BT2127" s="18"/>
      <c r="BU2127" s="18"/>
      <c r="BV2127" s="18"/>
      <c r="BW2127" s="20"/>
      <c r="BX2127" s="154"/>
      <c r="BY2127" s="18"/>
      <c r="BZ2127" s="146"/>
      <c r="CA2127" s="18"/>
      <c r="CB2127" s="18"/>
      <c r="CC2127" s="20"/>
      <c r="CD2127" s="154"/>
    </row>
    <row r="2128" spans="35:82">
      <c r="AI2128" s="19"/>
      <c r="AO2128" s="19"/>
      <c r="AY2128" s="145"/>
      <c r="AZ2128" s="16"/>
      <c r="BC2128" s="16"/>
      <c r="BD2128" s="20"/>
      <c r="BE2128" s="17"/>
      <c r="BF2128" s="20"/>
      <c r="BG2128" s="146"/>
      <c r="BH2128" s="146"/>
      <c r="BI2128" s="146"/>
      <c r="BJ2128" s="20"/>
      <c r="BK2128" s="20"/>
      <c r="BL2128" s="154"/>
      <c r="BP2128" s="20"/>
      <c r="BQ2128" s="154"/>
      <c r="BR2128" s="18"/>
      <c r="BS2128" s="16"/>
      <c r="BT2128" s="18"/>
      <c r="BU2128" s="18"/>
      <c r="BV2128" s="18"/>
      <c r="BW2128" s="20"/>
      <c r="BX2128" s="154"/>
      <c r="BY2128" s="18"/>
      <c r="BZ2128" s="146"/>
      <c r="CA2128" s="18"/>
      <c r="CB2128" s="18"/>
      <c r="CC2128" s="20"/>
      <c r="CD2128" s="154"/>
    </row>
    <row r="2129" spans="35:82">
      <c r="AI2129" s="19"/>
      <c r="AO2129" s="19"/>
      <c r="AY2129" s="145"/>
      <c r="AZ2129" s="16"/>
      <c r="BC2129" s="16"/>
      <c r="BD2129" s="20"/>
      <c r="BE2129" s="17"/>
      <c r="BF2129" s="20"/>
      <c r="BG2129" s="146"/>
      <c r="BH2129" s="146"/>
      <c r="BI2129" s="146"/>
      <c r="BJ2129" s="20"/>
      <c r="BK2129" s="20"/>
      <c r="BL2129" s="154"/>
      <c r="BP2129" s="20"/>
      <c r="BQ2129" s="154"/>
      <c r="BR2129" s="18"/>
      <c r="BS2129" s="16"/>
      <c r="BT2129" s="18"/>
      <c r="BU2129" s="18"/>
      <c r="BV2129" s="18"/>
      <c r="BW2129" s="20"/>
      <c r="BX2129" s="154"/>
      <c r="BY2129" s="18"/>
      <c r="BZ2129" s="146"/>
      <c r="CA2129" s="18"/>
      <c r="CB2129" s="18"/>
      <c r="CC2129" s="20"/>
      <c r="CD2129" s="154"/>
    </row>
    <row r="2130" spans="35:82">
      <c r="AI2130" s="19"/>
      <c r="AO2130" s="19"/>
      <c r="AY2130" s="145"/>
      <c r="AZ2130" s="16"/>
      <c r="BC2130" s="16"/>
      <c r="BD2130" s="20"/>
      <c r="BE2130" s="17"/>
      <c r="BF2130" s="20"/>
      <c r="BG2130" s="146"/>
      <c r="BH2130" s="146"/>
      <c r="BI2130" s="146"/>
      <c r="BJ2130" s="20"/>
      <c r="BK2130" s="20"/>
      <c r="BL2130" s="154"/>
      <c r="BP2130" s="20"/>
      <c r="BQ2130" s="154"/>
      <c r="BR2130" s="18"/>
      <c r="BS2130" s="16"/>
      <c r="BT2130" s="18"/>
      <c r="BU2130" s="18"/>
      <c r="BV2130" s="18"/>
      <c r="BW2130" s="20"/>
      <c r="BX2130" s="154"/>
      <c r="BY2130" s="18"/>
      <c r="BZ2130" s="146"/>
      <c r="CA2130" s="18"/>
      <c r="CB2130" s="18"/>
      <c r="CC2130" s="20"/>
      <c r="CD2130" s="154"/>
    </row>
    <row r="2131" spans="35:82">
      <c r="AI2131" s="19"/>
      <c r="AO2131" s="19"/>
      <c r="AY2131" s="145"/>
      <c r="AZ2131" s="16"/>
      <c r="BC2131" s="16"/>
      <c r="BD2131" s="20"/>
      <c r="BE2131" s="17"/>
      <c r="BF2131" s="20"/>
      <c r="BG2131" s="146"/>
      <c r="BH2131" s="146"/>
      <c r="BI2131" s="146"/>
      <c r="BJ2131" s="20"/>
      <c r="BK2131" s="20"/>
      <c r="BL2131" s="154"/>
      <c r="BP2131" s="20"/>
      <c r="BQ2131" s="154"/>
      <c r="BR2131" s="18"/>
      <c r="BS2131" s="16"/>
      <c r="BT2131" s="18"/>
      <c r="BU2131" s="18"/>
      <c r="BV2131" s="18"/>
      <c r="BW2131" s="20"/>
      <c r="BX2131" s="154"/>
      <c r="BY2131" s="18"/>
      <c r="BZ2131" s="146"/>
      <c r="CA2131" s="18"/>
      <c r="CB2131" s="18"/>
      <c r="CC2131" s="20"/>
      <c r="CD2131" s="154"/>
    </row>
    <row r="2132" spans="35:82">
      <c r="AI2132" s="19"/>
      <c r="AO2132" s="19"/>
      <c r="AY2132" s="145"/>
      <c r="AZ2132" s="16"/>
      <c r="BC2132" s="16"/>
      <c r="BD2132" s="20"/>
      <c r="BE2132" s="17"/>
      <c r="BF2132" s="20"/>
      <c r="BG2132" s="146"/>
      <c r="BH2132" s="146"/>
      <c r="BI2132" s="146"/>
      <c r="BJ2132" s="20"/>
      <c r="BK2132" s="20"/>
      <c r="BL2132" s="154"/>
      <c r="BP2132" s="20"/>
      <c r="BQ2132" s="154"/>
      <c r="BR2132" s="18"/>
      <c r="BS2132" s="16"/>
      <c r="BT2132" s="18"/>
      <c r="BU2132" s="18"/>
      <c r="BV2132" s="18"/>
      <c r="BW2132" s="20"/>
      <c r="BX2132" s="154"/>
      <c r="BY2132" s="18"/>
      <c r="BZ2132" s="146"/>
      <c r="CA2132" s="18"/>
      <c r="CB2132" s="18"/>
      <c r="CC2132" s="20"/>
      <c r="CD2132" s="154"/>
    </row>
    <row r="2133" spans="35:82">
      <c r="AI2133" s="19"/>
      <c r="AO2133" s="19"/>
      <c r="AY2133" s="145"/>
      <c r="AZ2133" s="16"/>
      <c r="BC2133" s="16"/>
      <c r="BD2133" s="20"/>
      <c r="BE2133" s="17"/>
      <c r="BF2133" s="20"/>
      <c r="BG2133" s="146"/>
      <c r="BH2133" s="146"/>
      <c r="BI2133" s="146"/>
      <c r="BJ2133" s="20"/>
      <c r="BK2133" s="20"/>
      <c r="BL2133" s="154"/>
      <c r="BP2133" s="20"/>
      <c r="BQ2133" s="154"/>
      <c r="BR2133" s="18"/>
      <c r="BS2133" s="16"/>
      <c r="BT2133" s="18"/>
      <c r="BU2133" s="18"/>
      <c r="BV2133" s="18"/>
      <c r="BW2133" s="20"/>
      <c r="BX2133" s="154"/>
      <c r="BY2133" s="18"/>
      <c r="BZ2133" s="146"/>
      <c r="CA2133" s="18"/>
      <c r="CB2133" s="18"/>
      <c r="CC2133" s="20"/>
      <c r="CD2133" s="154"/>
    </row>
    <row r="2134" spans="35:82">
      <c r="AI2134" s="19"/>
      <c r="AO2134" s="19"/>
      <c r="AY2134" s="145"/>
      <c r="AZ2134" s="16"/>
      <c r="BC2134" s="16"/>
      <c r="BD2134" s="20"/>
      <c r="BE2134" s="17"/>
      <c r="BF2134" s="20"/>
      <c r="BG2134" s="146"/>
      <c r="BH2134" s="146"/>
      <c r="BI2134" s="146"/>
      <c r="BJ2134" s="20"/>
      <c r="BK2134" s="20"/>
      <c r="BL2134" s="154"/>
      <c r="BP2134" s="20"/>
      <c r="BQ2134" s="154"/>
      <c r="BR2134" s="18"/>
      <c r="BS2134" s="16"/>
      <c r="BT2134" s="18"/>
      <c r="BU2134" s="18"/>
      <c r="BV2134" s="18"/>
      <c r="BW2134" s="20"/>
      <c r="BX2134" s="154"/>
      <c r="BY2134" s="18"/>
      <c r="BZ2134" s="146"/>
      <c r="CA2134" s="18"/>
      <c r="CB2134" s="18"/>
      <c r="CC2134" s="20"/>
      <c r="CD2134" s="154"/>
    </row>
    <row r="2135" spans="35:82">
      <c r="AI2135" s="19"/>
      <c r="AO2135" s="19"/>
      <c r="AY2135" s="145"/>
      <c r="AZ2135" s="16"/>
      <c r="BC2135" s="16"/>
      <c r="BD2135" s="20"/>
      <c r="BE2135" s="17"/>
      <c r="BF2135" s="20"/>
      <c r="BG2135" s="146"/>
      <c r="BH2135" s="146"/>
      <c r="BI2135" s="146"/>
      <c r="BJ2135" s="20"/>
      <c r="BK2135" s="20"/>
      <c r="BL2135" s="154"/>
      <c r="BP2135" s="20"/>
      <c r="BQ2135" s="154"/>
      <c r="BR2135" s="18"/>
      <c r="BS2135" s="16"/>
      <c r="BT2135" s="18"/>
      <c r="BU2135" s="18"/>
      <c r="BV2135" s="18"/>
      <c r="BW2135" s="20"/>
      <c r="BX2135" s="154"/>
      <c r="BY2135" s="18"/>
      <c r="BZ2135" s="146"/>
      <c r="CA2135" s="18"/>
      <c r="CB2135" s="18"/>
      <c r="CC2135" s="20"/>
      <c r="CD2135" s="154"/>
    </row>
    <row r="2136" spans="35:82">
      <c r="AI2136" s="19"/>
      <c r="AO2136" s="19"/>
      <c r="AY2136" s="145"/>
      <c r="AZ2136" s="16"/>
      <c r="BC2136" s="16"/>
      <c r="BD2136" s="20"/>
      <c r="BE2136" s="17"/>
      <c r="BF2136" s="20"/>
      <c r="BG2136" s="146"/>
      <c r="BH2136" s="146"/>
      <c r="BI2136" s="146"/>
      <c r="BJ2136" s="20"/>
      <c r="BK2136" s="20"/>
      <c r="BL2136" s="154"/>
      <c r="BP2136" s="20"/>
      <c r="BQ2136" s="154"/>
      <c r="BR2136" s="18"/>
      <c r="BS2136" s="16"/>
      <c r="BT2136" s="18"/>
      <c r="BU2136" s="18"/>
      <c r="BV2136" s="18"/>
      <c r="BW2136" s="20"/>
      <c r="BX2136" s="154"/>
      <c r="BY2136" s="18"/>
      <c r="BZ2136" s="146"/>
      <c r="CA2136" s="18"/>
      <c r="CB2136" s="18"/>
      <c r="CC2136" s="20"/>
      <c r="CD2136" s="154"/>
    </row>
    <row r="2137" spans="35:82">
      <c r="AI2137" s="19"/>
      <c r="AO2137" s="19"/>
      <c r="AY2137" s="145"/>
      <c r="AZ2137" s="16"/>
      <c r="BC2137" s="16"/>
      <c r="BD2137" s="20"/>
      <c r="BE2137" s="17"/>
      <c r="BF2137" s="20"/>
      <c r="BG2137" s="146"/>
      <c r="BH2137" s="146"/>
      <c r="BI2137" s="146"/>
      <c r="BJ2137" s="20"/>
      <c r="BK2137" s="20"/>
      <c r="BL2137" s="154"/>
      <c r="BP2137" s="20"/>
      <c r="BQ2137" s="154"/>
      <c r="BR2137" s="18"/>
      <c r="BS2137" s="16"/>
      <c r="BT2137" s="18"/>
      <c r="BU2137" s="18"/>
      <c r="BV2137" s="18"/>
      <c r="BW2137" s="20"/>
      <c r="BX2137" s="154"/>
      <c r="BY2137" s="18"/>
      <c r="BZ2137" s="146"/>
      <c r="CA2137" s="18"/>
      <c r="CB2137" s="18"/>
      <c r="CC2137" s="20"/>
      <c r="CD2137" s="154"/>
    </row>
    <row r="2138" spans="35:82">
      <c r="AI2138" s="19"/>
      <c r="AO2138" s="19"/>
      <c r="AY2138" s="145"/>
      <c r="AZ2138" s="16"/>
      <c r="BC2138" s="16"/>
      <c r="BD2138" s="20"/>
      <c r="BE2138" s="17"/>
      <c r="BF2138" s="20"/>
      <c r="BG2138" s="146"/>
      <c r="BH2138" s="146"/>
      <c r="BI2138" s="146"/>
      <c r="BJ2138" s="20"/>
      <c r="BK2138" s="20"/>
      <c r="BL2138" s="154"/>
      <c r="BP2138" s="20"/>
      <c r="BQ2138" s="154"/>
      <c r="BR2138" s="18"/>
      <c r="BS2138" s="16"/>
      <c r="BT2138" s="18"/>
      <c r="BU2138" s="18"/>
      <c r="BV2138" s="18"/>
      <c r="BW2138" s="20"/>
      <c r="BX2138" s="154"/>
      <c r="BY2138" s="18"/>
      <c r="BZ2138" s="146"/>
      <c r="CA2138" s="18"/>
      <c r="CB2138" s="18"/>
      <c r="CC2138" s="20"/>
      <c r="CD2138" s="154"/>
    </row>
    <row r="2139" spans="35:82">
      <c r="AI2139" s="19"/>
      <c r="AO2139" s="19"/>
      <c r="AY2139" s="145"/>
      <c r="AZ2139" s="16"/>
      <c r="BC2139" s="16"/>
      <c r="BD2139" s="20"/>
      <c r="BE2139" s="17"/>
      <c r="BF2139" s="20"/>
      <c r="BG2139" s="146"/>
      <c r="BH2139" s="146"/>
      <c r="BI2139" s="146"/>
      <c r="BJ2139" s="20"/>
      <c r="BK2139" s="20"/>
      <c r="BL2139" s="154"/>
      <c r="BP2139" s="20"/>
      <c r="BQ2139" s="154"/>
      <c r="BR2139" s="18"/>
      <c r="BS2139" s="16"/>
      <c r="BT2139" s="18"/>
      <c r="BU2139" s="18"/>
      <c r="BV2139" s="18"/>
      <c r="BW2139" s="20"/>
      <c r="BX2139" s="154"/>
      <c r="BY2139" s="18"/>
      <c r="BZ2139" s="146"/>
      <c r="CA2139" s="18"/>
      <c r="CB2139" s="18"/>
      <c r="CC2139" s="20"/>
      <c r="CD2139" s="154"/>
    </row>
    <row r="2140" spans="35:82">
      <c r="AI2140" s="19"/>
      <c r="AO2140" s="19"/>
      <c r="AY2140" s="145"/>
      <c r="AZ2140" s="16"/>
      <c r="BC2140" s="16"/>
      <c r="BD2140" s="20"/>
      <c r="BE2140" s="17"/>
      <c r="BF2140" s="20"/>
      <c r="BG2140" s="146"/>
      <c r="BH2140" s="146"/>
      <c r="BI2140" s="146"/>
      <c r="BJ2140" s="20"/>
      <c r="BK2140" s="20"/>
      <c r="BL2140" s="154"/>
      <c r="BP2140" s="20"/>
      <c r="BQ2140" s="154"/>
      <c r="BR2140" s="18"/>
      <c r="BS2140" s="16"/>
      <c r="BT2140" s="18"/>
      <c r="BU2140" s="18"/>
      <c r="BV2140" s="18"/>
      <c r="BW2140" s="20"/>
      <c r="BX2140" s="154"/>
      <c r="BY2140" s="18"/>
      <c r="BZ2140" s="146"/>
      <c r="CA2140" s="18"/>
      <c r="CB2140" s="18"/>
      <c r="CC2140" s="20"/>
      <c r="CD2140" s="154"/>
    </row>
    <row r="2141" spans="35:82">
      <c r="AI2141" s="19"/>
      <c r="AO2141" s="19"/>
      <c r="AY2141" s="145"/>
      <c r="AZ2141" s="16"/>
      <c r="BC2141" s="16"/>
      <c r="BD2141" s="20"/>
      <c r="BE2141" s="17"/>
      <c r="BF2141" s="20"/>
      <c r="BG2141" s="146"/>
      <c r="BH2141" s="146"/>
      <c r="BI2141" s="146"/>
      <c r="BJ2141" s="20"/>
      <c r="BK2141" s="20"/>
      <c r="BL2141" s="154"/>
      <c r="BP2141" s="20"/>
      <c r="BQ2141" s="154"/>
      <c r="BR2141" s="18"/>
      <c r="BS2141" s="16"/>
      <c r="BT2141" s="18"/>
      <c r="BU2141" s="18"/>
      <c r="BV2141" s="18"/>
      <c r="BW2141" s="20"/>
      <c r="BX2141" s="154"/>
      <c r="BY2141" s="18"/>
      <c r="BZ2141" s="146"/>
      <c r="CA2141" s="18"/>
      <c r="CB2141" s="18"/>
      <c r="CC2141" s="20"/>
      <c r="CD2141" s="154"/>
    </row>
    <row r="2142" spans="35:82">
      <c r="AI2142" s="19"/>
      <c r="AO2142" s="19"/>
      <c r="AY2142" s="145"/>
      <c r="AZ2142" s="16"/>
      <c r="BC2142" s="16"/>
      <c r="BD2142" s="20"/>
      <c r="BE2142" s="17"/>
      <c r="BF2142" s="20"/>
      <c r="BG2142" s="146"/>
      <c r="BH2142" s="146"/>
      <c r="BI2142" s="146"/>
      <c r="BJ2142" s="20"/>
      <c r="BK2142" s="20"/>
      <c r="BL2142" s="154"/>
      <c r="BP2142" s="20"/>
      <c r="BQ2142" s="154"/>
      <c r="BR2142" s="18"/>
      <c r="BS2142" s="16"/>
      <c r="BT2142" s="18"/>
      <c r="BU2142" s="18"/>
      <c r="BV2142" s="18"/>
      <c r="BW2142" s="20"/>
      <c r="BX2142" s="154"/>
      <c r="BY2142" s="18"/>
      <c r="BZ2142" s="146"/>
      <c r="CA2142" s="18"/>
      <c r="CB2142" s="18"/>
      <c r="CC2142" s="20"/>
      <c r="CD2142" s="154"/>
    </row>
    <row r="2143" spans="35:82">
      <c r="AI2143" s="19"/>
      <c r="AO2143" s="19"/>
      <c r="AY2143" s="145"/>
      <c r="AZ2143" s="16"/>
      <c r="BC2143" s="16"/>
      <c r="BD2143" s="20"/>
      <c r="BE2143" s="17"/>
      <c r="BF2143" s="20"/>
      <c r="BG2143" s="146"/>
      <c r="BH2143" s="146"/>
      <c r="BI2143" s="146"/>
      <c r="BJ2143" s="20"/>
      <c r="BK2143" s="20"/>
      <c r="BL2143" s="154"/>
      <c r="BP2143" s="20"/>
      <c r="BQ2143" s="154"/>
      <c r="BR2143" s="18"/>
      <c r="BS2143" s="16"/>
      <c r="BT2143" s="18"/>
      <c r="BU2143" s="18"/>
      <c r="BV2143" s="18"/>
      <c r="BW2143" s="20"/>
      <c r="BX2143" s="154"/>
      <c r="BY2143" s="18"/>
      <c r="BZ2143" s="146"/>
      <c r="CA2143" s="18"/>
      <c r="CB2143" s="18"/>
      <c r="CC2143" s="20"/>
      <c r="CD2143" s="154"/>
    </row>
    <row r="2144" spans="35:82">
      <c r="AI2144" s="19"/>
      <c r="AO2144" s="19"/>
      <c r="AY2144" s="145"/>
      <c r="AZ2144" s="16"/>
      <c r="BC2144" s="16"/>
      <c r="BD2144" s="20"/>
      <c r="BE2144" s="17"/>
      <c r="BF2144" s="20"/>
      <c r="BG2144" s="146"/>
      <c r="BH2144" s="146"/>
      <c r="BI2144" s="146"/>
      <c r="BJ2144" s="20"/>
      <c r="BK2144" s="20"/>
      <c r="BL2144" s="154"/>
      <c r="BP2144" s="20"/>
      <c r="BQ2144" s="154"/>
      <c r="BR2144" s="18"/>
      <c r="BS2144" s="16"/>
      <c r="BT2144" s="18"/>
      <c r="BU2144" s="18"/>
      <c r="BV2144" s="18"/>
      <c r="BW2144" s="20"/>
      <c r="BX2144" s="154"/>
      <c r="BY2144" s="18"/>
      <c r="BZ2144" s="146"/>
      <c r="CA2144" s="18"/>
      <c r="CB2144" s="18"/>
      <c r="CC2144" s="20"/>
      <c r="CD2144" s="154"/>
    </row>
    <row r="2145" spans="35:82">
      <c r="AI2145" s="19"/>
      <c r="AO2145" s="19"/>
      <c r="AY2145" s="145"/>
      <c r="AZ2145" s="16"/>
      <c r="BC2145" s="16"/>
      <c r="BD2145" s="20"/>
      <c r="BE2145" s="17"/>
      <c r="BF2145" s="20"/>
      <c r="BG2145" s="146"/>
      <c r="BH2145" s="146"/>
      <c r="BI2145" s="146"/>
      <c r="BJ2145" s="20"/>
      <c r="BK2145" s="20"/>
      <c r="BL2145" s="154"/>
      <c r="BP2145" s="20"/>
      <c r="BQ2145" s="154"/>
      <c r="BR2145" s="18"/>
      <c r="BS2145" s="16"/>
      <c r="BT2145" s="18"/>
      <c r="BU2145" s="18"/>
      <c r="BV2145" s="18"/>
      <c r="BW2145" s="20"/>
      <c r="BX2145" s="154"/>
      <c r="BY2145" s="18"/>
      <c r="BZ2145" s="146"/>
      <c r="CA2145" s="18"/>
      <c r="CB2145" s="18"/>
      <c r="CC2145" s="20"/>
      <c r="CD2145" s="154"/>
    </row>
    <row r="2146" spans="35:82">
      <c r="AI2146" s="19"/>
      <c r="AO2146" s="19"/>
      <c r="AY2146" s="145"/>
      <c r="AZ2146" s="16"/>
      <c r="BC2146" s="16"/>
      <c r="BD2146" s="20"/>
      <c r="BE2146" s="17"/>
      <c r="BF2146" s="20"/>
      <c r="BG2146" s="146"/>
      <c r="BH2146" s="146"/>
      <c r="BI2146" s="146"/>
      <c r="BJ2146" s="20"/>
      <c r="BK2146" s="20"/>
      <c r="BL2146" s="154"/>
      <c r="BP2146" s="20"/>
      <c r="BQ2146" s="154"/>
      <c r="BR2146" s="18"/>
      <c r="BS2146" s="16"/>
      <c r="BT2146" s="18"/>
      <c r="BU2146" s="18"/>
      <c r="BV2146" s="18"/>
      <c r="BW2146" s="20"/>
      <c r="BX2146" s="154"/>
      <c r="BY2146" s="18"/>
      <c r="BZ2146" s="146"/>
      <c r="CA2146" s="18"/>
      <c r="CB2146" s="18"/>
      <c r="CC2146" s="20"/>
      <c r="CD2146" s="154"/>
    </row>
    <row r="2147" spans="35:82">
      <c r="AI2147" s="19"/>
      <c r="AO2147" s="19"/>
      <c r="AY2147" s="145"/>
      <c r="AZ2147" s="16"/>
      <c r="BC2147" s="16"/>
      <c r="BD2147" s="20"/>
      <c r="BE2147" s="17"/>
      <c r="BF2147" s="20"/>
      <c r="BG2147" s="146"/>
      <c r="BH2147" s="146"/>
      <c r="BI2147" s="146"/>
      <c r="BJ2147" s="20"/>
      <c r="BK2147" s="20"/>
      <c r="BL2147" s="154"/>
      <c r="BP2147" s="20"/>
      <c r="BQ2147" s="154"/>
      <c r="BR2147" s="18"/>
      <c r="BS2147" s="16"/>
      <c r="BT2147" s="18"/>
      <c r="BU2147" s="18"/>
      <c r="BV2147" s="18"/>
      <c r="BW2147" s="20"/>
      <c r="BX2147" s="154"/>
      <c r="BY2147" s="18"/>
      <c r="BZ2147" s="146"/>
      <c r="CA2147" s="18"/>
      <c r="CB2147" s="18"/>
      <c r="CC2147" s="20"/>
      <c r="CD2147" s="154"/>
    </row>
    <row r="2148" spans="35:82">
      <c r="AI2148" s="19"/>
      <c r="AO2148" s="19"/>
      <c r="AY2148" s="145"/>
      <c r="AZ2148" s="16"/>
      <c r="BC2148" s="16"/>
      <c r="BD2148" s="20"/>
      <c r="BE2148" s="17"/>
      <c r="BF2148" s="20"/>
      <c r="BG2148" s="146"/>
      <c r="BH2148" s="146"/>
      <c r="BI2148" s="146"/>
      <c r="BJ2148" s="20"/>
      <c r="BK2148" s="20"/>
      <c r="BL2148" s="154"/>
      <c r="BP2148" s="20"/>
      <c r="BQ2148" s="154"/>
      <c r="BR2148" s="18"/>
      <c r="BS2148" s="16"/>
      <c r="BT2148" s="18"/>
      <c r="BU2148" s="18"/>
      <c r="BV2148" s="18"/>
      <c r="BW2148" s="20"/>
      <c r="BX2148" s="154"/>
      <c r="BY2148" s="18"/>
      <c r="BZ2148" s="146"/>
      <c r="CA2148" s="18"/>
      <c r="CB2148" s="18"/>
      <c r="CC2148" s="20"/>
      <c r="CD2148" s="154"/>
    </row>
    <row r="2149" spans="35:82">
      <c r="AI2149" s="19"/>
      <c r="AO2149" s="19"/>
      <c r="AY2149" s="145"/>
      <c r="AZ2149" s="16"/>
      <c r="BC2149" s="16"/>
      <c r="BD2149" s="20"/>
      <c r="BE2149" s="17"/>
      <c r="BF2149" s="20"/>
      <c r="BG2149" s="146"/>
      <c r="BH2149" s="146"/>
      <c r="BI2149" s="146"/>
      <c r="BJ2149" s="20"/>
      <c r="BK2149" s="20"/>
      <c r="BL2149" s="154"/>
      <c r="BP2149" s="20"/>
      <c r="BQ2149" s="154"/>
      <c r="BR2149" s="18"/>
      <c r="BS2149" s="16"/>
      <c r="BT2149" s="18"/>
      <c r="BU2149" s="18"/>
      <c r="BV2149" s="18"/>
      <c r="BW2149" s="20"/>
      <c r="BX2149" s="154"/>
      <c r="BY2149" s="18"/>
      <c r="BZ2149" s="146"/>
      <c r="CA2149" s="18"/>
      <c r="CB2149" s="18"/>
      <c r="CC2149" s="20"/>
      <c r="CD2149" s="154"/>
    </row>
    <row r="2150" spans="35:82">
      <c r="AI2150" s="19"/>
      <c r="AO2150" s="19"/>
      <c r="AY2150" s="145"/>
      <c r="AZ2150" s="16"/>
      <c r="BC2150" s="16"/>
      <c r="BD2150" s="20"/>
      <c r="BE2150" s="17"/>
      <c r="BF2150" s="20"/>
      <c r="BG2150" s="146"/>
      <c r="BH2150" s="146"/>
      <c r="BI2150" s="146"/>
      <c r="BJ2150" s="20"/>
      <c r="BK2150" s="20"/>
      <c r="BL2150" s="154"/>
      <c r="BP2150" s="20"/>
      <c r="BQ2150" s="154"/>
      <c r="BR2150" s="18"/>
      <c r="BS2150" s="16"/>
      <c r="BT2150" s="18"/>
      <c r="BU2150" s="18"/>
      <c r="BV2150" s="18"/>
      <c r="BW2150" s="20"/>
      <c r="BX2150" s="154"/>
      <c r="BY2150" s="18"/>
      <c r="BZ2150" s="146"/>
      <c r="CA2150" s="18"/>
      <c r="CB2150" s="18"/>
      <c r="CC2150" s="20"/>
      <c r="CD2150" s="154"/>
    </row>
    <row r="2151" spans="35:82">
      <c r="AI2151" s="19"/>
      <c r="AO2151" s="19"/>
      <c r="AY2151" s="145"/>
      <c r="AZ2151" s="16"/>
      <c r="BC2151" s="16"/>
      <c r="BD2151" s="20"/>
      <c r="BE2151" s="17"/>
      <c r="BF2151" s="20"/>
      <c r="BG2151" s="146"/>
      <c r="BH2151" s="146"/>
      <c r="BI2151" s="146"/>
      <c r="BJ2151" s="20"/>
      <c r="BK2151" s="20"/>
      <c r="BL2151" s="154"/>
      <c r="BP2151" s="20"/>
      <c r="BQ2151" s="154"/>
      <c r="BR2151" s="18"/>
      <c r="BS2151" s="16"/>
      <c r="BT2151" s="18"/>
      <c r="BU2151" s="18"/>
      <c r="BV2151" s="18"/>
      <c r="BW2151" s="20"/>
      <c r="BX2151" s="154"/>
      <c r="BY2151" s="18"/>
      <c r="BZ2151" s="146"/>
      <c r="CA2151" s="18"/>
      <c r="CB2151" s="18"/>
      <c r="CC2151" s="20"/>
      <c r="CD2151" s="154"/>
    </row>
    <row r="2152" spans="35:82">
      <c r="AI2152" s="19"/>
      <c r="AO2152" s="19"/>
      <c r="AY2152" s="145"/>
      <c r="AZ2152" s="16"/>
      <c r="BC2152" s="16"/>
      <c r="BD2152" s="20"/>
      <c r="BE2152" s="17"/>
      <c r="BF2152" s="20"/>
      <c r="BG2152" s="146"/>
      <c r="BH2152" s="146"/>
      <c r="BI2152" s="146"/>
      <c r="BJ2152" s="20"/>
      <c r="BK2152" s="20"/>
      <c r="BL2152" s="154"/>
      <c r="BP2152" s="20"/>
      <c r="BQ2152" s="154"/>
      <c r="BR2152" s="18"/>
      <c r="BS2152" s="16"/>
      <c r="BT2152" s="18"/>
      <c r="BU2152" s="18"/>
      <c r="BV2152" s="18"/>
      <c r="BW2152" s="20"/>
      <c r="BX2152" s="154"/>
      <c r="BY2152" s="18"/>
      <c r="BZ2152" s="146"/>
      <c r="CA2152" s="18"/>
      <c r="CB2152" s="18"/>
      <c r="CC2152" s="20"/>
      <c r="CD2152" s="154"/>
    </row>
    <row r="2153" spans="35:82">
      <c r="AI2153" s="19"/>
      <c r="AO2153" s="19"/>
      <c r="AY2153" s="145"/>
      <c r="AZ2153" s="16"/>
      <c r="BC2153" s="16"/>
      <c r="BD2153" s="20"/>
      <c r="BE2153" s="17"/>
      <c r="BF2153" s="20"/>
      <c r="BG2153" s="146"/>
      <c r="BH2153" s="146"/>
      <c r="BI2153" s="146"/>
      <c r="BJ2153" s="20"/>
      <c r="BK2153" s="20"/>
      <c r="BL2153" s="154"/>
      <c r="BP2153" s="20"/>
      <c r="BQ2153" s="154"/>
      <c r="BR2153" s="18"/>
      <c r="BS2153" s="16"/>
      <c r="BT2153" s="18"/>
      <c r="BU2153" s="18"/>
      <c r="BV2153" s="18"/>
      <c r="BW2153" s="20"/>
      <c r="BX2153" s="154"/>
      <c r="BY2153" s="18"/>
      <c r="BZ2153" s="146"/>
      <c r="CA2153" s="18"/>
      <c r="CB2153" s="18"/>
      <c r="CC2153" s="20"/>
      <c r="CD2153" s="154"/>
    </row>
    <row r="2154" spans="35:82">
      <c r="AI2154" s="19"/>
      <c r="AO2154" s="19"/>
      <c r="AY2154" s="145"/>
      <c r="AZ2154" s="16"/>
      <c r="BC2154" s="16"/>
      <c r="BD2154" s="20"/>
      <c r="BE2154" s="17"/>
      <c r="BF2154" s="20"/>
      <c r="BG2154" s="146"/>
      <c r="BH2154" s="146"/>
      <c r="BI2154" s="146"/>
      <c r="BJ2154" s="20"/>
      <c r="BK2154" s="20"/>
      <c r="BL2154" s="154"/>
      <c r="BP2154" s="20"/>
      <c r="BQ2154" s="154"/>
      <c r="BR2154" s="18"/>
      <c r="BS2154" s="16"/>
      <c r="BT2154" s="18"/>
      <c r="BU2154" s="18"/>
      <c r="BV2154" s="18"/>
      <c r="BW2154" s="20"/>
      <c r="BX2154" s="154"/>
      <c r="BY2154" s="18"/>
      <c r="BZ2154" s="146"/>
      <c r="CA2154" s="18"/>
      <c r="CB2154" s="18"/>
      <c r="CC2154" s="20"/>
      <c r="CD2154" s="154"/>
    </row>
    <row r="2155" spans="35:82">
      <c r="AI2155" s="19"/>
      <c r="AO2155" s="19"/>
      <c r="AY2155" s="145"/>
      <c r="AZ2155" s="16"/>
      <c r="BC2155" s="16"/>
      <c r="BD2155" s="20"/>
      <c r="BE2155" s="17"/>
      <c r="BF2155" s="20"/>
      <c r="BG2155" s="146"/>
      <c r="BH2155" s="146"/>
      <c r="BI2155" s="146"/>
      <c r="BJ2155" s="20"/>
      <c r="BK2155" s="20"/>
      <c r="BL2155" s="154"/>
      <c r="BP2155" s="20"/>
      <c r="BQ2155" s="154"/>
      <c r="BR2155" s="18"/>
      <c r="BS2155" s="16"/>
      <c r="BT2155" s="18"/>
      <c r="BU2155" s="18"/>
      <c r="BV2155" s="18"/>
      <c r="BW2155" s="20"/>
      <c r="BX2155" s="154"/>
      <c r="BY2155" s="18"/>
      <c r="BZ2155" s="146"/>
      <c r="CA2155" s="18"/>
      <c r="CB2155" s="18"/>
      <c r="CC2155" s="20"/>
      <c r="CD2155" s="154"/>
    </row>
    <row r="2156" spans="35:82">
      <c r="AI2156" s="19"/>
      <c r="AO2156" s="19"/>
      <c r="AY2156" s="145"/>
      <c r="AZ2156" s="16"/>
      <c r="BC2156" s="16"/>
      <c r="BD2156" s="20"/>
      <c r="BE2156" s="17"/>
      <c r="BF2156" s="20"/>
      <c r="BG2156" s="146"/>
      <c r="BH2156" s="146"/>
      <c r="BI2156" s="146"/>
      <c r="BJ2156" s="20"/>
      <c r="BK2156" s="20"/>
      <c r="BL2156" s="154"/>
      <c r="BP2156" s="20"/>
      <c r="BQ2156" s="154"/>
      <c r="BR2156" s="18"/>
      <c r="BS2156" s="16"/>
      <c r="BT2156" s="18"/>
      <c r="BU2156" s="18"/>
      <c r="BV2156" s="18"/>
      <c r="BW2156" s="20"/>
      <c r="BX2156" s="154"/>
      <c r="BY2156" s="18"/>
      <c r="BZ2156" s="146"/>
      <c r="CA2156" s="18"/>
      <c r="CB2156" s="18"/>
      <c r="CC2156" s="20"/>
      <c r="CD2156" s="154"/>
    </row>
    <row r="2157" spans="35:82">
      <c r="AI2157" s="19"/>
      <c r="AO2157" s="19"/>
      <c r="AY2157" s="145"/>
      <c r="AZ2157" s="16"/>
      <c r="BC2157" s="16"/>
      <c r="BD2157" s="20"/>
      <c r="BE2157" s="17"/>
      <c r="BF2157" s="20"/>
      <c r="BG2157" s="146"/>
      <c r="BH2157" s="146"/>
      <c r="BI2157" s="146"/>
      <c r="BJ2157" s="20"/>
      <c r="BK2157" s="20"/>
      <c r="BL2157" s="154"/>
      <c r="BP2157" s="20"/>
      <c r="BQ2157" s="154"/>
      <c r="BR2157" s="18"/>
      <c r="BS2157" s="16"/>
      <c r="BT2157" s="18"/>
      <c r="BU2157" s="18"/>
      <c r="BV2157" s="18"/>
      <c r="BW2157" s="20"/>
      <c r="BX2157" s="154"/>
      <c r="BY2157" s="18"/>
      <c r="BZ2157" s="146"/>
      <c r="CA2157" s="18"/>
      <c r="CB2157" s="18"/>
      <c r="CC2157" s="20"/>
      <c r="CD2157" s="154"/>
    </row>
    <row r="2158" spans="35:82">
      <c r="AI2158" s="19"/>
      <c r="AO2158" s="19"/>
      <c r="AY2158" s="145"/>
      <c r="AZ2158" s="16"/>
      <c r="BC2158" s="16"/>
      <c r="BD2158" s="20"/>
      <c r="BE2158" s="17"/>
      <c r="BF2158" s="20"/>
      <c r="BG2158" s="146"/>
      <c r="BH2158" s="146"/>
      <c r="BI2158" s="146"/>
      <c r="BJ2158" s="20"/>
      <c r="BK2158" s="20"/>
      <c r="BL2158" s="154"/>
      <c r="BP2158" s="20"/>
      <c r="BQ2158" s="154"/>
      <c r="BR2158" s="18"/>
      <c r="BS2158" s="16"/>
      <c r="BT2158" s="18"/>
      <c r="BU2158" s="18"/>
      <c r="BV2158" s="18"/>
      <c r="BW2158" s="20"/>
      <c r="BX2158" s="154"/>
      <c r="BY2158" s="18"/>
      <c r="BZ2158" s="146"/>
      <c r="CA2158" s="18"/>
      <c r="CB2158" s="18"/>
      <c r="CC2158" s="20"/>
      <c r="CD2158" s="154"/>
    </row>
    <row r="2159" spans="35:82">
      <c r="AI2159" s="19"/>
      <c r="AO2159" s="19"/>
      <c r="AY2159" s="145"/>
      <c r="AZ2159" s="16"/>
      <c r="BC2159" s="16"/>
      <c r="BD2159" s="20"/>
      <c r="BE2159" s="17"/>
      <c r="BF2159" s="20"/>
      <c r="BG2159" s="146"/>
      <c r="BH2159" s="146"/>
      <c r="BI2159" s="146"/>
      <c r="BJ2159" s="20"/>
      <c r="BK2159" s="20"/>
      <c r="BL2159" s="154"/>
      <c r="BP2159" s="20"/>
      <c r="BQ2159" s="154"/>
      <c r="BR2159" s="18"/>
      <c r="BS2159" s="16"/>
      <c r="BT2159" s="18"/>
      <c r="BU2159" s="18"/>
      <c r="BV2159" s="18"/>
      <c r="BW2159" s="20"/>
      <c r="BX2159" s="154"/>
      <c r="BY2159" s="18"/>
      <c r="BZ2159" s="146"/>
      <c r="CA2159" s="18"/>
      <c r="CB2159" s="18"/>
      <c r="CC2159" s="20"/>
      <c r="CD2159" s="154"/>
    </row>
    <row r="2160" spans="35:82">
      <c r="AI2160" s="19"/>
      <c r="AO2160" s="19"/>
      <c r="AY2160" s="145"/>
      <c r="AZ2160" s="16"/>
      <c r="BC2160" s="16"/>
      <c r="BD2160" s="20"/>
      <c r="BE2160" s="17"/>
      <c r="BF2160" s="20"/>
      <c r="BG2160" s="146"/>
      <c r="BH2160" s="146"/>
      <c r="BI2160" s="146"/>
      <c r="BJ2160" s="20"/>
      <c r="BK2160" s="20"/>
      <c r="BL2160" s="154"/>
      <c r="BP2160" s="20"/>
      <c r="BQ2160" s="154"/>
      <c r="BR2160" s="18"/>
      <c r="BS2160" s="16"/>
      <c r="BT2160" s="18"/>
      <c r="BU2160" s="18"/>
      <c r="BV2160" s="18"/>
      <c r="BW2160" s="20"/>
      <c r="BX2160" s="154"/>
      <c r="BY2160" s="18"/>
      <c r="BZ2160" s="146"/>
      <c r="CA2160" s="18"/>
      <c r="CB2160" s="18"/>
      <c r="CC2160" s="20"/>
      <c r="CD2160" s="154"/>
    </row>
    <row r="2161" spans="35:82">
      <c r="AI2161" s="19"/>
      <c r="AO2161" s="19"/>
      <c r="AY2161" s="145"/>
      <c r="AZ2161" s="16"/>
      <c r="BC2161" s="16"/>
      <c r="BD2161" s="20"/>
      <c r="BE2161" s="17"/>
      <c r="BF2161" s="20"/>
      <c r="BG2161" s="146"/>
      <c r="BH2161" s="146"/>
      <c r="BI2161" s="146"/>
      <c r="BJ2161" s="20"/>
      <c r="BK2161" s="20"/>
      <c r="BL2161" s="154"/>
      <c r="BP2161" s="20"/>
      <c r="BQ2161" s="154"/>
      <c r="BR2161" s="18"/>
      <c r="BS2161" s="16"/>
      <c r="BT2161" s="18"/>
      <c r="BU2161" s="18"/>
      <c r="BV2161" s="18"/>
      <c r="BW2161" s="20"/>
      <c r="BX2161" s="154"/>
      <c r="BY2161" s="18"/>
      <c r="BZ2161" s="146"/>
      <c r="CA2161" s="18"/>
      <c r="CB2161" s="18"/>
      <c r="CC2161" s="20"/>
      <c r="CD2161" s="154"/>
    </row>
    <row r="2162" spans="35:82">
      <c r="AI2162" s="19"/>
      <c r="AO2162" s="19"/>
      <c r="AY2162" s="145"/>
      <c r="AZ2162" s="16"/>
      <c r="BC2162" s="16"/>
      <c r="BD2162" s="20"/>
      <c r="BE2162" s="17"/>
      <c r="BF2162" s="20"/>
      <c r="BG2162" s="146"/>
      <c r="BH2162" s="146"/>
      <c r="BI2162" s="146"/>
      <c r="BJ2162" s="20"/>
      <c r="BK2162" s="20"/>
      <c r="BL2162" s="154"/>
      <c r="BP2162" s="20"/>
      <c r="BQ2162" s="154"/>
      <c r="BR2162" s="18"/>
      <c r="BS2162" s="16"/>
      <c r="BT2162" s="18"/>
      <c r="BU2162" s="18"/>
      <c r="BV2162" s="18"/>
      <c r="BW2162" s="20"/>
      <c r="BX2162" s="154"/>
      <c r="BY2162" s="18"/>
      <c r="BZ2162" s="146"/>
      <c r="CA2162" s="18"/>
      <c r="CB2162" s="18"/>
      <c r="CC2162" s="20"/>
      <c r="CD2162" s="154"/>
    </row>
    <row r="2163" spans="35:82">
      <c r="AI2163" s="19"/>
      <c r="AO2163" s="19"/>
      <c r="AY2163" s="145"/>
      <c r="AZ2163" s="16"/>
      <c r="BC2163" s="16"/>
      <c r="BD2163" s="20"/>
      <c r="BE2163" s="17"/>
      <c r="BF2163" s="20"/>
      <c r="BG2163" s="146"/>
      <c r="BH2163" s="146"/>
      <c r="BI2163" s="146"/>
      <c r="BJ2163" s="20"/>
      <c r="BK2163" s="20"/>
      <c r="BL2163" s="154"/>
      <c r="BP2163" s="20"/>
      <c r="BQ2163" s="154"/>
      <c r="BR2163" s="18"/>
      <c r="BS2163" s="16"/>
      <c r="BT2163" s="18"/>
      <c r="BU2163" s="18"/>
      <c r="BV2163" s="18"/>
      <c r="BW2163" s="20"/>
      <c r="BX2163" s="154"/>
      <c r="BY2163" s="18"/>
      <c r="BZ2163" s="146"/>
      <c r="CA2163" s="18"/>
      <c r="CB2163" s="18"/>
      <c r="CC2163" s="20"/>
      <c r="CD2163" s="154"/>
    </row>
    <row r="2164" spans="35:82">
      <c r="AI2164" s="19"/>
      <c r="AO2164" s="19"/>
      <c r="AY2164" s="145"/>
      <c r="AZ2164" s="16"/>
      <c r="BC2164" s="16"/>
      <c r="BD2164" s="20"/>
      <c r="BE2164" s="17"/>
      <c r="BF2164" s="20"/>
      <c r="BG2164" s="146"/>
      <c r="BH2164" s="146"/>
      <c r="BI2164" s="146"/>
      <c r="BJ2164" s="20"/>
      <c r="BK2164" s="20"/>
      <c r="BL2164" s="154"/>
      <c r="BP2164" s="20"/>
      <c r="BQ2164" s="154"/>
      <c r="BR2164" s="18"/>
      <c r="BS2164" s="16"/>
      <c r="BT2164" s="18"/>
      <c r="BU2164" s="18"/>
      <c r="BV2164" s="18"/>
      <c r="BW2164" s="20"/>
      <c r="BX2164" s="154"/>
      <c r="BY2164" s="18"/>
      <c r="BZ2164" s="146"/>
      <c r="CA2164" s="18"/>
      <c r="CB2164" s="18"/>
      <c r="CC2164" s="20"/>
      <c r="CD2164" s="154"/>
    </row>
    <row r="2165" spans="35:82">
      <c r="AI2165" s="19"/>
      <c r="AO2165" s="19"/>
      <c r="AY2165" s="145"/>
      <c r="AZ2165" s="16"/>
      <c r="BC2165" s="16"/>
      <c r="BD2165" s="20"/>
      <c r="BE2165" s="17"/>
      <c r="BF2165" s="20"/>
      <c r="BG2165" s="146"/>
      <c r="BH2165" s="146"/>
      <c r="BI2165" s="146"/>
      <c r="BJ2165" s="20"/>
      <c r="BK2165" s="20"/>
      <c r="BL2165" s="154"/>
      <c r="BP2165" s="20"/>
      <c r="BQ2165" s="154"/>
      <c r="BR2165" s="18"/>
      <c r="BS2165" s="16"/>
      <c r="BT2165" s="18"/>
      <c r="BU2165" s="18"/>
      <c r="BV2165" s="18"/>
      <c r="BW2165" s="20"/>
      <c r="BX2165" s="154"/>
      <c r="BY2165" s="18"/>
      <c r="BZ2165" s="146"/>
      <c r="CA2165" s="18"/>
      <c r="CB2165" s="18"/>
      <c r="CC2165" s="20"/>
      <c r="CD2165" s="154"/>
    </row>
    <row r="2166" spans="35:82">
      <c r="AI2166" s="19"/>
      <c r="AO2166" s="19"/>
      <c r="AY2166" s="145"/>
      <c r="AZ2166" s="16"/>
      <c r="BC2166" s="16"/>
      <c r="BD2166" s="20"/>
      <c r="BE2166" s="17"/>
      <c r="BF2166" s="20"/>
      <c r="BG2166" s="146"/>
      <c r="BH2166" s="146"/>
      <c r="BI2166" s="146"/>
      <c r="BJ2166" s="20"/>
      <c r="BK2166" s="20"/>
      <c r="BL2166" s="154"/>
      <c r="BP2166" s="20"/>
      <c r="BQ2166" s="154"/>
      <c r="BR2166" s="18"/>
      <c r="BS2166" s="16"/>
      <c r="BT2166" s="18"/>
      <c r="BU2166" s="18"/>
      <c r="BV2166" s="18"/>
      <c r="BW2166" s="20"/>
      <c r="BX2166" s="154"/>
      <c r="BY2166" s="18"/>
      <c r="BZ2166" s="146"/>
      <c r="CA2166" s="18"/>
      <c r="CB2166" s="18"/>
      <c r="CC2166" s="20"/>
      <c r="CD2166" s="154"/>
    </row>
    <row r="2167" spans="35:82">
      <c r="AI2167" s="19"/>
      <c r="AO2167" s="19"/>
      <c r="AY2167" s="145"/>
      <c r="AZ2167" s="16"/>
      <c r="BC2167" s="16"/>
      <c r="BD2167" s="20"/>
      <c r="BE2167" s="17"/>
      <c r="BF2167" s="20"/>
      <c r="BG2167" s="146"/>
      <c r="BH2167" s="146"/>
      <c r="BI2167" s="146"/>
      <c r="BJ2167" s="20"/>
      <c r="BK2167" s="20"/>
      <c r="BL2167" s="154"/>
      <c r="BP2167" s="20"/>
      <c r="BQ2167" s="154"/>
      <c r="BR2167" s="18"/>
      <c r="BS2167" s="16"/>
      <c r="BT2167" s="18"/>
      <c r="BU2167" s="18"/>
      <c r="BV2167" s="18"/>
      <c r="BW2167" s="20"/>
      <c r="BX2167" s="154"/>
      <c r="BY2167" s="18"/>
      <c r="BZ2167" s="146"/>
      <c r="CA2167" s="18"/>
      <c r="CB2167" s="18"/>
      <c r="CC2167" s="20"/>
      <c r="CD2167" s="154"/>
    </row>
    <row r="2168" spans="35:82">
      <c r="AI2168" s="19"/>
      <c r="AO2168" s="19"/>
      <c r="AY2168" s="145"/>
      <c r="AZ2168" s="16"/>
      <c r="BC2168" s="16"/>
      <c r="BD2168" s="20"/>
      <c r="BE2168" s="17"/>
      <c r="BF2168" s="20"/>
      <c r="BG2168" s="146"/>
      <c r="BH2168" s="146"/>
      <c r="BI2168" s="146"/>
      <c r="BJ2168" s="20"/>
      <c r="BK2168" s="20"/>
      <c r="BL2168" s="154"/>
      <c r="BP2168" s="20"/>
      <c r="BQ2168" s="154"/>
      <c r="BR2168" s="18"/>
      <c r="BS2168" s="16"/>
      <c r="BT2168" s="18"/>
      <c r="BU2168" s="18"/>
      <c r="BV2168" s="18"/>
      <c r="BW2168" s="20"/>
      <c r="BX2168" s="154"/>
      <c r="BY2168" s="18"/>
      <c r="BZ2168" s="146"/>
      <c r="CA2168" s="18"/>
      <c r="CB2168" s="18"/>
      <c r="CC2168" s="20"/>
      <c r="CD2168" s="154"/>
    </row>
    <row r="2169" spans="35:82">
      <c r="AI2169" s="19"/>
      <c r="AO2169" s="19"/>
      <c r="AY2169" s="145"/>
      <c r="AZ2169" s="16"/>
      <c r="BC2169" s="16"/>
      <c r="BD2169" s="20"/>
      <c r="BE2169" s="17"/>
      <c r="BF2169" s="20"/>
      <c r="BG2169" s="146"/>
      <c r="BH2169" s="146"/>
      <c r="BI2169" s="146"/>
      <c r="BJ2169" s="20"/>
      <c r="BK2169" s="20"/>
      <c r="BL2169" s="154"/>
      <c r="BP2169" s="20"/>
      <c r="BQ2169" s="154"/>
      <c r="BR2169" s="18"/>
      <c r="BS2169" s="16"/>
      <c r="BT2169" s="18"/>
      <c r="BU2169" s="18"/>
      <c r="BV2169" s="18"/>
      <c r="BW2169" s="20"/>
      <c r="BX2169" s="154"/>
      <c r="BY2169" s="18"/>
      <c r="BZ2169" s="146"/>
      <c r="CA2169" s="18"/>
      <c r="CB2169" s="18"/>
      <c r="CC2169" s="20"/>
      <c r="CD2169" s="154"/>
    </row>
    <row r="2170" spans="35:82">
      <c r="AI2170" s="19"/>
      <c r="AO2170" s="19"/>
      <c r="AY2170" s="145"/>
      <c r="AZ2170" s="16"/>
      <c r="BC2170" s="16"/>
      <c r="BD2170" s="20"/>
      <c r="BE2170" s="17"/>
      <c r="BF2170" s="20"/>
      <c r="BG2170" s="146"/>
      <c r="BH2170" s="146"/>
      <c r="BI2170" s="146"/>
      <c r="BJ2170" s="20"/>
      <c r="BK2170" s="20"/>
      <c r="BL2170" s="154"/>
      <c r="BP2170" s="20"/>
      <c r="BQ2170" s="154"/>
      <c r="BR2170" s="18"/>
      <c r="BS2170" s="16"/>
      <c r="BT2170" s="18"/>
      <c r="BU2170" s="18"/>
      <c r="BV2170" s="18"/>
      <c r="BW2170" s="20"/>
      <c r="BX2170" s="154"/>
      <c r="BY2170" s="18"/>
      <c r="BZ2170" s="146"/>
      <c r="CA2170" s="18"/>
      <c r="CB2170" s="18"/>
      <c r="CC2170" s="20"/>
      <c r="CD2170" s="154"/>
    </row>
    <row r="2171" spans="35:82">
      <c r="AI2171" s="19"/>
      <c r="AO2171" s="19"/>
      <c r="AY2171" s="145"/>
      <c r="AZ2171" s="16"/>
      <c r="BC2171" s="16"/>
      <c r="BD2171" s="20"/>
      <c r="BE2171" s="17"/>
      <c r="BF2171" s="20"/>
      <c r="BG2171" s="146"/>
      <c r="BH2171" s="146"/>
      <c r="BI2171" s="146"/>
      <c r="BJ2171" s="20"/>
      <c r="BK2171" s="20"/>
      <c r="BL2171" s="154"/>
      <c r="BP2171" s="20"/>
      <c r="BQ2171" s="154"/>
      <c r="BR2171" s="18"/>
      <c r="BS2171" s="16"/>
      <c r="BT2171" s="18"/>
      <c r="BU2171" s="18"/>
      <c r="BV2171" s="18"/>
      <c r="BW2171" s="20"/>
      <c r="BX2171" s="154"/>
      <c r="BY2171" s="18"/>
      <c r="BZ2171" s="146"/>
      <c r="CA2171" s="18"/>
      <c r="CB2171" s="18"/>
      <c r="CC2171" s="20"/>
      <c r="CD2171" s="154"/>
    </row>
    <row r="2172" spans="35:82">
      <c r="AI2172" s="19"/>
      <c r="AO2172" s="19"/>
      <c r="AY2172" s="145"/>
      <c r="AZ2172" s="16"/>
      <c r="BC2172" s="16"/>
      <c r="BD2172" s="20"/>
      <c r="BE2172" s="17"/>
      <c r="BF2172" s="20"/>
      <c r="BG2172" s="146"/>
      <c r="BH2172" s="146"/>
      <c r="BI2172" s="146"/>
      <c r="BJ2172" s="20"/>
      <c r="BK2172" s="20"/>
      <c r="BL2172" s="154"/>
      <c r="BP2172" s="20"/>
      <c r="BQ2172" s="154"/>
      <c r="BR2172" s="18"/>
      <c r="BS2172" s="16"/>
      <c r="BT2172" s="18"/>
      <c r="BU2172" s="18"/>
      <c r="BV2172" s="18"/>
      <c r="BW2172" s="20"/>
      <c r="BX2172" s="154"/>
      <c r="BY2172" s="18"/>
      <c r="BZ2172" s="146"/>
      <c r="CA2172" s="18"/>
      <c r="CB2172" s="18"/>
      <c r="CC2172" s="20"/>
      <c r="CD2172" s="154"/>
    </row>
    <row r="2173" spans="35:82">
      <c r="AI2173" s="19"/>
      <c r="AO2173" s="19"/>
      <c r="AY2173" s="145"/>
      <c r="AZ2173" s="16"/>
      <c r="BC2173" s="16"/>
      <c r="BD2173" s="20"/>
      <c r="BE2173" s="17"/>
      <c r="BF2173" s="20"/>
      <c r="BG2173" s="146"/>
      <c r="BH2173" s="146"/>
      <c r="BI2173" s="146"/>
      <c r="BJ2173" s="20"/>
      <c r="BK2173" s="20"/>
      <c r="BL2173" s="154"/>
      <c r="BP2173" s="20"/>
      <c r="BQ2173" s="154"/>
      <c r="BR2173" s="18"/>
      <c r="BS2173" s="16"/>
      <c r="BT2173" s="18"/>
      <c r="BU2173" s="18"/>
      <c r="BV2173" s="18"/>
      <c r="BW2173" s="20"/>
      <c r="BX2173" s="154"/>
      <c r="BY2173" s="18"/>
      <c r="BZ2173" s="146"/>
      <c r="CA2173" s="18"/>
      <c r="CB2173" s="18"/>
      <c r="CC2173" s="20"/>
      <c r="CD2173" s="154"/>
    </row>
    <row r="2174" spans="35:82">
      <c r="AI2174" s="19"/>
      <c r="AO2174" s="19"/>
      <c r="AY2174" s="145"/>
      <c r="AZ2174" s="16"/>
      <c r="BC2174" s="16"/>
      <c r="BD2174" s="20"/>
      <c r="BE2174" s="17"/>
      <c r="BF2174" s="20"/>
      <c r="BG2174" s="146"/>
      <c r="BH2174" s="146"/>
      <c r="BI2174" s="146"/>
      <c r="BJ2174" s="20"/>
      <c r="BK2174" s="20"/>
      <c r="BL2174" s="154"/>
      <c r="BP2174" s="20"/>
      <c r="BQ2174" s="154"/>
      <c r="BR2174" s="18"/>
      <c r="BS2174" s="16"/>
      <c r="BT2174" s="18"/>
      <c r="BU2174" s="18"/>
      <c r="BV2174" s="18"/>
      <c r="BW2174" s="20"/>
      <c r="BX2174" s="154"/>
      <c r="BY2174" s="18"/>
      <c r="BZ2174" s="146"/>
      <c r="CA2174" s="18"/>
      <c r="CB2174" s="18"/>
      <c r="CC2174" s="20"/>
      <c r="CD2174" s="154"/>
    </row>
    <row r="2175" spans="35:82">
      <c r="AI2175" s="19"/>
      <c r="AO2175" s="19"/>
      <c r="AY2175" s="145"/>
      <c r="AZ2175" s="16"/>
      <c r="BC2175" s="16"/>
      <c r="BD2175" s="20"/>
      <c r="BE2175" s="17"/>
      <c r="BF2175" s="20"/>
      <c r="BG2175" s="146"/>
      <c r="BH2175" s="146"/>
      <c r="BI2175" s="146"/>
      <c r="BJ2175" s="20"/>
      <c r="BK2175" s="20"/>
      <c r="BL2175" s="154"/>
      <c r="BP2175" s="20"/>
      <c r="BQ2175" s="154"/>
      <c r="BR2175" s="18"/>
      <c r="BS2175" s="16"/>
      <c r="BT2175" s="18"/>
      <c r="BU2175" s="18"/>
      <c r="BV2175" s="18"/>
      <c r="BW2175" s="20"/>
      <c r="BX2175" s="154"/>
      <c r="BY2175" s="18"/>
      <c r="BZ2175" s="146"/>
      <c r="CA2175" s="18"/>
      <c r="CB2175" s="18"/>
      <c r="CC2175" s="20"/>
      <c r="CD2175" s="154"/>
    </row>
    <row r="2176" spans="35:82">
      <c r="AI2176" s="19"/>
      <c r="AO2176" s="19"/>
      <c r="AY2176" s="145"/>
      <c r="AZ2176" s="16"/>
      <c r="BC2176" s="16"/>
      <c r="BD2176" s="20"/>
      <c r="BE2176" s="17"/>
      <c r="BF2176" s="20"/>
      <c r="BG2176" s="146"/>
      <c r="BH2176" s="146"/>
      <c r="BI2176" s="146"/>
      <c r="BJ2176" s="20"/>
      <c r="BK2176" s="20"/>
      <c r="BL2176" s="154"/>
      <c r="BP2176" s="20"/>
      <c r="BQ2176" s="154"/>
      <c r="BR2176" s="18"/>
      <c r="BS2176" s="16"/>
      <c r="BT2176" s="18"/>
      <c r="BU2176" s="18"/>
      <c r="BV2176" s="18"/>
      <c r="BW2176" s="20"/>
      <c r="BX2176" s="154"/>
      <c r="BY2176" s="18"/>
      <c r="BZ2176" s="146"/>
      <c r="CA2176" s="18"/>
      <c r="CB2176" s="18"/>
      <c r="CC2176" s="20"/>
      <c r="CD2176" s="154"/>
    </row>
    <row r="2177" spans="35:82">
      <c r="AI2177" s="19"/>
      <c r="AO2177" s="19"/>
      <c r="AY2177" s="145"/>
      <c r="AZ2177" s="16"/>
      <c r="BC2177" s="16"/>
      <c r="BD2177" s="20"/>
      <c r="BE2177" s="17"/>
      <c r="BF2177" s="20"/>
      <c r="BG2177" s="146"/>
      <c r="BH2177" s="146"/>
      <c r="BI2177" s="146"/>
      <c r="BJ2177" s="20"/>
      <c r="BK2177" s="20"/>
      <c r="BL2177" s="154"/>
      <c r="BP2177" s="20"/>
      <c r="BQ2177" s="154"/>
      <c r="BR2177" s="18"/>
      <c r="BS2177" s="16"/>
      <c r="BT2177" s="18"/>
      <c r="BU2177" s="18"/>
      <c r="BV2177" s="18"/>
      <c r="BW2177" s="20"/>
      <c r="BX2177" s="154"/>
      <c r="BY2177" s="18"/>
      <c r="BZ2177" s="146"/>
      <c r="CA2177" s="18"/>
      <c r="CB2177" s="18"/>
      <c r="CC2177" s="20"/>
      <c r="CD2177" s="154"/>
    </row>
    <row r="2178" spans="35:82">
      <c r="AI2178" s="19"/>
      <c r="AO2178" s="19"/>
      <c r="AY2178" s="145"/>
      <c r="AZ2178" s="16"/>
      <c r="BC2178" s="16"/>
      <c r="BD2178" s="20"/>
      <c r="BE2178" s="17"/>
      <c r="BF2178" s="20"/>
      <c r="BG2178" s="146"/>
      <c r="BH2178" s="146"/>
      <c r="BI2178" s="146"/>
      <c r="BJ2178" s="20"/>
      <c r="BK2178" s="20"/>
      <c r="BL2178" s="154"/>
      <c r="BP2178" s="20"/>
      <c r="BQ2178" s="154"/>
      <c r="BR2178" s="18"/>
      <c r="BS2178" s="16"/>
      <c r="BT2178" s="18"/>
      <c r="BU2178" s="18"/>
      <c r="BV2178" s="18"/>
      <c r="BW2178" s="20"/>
      <c r="BX2178" s="154"/>
      <c r="BY2178" s="18"/>
      <c r="BZ2178" s="146"/>
      <c r="CA2178" s="18"/>
      <c r="CB2178" s="18"/>
      <c r="CC2178" s="20"/>
      <c r="CD2178" s="154"/>
    </row>
    <row r="2179" spans="35:82">
      <c r="AI2179" s="19"/>
      <c r="AO2179" s="19"/>
      <c r="AY2179" s="145"/>
      <c r="AZ2179" s="16"/>
      <c r="BC2179" s="16"/>
      <c r="BD2179" s="20"/>
      <c r="BE2179" s="17"/>
      <c r="BF2179" s="20"/>
      <c r="BG2179" s="146"/>
      <c r="BH2179" s="146"/>
      <c r="BI2179" s="146"/>
      <c r="BJ2179" s="20"/>
      <c r="BK2179" s="20"/>
      <c r="BL2179" s="154"/>
      <c r="BP2179" s="20"/>
      <c r="BQ2179" s="154"/>
      <c r="BR2179" s="18"/>
      <c r="BS2179" s="16"/>
      <c r="BT2179" s="18"/>
      <c r="BU2179" s="18"/>
      <c r="BV2179" s="18"/>
      <c r="BW2179" s="20"/>
      <c r="BX2179" s="154"/>
      <c r="BY2179" s="18"/>
      <c r="BZ2179" s="146"/>
      <c r="CA2179" s="18"/>
      <c r="CB2179" s="18"/>
      <c r="CC2179" s="20"/>
      <c r="CD2179" s="154"/>
    </row>
    <row r="2180" spans="35:82">
      <c r="AI2180" s="19"/>
      <c r="AO2180" s="19"/>
      <c r="AY2180" s="145"/>
      <c r="AZ2180" s="16"/>
      <c r="BC2180" s="16"/>
      <c r="BD2180" s="20"/>
      <c r="BE2180" s="17"/>
      <c r="BF2180" s="20"/>
      <c r="BG2180" s="146"/>
      <c r="BH2180" s="146"/>
      <c r="BI2180" s="146"/>
      <c r="BJ2180" s="20"/>
      <c r="BK2180" s="20"/>
      <c r="BL2180" s="154"/>
      <c r="BP2180" s="20"/>
      <c r="BQ2180" s="154"/>
      <c r="BR2180" s="18"/>
      <c r="BS2180" s="16"/>
      <c r="BT2180" s="18"/>
      <c r="BU2180" s="18"/>
      <c r="BV2180" s="18"/>
      <c r="BW2180" s="20"/>
      <c r="BX2180" s="154"/>
      <c r="BY2180" s="18"/>
      <c r="BZ2180" s="146"/>
      <c r="CA2180" s="18"/>
      <c r="CB2180" s="18"/>
      <c r="CC2180" s="20"/>
      <c r="CD2180" s="154"/>
    </row>
    <row r="2181" spans="35:82">
      <c r="AI2181" s="19"/>
      <c r="AO2181" s="19"/>
      <c r="AY2181" s="145"/>
      <c r="AZ2181" s="16"/>
      <c r="BC2181" s="16"/>
      <c r="BD2181" s="20"/>
      <c r="BE2181" s="17"/>
      <c r="BF2181" s="20"/>
      <c r="BG2181" s="146"/>
      <c r="BH2181" s="146"/>
      <c r="BI2181" s="146"/>
      <c r="BJ2181" s="20"/>
      <c r="BK2181" s="20"/>
      <c r="BL2181" s="154"/>
      <c r="BP2181" s="20"/>
      <c r="BQ2181" s="154"/>
      <c r="BR2181" s="18"/>
      <c r="BS2181" s="16"/>
      <c r="BT2181" s="18"/>
      <c r="BU2181" s="18"/>
      <c r="BV2181" s="18"/>
      <c r="BW2181" s="20"/>
      <c r="BX2181" s="154"/>
      <c r="BY2181" s="18"/>
      <c r="BZ2181" s="146"/>
      <c r="CA2181" s="18"/>
      <c r="CB2181" s="18"/>
      <c r="CC2181" s="20"/>
      <c r="CD2181" s="154"/>
    </row>
    <row r="2182" spans="35:82">
      <c r="AI2182" s="19"/>
      <c r="AO2182" s="19"/>
      <c r="AY2182" s="145"/>
      <c r="AZ2182" s="16"/>
      <c r="BC2182" s="16"/>
      <c r="BD2182" s="20"/>
      <c r="BE2182" s="17"/>
      <c r="BF2182" s="20"/>
      <c r="BG2182" s="146"/>
      <c r="BH2182" s="146"/>
      <c r="BI2182" s="146"/>
      <c r="BJ2182" s="20"/>
      <c r="BK2182" s="20"/>
      <c r="BL2182" s="154"/>
      <c r="BP2182" s="20"/>
      <c r="BQ2182" s="154"/>
      <c r="BR2182" s="18"/>
      <c r="BS2182" s="16"/>
      <c r="BT2182" s="18"/>
      <c r="BU2182" s="18"/>
      <c r="BV2182" s="18"/>
      <c r="BW2182" s="20"/>
      <c r="BX2182" s="154"/>
      <c r="BY2182" s="18"/>
      <c r="BZ2182" s="146"/>
      <c r="CA2182" s="18"/>
      <c r="CB2182" s="18"/>
      <c r="CC2182" s="20"/>
      <c r="CD2182" s="154"/>
    </row>
    <row r="2183" spans="35:82">
      <c r="AI2183" s="19"/>
      <c r="AO2183" s="19"/>
      <c r="AY2183" s="145"/>
      <c r="AZ2183" s="16"/>
      <c r="BC2183" s="16"/>
      <c r="BD2183" s="20"/>
      <c r="BE2183" s="17"/>
      <c r="BF2183" s="20"/>
      <c r="BG2183" s="146"/>
      <c r="BH2183" s="146"/>
      <c r="BI2183" s="146"/>
      <c r="BJ2183" s="20"/>
      <c r="BK2183" s="20"/>
      <c r="BL2183" s="154"/>
      <c r="BP2183" s="20"/>
      <c r="BQ2183" s="154"/>
      <c r="BR2183" s="18"/>
      <c r="BS2183" s="16"/>
      <c r="BT2183" s="18"/>
      <c r="BU2183" s="18"/>
      <c r="BV2183" s="18"/>
      <c r="BW2183" s="20"/>
      <c r="BX2183" s="154"/>
      <c r="BY2183" s="18"/>
      <c r="BZ2183" s="146"/>
      <c r="CA2183" s="18"/>
      <c r="CB2183" s="18"/>
      <c r="CC2183" s="20"/>
      <c r="CD2183" s="154"/>
    </row>
    <row r="2184" spans="35:82">
      <c r="AI2184" s="19"/>
      <c r="AO2184" s="19"/>
      <c r="AY2184" s="145"/>
      <c r="AZ2184" s="16"/>
      <c r="BC2184" s="16"/>
      <c r="BD2184" s="20"/>
      <c r="BE2184" s="17"/>
      <c r="BF2184" s="20"/>
      <c r="BG2184" s="146"/>
      <c r="BH2184" s="146"/>
      <c r="BI2184" s="146"/>
      <c r="BJ2184" s="20"/>
      <c r="BK2184" s="20"/>
      <c r="BL2184" s="154"/>
      <c r="BP2184" s="20"/>
      <c r="BQ2184" s="154"/>
      <c r="BR2184" s="18"/>
      <c r="BS2184" s="16"/>
      <c r="BT2184" s="18"/>
      <c r="BU2184" s="18"/>
      <c r="BV2184" s="18"/>
      <c r="BW2184" s="20"/>
      <c r="BX2184" s="154"/>
      <c r="BY2184" s="18"/>
      <c r="BZ2184" s="146"/>
      <c r="CA2184" s="18"/>
      <c r="CB2184" s="18"/>
      <c r="CC2184" s="20"/>
      <c r="CD2184" s="154"/>
    </row>
    <row r="2185" spans="35:82">
      <c r="AI2185" s="19"/>
      <c r="AO2185" s="19"/>
      <c r="AY2185" s="145"/>
      <c r="AZ2185" s="16"/>
      <c r="BC2185" s="16"/>
      <c r="BD2185" s="20"/>
      <c r="BE2185" s="17"/>
      <c r="BF2185" s="20"/>
      <c r="BG2185" s="146"/>
      <c r="BH2185" s="146"/>
      <c r="BI2185" s="146"/>
      <c r="BJ2185" s="20"/>
      <c r="BK2185" s="20"/>
      <c r="BL2185" s="154"/>
      <c r="BP2185" s="20"/>
      <c r="BQ2185" s="154"/>
      <c r="BR2185" s="18"/>
      <c r="BS2185" s="16"/>
      <c r="BT2185" s="18"/>
      <c r="BU2185" s="18"/>
      <c r="BV2185" s="18"/>
      <c r="BW2185" s="20"/>
      <c r="BX2185" s="154"/>
      <c r="BY2185" s="18"/>
      <c r="BZ2185" s="146"/>
      <c r="CA2185" s="18"/>
      <c r="CB2185" s="18"/>
      <c r="CC2185" s="20"/>
      <c r="CD2185" s="154"/>
    </row>
    <row r="2186" spans="35:82">
      <c r="AI2186" s="19"/>
      <c r="AO2186" s="19"/>
      <c r="AY2186" s="145"/>
      <c r="AZ2186" s="16"/>
      <c r="BC2186" s="16"/>
      <c r="BD2186" s="20"/>
      <c r="BE2186" s="17"/>
      <c r="BF2186" s="20"/>
      <c r="BG2186" s="146"/>
      <c r="BH2186" s="146"/>
      <c r="BI2186" s="146"/>
      <c r="BJ2186" s="20"/>
      <c r="BK2186" s="20"/>
      <c r="BL2186" s="154"/>
      <c r="BP2186" s="20"/>
      <c r="BQ2186" s="154"/>
      <c r="BR2186" s="18"/>
      <c r="BS2186" s="16"/>
      <c r="BT2186" s="18"/>
      <c r="BU2186" s="18"/>
      <c r="BV2186" s="18"/>
      <c r="BW2186" s="20"/>
      <c r="BX2186" s="154"/>
      <c r="BY2186" s="18"/>
      <c r="BZ2186" s="146"/>
      <c r="CA2186" s="18"/>
      <c r="CB2186" s="18"/>
      <c r="CC2186" s="20"/>
      <c r="CD2186" s="154"/>
    </row>
    <row r="2187" spans="35:82">
      <c r="AI2187" s="19"/>
      <c r="AO2187" s="19"/>
      <c r="AY2187" s="145"/>
      <c r="AZ2187" s="16"/>
      <c r="BC2187" s="16"/>
      <c r="BD2187" s="20"/>
      <c r="BE2187" s="17"/>
      <c r="BF2187" s="20"/>
      <c r="BG2187" s="146"/>
      <c r="BH2187" s="146"/>
      <c r="BI2187" s="146"/>
      <c r="BJ2187" s="20"/>
      <c r="BK2187" s="20"/>
      <c r="BL2187" s="154"/>
      <c r="BP2187" s="20"/>
      <c r="BQ2187" s="154"/>
      <c r="BR2187" s="18"/>
      <c r="BS2187" s="16"/>
      <c r="BT2187" s="18"/>
      <c r="BU2187" s="18"/>
      <c r="BV2187" s="18"/>
      <c r="BW2187" s="20"/>
      <c r="BX2187" s="154"/>
      <c r="BY2187" s="18"/>
      <c r="BZ2187" s="146"/>
      <c r="CA2187" s="18"/>
      <c r="CB2187" s="18"/>
      <c r="CC2187" s="20"/>
      <c r="CD2187" s="154"/>
    </row>
    <row r="2188" spans="35:82">
      <c r="AI2188" s="19"/>
      <c r="AO2188" s="19"/>
      <c r="AY2188" s="145"/>
      <c r="AZ2188" s="16"/>
      <c r="BC2188" s="16"/>
      <c r="BD2188" s="20"/>
      <c r="BE2188" s="17"/>
      <c r="BF2188" s="20"/>
      <c r="BG2188" s="146"/>
      <c r="BH2188" s="146"/>
      <c r="BI2188" s="146"/>
      <c r="BJ2188" s="20"/>
      <c r="BK2188" s="20"/>
      <c r="BL2188" s="154"/>
      <c r="BP2188" s="20"/>
      <c r="BQ2188" s="154"/>
      <c r="BR2188" s="18"/>
      <c r="BS2188" s="16"/>
      <c r="BT2188" s="18"/>
      <c r="BU2188" s="18"/>
      <c r="BV2188" s="18"/>
      <c r="BW2188" s="20"/>
      <c r="BX2188" s="154"/>
      <c r="BY2188" s="18"/>
      <c r="BZ2188" s="146"/>
      <c r="CA2188" s="18"/>
      <c r="CB2188" s="18"/>
      <c r="CC2188" s="20"/>
      <c r="CD2188" s="154"/>
    </row>
    <row r="2189" spans="35:82">
      <c r="AI2189" s="19"/>
      <c r="AO2189" s="19"/>
      <c r="AY2189" s="145"/>
      <c r="AZ2189" s="16"/>
      <c r="BC2189" s="16"/>
      <c r="BD2189" s="20"/>
      <c r="BE2189" s="17"/>
      <c r="BF2189" s="20"/>
      <c r="BG2189" s="146"/>
      <c r="BH2189" s="146"/>
      <c r="BI2189" s="146"/>
      <c r="BJ2189" s="20"/>
      <c r="BK2189" s="20"/>
      <c r="BL2189" s="154"/>
      <c r="BP2189" s="20"/>
      <c r="BQ2189" s="154"/>
      <c r="BR2189" s="18"/>
      <c r="BS2189" s="16"/>
      <c r="BT2189" s="18"/>
      <c r="BU2189" s="18"/>
      <c r="BV2189" s="18"/>
      <c r="BW2189" s="20"/>
      <c r="BX2189" s="154"/>
      <c r="BY2189" s="18"/>
      <c r="BZ2189" s="146"/>
      <c r="CA2189" s="18"/>
      <c r="CB2189" s="18"/>
      <c r="CC2189" s="20"/>
      <c r="CD2189" s="154"/>
    </row>
    <row r="2190" spans="35:82">
      <c r="AI2190" s="19"/>
      <c r="AO2190" s="19"/>
      <c r="AY2190" s="145"/>
      <c r="AZ2190" s="16"/>
      <c r="BC2190" s="16"/>
      <c r="BD2190" s="20"/>
      <c r="BE2190" s="17"/>
      <c r="BF2190" s="20"/>
      <c r="BG2190" s="146"/>
      <c r="BH2190" s="146"/>
      <c r="BI2190" s="146"/>
      <c r="BJ2190" s="20"/>
      <c r="BK2190" s="20"/>
      <c r="BL2190" s="154"/>
      <c r="BP2190" s="20"/>
      <c r="BQ2190" s="154"/>
      <c r="BR2190" s="18"/>
      <c r="BS2190" s="16"/>
      <c r="BT2190" s="18"/>
      <c r="BU2190" s="18"/>
      <c r="BV2190" s="18"/>
      <c r="BW2190" s="20"/>
      <c r="BX2190" s="154"/>
      <c r="BY2190" s="18"/>
      <c r="BZ2190" s="146"/>
      <c r="CA2190" s="18"/>
      <c r="CB2190" s="18"/>
      <c r="CC2190" s="20"/>
      <c r="CD2190" s="154"/>
    </row>
    <row r="2191" spans="35:82">
      <c r="AI2191" s="19"/>
      <c r="AO2191" s="19"/>
      <c r="AY2191" s="145"/>
      <c r="AZ2191" s="16"/>
      <c r="BC2191" s="16"/>
      <c r="BD2191" s="20"/>
      <c r="BE2191" s="17"/>
      <c r="BF2191" s="20"/>
      <c r="BG2191" s="146"/>
      <c r="BH2191" s="146"/>
      <c r="BI2191" s="146"/>
      <c r="BJ2191" s="20"/>
      <c r="BK2191" s="20"/>
      <c r="BL2191" s="154"/>
      <c r="BP2191" s="20"/>
      <c r="BQ2191" s="154"/>
      <c r="BR2191" s="18"/>
      <c r="BS2191" s="16"/>
      <c r="BT2191" s="18"/>
      <c r="BU2191" s="18"/>
      <c r="BV2191" s="18"/>
      <c r="BW2191" s="20"/>
      <c r="BX2191" s="154"/>
      <c r="BY2191" s="18"/>
      <c r="BZ2191" s="146"/>
      <c r="CA2191" s="18"/>
      <c r="CB2191" s="18"/>
      <c r="CC2191" s="20"/>
      <c r="CD2191" s="154"/>
    </row>
    <row r="2192" spans="35:82">
      <c r="AI2192" s="19"/>
      <c r="AO2192" s="19"/>
      <c r="AY2192" s="145"/>
      <c r="AZ2192" s="16"/>
      <c r="BC2192" s="16"/>
      <c r="BD2192" s="20"/>
      <c r="BE2192" s="17"/>
      <c r="BF2192" s="20"/>
      <c r="BG2192" s="146"/>
      <c r="BH2192" s="146"/>
      <c r="BI2192" s="146"/>
      <c r="BJ2192" s="20"/>
      <c r="BK2192" s="20"/>
      <c r="BL2192" s="154"/>
      <c r="BP2192" s="20"/>
      <c r="BQ2192" s="154"/>
      <c r="BR2192" s="18"/>
      <c r="BS2192" s="16"/>
      <c r="BT2192" s="18"/>
      <c r="BU2192" s="18"/>
      <c r="BV2192" s="18"/>
      <c r="BW2192" s="20"/>
      <c r="BX2192" s="154"/>
      <c r="BY2192" s="18"/>
      <c r="BZ2192" s="146"/>
      <c r="CA2192" s="18"/>
      <c r="CB2192" s="18"/>
      <c r="CC2192" s="20"/>
      <c r="CD2192" s="154"/>
    </row>
    <row r="2193" spans="35:82">
      <c r="AI2193" s="19"/>
      <c r="AO2193" s="19"/>
      <c r="AY2193" s="145"/>
      <c r="AZ2193" s="16"/>
      <c r="BC2193" s="16"/>
      <c r="BD2193" s="20"/>
      <c r="BE2193" s="17"/>
      <c r="BF2193" s="20"/>
      <c r="BG2193" s="146"/>
      <c r="BH2193" s="146"/>
      <c r="BI2193" s="146"/>
      <c r="BJ2193" s="20"/>
      <c r="BK2193" s="20"/>
      <c r="BL2193" s="154"/>
      <c r="BP2193" s="20"/>
      <c r="BQ2193" s="154"/>
      <c r="BR2193" s="18"/>
      <c r="BS2193" s="16"/>
      <c r="BT2193" s="18"/>
      <c r="BU2193" s="18"/>
      <c r="BV2193" s="18"/>
      <c r="BW2193" s="20"/>
      <c r="BX2193" s="154"/>
      <c r="BY2193" s="18"/>
      <c r="BZ2193" s="146"/>
      <c r="CA2193" s="18"/>
      <c r="CB2193" s="18"/>
      <c r="CC2193" s="20"/>
      <c r="CD2193" s="154"/>
    </row>
    <row r="2194" spans="35:82">
      <c r="AI2194" s="19"/>
      <c r="AO2194" s="19"/>
      <c r="AY2194" s="145"/>
      <c r="AZ2194" s="16"/>
      <c r="BC2194" s="16"/>
      <c r="BD2194" s="20"/>
      <c r="BE2194" s="17"/>
      <c r="BF2194" s="20"/>
      <c r="BG2194" s="146"/>
      <c r="BH2194" s="146"/>
      <c r="BI2194" s="146"/>
      <c r="BJ2194" s="20"/>
      <c r="BK2194" s="20"/>
      <c r="BL2194" s="154"/>
      <c r="BP2194" s="20"/>
      <c r="BQ2194" s="154"/>
      <c r="BR2194" s="18"/>
      <c r="BS2194" s="16"/>
      <c r="BT2194" s="18"/>
      <c r="BU2194" s="18"/>
      <c r="BV2194" s="18"/>
      <c r="BW2194" s="20"/>
      <c r="BX2194" s="154"/>
      <c r="BY2194" s="18"/>
      <c r="BZ2194" s="146"/>
      <c r="CA2194" s="18"/>
      <c r="CB2194" s="18"/>
      <c r="CC2194" s="20"/>
      <c r="CD2194" s="154"/>
    </row>
    <row r="2195" spans="35:82">
      <c r="AI2195" s="19"/>
      <c r="AO2195" s="19"/>
      <c r="AY2195" s="145"/>
      <c r="AZ2195" s="16"/>
      <c r="BC2195" s="16"/>
      <c r="BD2195" s="20"/>
      <c r="BE2195" s="17"/>
      <c r="BF2195" s="20"/>
      <c r="BG2195" s="146"/>
      <c r="BH2195" s="146"/>
      <c r="BI2195" s="146"/>
      <c r="BJ2195" s="20"/>
      <c r="BK2195" s="20"/>
      <c r="BL2195" s="154"/>
      <c r="BP2195" s="20"/>
      <c r="BQ2195" s="154"/>
      <c r="BR2195" s="18"/>
      <c r="BS2195" s="16"/>
      <c r="BT2195" s="18"/>
      <c r="BU2195" s="18"/>
      <c r="BV2195" s="18"/>
      <c r="BW2195" s="20"/>
      <c r="BX2195" s="154"/>
      <c r="BY2195" s="18"/>
      <c r="BZ2195" s="146"/>
      <c r="CA2195" s="18"/>
      <c r="CB2195" s="18"/>
      <c r="CC2195" s="20"/>
      <c r="CD2195" s="154"/>
    </row>
    <row r="2196" spans="35:82">
      <c r="AI2196" s="19"/>
      <c r="AO2196" s="19"/>
      <c r="AY2196" s="145"/>
      <c r="AZ2196" s="16"/>
      <c r="BC2196" s="16"/>
      <c r="BD2196" s="20"/>
      <c r="BE2196" s="17"/>
      <c r="BF2196" s="20"/>
      <c r="BG2196" s="146"/>
      <c r="BH2196" s="146"/>
      <c r="BI2196" s="146"/>
      <c r="BJ2196" s="20"/>
      <c r="BK2196" s="20"/>
      <c r="BL2196" s="154"/>
      <c r="BP2196" s="20"/>
      <c r="BQ2196" s="154"/>
      <c r="BR2196" s="18"/>
      <c r="BS2196" s="16"/>
      <c r="BT2196" s="18"/>
      <c r="BU2196" s="18"/>
      <c r="BV2196" s="18"/>
      <c r="BW2196" s="20"/>
      <c r="BX2196" s="154"/>
      <c r="BY2196" s="18"/>
      <c r="BZ2196" s="146"/>
      <c r="CA2196" s="18"/>
      <c r="CB2196" s="18"/>
      <c r="CC2196" s="20"/>
      <c r="CD2196" s="154"/>
    </row>
    <row r="2197" spans="35:82">
      <c r="AI2197" s="19"/>
      <c r="AO2197" s="19"/>
      <c r="AY2197" s="145"/>
      <c r="AZ2197" s="16"/>
      <c r="BC2197" s="16"/>
      <c r="BD2197" s="20"/>
      <c r="BE2197" s="17"/>
      <c r="BF2197" s="20"/>
      <c r="BG2197" s="146"/>
      <c r="BH2197" s="146"/>
      <c r="BI2197" s="146"/>
      <c r="BJ2197" s="20"/>
      <c r="BK2197" s="20"/>
      <c r="BL2197" s="154"/>
      <c r="BP2197" s="20"/>
      <c r="BQ2197" s="154"/>
      <c r="BR2197" s="18"/>
      <c r="BS2197" s="16"/>
      <c r="BT2197" s="18"/>
      <c r="BU2197" s="18"/>
      <c r="BV2197" s="18"/>
      <c r="BW2197" s="20"/>
      <c r="BX2197" s="154"/>
      <c r="BY2197" s="18"/>
      <c r="BZ2197" s="146"/>
      <c r="CA2197" s="18"/>
      <c r="CB2197" s="18"/>
      <c r="CC2197" s="20"/>
      <c r="CD2197" s="154"/>
    </row>
    <row r="2198" spans="35:82">
      <c r="AI2198" s="19"/>
      <c r="AO2198" s="19"/>
      <c r="AY2198" s="145"/>
      <c r="AZ2198" s="16"/>
      <c r="BC2198" s="16"/>
      <c r="BD2198" s="20"/>
      <c r="BE2198" s="17"/>
      <c r="BF2198" s="20"/>
      <c r="BG2198" s="146"/>
      <c r="BH2198" s="146"/>
      <c r="BI2198" s="146"/>
      <c r="BJ2198" s="20"/>
      <c r="BK2198" s="20"/>
      <c r="BL2198" s="154"/>
      <c r="BP2198" s="20"/>
      <c r="BQ2198" s="154"/>
      <c r="BR2198" s="18"/>
      <c r="BS2198" s="16"/>
      <c r="BT2198" s="18"/>
      <c r="BU2198" s="18"/>
      <c r="BV2198" s="18"/>
      <c r="BW2198" s="20"/>
      <c r="BX2198" s="154"/>
      <c r="BY2198" s="18"/>
      <c r="BZ2198" s="146"/>
      <c r="CA2198" s="18"/>
      <c r="CB2198" s="18"/>
      <c r="CC2198" s="20"/>
      <c r="CD2198" s="154"/>
    </row>
    <row r="2199" spans="35:82">
      <c r="AI2199" s="19"/>
      <c r="AO2199" s="19"/>
      <c r="AY2199" s="145"/>
      <c r="AZ2199" s="16"/>
      <c r="BC2199" s="16"/>
      <c r="BD2199" s="20"/>
      <c r="BE2199" s="17"/>
      <c r="BF2199" s="20"/>
      <c r="BG2199" s="146"/>
      <c r="BH2199" s="146"/>
      <c r="BI2199" s="146"/>
      <c r="BJ2199" s="20"/>
      <c r="BK2199" s="20"/>
      <c r="BL2199" s="154"/>
      <c r="BP2199" s="20"/>
      <c r="BQ2199" s="154"/>
      <c r="BR2199" s="18"/>
      <c r="BS2199" s="16"/>
      <c r="BT2199" s="18"/>
      <c r="BU2199" s="18"/>
      <c r="BV2199" s="18"/>
      <c r="BW2199" s="20"/>
      <c r="BX2199" s="154"/>
      <c r="BY2199" s="18"/>
      <c r="BZ2199" s="146"/>
      <c r="CA2199" s="18"/>
      <c r="CB2199" s="18"/>
      <c r="CC2199" s="20"/>
      <c r="CD2199" s="154"/>
    </row>
    <row r="2200" spans="35:82">
      <c r="AI2200" s="19"/>
      <c r="AO2200" s="19"/>
      <c r="AY2200" s="145"/>
      <c r="AZ2200" s="16"/>
      <c r="BC2200" s="16"/>
      <c r="BD2200" s="20"/>
      <c r="BE2200" s="17"/>
      <c r="BF2200" s="20"/>
      <c r="BG2200" s="146"/>
      <c r="BH2200" s="146"/>
      <c r="BI2200" s="146"/>
      <c r="BJ2200" s="20"/>
      <c r="BK2200" s="20"/>
      <c r="BL2200" s="154"/>
      <c r="BP2200" s="20"/>
      <c r="BQ2200" s="154"/>
      <c r="BR2200" s="18"/>
      <c r="BS2200" s="16"/>
      <c r="BT2200" s="18"/>
      <c r="BU2200" s="18"/>
      <c r="BV2200" s="18"/>
      <c r="BW2200" s="20"/>
      <c r="BX2200" s="154"/>
      <c r="BY2200" s="18"/>
      <c r="BZ2200" s="146"/>
      <c r="CA2200" s="18"/>
      <c r="CB2200" s="18"/>
      <c r="CC2200" s="20"/>
      <c r="CD2200" s="154"/>
    </row>
    <row r="2201" spans="35:82">
      <c r="AI2201" s="19"/>
      <c r="AO2201" s="19"/>
      <c r="AY2201" s="145"/>
      <c r="AZ2201" s="16"/>
      <c r="BC2201" s="16"/>
      <c r="BD2201" s="20"/>
      <c r="BE2201" s="17"/>
      <c r="BF2201" s="20"/>
      <c r="BG2201" s="146"/>
      <c r="BH2201" s="146"/>
      <c r="BI2201" s="146"/>
      <c r="BJ2201" s="20"/>
      <c r="BK2201" s="20"/>
      <c r="BL2201" s="154"/>
      <c r="BP2201" s="20"/>
      <c r="BQ2201" s="154"/>
      <c r="BR2201" s="18"/>
      <c r="BS2201" s="16"/>
      <c r="BT2201" s="18"/>
      <c r="BU2201" s="18"/>
      <c r="BV2201" s="18"/>
      <c r="BW2201" s="20"/>
      <c r="BX2201" s="154"/>
      <c r="BY2201" s="18"/>
      <c r="BZ2201" s="146"/>
      <c r="CA2201" s="18"/>
      <c r="CB2201" s="18"/>
      <c r="CC2201" s="20"/>
      <c r="CD2201" s="154"/>
    </row>
    <row r="2202" spans="35:82">
      <c r="AI2202" s="19"/>
      <c r="AO2202" s="19"/>
      <c r="AY2202" s="145"/>
      <c r="AZ2202" s="16"/>
      <c r="BC2202" s="16"/>
      <c r="BD2202" s="20"/>
      <c r="BE2202" s="17"/>
      <c r="BF2202" s="20"/>
      <c r="BG2202" s="146"/>
      <c r="BH2202" s="146"/>
      <c r="BI2202" s="146"/>
      <c r="BJ2202" s="20"/>
      <c r="BK2202" s="20"/>
      <c r="BL2202" s="154"/>
      <c r="BP2202" s="20"/>
      <c r="BQ2202" s="154"/>
      <c r="BR2202" s="18"/>
      <c r="BS2202" s="16"/>
      <c r="BT2202" s="18"/>
      <c r="BU2202" s="18"/>
      <c r="BV2202" s="18"/>
      <c r="BW2202" s="20"/>
      <c r="BX2202" s="154"/>
      <c r="BY2202" s="18"/>
      <c r="BZ2202" s="146"/>
      <c r="CA2202" s="18"/>
      <c r="CB2202" s="18"/>
      <c r="CC2202" s="20"/>
      <c r="CD2202" s="154"/>
    </row>
    <row r="2203" spans="35:82">
      <c r="AI2203" s="19"/>
      <c r="AO2203" s="19"/>
      <c r="AY2203" s="145"/>
      <c r="AZ2203" s="16"/>
      <c r="BC2203" s="16"/>
      <c r="BD2203" s="20"/>
      <c r="BE2203" s="17"/>
      <c r="BF2203" s="20"/>
      <c r="BG2203" s="146"/>
      <c r="BH2203" s="146"/>
      <c r="BI2203" s="146"/>
      <c r="BJ2203" s="20"/>
      <c r="BK2203" s="20"/>
      <c r="BL2203" s="154"/>
      <c r="BP2203" s="20"/>
      <c r="BQ2203" s="154"/>
      <c r="BR2203" s="18"/>
      <c r="BS2203" s="16"/>
      <c r="BT2203" s="18"/>
      <c r="BU2203" s="18"/>
      <c r="BV2203" s="18"/>
      <c r="BW2203" s="20"/>
      <c r="BX2203" s="154"/>
      <c r="BY2203" s="18"/>
      <c r="BZ2203" s="146"/>
      <c r="CA2203" s="18"/>
      <c r="CB2203" s="18"/>
      <c r="CC2203" s="20"/>
      <c r="CD2203" s="154"/>
    </row>
    <row r="2204" spans="35:82">
      <c r="AI2204" s="19"/>
      <c r="AO2204" s="19"/>
      <c r="AY2204" s="145"/>
      <c r="AZ2204" s="16"/>
      <c r="BC2204" s="16"/>
      <c r="BD2204" s="20"/>
      <c r="BE2204" s="17"/>
      <c r="BF2204" s="20"/>
      <c r="BG2204" s="146"/>
      <c r="BH2204" s="146"/>
      <c r="BI2204" s="146"/>
      <c r="BJ2204" s="20"/>
      <c r="BK2204" s="20"/>
      <c r="BL2204" s="154"/>
      <c r="BP2204" s="20"/>
      <c r="BQ2204" s="154"/>
      <c r="BR2204" s="18"/>
      <c r="BS2204" s="16"/>
      <c r="BT2204" s="18"/>
      <c r="BU2204" s="18"/>
      <c r="BV2204" s="18"/>
      <c r="BW2204" s="20"/>
      <c r="BX2204" s="154"/>
      <c r="BY2204" s="18"/>
      <c r="BZ2204" s="146"/>
      <c r="CA2204" s="18"/>
      <c r="CB2204" s="18"/>
      <c r="CC2204" s="20"/>
      <c r="CD2204" s="154"/>
    </row>
    <row r="2205" spans="35:82">
      <c r="AI2205" s="19"/>
      <c r="AO2205" s="19"/>
      <c r="AY2205" s="145"/>
      <c r="AZ2205" s="16"/>
      <c r="BC2205" s="16"/>
      <c r="BD2205" s="20"/>
      <c r="BE2205" s="17"/>
      <c r="BF2205" s="20"/>
      <c r="BG2205" s="146"/>
      <c r="BH2205" s="146"/>
      <c r="BI2205" s="146"/>
      <c r="BJ2205" s="20"/>
      <c r="BK2205" s="20"/>
      <c r="BL2205" s="154"/>
      <c r="BP2205" s="20"/>
      <c r="BQ2205" s="154"/>
      <c r="BR2205" s="18"/>
      <c r="BS2205" s="16"/>
      <c r="BT2205" s="18"/>
      <c r="BU2205" s="18"/>
      <c r="BV2205" s="18"/>
      <c r="BW2205" s="20"/>
      <c r="BX2205" s="154"/>
      <c r="BY2205" s="18"/>
      <c r="BZ2205" s="146"/>
      <c r="CA2205" s="18"/>
      <c r="CB2205" s="18"/>
      <c r="CC2205" s="20"/>
      <c r="CD2205" s="154"/>
    </row>
    <row r="2206" spans="35:82">
      <c r="AI2206" s="19"/>
      <c r="AO2206" s="19"/>
      <c r="AY2206" s="145"/>
      <c r="AZ2206" s="16"/>
      <c r="BC2206" s="16"/>
      <c r="BD2206" s="20"/>
      <c r="BE2206" s="17"/>
      <c r="BF2206" s="20"/>
      <c r="BG2206" s="146"/>
      <c r="BH2206" s="146"/>
      <c r="BI2206" s="146"/>
      <c r="BJ2206" s="20"/>
      <c r="BK2206" s="20"/>
      <c r="BL2206" s="154"/>
      <c r="BP2206" s="20"/>
      <c r="BQ2206" s="154"/>
      <c r="BR2206" s="18"/>
      <c r="BS2206" s="16"/>
      <c r="BT2206" s="18"/>
      <c r="BU2206" s="18"/>
      <c r="BV2206" s="18"/>
      <c r="BW2206" s="20"/>
      <c r="BX2206" s="154"/>
      <c r="BY2206" s="18"/>
      <c r="BZ2206" s="146"/>
      <c r="CA2206" s="18"/>
      <c r="CB2206" s="18"/>
      <c r="CC2206" s="20"/>
      <c r="CD2206" s="154"/>
    </row>
    <row r="2207" spans="35:82">
      <c r="AI2207" s="19"/>
      <c r="AO2207" s="19"/>
      <c r="AY2207" s="145"/>
      <c r="AZ2207" s="16"/>
      <c r="BC2207" s="16"/>
      <c r="BD2207" s="20"/>
      <c r="BE2207" s="17"/>
      <c r="BF2207" s="20"/>
      <c r="BG2207" s="146"/>
      <c r="BH2207" s="146"/>
      <c r="BI2207" s="146"/>
      <c r="BJ2207" s="20"/>
      <c r="BK2207" s="20"/>
      <c r="BL2207" s="154"/>
      <c r="BP2207" s="20"/>
      <c r="BQ2207" s="154"/>
      <c r="BR2207" s="18"/>
      <c r="BS2207" s="16"/>
      <c r="BT2207" s="18"/>
      <c r="BU2207" s="18"/>
      <c r="BV2207" s="18"/>
      <c r="BW2207" s="20"/>
      <c r="BX2207" s="154"/>
      <c r="BY2207" s="18"/>
      <c r="BZ2207" s="146"/>
      <c r="CA2207" s="18"/>
      <c r="CB2207" s="18"/>
      <c r="CC2207" s="20"/>
      <c r="CD2207" s="154"/>
    </row>
    <row r="2208" spans="35:82">
      <c r="AI2208" s="19"/>
      <c r="AO2208" s="19"/>
      <c r="AY2208" s="145"/>
      <c r="AZ2208" s="16"/>
      <c r="BC2208" s="16"/>
      <c r="BD2208" s="20"/>
      <c r="BE2208" s="17"/>
      <c r="BF2208" s="20"/>
      <c r="BG2208" s="146"/>
      <c r="BH2208" s="146"/>
      <c r="BI2208" s="146"/>
      <c r="BJ2208" s="20"/>
      <c r="BK2208" s="20"/>
      <c r="BL2208" s="154"/>
      <c r="BP2208" s="20"/>
      <c r="BQ2208" s="154"/>
      <c r="BR2208" s="18"/>
      <c r="BS2208" s="16"/>
      <c r="BT2208" s="18"/>
      <c r="BU2208" s="18"/>
      <c r="BV2208" s="18"/>
      <c r="BW2208" s="20"/>
      <c r="BX2208" s="154"/>
      <c r="BY2208" s="18"/>
      <c r="BZ2208" s="146"/>
      <c r="CA2208" s="18"/>
      <c r="CB2208" s="18"/>
      <c r="CC2208" s="20"/>
      <c r="CD2208" s="154"/>
    </row>
    <row r="2209" spans="35:82">
      <c r="AI2209" s="19"/>
      <c r="AO2209" s="19"/>
      <c r="AY2209" s="145"/>
      <c r="AZ2209" s="16"/>
      <c r="BC2209" s="16"/>
      <c r="BD2209" s="20"/>
      <c r="BE2209" s="17"/>
      <c r="BF2209" s="20"/>
      <c r="BG2209" s="146"/>
      <c r="BH2209" s="146"/>
      <c r="BI2209" s="146"/>
      <c r="BJ2209" s="20"/>
      <c r="BK2209" s="20"/>
      <c r="BL2209" s="154"/>
      <c r="BP2209" s="20"/>
      <c r="BQ2209" s="154"/>
      <c r="BR2209" s="18"/>
      <c r="BS2209" s="16"/>
      <c r="BT2209" s="18"/>
      <c r="BU2209" s="18"/>
      <c r="BV2209" s="18"/>
      <c r="BW2209" s="20"/>
      <c r="BX2209" s="154"/>
      <c r="BY2209" s="18"/>
      <c r="BZ2209" s="146"/>
      <c r="CA2209" s="18"/>
      <c r="CB2209" s="18"/>
      <c r="CC2209" s="20"/>
      <c r="CD2209" s="154"/>
    </row>
    <row r="2210" spans="35:82">
      <c r="AI2210" s="19"/>
      <c r="AO2210" s="19"/>
      <c r="AY2210" s="145"/>
      <c r="AZ2210" s="16"/>
      <c r="BC2210" s="16"/>
      <c r="BD2210" s="20"/>
      <c r="BE2210" s="17"/>
      <c r="BF2210" s="20"/>
      <c r="BG2210" s="146"/>
      <c r="BH2210" s="146"/>
      <c r="BI2210" s="146"/>
      <c r="BJ2210" s="20"/>
      <c r="BK2210" s="20"/>
      <c r="BL2210" s="154"/>
      <c r="BP2210" s="20"/>
      <c r="BQ2210" s="154"/>
      <c r="BR2210" s="18"/>
      <c r="BS2210" s="16"/>
      <c r="BT2210" s="18"/>
      <c r="BU2210" s="18"/>
      <c r="BV2210" s="18"/>
      <c r="BW2210" s="20"/>
      <c r="BX2210" s="154"/>
      <c r="BY2210" s="18"/>
      <c r="BZ2210" s="146"/>
      <c r="CA2210" s="18"/>
      <c r="CB2210" s="18"/>
      <c r="CC2210" s="20"/>
      <c r="CD2210" s="154"/>
    </row>
    <row r="2211" spans="35:82">
      <c r="AI2211" s="19"/>
      <c r="AO2211" s="19"/>
      <c r="AY2211" s="145"/>
      <c r="AZ2211" s="16"/>
      <c r="BC2211" s="16"/>
      <c r="BD2211" s="20"/>
      <c r="BE2211" s="17"/>
      <c r="BF2211" s="20"/>
      <c r="BG2211" s="146"/>
      <c r="BH2211" s="146"/>
      <c r="BI2211" s="146"/>
      <c r="BJ2211" s="20"/>
      <c r="BK2211" s="20"/>
      <c r="BL2211" s="154"/>
      <c r="BP2211" s="20"/>
      <c r="BQ2211" s="154"/>
      <c r="BR2211" s="18"/>
      <c r="BS2211" s="16"/>
      <c r="BT2211" s="18"/>
      <c r="BU2211" s="18"/>
      <c r="BV2211" s="18"/>
      <c r="BW2211" s="20"/>
      <c r="BX2211" s="154"/>
      <c r="BY2211" s="18"/>
      <c r="BZ2211" s="146"/>
      <c r="CA2211" s="18"/>
      <c r="CB2211" s="18"/>
      <c r="CC2211" s="20"/>
      <c r="CD2211" s="154"/>
    </row>
    <row r="2212" spans="35:82">
      <c r="AI2212" s="19"/>
      <c r="AO2212" s="19"/>
      <c r="AY2212" s="145"/>
      <c r="AZ2212" s="16"/>
      <c r="BC2212" s="16"/>
      <c r="BD2212" s="20"/>
      <c r="BE2212" s="17"/>
      <c r="BF2212" s="20"/>
      <c r="BG2212" s="146"/>
      <c r="BH2212" s="146"/>
      <c r="BI2212" s="146"/>
      <c r="BJ2212" s="20"/>
      <c r="BK2212" s="20"/>
      <c r="BL2212" s="154"/>
      <c r="BP2212" s="20"/>
      <c r="BQ2212" s="154"/>
      <c r="BR2212" s="18"/>
      <c r="BS2212" s="16"/>
      <c r="BT2212" s="18"/>
      <c r="BU2212" s="18"/>
      <c r="BV2212" s="18"/>
      <c r="BW2212" s="20"/>
      <c r="BX2212" s="154"/>
      <c r="BY2212" s="18"/>
      <c r="BZ2212" s="146"/>
      <c r="CA2212" s="18"/>
      <c r="CB2212" s="18"/>
      <c r="CC2212" s="20"/>
      <c r="CD2212" s="154"/>
    </row>
    <row r="2213" spans="35:82">
      <c r="AI2213" s="19"/>
      <c r="AO2213" s="19"/>
      <c r="AY2213" s="145"/>
      <c r="AZ2213" s="16"/>
      <c r="BC2213" s="16"/>
      <c r="BD2213" s="20"/>
      <c r="BE2213" s="17"/>
      <c r="BF2213" s="20"/>
      <c r="BG2213" s="146"/>
      <c r="BH2213" s="146"/>
      <c r="BI2213" s="146"/>
      <c r="BJ2213" s="20"/>
      <c r="BK2213" s="20"/>
      <c r="BL2213" s="154"/>
      <c r="BP2213" s="20"/>
      <c r="BQ2213" s="154"/>
      <c r="BR2213" s="18"/>
      <c r="BS2213" s="16"/>
      <c r="BT2213" s="18"/>
      <c r="BU2213" s="18"/>
      <c r="BV2213" s="18"/>
      <c r="BW2213" s="20"/>
      <c r="BX2213" s="154"/>
      <c r="BY2213" s="18"/>
      <c r="BZ2213" s="146"/>
      <c r="CA2213" s="18"/>
      <c r="CB2213" s="18"/>
      <c r="CC2213" s="20"/>
      <c r="CD2213" s="154"/>
    </row>
    <row r="2214" spans="35:82">
      <c r="AI2214" s="19"/>
      <c r="AO2214" s="19"/>
      <c r="AY2214" s="145"/>
      <c r="AZ2214" s="16"/>
      <c r="BC2214" s="16"/>
      <c r="BD2214" s="20"/>
      <c r="BE2214" s="17"/>
      <c r="BF2214" s="20"/>
      <c r="BG2214" s="146"/>
      <c r="BH2214" s="146"/>
      <c r="BI2214" s="146"/>
      <c r="BJ2214" s="20"/>
      <c r="BK2214" s="20"/>
      <c r="BL2214" s="154"/>
      <c r="BP2214" s="20"/>
      <c r="BQ2214" s="154"/>
      <c r="BR2214" s="18"/>
      <c r="BS2214" s="16"/>
      <c r="BT2214" s="18"/>
      <c r="BU2214" s="18"/>
      <c r="BV2214" s="18"/>
      <c r="BW2214" s="20"/>
      <c r="BX2214" s="154"/>
      <c r="BY2214" s="18"/>
      <c r="BZ2214" s="146"/>
      <c r="CA2214" s="18"/>
      <c r="CB2214" s="18"/>
      <c r="CC2214" s="20"/>
      <c r="CD2214" s="154"/>
    </row>
    <row r="2215" spans="35:82">
      <c r="AI2215" s="19"/>
      <c r="AO2215" s="19"/>
      <c r="AY2215" s="145"/>
      <c r="AZ2215" s="16"/>
      <c r="BC2215" s="16"/>
      <c r="BD2215" s="20"/>
      <c r="BE2215" s="17"/>
      <c r="BF2215" s="20"/>
      <c r="BG2215" s="146"/>
      <c r="BH2215" s="146"/>
      <c r="BI2215" s="146"/>
      <c r="BJ2215" s="20"/>
      <c r="BK2215" s="20"/>
      <c r="BL2215" s="154"/>
      <c r="BP2215" s="20"/>
      <c r="BQ2215" s="154"/>
      <c r="BR2215" s="18"/>
      <c r="BS2215" s="16"/>
      <c r="BT2215" s="18"/>
      <c r="BU2215" s="18"/>
      <c r="BV2215" s="18"/>
      <c r="BW2215" s="20"/>
      <c r="BX2215" s="154"/>
      <c r="BY2215" s="18"/>
      <c r="BZ2215" s="146"/>
      <c r="CA2215" s="18"/>
      <c r="CB2215" s="18"/>
      <c r="CC2215" s="20"/>
      <c r="CD2215" s="154"/>
    </row>
    <row r="2216" spans="35:82">
      <c r="AI2216" s="19"/>
      <c r="AO2216" s="19"/>
      <c r="AY2216" s="145"/>
      <c r="AZ2216" s="16"/>
      <c r="BC2216" s="16"/>
      <c r="BD2216" s="20"/>
      <c r="BE2216" s="17"/>
      <c r="BF2216" s="20"/>
      <c r="BG2216" s="146"/>
      <c r="BH2216" s="146"/>
      <c r="BI2216" s="146"/>
      <c r="BJ2216" s="20"/>
      <c r="BK2216" s="20"/>
      <c r="BL2216" s="154"/>
      <c r="BP2216" s="20"/>
      <c r="BQ2216" s="154"/>
      <c r="BR2216" s="18"/>
      <c r="BS2216" s="16"/>
      <c r="BT2216" s="18"/>
      <c r="BU2216" s="18"/>
      <c r="BV2216" s="18"/>
      <c r="BW2216" s="20"/>
      <c r="BX2216" s="154"/>
      <c r="BY2216" s="18"/>
      <c r="BZ2216" s="146"/>
      <c r="CA2216" s="18"/>
      <c r="CB2216" s="18"/>
      <c r="CC2216" s="20"/>
      <c r="CD2216" s="154"/>
    </row>
    <row r="2217" spans="35:82">
      <c r="AI2217" s="19"/>
      <c r="AO2217" s="19"/>
      <c r="AY2217" s="145"/>
      <c r="AZ2217" s="16"/>
      <c r="BC2217" s="16"/>
      <c r="BD2217" s="20"/>
      <c r="BE2217" s="17"/>
      <c r="BF2217" s="20"/>
      <c r="BG2217" s="146"/>
      <c r="BH2217" s="146"/>
      <c r="BI2217" s="146"/>
      <c r="BJ2217" s="20"/>
      <c r="BK2217" s="20"/>
      <c r="BL2217" s="154"/>
      <c r="BP2217" s="20"/>
      <c r="BQ2217" s="154"/>
      <c r="BR2217" s="18"/>
      <c r="BS2217" s="16"/>
      <c r="BT2217" s="18"/>
      <c r="BU2217" s="18"/>
      <c r="BV2217" s="18"/>
      <c r="BW2217" s="20"/>
      <c r="BX2217" s="154"/>
      <c r="BY2217" s="18"/>
      <c r="BZ2217" s="146"/>
      <c r="CA2217" s="18"/>
      <c r="CB2217" s="18"/>
      <c r="CC2217" s="20"/>
      <c r="CD2217" s="154"/>
    </row>
    <row r="2218" spans="35:82">
      <c r="AI2218" s="19"/>
      <c r="AO2218" s="19"/>
      <c r="AY2218" s="145"/>
      <c r="AZ2218" s="16"/>
      <c r="BC2218" s="16"/>
      <c r="BD2218" s="20"/>
      <c r="BE2218" s="17"/>
      <c r="BF2218" s="20"/>
      <c r="BG2218" s="146"/>
      <c r="BH2218" s="146"/>
      <c r="BI2218" s="146"/>
      <c r="BJ2218" s="20"/>
      <c r="BK2218" s="20"/>
      <c r="BL2218" s="154"/>
      <c r="BP2218" s="20"/>
      <c r="BQ2218" s="154"/>
      <c r="BR2218" s="18"/>
      <c r="BS2218" s="16"/>
      <c r="BT2218" s="18"/>
      <c r="BU2218" s="18"/>
      <c r="BV2218" s="18"/>
      <c r="BW2218" s="20"/>
      <c r="BX2218" s="154"/>
      <c r="BY2218" s="18"/>
      <c r="BZ2218" s="146"/>
      <c r="CA2218" s="18"/>
      <c r="CB2218" s="18"/>
      <c r="CC2218" s="20"/>
      <c r="CD2218" s="154"/>
    </row>
    <row r="2219" spans="35:82">
      <c r="AI2219" s="19"/>
      <c r="AO2219" s="19"/>
      <c r="AY2219" s="145"/>
      <c r="AZ2219" s="16"/>
      <c r="BC2219" s="16"/>
      <c r="BD2219" s="20"/>
      <c r="BE2219" s="17"/>
      <c r="BF2219" s="20"/>
      <c r="BG2219" s="146"/>
      <c r="BH2219" s="146"/>
      <c r="BI2219" s="146"/>
      <c r="BJ2219" s="20"/>
      <c r="BK2219" s="20"/>
      <c r="BL2219" s="154"/>
      <c r="BP2219" s="20"/>
      <c r="BQ2219" s="154"/>
      <c r="BR2219" s="18"/>
      <c r="BS2219" s="16"/>
      <c r="BT2219" s="18"/>
      <c r="BU2219" s="18"/>
      <c r="BV2219" s="18"/>
      <c r="BW2219" s="20"/>
      <c r="BX2219" s="154"/>
      <c r="BY2219" s="18"/>
      <c r="BZ2219" s="146"/>
      <c r="CA2219" s="18"/>
      <c r="CB2219" s="18"/>
      <c r="CC2219" s="20"/>
      <c r="CD2219" s="154"/>
    </row>
    <row r="2220" spans="35:82">
      <c r="AI2220" s="19"/>
      <c r="AO2220" s="19"/>
      <c r="AY2220" s="145"/>
      <c r="AZ2220" s="16"/>
      <c r="BC2220" s="16"/>
      <c r="BD2220" s="20"/>
      <c r="BE2220" s="17"/>
      <c r="BF2220" s="20"/>
      <c r="BG2220" s="146"/>
      <c r="BH2220" s="146"/>
      <c r="BI2220" s="146"/>
      <c r="BJ2220" s="20"/>
      <c r="BK2220" s="20"/>
      <c r="BL2220" s="154"/>
      <c r="BP2220" s="20"/>
      <c r="BQ2220" s="154"/>
      <c r="BR2220" s="18"/>
      <c r="BS2220" s="16"/>
      <c r="BT2220" s="18"/>
      <c r="BU2220" s="18"/>
      <c r="BV2220" s="18"/>
      <c r="BW2220" s="20"/>
      <c r="BX2220" s="154"/>
      <c r="BY2220" s="18"/>
      <c r="BZ2220" s="146"/>
      <c r="CA2220" s="18"/>
      <c r="CB2220" s="18"/>
      <c r="CC2220" s="20"/>
      <c r="CD2220" s="154"/>
    </row>
    <row r="2221" spans="35:82">
      <c r="AI2221" s="19"/>
      <c r="AO2221" s="19"/>
      <c r="AY2221" s="145"/>
      <c r="AZ2221" s="16"/>
      <c r="BC2221" s="16"/>
      <c r="BD2221" s="20"/>
      <c r="BE2221" s="17"/>
      <c r="BF2221" s="20"/>
      <c r="BG2221" s="146"/>
      <c r="BH2221" s="146"/>
      <c r="BI2221" s="146"/>
      <c r="BJ2221" s="20"/>
      <c r="BK2221" s="20"/>
      <c r="BL2221" s="154"/>
      <c r="BP2221" s="20"/>
      <c r="BQ2221" s="154"/>
      <c r="BR2221" s="18"/>
      <c r="BS2221" s="16"/>
      <c r="BT2221" s="18"/>
      <c r="BU2221" s="18"/>
      <c r="BV2221" s="18"/>
      <c r="BW2221" s="20"/>
      <c r="BX2221" s="154"/>
      <c r="BY2221" s="18"/>
      <c r="BZ2221" s="146"/>
      <c r="CA2221" s="18"/>
      <c r="CB2221" s="18"/>
      <c r="CC2221" s="20"/>
      <c r="CD2221" s="154"/>
    </row>
    <row r="2222" spans="35:82">
      <c r="AI2222" s="19"/>
      <c r="AO2222" s="19"/>
      <c r="AY2222" s="145"/>
      <c r="AZ2222" s="16"/>
      <c r="BC2222" s="16"/>
      <c r="BD2222" s="20"/>
      <c r="BE2222" s="17"/>
      <c r="BF2222" s="20"/>
      <c r="BG2222" s="146"/>
      <c r="BH2222" s="146"/>
      <c r="BI2222" s="146"/>
      <c r="BJ2222" s="20"/>
      <c r="BK2222" s="20"/>
      <c r="BL2222" s="154"/>
      <c r="BP2222" s="20"/>
      <c r="BQ2222" s="154"/>
      <c r="BR2222" s="18"/>
      <c r="BS2222" s="16"/>
      <c r="BT2222" s="18"/>
      <c r="BU2222" s="18"/>
      <c r="BV2222" s="18"/>
      <c r="BW2222" s="20"/>
      <c r="BX2222" s="154"/>
      <c r="BY2222" s="18"/>
      <c r="BZ2222" s="146"/>
      <c r="CA2222" s="18"/>
      <c r="CB2222" s="18"/>
      <c r="CC2222" s="20"/>
      <c r="CD2222" s="154"/>
    </row>
    <row r="2223" spans="35:82">
      <c r="AI2223" s="19"/>
      <c r="AO2223" s="19"/>
      <c r="AY2223" s="145"/>
      <c r="AZ2223" s="16"/>
      <c r="BC2223" s="16"/>
      <c r="BD2223" s="20"/>
      <c r="BE2223" s="17"/>
      <c r="BF2223" s="20"/>
      <c r="BG2223" s="146"/>
      <c r="BH2223" s="146"/>
      <c r="BI2223" s="146"/>
      <c r="BJ2223" s="20"/>
      <c r="BK2223" s="20"/>
      <c r="BL2223" s="154"/>
      <c r="BP2223" s="20"/>
      <c r="BQ2223" s="154"/>
      <c r="BR2223" s="18"/>
      <c r="BS2223" s="16"/>
      <c r="BT2223" s="18"/>
      <c r="BU2223" s="18"/>
      <c r="BV2223" s="18"/>
      <c r="BW2223" s="20"/>
      <c r="BX2223" s="154"/>
      <c r="BY2223" s="18"/>
      <c r="BZ2223" s="146"/>
      <c r="CA2223" s="18"/>
      <c r="CB2223" s="18"/>
      <c r="CC2223" s="20"/>
      <c r="CD2223" s="154"/>
    </row>
    <row r="2224" spans="35:82">
      <c r="AI2224" s="19"/>
      <c r="AO2224" s="19"/>
      <c r="AY2224" s="145"/>
      <c r="AZ2224" s="16"/>
      <c r="BC2224" s="16"/>
      <c r="BD2224" s="20"/>
      <c r="BE2224" s="17"/>
      <c r="BF2224" s="20"/>
      <c r="BG2224" s="146"/>
      <c r="BH2224" s="146"/>
      <c r="BI2224" s="146"/>
      <c r="BJ2224" s="20"/>
      <c r="BK2224" s="20"/>
      <c r="BL2224" s="154"/>
      <c r="BP2224" s="20"/>
      <c r="BQ2224" s="154"/>
      <c r="BR2224" s="18"/>
      <c r="BS2224" s="16"/>
      <c r="BT2224" s="18"/>
      <c r="BU2224" s="18"/>
      <c r="BV2224" s="18"/>
      <c r="BW2224" s="20"/>
      <c r="BX2224" s="154"/>
      <c r="BY2224" s="18"/>
      <c r="BZ2224" s="146"/>
      <c r="CA2224" s="18"/>
      <c r="CB2224" s="18"/>
      <c r="CC2224" s="20"/>
      <c r="CD2224" s="154"/>
    </row>
    <row r="2225" spans="35:82">
      <c r="AI2225" s="19"/>
      <c r="AO2225" s="19"/>
      <c r="AY2225" s="145"/>
      <c r="AZ2225" s="16"/>
      <c r="BC2225" s="16"/>
      <c r="BD2225" s="20"/>
      <c r="BE2225" s="17"/>
      <c r="BF2225" s="20"/>
      <c r="BG2225" s="146"/>
      <c r="BH2225" s="146"/>
      <c r="BI2225" s="146"/>
      <c r="BJ2225" s="20"/>
      <c r="BK2225" s="20"/>
      <c r="BL2225" s="154"/>
      <c r="BP2225" s="20"/>
      <c r="BQ2225" s="154"/>
      <c r="BR2225" s="18"/>
      <c r="BS2225" s="16"/>
      <c r="BT2225" s="18"/>
      <c r="BU2225" s="18"/>
      <c r="BV2225" s="18"/>
      <c r="BW2225" s="20"/>
      <c r="BX2225" s="154"/>
      <c r="BY2225" s="18"/>
      <c r="BZ2225" s="146"/>
      <c r="CA2225" s="18"/>
      <c r="CB2225" s="18"/>
      <c r="CC2225" s="20"/>
      <c r="CD2225" s="154"/>
    </row>
    <row r="2226" spans="35:82">
      <c r="AI2226" s="19"/>
      <c r="AO2226" s="19"/>
      <c r="AY2226" s="145"/>
      <c r="AZ2226" s="16"/>
      <c r="BC2226" s="16"/>
      <c r="BD2226" s="20"/>
      <c r="BE2226" s="17"/>
      <c r="BF2226" s="20"/>
      <c r="BG2226" s="146"/>
      <c r="BH2226" s="146"/>
      <c r="BI2226" s="146"/>
      <c r="BJ2226" s="20"/>
      <c r="BK2226" s="20"/>
      <c r="BL2226" s="154"/>
      <c r="BP2226" s="20"/>
      <c r="BQ2226" s="154"/>
      <c r="BR2226" s="18"/>
      <c r="BS2226" s="16"/>
      <c r="BT2226" s="18"/>
      <c r="BU2226" s="18"/>
      <c r="BV2226" s="18"/>
      <c r="BW2226" s="20"/>
      <c r="BX2226" s="154"/>
      <c r="BY2226" s="18"/>
      <c r="BZ2226" s="146"/>
      <c r="CA2226" s="18"/>
      <c r="CB2226" s="18"/>
      <c r="CC2226" s="20"/>
      <c r="CD2226" s="154"/>
    </row>
    <row r="2227" spans="35:82">
      <c r="AI2227" s="19"/>
      <c r="AO2227" s="19"/>
      <c r="AY2227" s="145"/>
      <c r="AZ2227" s="16"/>
      <c r="BC2227" s="16"/>
      <c r="BD2227" s="20"/>
      <c r="BE2227" s="17"/>
      <c r="BF2227" s="20"/>
      <c r="BG2227" s="146"/>
      <c r="BH2227" s="146"/>
      <c r="BI2227" s="146"/>
      <c r="BJ2227" s="20"/>
      <c r="BK2227" s="20"/>
      <c r="BL2227" s="154"/>
      <c r="BP2227" s="20"/>
      <c r="BQ2227" s="154"/>
      <c r="BR2227" s="18"/>
      <c r="BS2227" s="16"/>
      <c r="BT2227" s="18"/>
      <c r="BU2227" s="18"/>
      <c r="BV2227" s="18"/>
      <c r="BW2227" s="20"/>
      <c r="BX2227" s="154"/>
      <c r="BY2227" s="18"/>
      <c r="BZ2227" s="146"/>
      <c r="CA2227" s="18"/>
      <c r="CB2227" s="18"/>
      <c r="CC2227" s="20"/>
      <c r="CD2227" s="154"/>
    </row>
    <row r="2228" spans="35:82">
      <c r="AI2228" s="19"/>
      <c r="AO2228" s="19"/>
      <c r="AY2228" s="145"/>
      <c r="AZ2228" s="16"/>
      <c r="BC2228" s="16"/>
      <c r="BD2228" s="20"/>
      <c r="BE2228" s="17"/>
      <c r="BF2228" s="20"/>
      <c r="BG2228" s="146"/>
      <c r="BH2228" s="146"/>
      <c r="BI2228" s="146"/>
      <c r="BJ2228" s="20"/>
      <c r="BK2228" s="20"/>
      <c r="BL2228" s="154"/>
      <c r="BP2228" s="20"/>
      <c r="BQ2228" s="154"/>
      <c r="BR2228" s="18"/>
      <c r="BS2228" s="16"/>
      <c r="BT2228" s="18"/>
      <c r="BU2228" s="18"/>
      <c r="BV2228" s="18"/>
      <c r="BW2228" s="20"/>
      <c r="BX2228" s="154"/>
      <c r="BY2228" s="18"/>
      <c r="BZ2228" s="146"/>
      <c r="CA2228" s="18"/>
      <c r="CB2228" s="18"/>
      <c r="CC2228" s="20"/>
      <c r="CD2228" s="154"/>
    </row>
    <row r="2229" spans="35:82">
      <c r="AI2229" s="19"/>
      <c r="AO2229" s="19"/>
      <c r="AY2229" s="145"/>
      <c r="AZ2229" s="16"/>
      <c r="BC2229" s="16"/>
      <c r="BD2229" s="20"/>
      <c r="BE2229" s="17"/>
      <c r="BF2229" s="20"/>
      <c r="BG2229" s="146"/>
      <c r="BH2229" s="146"/>
      <c r="BI2229" s="146"/>
      <c r="BJ2229" s="20"/>
      <c r="BK2229" s="20"/>
      <c r="BL2229" s="154"/>
      <c r="BP2229" s="20"/>
      <c r="BQ2229" s="154"/>
      <c r="BR2229" s="18"/>
      <c r="BS2229" s="16"/>
      <c r="BT2229" s="18"/>
      <c r="BU2229" s="18"/>
      <c r="BV2229" s="18"/>
      <c r="BW2229" s="20"/>
      <c r="BX2229" s="154"/>
      <c r="BY2229" s="18"/>
      <c r="BZ2229" s="146"/>
      <c r="CA2229" s="18"/>
      <c r="CB2229" s="18"/>
      <c r="CC2229" s="20"/>
      <c r="CD2229" s="154"/>
    </row>
    <row r="2230" spans="35:82">
      <c r="AI2230" s="19"/>
      <c r="AO2230" s="19"/>
      <c r="AY2230" s="145"/>
      <c r="AZ2230" s="16"/>
      <c r="BC2230" s="16"/>
      <c r="BD2230" s="20"/>
      <c r="BE2230" s="17"/>
      <c r="BF2230" s="20"/>
      <c r="BG2230" s="146"/>
      <c r="BH2230" s="146"/>
      <c r="BI2230" s="146"/>
      <c r="BJ2230" s="20"/>
      <c r="BK2230" s="20"/>
      <c r="BL2230" s="154"/>
      <c r="BP2230" s="20"/>
      <c r="BQ2230" s="154"/>
      <c r="BR2230" s="18"/>
      <c r="BS2230" s="16"/>
      <c r="BT2230" s="18"/>
      <c r="BU2230" s="18"/>
      <c r="BV2230" s="18"/>
      <c r="BW2230" s="20"/>
      <c r="BX2230" s="154"/>
      <c r="BY2230" s="18"/>
      <c r="BZ2230" s="146"/>
      <c r="CA2230" s="18"/>
      <c r="CB2230" s="18"/>
      <c r="CC2230" s="20"/>
      <c r="CD2230" s="154"/>
    </row>
    <row r="2231" spans="35:82">
      <c r="AI2231" s="19"/>
      <c r="AO2231" s="19"/>
      <c r="AY2231" s="145"/>
      <c r="AZ2231" s="16"/>
      <c r="BC2231" s="16"/>
      <c r="BD2231" s="20"/>
      <c r="BE2231" s="17"/>
      <c r="BF2231" s="20"/>
      <c r="BG2231" s="146"/>
      <c r="BH2231" s="146"/>
      <c r="BI2231" s="146"/>
      <c r="BJ2231" s="20"/>
      <c r="BK2231" s="20"/>
      <c r="BL2231" s="154"/>
      <c r="BP2231" s="20"/>
      <c r="BQ2231" s="154"/>
      <c r="BR2231" s="18"/>
      <c r="BS2231" s="16"/>
      <c r="BT2231" s="18"/>
      <c r="BU2231" s="18"/>
      <c r="BV2231" s="18"/>
      <c r="BW2231" s="20"/>
      <c r="BX2231" s="154"/>
      <c r="BY2231" s="18"/>
      <c r="BZ2231" s="146"/>
      <c r="CA2231" s="18"/>
      <c r="CB2231" s="18"/>
      <c r="CC2231" s="20"/>
      <c r="CD2231" s="154"/>
    </row>
    <row r="2232" spans="35:82">
      <c r="AI2232" s="19"/>
      <c r="AO2232" s="19"/>
      <c r="AY2232" s="145"/>
      <c r="AZ2232" s="16"/>
      <c r="BC2232" s="16"/>
      <c r="BD2232" s="20"/>
      <c r="BE2232" s="17"/>
      <c r="BF2232" s="20"/>
      <c r="BG2232" s="146"/>
      <c r="BH2232" s="146"/>
      <c r="BI2232" s="146"/>
      <c r="BJ2232" s="20"/>
      <c r="BK2232" s="20"/>
      <c r="BL2232" s="154"/>
      <c r="BP2232" s="20"/>
      <c r="BQ2232" s="154"/>
      <c r="BR2232" s="18"/>
      <c r="BS2232" s="16"/>
      <c r="BT2232" s="18"/>
      <c r="BU2232" s="18"/>
      <c r="BV2232" s="18"/>
      <c r="BW2232" s="20"/>
      <c r="BX2232" s="154"/>
      <c r="BY2232" s="18"/>
      <c r="BZ2232" s="146"/>
      <c r="CA2232" s="18"/>
      <c r="CB2232" s="18"/>
      <c r="CC2232" s="20"/>
      <c r="CD2232" s="154"/>
    </row>
    <row r="2233" spans="35:82">
      <c r="AI2233" s="19"/>
      <c r="AO2233" s="19"/>
      <c r="AY2233" s="145"/>
      <c r="AZ2233" s="16"/>
      <c r="BC2233" s="16"/>
      <c r="BD2233" s="20"/>
      <c r="BE2233" s="17"/>
      <c r="BF2233" s="20"/>
      <c r="BG2233" s="146"/>
      <c r="BH2233" s="146"/>
      <c r="BI2233" s="146"/>
      <c r="BJ2233" s="20"/>
      <c r="BK2233" s="20"/>
      <c r="BL2233" s="154"/>
      <c r="BP2233" s="20"/>
      <c r="BQ2233" s="154"/>
      <c r="BR2233" s="18"/>
      <c r="BS2233" s="16"/>
      <c r="BT2233" s="18"/>
      <c r="BU2233" s="18"/>
      <c r="BV2233" s="18"/>
      <c r="BW2233" s="20"/>
      <c r="BX2233" s="154"/>
      <c r="BY2233" s="18"/>
      <c r="BZ2233" s="146"/>
      <c r="CA2233" s="18"/>
      <c r="CB2233" s="18"/>
      <c r="CC2233" s="20"/>
      <c r="CD2233" s="154"/>
    </row>
    <row r="2234" spans="35:82">
      <c r="AI2234" s="19"/>
      <c r="AO2234" s="19"/>
      <c r="AY2234" s="145"/>
      <c r="AZ2234" s="16"/>
      <c r="BC2234" s="16"/>
      <c r="BD2234" s="20"/>
      <c r="BE2234" s="17"/>
      <c r="BF2234" s="20"/>
      <c r="BG2234" s="146"/>
      <c r="BH2234" s="146"/>
      <c r="BI2234" s="146"/>
      <c r="BJ2234" s="20"/>
      <c r="BK2234" s="20"/>
      <c r="BL2234" s="154"/>
      <c r="BP2234" s="20"/>
      <c r="BQ2234" s="154"/>
      <c r="BR2234" s="18"/>
      <c r="BS2234" s="16"/>
      <c r="BT2234" s="18"/>
      <c r="BU2234" s="18"/>
      <c r="BV2234" s="18"/>
      <c r="BW2234" s="20"/>
      <c r="BX2234" s="154"/>
      <c r="BY2234" s="18"/>
      <c r="BZ2234" s="146"/>
      <c r="CA2234" s="18"/>
      <c r="CB2234" s="18"/>
      <c r="CC2234" s="20"/>
      <c r="CD2234" s="154"/>
    </row>
    <row r="2235" spans="35:82">
      <c r="AI2235" s="19"/>
      <c r="AO2235" s="19"/>
      <c r="AY2235" s="145"/>
      <c r="AZ2235" s="16"/>
      <c r="BC2235" s="16"/>
      <c r="BD2235" s="20"/>
      <c r="BE2235" s="17"/>
      <c r="BF2235" s="20"/>
      <c r="BG2235" s="146"/>
      <c r="BH2235" s="146"/>
      <c r="BI2235" s="146"/>
      <c r="BJ2235" s="20"/>
      <c r="BK2235" s="20"/>
      <c r="BL2235" s="154"/>
      <c r="BP2235" s="20"/>
      <c r="BQ2235" s="154"/>
      <c r="BR2235" s="18"/>
      <c r="BS2235" s="16"/>
      <c r="BT2235" s="18"/>
      <c r="BU2235" s="18"/>
      <c r="BV2235" s="18"/>
      <c r="BW2235" s="20"/>
      <c r="BX2235" s="154"/>
      <c r="BY2235" s="18"/>
      <c r="BZ2235" s="146"/>
      <c r="CA2235" s="18"/>
      <c r="CB2235" s="18"/>
      <c r="CC2235" s="20"/>
      <c r="CD2235" s="154"/>
    </row>
    <row r="2236" spans="35:82">
      <c r="AI2236" s="19"/>
      <c r="AO2236" s="19"/>
      <c r="AY2236" s="145"/>
      <c r="AZ2236" s="16"/>
      <c r="BC2236" s="16"/>
      <c r="BD2236" s="20"/>
      <c r="BE2236" s="17"/>
      <c r="BF2236" s="20"/>
      <c r="BG2236" s="146"/>
      <c r="BH2236" s="146"/>
      <c r="BI2236" s="146"/>
      <c r="BJ2236" s="20"/>
      <c r="BK2236" s="20"/>
      <c r="BL2236" s="154"/>
      <c r="BP2236" s="20"/>
      <c r="BQ2236" s="154"/>
      <c r="BR2236" s="18"/>
      <c r="BS2236" s="16"/>
      <c r="BT2236" s="18"/>
      <c r="BU2236" s="18"/>
      <c r="BV2236" s="18"/>
      <c r="BW2236" s="20"/>
      <c r="BX2236" s="154"/>
      <c r="BY2236" s="18"/>
      <c r="BZ2236" s="146"/>
      <c r="CA2236" s="18"/>
      <c r="CB2236" s="18"/>
      <c r="CC2236" s="20"/>
      <c r="CD2236" s="154"/>
    </row>
    <row r="2237" spans="35:82">
      <c r="AI2237" s="19"/>
      <c r="AO2237" s="19"/>
      <c r="AY2237" s="145"/>
      <c r="AZ2237" s="16"/>
      <c r="BC2237" s="16"/>
      <c r="BD2237" s="20"/>
      <c r="BE2237" s="17"/>
      <c r="BF2237" s="20"/>
      <c r="BG2237" s="146"/>
      <c r="BH2237" s="146"/>
      <c r="BI2237" s="146"/>
      <c r="BJ2237" s="20"/>
      <c r="BK2237" s="20"/>
      <c r="BL2237" s="154"/>
      <c r="BP2237" s="20"/>
      <c r="BQ2237" s="154"/>
      <c r="BR2237" s="18"/>
      <c r="BS2237" s="16"/>
      <c r="BT2237" s="18"/>
      <c r="BU2237" s="18"/>
      <c r="BV2237" s="18"/>
      <c r="BW2237" s="20"/>
      <c r="BX2237" s="154"/>
      <c r="BY2237" s="18"/>
      <c r="BZ2237" s="146"/>
      <c r="CA2237" s="18"/>
      <c r="CB2237" s="18"/>
      <c r="CC2237" s="20"/>
      <c r="CD2237" s="154"/>
    </row>
    <row r="2238" spans="35:82">
      <c r="AI2238" s="19"/>
      <c r="AO2238" s="19"/>
      <c r="AY2238" s="145"/>
      <c r="AZ2238" s="16"/>
      <c r="BC2238" s="16"/>
      <c r="BD2238" s="20"/>
      <c r="BE2238" s="17"/>
      <c r="BF2238" s="20"/>
      <c r="BG2238" s="146"/>
      <c r="BH2238" s="146"/>
      <c r="BI2238" s="146"/>
      <c r="BJ2238" s="20"/>
      <c r="BK2238" s="20"/>
      <c r="BL2238" s="154"/>
      <c r="BP2238" s="20"/>
      <c r="BQ2238" s="154"/>
      <c r="BR2238" s="18"/>
      <c r="BS2238" s="16"/>
      <c r="BT2238" s="18"/>
      <c r="BU2238" s="18"/>
      <c r="BV2238" s="18"/>
      <c r="BW2238" s="20"/>
      <c r="BX2238" s="154"/>
      <c r="BY2238" s="18"/>
      <c r="BZ2238" s="146"/>
      <c r="CA2238" s="18"/>
      <c r="CB2238" s="18"/>
      <c r="CC2238" s="20"/>
      <c r="CD2238" s="154"/>
    </row>
    <row r="2239" spans="35:82">
      <c r="AI2239" s="19"/>
      <c r="AO2239" s="19"/>
      <c r="AY2239" s="145"/>
      <c r="AZ2239" s="16"/>
      <c r="BC2239" s="16"/>
      <c r="BD2239" s="20"/>
      <c r="BE2239" s="17"/>
      <c r="BF2239" s="20"/>
      <c r="BG2239" s="146"/>
      <c r="BH2239" s="146"/>
      <c r="BI2239" s="146"/>
      <c r="BJ2239" s="20"/>
      <c r="BK2239" s="20"/>
      <c r="BL2239" s="154"/>
      <c r="BP2239" s="20"/>
      <c r="BQ2239" s="154"/>
      <c r="BR2239" s="18"/>
      <c r="BS2239" s="16"/>
      <c r="BT2239" s="18"/>
      <c r="BU2239" s="18"/>
      <c r="BV2239" s="18"/>
      <c r="BW2239" s="20"/>
      <c r="BX2239" s="154"/>
      <c r="BY2239" s="18"/>
      <c r="BZ2239" s="146"/>
      <c r="CA2239" s="18"/>
      <c r="CB2239" s="18"/>
      <c r="CC2239" s="20"/>
      <c r="CD2239" s="154"/>
    </row>
    <row r="2240" spans="35:82">
      <c r="AI2240" s="19"/>
      <c r="AO2240" s="19"/>
      <c r="AY2240" s="145"/>
      <c r="AZ2240" s="16"/>
      <c r="BC2240" s="16"/>
      <c r="BD2240" s="20"/>
      <c r="BE2240" s="17"/>
      <c r="BF2240" s="20"/>
      <c r="BG2240" s="146"/>
      <c r="BH2240" s="146"/>
      <c r="BI2240" s="146"/>
      <c r="BJ2240" s="20"/>
      <c r="BK2240" s="20"/>
      <c r="BL2240" s="154"/>
      <c r="BP2240" s="20"/>
      <c r="BQ2240" s="154"/>
      <c r="BR2240" s="18"/>
      <c r="BS2240" s="16"/>
      <c r="BT2240" s="18"/>
      <c r="BU2240" s="18"/>
      <c r="BV2240" s="18"/>
      <c r="BW2240" s="20"/>
      <c r="BX2240" s="154"/>
      <c r="BY2240" s="18"/>
      <c r="BZ2240" s="146"/>
      <c r="CA2240" s="18"/>
      <c r="CB2240" s="18"/>
      <c r="CC2240" s="20"/>
      <c r="CD2240" s="154"/>
    </row>
    <row r="2241" spans="35:82">
      <c r="AI2241" s="19"/>
      <c r="AO2241" s="19"/>
      <c r="AY2241" s="145"/>
      <c r="AZ2241" s="16"/>
      <c r="BC2241" s="16"/>
      <c r="BD2241" s="20"/>
      <c r="BE2241" s="17"/>
      <c r="BF2241" s="20"/>
      <c r="BG2241" s="146"/>
      <c r="BH2241" s="146"/>
      <c r="BI2241" s="146"/>
      <c r="BJ2241" s="20"/>
      <c r="BK2241" s="20"/>
      <c r="BL2241" s="154"/>
      <c r="BP2241" s="20"/>
      <c r="BQ2241" s="154"/>
      <c r="BR2241" s="18"/>
      <c r="BS2241" s="16"/>
      <c r="BT2241" s="18"/>
      <c r="BU2241" s="18"/>
      <c r="BV2241" s="18"/>
      <c r="BW2241" s="20"/>
      <c r="BX2241" s="154"/>
      <c r="BY2241" s="18"/>
      <c r="BZ2241" s="146"/>
      <c r="CA2241" s="18"/>
      <c r="CB2241" s="18"/>
      <c r="CC2241" s="20"/>
      <c r="CD2241" s="154"/>
    </row>
    <row r="2242" spans="35:82">
      <c r="AI2242" s="19"/>
      <c r="AO2242" s="19"/>
      <c r="AY2242" s="145"/>
      <c r="AZ2242" s="16"/>
      <c r="BC2242" s="16"/>
      <c r="BD2242" s="20"/>
      <c r="BE2242" s="17"/>
      <c r="BF2242" s="20"/>
      <c r="BG2242" s="146"/>
      <c r="BH2242" s="146"/>
      <c r="BI2242" s="146"/>
      <c r="BJ2242" s="20"/>
      <c r="BK2242" s="20"/>
      <c r="BL2242" s="154"/>
      <c r="BP2242" s="20"/>
      <c r="BQ2242" s="154"/>
      <c r="BR2242" s="18"/>
      <c r="BS2242" s="16"/>
      <c r="BT2242" s="18"/>
      <c r="BU2242" s="18"/>
      <c r="BV2242" s="18"/>
      <c r="BW2242" s="20"/>
      <c r="BX2242" s="154"/>
      <c r="BY2242" s="18"/>
      <c r="BZ2242" s="146"/>
      <c r="CA2242" s="18"/>
      <c r="CB2242" s="18"/>
      <c r="CC2242" s="20"/>
      <c r="CD2242" s="154"/>
    </row>
    <row r="2243" spans="35:82">
      <c r="AI2243" s="19"/>
      <c r="AO2243" s="19"/>
      <c r="AY2243" s="145"/>
      <c r="AZ2243" s="16"/>
      <c r="BC2243" s="16"/>
      <c r="BD2243" s="20"/>
      <c r="BE2243" s="17"/>
      <c r="BF2243" s="20"/>
      <c r="BG2243" s="146"/>
      <c r="BH2243" s="146"/>
      <c r="BI2243" s="146"/>
      <c r="BJ2243" s="20"/>
      <c r="BK2243" s="20"/>
      <c r="BL2243" s="154"/>
      <c r="BP2243" s="20"/>
      <c r="BQ2243" s="154"/>
      <c r="BR2243" s="18"/>
      <c r="BS2243" s="16"/>
      <c r="BT2243" s="18"/>
      <c r="BU2243" s="18"/>
      <c r="BV2243" s="18"/>
      <c r="BW2243" s="20"/>
      <c r="BX2243" s="154"/>
      <c r="BY2243" s="18"/>
      <c r="BZ2243" s="146"/>
      <c r="CA2243" s="18"/>
      <c r="CB2243" s="18"/>
      <c r="CC2243" s="20"/>
      <c r="CD2243" s="154"/>
    </row>
    <row r="2244" spans="35:82">
      <c r="AI2244" s="19"/>
      <c r="AO2244" s="19"/>
      <c r="AY2244" s="145"/>
      <c r="AZ2244" s="16"/>
      <c r="BC2244" s="16"/>
      <c r="BD2244" s="20"/>
      <c r="BE2244" s="17"/>
      <c r="BF2244" s="20"/>
      <c r="BG2244" s="146"/>
      <c r="BH2244" s="146"/>
      <c r="BI2244" s="146"/>
      <c r="BJ2244" s="20"/>
      <c r="BK2244" s="20"/>
      <c r="BL2244" s="154"/>
      <c r="BP2244" s="20"/>
      <c r="BQ2244" s="154"/>
      <c r="BR2244" s="18"/>
      <c r="BS2244" s="16"/>
      <c r="BT2244" s="18"/>
      <c r="BU2244" s="18"/>
      <c r="BV2244" s="18"/>
      <c r="BW2244" s="20"/>
      <c r="BX2244" s="154"/>
      <c r="BY2244" s="18"/>
      <c r="BZ2244" s="146"/>
      <c r="CA2244" s="18"/>
      <c r="CB2244" s="18"/>
      <c r="CC2244" s="20"/>
      <c r="CD2244" s="154"/>
    </row>
    <row r="2245" spans="35:82">
      <c r="AI2245" s="19"/>
      <c r="AO2245" s="19"/>
      <c r="AY2245" s="145"/>
      <c r="AZ2245" s="16"/>
      <c r="BC2245" s="16"/>
      <c r="BD2245" s="20"/>
      <c r="BE2245" s="17"/>
      <c r="BF2245" s="20"/>
      <c r="BG2245" s="146"/>
      <c r="BH2245" s="146"/>
      <c r="BI2245" s="146"/>
      <c r="BJ2245" s="20"/>
      <c r="BK2245" s="20"/>
      <c r="BL2245" s="154"/>
      <c r="BP2245" s="20"/>
      <c r="BQ2245" s="154"/>
      <c r="BR2245" s="18"/>
      <c r="BS2245" s="16"/>
      <c r="BT2245" s="18"/>
      <c r="BU2245" s="18"/>
      <c r="BV2245" s="18"/>
      <c r="BW2245" s="20"/>
      <c r="BX2245" s="154"/>
      <c r="BY2245" s="18"/>
      <c r="BZ2245" s="146"/>
      <c r="CA2245" s="18"/>
      <c r="CB2245" s="18"/>
      <c r="CC2245" s="20"/>
      <c r="CD2245" s="154"/>
    </row>
    <row r="2246" spans="35:82">
      <c r="AI2246" s="19"/>
      <c r="AO2246" s="19"/>
      <c r="AY2246" s="145"/>
      <c r="AZ2246" s="16"/>
      <c r="BC2246" s="16"/>
      <c r="BD2246" s="20"/>
      <c r="BE2246" s="17"/>
      <c r="BF2246" s="20"/>
      <c r="BG2246" s="146"/>
      <c r="BH2246" s="146"/>
      <c r="BI2246" s="146"/>
      <c r="BJ2246" s="20"/>
      <c r="BK2246" s="20"/>
      <c r="BL2246" s="154"/>
      <c r="BP2246" s="20"/>
      <c r="BQ2246" s="154"/>
      <c r="BR2246" s="18"/>
      <c r="BS2246" s="16"/>
      <c r="BT2246" s="18"/>
      <c r="BU2246" s="18"/>
      <c r="BV2246" s="18"/>
      <c r="BW2246" s="20"/>
      <c r="BX2246" s="154"/>
      <c r="BY2246" s="18"/>
      <c r="BZ2246" s="146"/>
      <c r="CA2246" s="18"/>
      <c r="CB2246" s="18"/>
      <c r="CC2246" s="20"/>
      <c r="CD2246" s="154"/>
    </row>
    <row r="2247" spans="35:82">
      <c r="AI2247" s="19"/>
      <c r="AO2247" s="19"/>
      <c r="AY2247" s="145"/>
      <c r="AZ2247" s="16"/>
      <c r="BC2247" s="16"/>
      <c r="BD2247" s="20"/>
      <c r="BE2247" s="17"/>
      <c r="BF2247" s="20"/>
      <c r="BG2247" s="146"/>
      <c r="BH2247" s="146"/>
      <c r="BI2247" s="146"/>
      <c r="BJ2247" s="20"/>
      <c r="BK2247" s="20"/>
      <c r="BL2247" s="154"/>
      <c r="BP2247" s="20"/>
      <c r="BQ2247" s="154"/>
      <c r="BR2247" s="18"/>
      <c r="BS2247" s="16"/>
      <c r="BT2247" s="18"/>
      <c r="BU2247" s="18"/>
      <c r="BV2247" s="18"/>
      <c r="BW2247" s="20"/>
      <c r="BX2247" s="154"/>
      <c r="BY2247" s="18"/>
      <c r="BZ2247" s="146"/>
      <c r="CA2247" s="18"/>
      <c r="CB2247" s="18"/>
      <c r="CC2247" s="20"/>
      <c r="CD2247" s="154"/>
    </row>
    <row r="2248" spans="35:82">
      <c r="AI2248" s="19"/>
      <c r="AO2248" s="19"/>
      <c r="AY2248" s="145"/>
      <c r="AZ2248" s="16"/>
      <c r="BC2248" s="16"/>
      <c r="BD2248" s="20"/>
      <c r="BE2248" s="17"/>
      <c r="BF2248" s="20"/>
      <c r="BG2248" s="146"/>
      <c r="BH2248" s="146"/>
      <c r="BI2248" s="146"/>
      <c r="BJ2248" s="20"/>
      <c r="BK2248" s="20"/>
      <c r="BL2248" s="154"/>
      <c r="BP2248" s="20"/>
      <c r="BQ2248" s="154"/>
      <c r="BR2248" s="18"/>
      <c r="BS2248" s="16"/>
      <c r="BT2248" s="18"/>
      <c r="BU2248" s="18"/>
      <c r="BV2248" s="18"/>
      <c r="BW2248" s="20"/>
      <c r="BX2248" s="154"/>
      <c r="BY2248" s="18"/>
      <c r="BZ2248" s="146"/>
      <c r="CA2248" s="18"/>
      <c r="CB2248" s="18"/>
      <c r="CC2248" s="20"/>
      <c r="CD2248" s="154"/>
    </row>
    <row r="2249" spans="35:82">
      <c r="AI2249" s="19"/>
      <c r="AO2249" s="19"/>
      <c r="AY2249" s="145"/>
      <c r="AZ2249" s="16"/>
      <c r="BC2249" s="16"/>
      <c r="BD2249" s="20"/>
      <c r="BE2249" s="17"/>
      <c r="BF2249" s="20"/>
      <c r="BG2249" s="146"/>
      <c r="BH2249" s="146"/>
      <c r="BI2249" s="146"/>
      <c r="BJ2249" s="20"/>
      <c r="BK2249" s="20"/>
      <c r="BL2249" s="154"/>
      <c r="BP2249" s="20"/>
      <c r="BQ2249" s="154"/>
      <c r="BR2249" s="18"/>
      <c r="BS2249" s="16"/>
      <c r="BT2249" s="18"/>
      <c r="BU2249" s="18"/>
      <c r="BV2249" s="18"/>
      <c r="BW2249" s="20"/>
      <c r="BX2249" s="154"/>
      <c r="BY2249" s="18"/>
      <c r="BZ2249" s="146"/>
      <c r="CA2249" s="18"/>
      <c r="CB2249" s="18"/>
      <c r="CC2249" s="20"/>
      <c r="CD2249" s="154"/>
    </row>
    <row r="2250" spans="35:82">
      <c r="AI2250" s="19"/>
      <c r="AO2250" s="19"/>
      <c r="AY2250" s="145"/>
      <c r="AZ2250" s="16"/>
      <c r="BC2250" s="16"/>
      <c r="BD2250" s="20"/>
      <c r="BE2250" s="17"/>
      <c r="BF2250" s="20"/>
      <c r="BG2250" s="146"/>
      <c r="BH2250" s="146"/>
      <c r="BI2250" s="146"/>
      <c r="BJ2250" s="20"/>
      <c r="BK2250" s="20"/>
      <c r="BL2250" s="154"/>
      <c r="BP2250" s="20"/>
      <c r="BQ2250" s="154"/>
      <c r="BR2250" s="18"/>
      <c r="BS2250" s="16"/>
      <c r="BT2250" s="18"/>
      <c r="BU2250" s="18"/>
      <c r="BV2250" s="18"/>
      <c r="BW2250" s="20"/>
      <c r="BX2250" s="154"/>
      <c r="BY2250" s="18"/>
      <c r="BZ2250" s="146"/>
      <c r="CA2250" s="18"/>
      <c r="CB2250" s="18"/>
      <c r="CC2250" s="20"/>
      <c r="CD2250" s="154"/>
    </row>
    <row r="2251" spans="35:82">
      <c r="AI2251" s="19"/>
      <c r="AO2251" s="19"/>
      <c r="AY2251" s="145"/>
      <c r="AZ2251" s="16"/>
      <c r="BC2251" s="16"/>
      <c r="BD2251" s="20"/>
      <c r="BE2251" s="17"/>
      <c r="BF2251" s="20"/>
      <c r="BG2251" s="146"/>
      <c r="BH2251" s="146"/>
      <c r="BI2251" s="146"/>
      <c r="BJ2251" s="20"/>
      <c r="BK2251" s="20"/>
      <c r="BL2251" s="154"/>
      <c r="BP2251" s="20"/>
      <c r="BQ2251" s="154"/>
      <c r="BR2251" s="18"/>
      <c r="BS2251" s="16"/>
      <c r="BT2251" s="18"/>
      <c r="BU2251" s="18"/>
      <c r="BV2251" s="18"/>
      <c r="BW2251" s="20"/>
      <c r="BX2251" s="154"/>
      <c r="BY2251" s="18"/>
      <c r="BZ2251" s="146"/>
      <c r="CA2251" s="18"/>
      <c r="CB2251" s="18"/>
      <c r="CC2251" s="20"/>
      <c r="CD2251" s="154"/>
    </row>
    <row r="2252" spans="35:82">
      <c r="AI2252" s="19"/>
      <c r="AO2252" s="19"/>
      <c r="AY2252" s="145"/>
      <c r="AZ2252" s="16"/>
      <c r="BC2252" s="16"/>
      <c r="BD2252" s="20"/>
      <c r="BE2252" s="17"/>
      <c r="BF2252" s="20"/>
      <c r="BG2252" s="146"/>
      <c r="BH2252" s="146"/>
      <c r="BI2252" s="146"/>
      <c r="BJ2252" s="20"/>
      <c r="BK2252" s="20"/>
      <c r="BL2252" s="154"/>
      <c r="BP2252" s="20"/>
      <c r="BQ2252" s="154"/>
      <c r="BR2252" s="18"/>
      <c r="BS2252" s="16"/>
      <c r="BT2252" s="18"/>
      <c r="BU2252" s="18"/>
      <c r="BV2252" s="18"/>
      <c r="BW2252" s="20"/>
      <c r="BX2252" s="154"/>
      <c r="BY2252" s="18"/>
      <c r="BZ2252" s="146"/>
      <c r="CA2252" s="18"/>
      <c r="CB2252" s="18"/>
      <c r="CC2252" s="20"/>
      <c r="CD2252" s="154"/>
    </row>
    <row r="2253" spans="35:82">
      <c r="AI2253" s="19"/>
      <c r="AO2253" s="19"/>
      <c r="AY2253" s="145"/>
      <c r="AZ2253" s="16"/>
      <c r="BC2253" s="16"/>
      <c r="BD2253" s="20"/>
      <c r="BE2253" s="17"/>
      <c r="BF2253" s="20"/>
      <c r="BG2253" s="146"/>
      <c r="BH2253" s="146"/>
      <c r="BI2253" s="146"/>
      <c r="BJ2253" s="20"/>
      <c r="BK2253" s="20"/>
      <c r="BL2253" s="154"/>
      <c r="BP2253" s="20"/>
      <c r="BQ2253" s="154"/>
      <c r="BR2253" s="18"/>
      <c r="BS2253" s="16"/>
      <c r="BT2253" s="18"/>
      <c r="BU2253" s="18"/>
      <c r="BV2253" s="18"/>
      <c r="BW2253" s="20"/>
      <c r="BX2253" s="154"/>
      <c r="BY2253" s="18"/>
      <c r="BZ2253" s="146"/>
      <c r="CA2253" s="18"/>
      <c r="CB2253" s="18"/>
      <c r="CC2253" s="20"/>
      <c r="CD2253" s="154"/>
    </row>
    <row r="2254" spans="35:82">
      <c r="AI2254" s="19"/>
      <c r="AO2254" s="19"/>
      <c r="AY2254" s="145"/>
      <c r="AZ2254" s="16"/>
      <c r="BC2254" s="16"/>
      <c r="BD2254" s="20"/>
      <c r="BE2254" s="17"/>
      <c r="BF2254" s="20"/>
      <c r="BG2254" s="146"/>
      <c r="BH2254" s="146"/>
      <c r="BI2254" s="146"/>
      <c r="BJ2254" s="20"/>
      <c r="BK2254" s="20"/>
      <c r="BL2254" s="154"/>
      <c r="BP2254" s="20"/>
      <c r="BQ2254" s="154"/>
      <c r="BR2254" s="18"/>
      <c r="BS2254" s="16"/>
      <c r="BT2254" s="18"/>
      <c r="BU2254" s="18"/>
      <c r="BV2254" s="18"/>
      <c r="BW2254" s="20"/>
      <c r="BX2254" s="154"/>
      <c r="BY2254" s="18"/>
      <c r="BZ2254" s="146"/>
      <c r="CA2254" s="18"/>
      <c r="CB2254" s="18"/>
      <c r="CC2254" s="20"/>
      <c r="CD2254" s="154"/>
    </row>
    <row r="2255" spans="35:82">
      <c r="AI2255" s="19"/>
      <c r="AO2255" s="19"/>
      <c r="AY2255" s="145"/>
      <c r="AZ2255" s="16"/>
      <c r="BC2255" s="16"/>
      <c r="BD2255" s="20"/>
      <c r="BE2255" s="17"/>
      <c r="BF2255" s="20"/>
      <c r="BG2255" s="146"/>
      <c r="BH2255" s="146"/>
      <c r="BI2255" s="146"/>
      <c r="BJ2255" s="20"/>
      <c r="BK2255" s="20"/>
      <c r="BL2255" s="154"/>
      <c r="BP2255" s="20"/>
      <c r="BQ2255" s="154"/>
      <c r="BR2255" s="18"/>
      <c r="BS2255" s="16"/>
      <c r="BT2255" s="18"/>
      <c r="BU2255" s="18"/>
      <c r="BV2255" s="18"/>
      <c r="BW2255" s="20"/>
      <c r="BX2255" s="154"/>
      <c r="BY2255" s="18"/>
      <c r="BZ2255" s="146"/>
      <c r="CA2255" s="18"/>
      <c r="CB2255" s="18"/>
      <c r="CC2255" s="20"/>
      <c r="CD2255" s="154"/>
    </row>
    <row r="2256" spans="35:82">
      <c r="AI2256" s="19"/>
      <c r="AO2256" s="19"/>
      <c r="AY2256" s="145"/>
      <c r="AZ2256" s="16"/>
      <c r="BC2256" s="16"/>
      <c r="BD2256" s="20"/>
      <c r="BE2256" s="17"/>
      <c r="BF2256" s="20"/>
      <c r="BG2256" s="146"/>
      <c r="BH2256" s="146"/>
      <c r="BI2256" s="146"/>
      <c r="BJ2256" s="20"/>
      <c r="BK2256" s="20"/>
      <c r="BL2256" s="154"/>
      <c r="BP2256" s="20"/>
      <c r="BQ2256" s="154"/>
      <c r="BR2256" s="18"/>
      <c r="BS2256" s="16"/>
      <c r="BT2256" s="18"/>
      <c r="BU2256" s="18"/>
      <c r="BV2256" s="18"/>
      <c r="BW2256" s="20"/>
      <c r="BX2256" s="154"/>
      <c r="BY2256" s="18"/>
      <c r="BZ2256" s="146"/>
      <c r="CA2256" s="18"/>
      <c r="CB2256" s="18"/>
      <c r="CC2256" s="20"/>
      <c r="CD2256" s="154"/>
    </row>
    <row r="2257" spans="35:82">
      <c r="AI2257" s="19"/>
      <c r="AO2257" s="19"/>
      <c r="AY2257" s="145"/>
      <c r="AZ2257" s="16"/>
      <c r="BC2257" s="16"/>
      <c r="BD2257" s="20"/>
      <c r="BE2257" s="17"/>
      <c r="BF2257" s="20"/>
      <c r="BG2257" s="146"/>
      <c r="BH2257" s="146"/>
      <c r="BI2257" s="146"/>
      <c r="BJ2257" s="20"/>
      <c r="BK2257" s="20"/>
      <c r="BL2257" s="154"/>
      <c r="BP2257" s="20"/>
      <c r="BQ2257" s="154"/>
      <c r="BR2257" s="18"/>
      <c r="BS2257" s="16"/>
      <c r="BT2257" s="18"/>
      <c r="BU2257" s="18"/>
      <c r="BV2257" s="18"/>
      <c r="BW2257" s="20"/>
      <c r="BX2257" s="154"/>
      <c r="BY2257" s="18"/>
      <c r="BZ2257" s="146"/>
      <c r="CA2257" s="18"/>
      <c r="CB2257" s="18"/>
      <c r="CC2257" s="20"/>
      <c r="CD2257" s="154"/>
    </row>
    <row r="2258" spans="35:82">
      <c r="AI2258" s="19"/>
      <c r="AO2258" s="19"/>
      <c r="AY2258" s="145"/>
      <c r="AZ2258" s="16"/>
      <c r="BC2258" s="16"/>
      <c r="BD2258" s="20"/>
      <c r="BE2258" s="17"/>
      <c r="BF2258" s="20"/>
      <c r="BG2258" s="146"/>
      <c r="BH2258" s="146"/>
      <c r="BI2258" s="146"/>
      <c r="BJ2258" s="20"/>
      <c r="BK2258" s="20"/>
      <c r="BL2258" s="154"/>
      <c r="BP2258" s="20"/>
      <c r="BQ2258" s="154"/>
      <c r="BR2258" s="18"/>
      <c r="BS2258" s="16"/>
      <c r="BT2258" s="18"/>
      <c r="BU2258" s="18"/>
      <c r="BV2258" s="18"/>
      <c r="BW2258" s="20"/>
      <c r="BX2258" s="154"/>
      <c r="BY2258" s="18"/>
      <c r="BZ2258" s="146"/>
      <c r="CA2258" s="18"/>
      <c r="CB2258" s="18"/>
      <c r="CC2258" s="20"/>
      <c r="CD2258" s="154"/>
    </row>
    <row r="2259" spans="35:82">
      <c r="AI2259" s="19"/>
      <c r="AO2259" s="19"/>
      <c r="AY2259" s="145"/>
      <c r="AZ2259" s="16"/>
      <c r="BC2259" s="16"/>
      <c r="BD2259" s="20"/>
      <c r="BE2259" s="17"/>
      <c r="BF2259" s="20"/>
      <c r="BG2259" s="146"/>
      <c r="BH2259" s="146"/>
      <c r="BI2259" s="146"/>
      <c r="BJ2259" s="20"/>
      <c r="BK2259" s="20"/>
      <c r="BL2259" s="154"/>
      <c r="BP2259" s="20"/>
      <c r="BQ2259" s="154"/>
      <c r="BR2259" s="18"/>
      <c r="BS2259" s="16"/>
      <c r="BT2259" s="18"/>
      <c r="BU2259" s="18"/>
      <c r="BV2259" s="18"/>
      <c r="BW2259" s="20"/>
      <c r="BX2259" s="154"/>
      <c r="BY2259" s="18"/>
      <c r="BZ2259" s="146"/>
      <c r="CA2259" s="18"/>
      <c r="CB2259" s="18"/>
      <c r="CC2259" s="20"/>
      <c r="CD2259" s="154"/>
    </row>
    <row r="2260" spans="35:82">
      <c r="AI2260" s="19"/>
      <c r="AO2260" s="19"/>
      <c r="AY2260" s="145"/>
      <c r="AZ2260" s="16"/>
      <c r="BC2260" s="16"/>
      <c r="BD2260" s="20"/>
      <c r="BE2260" s="17"/>
      <c r="BF2260" s="20"/>
      <c r="BG2260" s="146"/>
      <c r="BH2260" s="146"/>
      <c r="BI2260" s="146"/>
      <c r="BJ2260" s="20"/>
      <c r="BK2260" s="20"/>
      <c r="BL2260" s="154"/>
      <c r="BP2260" s="20"/>
      <c r="BQ2260" s="154"/>
      <c r="BR2260" s="18"/>
      <c r="BS2260" s="16"/>
      <c r="BT2260" s="18"/>
      <c r="BU2260" s="18"/>
      <c r="BV2260" s="18"/>
      <c r="BW2260" s="20"/>
      <c r="BX2260" s="154"/>
      <c r="BY2260" s="18"/>
      <c r="BZ2260" s="146"/>
      <c r="CA2260" s="18"/>
      <c r="CB2260" s="18"/>
      <c r="CC2260" s="20"/>
      <c r="CD2260" s="154"/>
    </row>
    <row r="2261" spans="35:82">
      <c r="AI2261" s="19"/>
      <c r="AO2261" s="19"/>
      <c r="AY2261" s="145"/>
      <c r="AZ2261" s="16"/>
      <c r="BC2261" s="16"/>
      <c r="BD2261" s="20"/>
      <c r="BE2261" s="17"/>
      <c r="BF2261" s="20"/>
      <c r="BG2261" s="146"/>
      <c r="BH2261" s="146"/>
      <c r="BI2261" s="146"/>
      <c r="BJ2261" s="20"/>
      <c r="BK2261" s="20"/>
      <c r="BL2261" s="154"/>
      <c r="BP2261" s="20"/>
      <c r="BQ2261" s="154"/>
      <c r="BR2261" s="18"/>
      <c r="BS2261" s="16"/>
      <c r="BT2261" s="18"/>
      <c r="BU2261" s="18"/>
      <c r="BV2261" s="18"/>
      <c r="BW2261" s="20"/>
      <c r="BX2261" s="154"/>
      <c r="BY2261" s="18"/>
      <c r="BZ2261" s="146"/>
      <c r="CA2261" s="18"/>
      <c r="CB2261" s="18"/>
      <c r="CC2261" s="20"/>
      <c r="CD2261" s="154"/>
    </row>
    <row r="2262" spans="35:82">
      <c r="AI2262" s="19"/>
      <c r="AO2262" s="19"/>
      <c r="AY2262" s="145"/>
      <c r="AZ2262" s="16"/>
      <c r="BC2262" s="16"/>
      <c r="BD2262" s="20"/>
      <c r="BE2262" s="17"/>
      <c r="BF2262" s="20"/>
      <c r="BG2262" s="146"/>
      <c r="BH2262" s="146"/>
      <c r="BI2262" s="146"/>
      <c r="BJ2262" s="20"/>
      <c r="BK2262" s="20"/>
      <c r="BL2262" s="154"/>
      <c r="BP2262" s="20"/>
      <c r="BQ2262" s="154"/>
      <c r="BR2262" s="18"/>
      <c r="BS2262" s="16"/>
      <c r="BT2262" s="18"/>
      <c r="BU2262" s="18"/>
      <c r="BV2262" s="18"/>
      <c r="BW2262" s="20"/>
      <c r="BX2262" s="154"/>
      <c r="BY2262" s="18"/>
      <c r="BZ2262" s="146"/>
      <c r="CA2262" s="18"/>
      <c r="CB2262" s="18"/>
      <c r="CC2262" s="20"/>
      <c r="CD2262" s="154"/>
    </row>
    <row r="2263" spans="35:82">
      <c r="AI2263" s="19"/>
      <c r="AO2263" s="19"/>
      <c r="AY2263" s="145"/>
      <c r="AZ2263" s="16"/>
      <c r="BC2263" s="16"/>
      <c r="BD2263" s="20"/>
      <c r="BE2263" s="17"/>
      <c r="BF2263" s="20"/>
      <c r="BG2263" s="146"/>
      <c r="BH2263" s="146"/>
      <c r="BI2263" s="146"/>
      <c r="BJ2263" s="20"/>
      <c r="BK2263" s="20"/>
      <c r="BL2263" s="154"/>
      <c r="BP2263" s="20"/>
      <c r="BQ2263" s="154"/>
      <c r="BR2263" s="18"/>
      <c r="BS2263" s="16"/>
      <c r="BT2263" s="18"/>
      <c r="BU2263" s="18"/>
      <c r="BV2263" s="18"/>
      <c r="BW2263" s="20"/>
      <c r="BX2263" s="154"/>
      <c r="BY2263" s="18"/>
      <c r="BZ2263" s="146"/>
      <c r="CA2263" s="18"/>
      <c r="CB2263" s="18"/>
      <c r="CC2263" s="20"/>
      <c r="CD2263" s="154"/>
    </row>
    <row r="2264" spans="35:82">
      <c r="AI2264" s="19"/>
      <c r="AO2264" s="19"/>
      <c r="AY2264" s="145"/>
      <c r="AZ2264" s="16"/>
      <c r="BC2264" s="16"/>
      <c r="BD2264" s="20"/>
      <c r="BE2264" s="17"/>
      <c r="BF2264" s="20"/>
      <c r="BG2264" s="146"/>
      <c r="BH2264" s="146"/>
      <c r="BI2264" s="146"/>
      <c r="BJ2264" s="20"/>
      <c r="BK2264" s="20"/>
      <c r="BL2264" s="154"/>
      <c r="BP2264" s="20"/>
      <c r="BQ2264" s="154"/>
      <c r="BR2264" s="18"/>
      <c r="BS2264" s="16"/>
      <c r="BT2264" s="18"/>
      <c r="BU2264" s="18"/>
      <c r="BV2264" s="18"/>
      <c r="BW2264" s="20"/>
      <c r="BX2264" s="154"/>
      <c r="BY2264" s="18"/>
      <c r="BZ2264" s="146"/>
      <c r="CA2264" s="18"/>
      <c r="CB2264" s="18"/>
      <c r="CC2264" s="20"/>
      <c r="CD2264" s="154"/>
    </row>
    <row r="2265" spans="35:82">
      <c r="AI2265" s="19"/>
      <c r="AO2265" s="19"/>
      <c r="AY2265" s="145"/>
      <c r="AZ2265" s="16"/>
      <c r="BC2265" s="16"/>
      <c r="BD2265" s="20"/>
      <c r="BE2265" s="17"/>
      <c r="BF2265" s="20"/>
      <c r="BG2265" s="146"/>
      <c r="BH2265" s="146"/>
      <c r="BI2265" s="146"/>
      <c r="BJ2265" s="20"/>
      <c r="BK2265" s="20"/>
      <c r="BL2265" s="154"/>
      <c r="BP2265" s="20"/>
      <c r="BQ2265" s="154"/>
      <c r="BR2265" s="18"/>
      <c r="BS2265" s="16"/>
      <c r="BT2265" s="18"/>
      <c r="BU2265" s="18"/>
      <c r="BV2265" s="18"/>
      <c r="BW2265" s="20"/>
      <c r="BX2265" s="154"/>
      <c r="BY2265" s="18"/>
      <c r="BZ2265" s="146"/>
      <c r="CA2265" s="18"/>
      <c r="CB2265" s="18"/>
      <c r="CC2265" s="20"/>
      <c r="CD2265" s="154"/>
    </row>
    <row r="2266" spans="35:82">
      <c r="AI2266" s="19"/>
      <c r="AO2266" s="19"/>
      <c r="AY2266" s="145"/>
      <c r="AZ2266" s="16"/>
      <c r="BC2266" s="16"/>
      <c r="BD2266" s="20"/>
      <c r="BE2266" s="17"/>
      <c r="BF2266" s="20"/>
      <c r="BG2266" s="146"/>
      <c r="BH2266" s="146"/>
      <c r="BI2266" s="146"/>
      <c r="BJ2266" s="20"/>
      <c r="BK2266" s="20"/>
      <c r="BL2266" s="154"/>
      <c r="BP2266" s="20"/>
      <c r="BQ2266" s="154"/>
      <c r="BR2266" s="18"/>
      <c r="BS2266" s="16"/>
      <c r="BT2266" s="18"/>
      <c r="BU2266" s="18"/>
      <c r="BV2266" s="18"/>
      <c r="BW2266" s="20"/>
      <c r="BX2266" s="154"/>
      <c r="BY2266" s="18"/>
      <c r="BZ2266" s="146"/>
      <c r="CA2266" s="18"/>
      <c r="CB2266" s="18"/>
      <c r="CC2266" s="20"/>
      <c r="CD2266" s="154"/>
    </row>
    <row r="2267" spans="35:82">
      <c r="AI2267" s="19"/>
      <c r="AO2267" s="19"/>
      <c r="AY2267" s="145"/>
      <c r="AZ2267" s="16"/>
      <c r="BC2267" s="16"/>
      <c r="BD2267" s="20"/>
      <c r="BE2267" s="17"/>
      <c r="BF2267" s="20"/>
      <c r="BG2267" s="146"/>
      <c r="BH2267" s="146"/>
      <c r="BI2267" s="146"/>
      <c r="BJ2267" s="20"/>
      <c r="BK2267" s="20"/>
      <c r="BL2267" s="154"/>
      <c r="BP2267" s="20"/>
      <c r="BQ2267" s="154"/>
      <c r="BR2267" s="18"/>
      <c r="BS2267" s="16"/>
      <c r="BT2267" s="18"/>
      <c r="BU2267" s="18"/>
      <c r="BV2267" s="18"/>
      <c r="BW2267" s="20"/>
      <c r="BX2267" s="154"/>
      <c r="BY2267" s="18"/>
      <c r="BZ2267" s="146"/>
      <c r="CA2267" s="18"/>
      <c r="CB2267" s="18"/>
      <c r="CC2267" s="20"/>
      <c r="CD2267" s="154"/>
    </row>
    <row r="2268" spans="35:82">
      <c r="AI2268" s="19"/>
      <c r="AO2268" s="19"/>
      <c r="AY2268" s="145"/>
      <c r="AZ2268" s="16"/>
      <c r="BC2268" s="16"/>
      <c r="BD2268" s="20"/>
      <c r="BE2268" s="17"/>
      <c r="BF2268" s="20"/>
      <c r="BG2268" s="146"/>
      <c r="BH2268" s="146"/>
      <c r="BI2268" s="146"/>
      <c r="BJ2268" s="20"/>
      <c r="BK2268" s="20"/>
      <c r="BL2268" s="154"/>
      <c r="BP2268" s="20"/>
      <c r="BQ2268" s="154"/>
      <c r="BR2268" s="18"/>
      <c r="BS2268" s="16"/>
      <c r="BT2268" s="18"/>
      <c r="BU2268" s="18"/>
      <c r="BV2268" s="18"/>
      <c r="BW2268" s="20"/>
      <c r="BX2268" s="154"/>
      <c r="BY2268" s="18"/>
      <c r="BZ2268" s="146"/>
      <c r="CA2268" s="18"/>
      <c r="CB2268" s="18"/>
      <c r="CC2268" s="20"/>
      <c r="CD2268" s="154"/>
    </row>
    <row r="2269" spans="35:82">
      <c r="AI2269" s="19"/>
      <c r="AO2269" s="19"/>
      <c r="AY2269" s="145"/>
      <c r="AZ2269" s="16"/>
      <c r="BC2269" s="16"/>
      <c r="BD2269" s="20"/>
      <c r="BE2269" s="17"/>
      <c r="BF2269" s="20"/>
      <c r="BG2269" s="146"/>
      <c r="BH2269" s="146"/>
      <c r="BI2269" s="146"/>
      <c r="BJ2269" s="20"/>
      <c r="BK2269" s="20"/>
      <c r="BL2269" s="154"/>
      <c r="BP2269" s="20"/>
      <c r="BQ2269" s="154"/>
      <c r="BR2269" s="18"/>
      <c r="BS2269" s="16"/>
      <c r="BT2269" s="18"/>
      <c r="BU2269" s="18"/>
      <c r="BV2269" s="18"/>
      <c r="BW2269" s="20"/>
      <c r="BX2269" s="154"/>
      <c r="BY2269" s="18"/>
      <c r="BZ2269" s="146"/>
      <c r="CA2269" s="18"/>
      <c r="CB2269" s="18"/>
      <c r="CC2269" s="20"/>
      <c r="CD2269" s="154"/>
    </row>
    <row r="2270" spans="35:82">
      <c r="AI2270" s="19"/>
      <c r="AO2270" s="19"/>
      <c r="AY2270" s="145"/>
      <c r="AZ2270" s="16"/>
      <c r="BC2270" s="16"/>
      <c r="BD2270" s="20"/>
      <c r="BE2270" s="17"/>
      <c r="BF2270" s="20"/>
      <c r="BG2270" s="146"/>
      <c r="BH2270" s="146"/>
      <c r="BI2270" s="146"/>
      <c r="BJ2270" s="20"/>
      <c r="BK2270" s="20"/>
      <c r="BL2270" s="154"/>
      <c r="BP2270" s="20"/>
      <c r="BQ2270" s="154"/>
      <c r="BR2270" s="18"/>
      <c r="BS2270" s="16"/>
      <c r="BT2270" s="18"/>
      <c r="BU2270" s="18"/>
      <c r="BV2270" s="18"/>
      <c r="BW2270" s="20"/>
      <c r="BX2270" s="154"/>
      <c r="BY2270" s="18"/>
      <c r="BZ2270" s="146"/>
      <c r="CA2270" s="18"/>
      <c r="CB2270" s="18"/>
      <c r="CC2270" s="20"/>
      <c r="CD2270" s="154"/>
    </row>
    <row r="2271" spans="35:82">
      <c r="AI2271" s="19"/>
      <c r="AO2271" s="19"/>
      <c r="AY2271" s="145"/>
      <c r="AZ2271" s="16"/>
      <c r="BC2271" s="16"/>
      <c r="BD2271" s="20"/>
      <c r="BE2271" s="17"/>
      <c r="BF2271" s="20"/>
      <c r="BG2271" s="146"/>
      <c r="BH2271" s="146"/>
      <c r="BI2271" s="146"/>
      <c r="BJ2271" s="20"/>
      <c r="BK2271" s="20"/>
      <c r="BL2271" s="154"/>
      <c r="BP2271" s="20"/>
      <c r="BQ2271" s="154"/>
      <c r="BR2271" s="18"/>
      <c r="BS2271" s="16"/>
      <c r="BT2271" s="18"/>
      <c r="BU2271" s="18"/>
      <c r="BV2271" s="18"/>
      <c r="BW2271" s="20"/>
      <c r="BX2271" s="154"/>
      <c r="BY2271" s="18"/>
      <c r="BZ2271" s="146"/>
      <c r="CA2271" s="18"/>
      <c r="CB2271" s="18"/>
      <c r="CC2271" s="20"/>
      <c r="CD2271" s="154"/>
    </row>
    <row r="2272" spans="35:82">
      <c r="AI2272" s="19"/>
      <c r="AO2272" s="19"/>
      <c r="AY2272" s="145"/>
      <c r="AZ2272" s="16"/>
      <c r="BC2272" s="16"/>
      <c r="BD2272" s="20"/>
      <c r="BE2272" s="17"/>
      <c r="BF2272" s="20"/>
      <c r="BG2272" s="146"/>
      <c r="BH2272" s="146"/>
      <c r="BI2272" s="146"/>
      <c r="BJ2272" s="20"/>
      <c r="BK2272" s="20"/>
      <c r="BL2272" s="154"/>
      <c r="BP2272" s="20"/>
      <c r="BQ2272" s="154"/>
      <c r="BR2272" s="18"/>
      <c r="BS2272" s="16"/>
      <c r="BT2272" s="18"/>
      <c r="BU2272" s="18"/>
      <c r="BV2272" s="18"/>
      <c r="BW2272" s="20"/>
      <c r="BX2272" s="154"/>
      <c r="BY2272" s="18"/>
      <c r="BZ2272" s="146"/>
      <c r="CA2272" s="18"/>
      <c r="CB2272" s="18"/>
      <c r="CC2272" s="20"/>
      <c r="CD2272" s="154"/>
    </row>
    <row r="2273" spans="35:82">
      <c r="AI2273" s="19"/>
      <c r="AO2273" s="19"/>
      <c r="AY2273" s="145"/>
      <c r="AZ2273" s="16"/>
      <c r="BC2273" s="16"/>
      <c r="BD2273" s="20"/>
      <c r="BE2273" s="17"/>
      <c r="BF2273" s="20"/>
      <c r="BG2273" s="146"/>
      <c r="BH2273" s="146"/>
      <c r="BI2273" s="146"/>
      <c r="BJ2273" s="20"/>
      <c r="BK2273" s="20"/>
      <c r="BL2273" s="154"/>
      <c r="BP2273" s="20"/>
      <c r="BQ2273" s="154"/>
      <c r="BR2273" s="18"/>
      <c r="BS2273" s="16"/>
      <c r="BT2273" s="18"/>
      <c r="BU2273" s="18"/>
      <c r="BV2273" s="18"/>
      <c r="BW2273" s="20"/>
      <c r="BX2273" s="154"/>
      <c r="BY2273" s="18"/>
      <c r="BZ2273" s="146"/>
      <c r="CA2273" s="18"/>
      <c r="CB2273" s="18"/>
      <c r="CC2273" s="20"/>
      <c r="CD2273" s="154"/>
    </row>
    <row r="2274" spans="35:82">
      <c r="AI2274" s="19"/>
      <c r="AO2274" s="19"/>
      <c r="AY2274" s="145"/>
      <c r="AZ2274" s="16"/>
      <c r="BC2274" s="16"/>
      <c r="BD2274" s="20"/>
      <c r="BE2274" s="17"/>
      <c r="BF2274" s="20"/>
      <c r="BG2274" s="146"/>
      <c r="BH2274" s="146"/>
      <c r="BI2274" s="146"/>
      <c r="BJ2274" s="20"/>
      <c r="BK2274" s="20"/>
      <c r="BL2274" s="154"/>
      <c r="BP2274" s="20"/>
      <c r="BQ2274" s="154"/>
      <c r="BR2274" s="18"/>
      <c r="BS2274" s="16"/>
      <c r="BT2274" s="18"/>
      <c r="BU2274" s="18"/>
      <c r="BV2274" s="18"/>
      <c r="BW2274" s="20"/>
      <c r="BX2274" s="154"/>
      <c r="BY2274" s="18"/>
      <c r="BZ2274" s="146"/>
      <c r="CA2274" s="18"/>
      <c r="CB2274" s="18"/>
      <c r="CC2274" s="20"/>
      <c r="CD2274" s="154"/>
    </row>
    <row r="2275" spans="35:82">
      <c r="AI2275" s="19"/>
      <c r="AO2275" s="19"/>
      <c r="AY2275" s="145"/>
      <c r="AZ2275" s="16"/>
      <c r="BC2275" s="16"/>
      <c r="BD2275" s="20"/>
      <c r="BE2275" s="17"/>
      <c r="BF2275" s="20"/>
      <c r="BG2275" s="146"/>
      <c r="BH2275" s="146"/>
      <c r="BI2275" s="146"/>
      <c r="BJ2275" s="20"/>
      <c r="BK2275" s="20"/>
      <c r="BL2275" s="154"/>
      <c r="BP2275" s="20"/>
      <c r="BQ2275" s="154"/>
      <c r="BR2275" s="18"/>
      <c r="BS2275" s="16"/>
      <c r="BT2275" s="18"/>
      <c r="BU2275" s="18"/>
      <c r="BV2275" s="18"/>
      <c r="BW2275" s="20"/>
      <c r="BX2275" s="154"/>
      <c r="BY2275" s="18"/>
      <c r="BZ2275" s="146"/>
      <c r="CA2275" s="18"/>
      <c r="CB2275" s="18"/>
      <c r="CC2275" s="20"/>
      <c r="CD2275" s="154"/>
    </row>
    <row r="2276" spans="35:82">
      <c r="AI2276" s="19"/>
      <c r="AO2276" s="19"/>
      <c r="AY2276" s="145"/>
      <c r="AZ2276" s="16"/>
      <c r="BC2276" s="16"/>
      <c r="BD2276" s="20"/>
      <c r="BE2276" s="17"/>
      <c r="BF2276" s="20"/>
      <c r="BG2276" s="146"/>
      <c r="BH2276" s="146"/>
      <c r="BI2276" s="146"/>
      <c r="BJ2276" s="20"/>
      <c r="BK2276" s="20"/>
      <c r="BL2276" s="154"/>
      <c r="BP2276" s="20"/>
      <c r="BQ2276" s="154"/>
      <c r="BR2276" s="18"/>
      <c r="BS2276" s="16"/>
      <c r="BT2276" s="18"/>
      <c r="BU2276" s="18"/>
      <c r="BV2276" s="18"/>
      <c r="BW2276" s="20"/>
      <c r="BX2276" s="154"/>
      <c r="BY2276" s="18"/>
      <c r="BZ2276" s="146"/>
      <c r="CA2276" s="18"/>
      <c r="CB2276" s="18"/>
      <c r="CC2276" s="20"/>
      <c r="CD2276" s="154"/>
    </row>
    <row r="2277" spans="35:82">
      <c r="AI2277" s="19"/>
      <c r="AO2277" s="19"/>
      <c r="AY2277" s="145"/>
      <c r="AZ2277" s="16"/>
      <c r="BC2277" s="16"/>
      <c r="BD2277" s="20"/>
      <c r="BE2277" s="17"/>
      <c r="BF2277" s="20"/>
      <c r="BG2277" s="146"/>
      <c r="BH2277" s="146"/>
      <c r="BI2277" s="146"/>
      <c r="BJ2277" s="20"/>
      <c r="BK2277" s="20"/>
      <c r="BL2277" s="154"/>
      <c r="BP2277" s="20"/>
      <c r="BQ2277" s="154"/>
      <c r="BR2277" s="18"/>
      <c r="BS2277" s="16"/>
      <c r="BT2277" s="18"/>
      <c r="BU2277" s="18"/>
      <c r="BV2277" s="18"/>
      <c r="BW2277" s="20"/>
      <c r="BX2277" s="154"/>
      <c r="BY2277" s="18"/>
      <c r="BZ2277" s="146"/>
      <c r="CA2277" s="18"/>
      <c r="CB2277" s="18"/>
      <c r="CC2277" s="20"/>
      <c r="CD2277" s="154"/>
    </row>
    <row r="2278" spans="35:82">
      <c r="AI2278" s="19"/>
      <c r="AO2278" s="19"/>
      <c r="AY2278" s="145"/>
      <c r="AZ2278" s="16"/>
      <c r="BC2278" s="16"/>
      <c r="BD2278" s="20"/>
      <c r="BE2278" s="17"/>
      <c r="BF2278" s="20"/>
      <c r="BG2278" s="146"/>
      <c r="BH2278" s="146"/>
      <c r="BI2278" s="146"/>
      <c r="BJ2278" s="20"/>
      <c r="BK2278" s="20"/>
      <c r="BL2278" s="154"/>
      <c r="BP2278" s="20"/>
      <c r="BQ2278" s="154"/>
      <c r="BR2278" s="18"/>
      <c r="BS2278" s="16"/>
      <c r="BT2278" s="18"/>
      <c r="BU2278" s="18"/>
      <c r="BV2278" s="18"/>
      <c r="BW2278" s="20"/>
      <c r="BX2278" s="154"/>
      <c r="BY2278" s="18"/>
      <c r="BZ2278" s="146"/>
      <c r="CA2278" s="18"/>
      <c r="CB2278" s="18"/>
      <c r="CC2278" s="20"/>
      <c r="CD2278" s="154"/>
    </row>
    <row r="2279" spans="35:82">
      <c r="AI2279" s="19"/>
      <c r="AO2279" s="19"/>
      <c r="AY2279" s="145"/>
      <c r="AZ2279" s="16"/>
      <c r="BC2279" s="16"/>
      <c r="BD2279" s="20"/>
      <c r="BE2279" s="17"/>
      <c r="BF2279" s="20"/>
      <c r="BG2279" s="146"/>
      <c r="BH2279" s="146"/>
      <c r="BI2279" s="146"/>
      <c r="BJ2279" s="20"/>
      <c r="BK2279" s="20"/>
      <c r="BL2279" s="154"/>
      <c r="BP2279" s="20"/>
      <c r="BQ2279" s="154"/>
      <c r="BR2279" s="18"/>
      <c r="BS2279" s="16"/>
      <c r="BT2279" s="18"/>
      <c r="BU2279" s="18"/>
      <c r="BV2279" s="18"/>
      <c r="BW2279" s="20"/>
      <c r="BX2279" s="154"/>
      <c r="BY2279" s="18"/>
      <c r="BZ2279" s="146"/>
      <c r="CA2279" s="18"/>
      <c r="CB2279" s="18"/>
      <c r="CC2279" s="20"/>
      <c r="CD2279" s="154"/>
    </row>
    <row r="2280" spans="35:82">
      <c r="AI2280" s="19"/>
      <c r="AO2280" s="19"/>
      <c r="AY2280" s="145"/>
      <c r="AZ2280" s="16"/>
      <c r="BC2280" s="16"/>
      <c r="BD2280" s="20"/>
      <c r="BE2280" s="17"/>
      <c r="BF2280" s="20"/>
      <c r="BG2280" s="146"/>
      <c r="BH2280" s="146"/>
      <c r="BI2280" s="146"/>
      <c r="BJ2280" s="20"/>
      <c r="BK2280" s="20"/>
      <c r="BL2280" s="154"/>
      <c r="BP2280" s="20"/>
      <c r="BQ2280" s="154"/>
      <c r="BR2280" s="18"/>
      <c r="BS2280" s="16"/>
      <c r="BT2280" s="18"/>
      <c r="BU2280" s="18"/>
      <c r="BV2280" s="18"/>
      <c r="BW2280" s="20"/>
      <c r="BX2280" s="154"/>
      <c r="BY2280" s="18"/>
      <c r="BZ2280" s="146"/>
      <c r="CA2280" s="18"/>
      <c r="CB2280" s="18"/>
      <c r="CC2280" s="20"/>
      <c r="CD2280" s="154"/>
    </row>
    <row r="2281" spans="35:82">
      <c r="AI2281" s="19"/>
      <c r="AO2281" s="19"/>
      <c r="AY2281" s="145"/>
      <c r="AZ2281" s="16"/>
      <c r="BC2281" s="16"/>
      <c r="BD2281" s="20"/>
      <c r="BE2281" s="17"/>
      <c r="BF2281" s="20"/>
      <c r="BG2281" s="146"/>
      <c r="BH2281" s="146"/>
      <c r="BI2281" s="146"/>
      <c r="BJ2281" s="20"/>
      <c r="BK2281" s="20"/>
      <c r="BL2281" s="154"/>
      <c r="BP2281" s="20"/>
      <c r="BQ2281" s="154"/>
      <c r="BR2281" s="18"/>
      <c r="BS2281" s="16"/>
      <c r="BT2281" s="18"/>
      <c r="BU2281" s="18"/>
      <c r="BV2281" s="18"/>
      <c r="BW2281" s="20"/>
      <c r="BX2281" s="154"/>
      <c r="BY2281" s="18"/>
      <c r="BZ2281" s="146"/>
      <c r="CA2281" s="18"/>
      <c r="CB2281" s="18"/>
      <c r="CC2281" s="20"/>
      <c r="CD2281" s="154"/>
    </row>
    <row r="2282" spans="35:82">
      <c r="AI2282" s="19"/>
      <c r="AO2282" s="19"/>
      <c r="AY2282" s="145"/>
      <c r="AZ2282" s="16"/>
      <c r="BC2282" s="16"/>
      <c r="BD2282" s="20"/>
      <c r="BE2282" s="17"/>
      <c r="BF2282" s="20"/>
      <c r="BG2282" s="146"/>
      <c r="BH2282" s="146"/>
      <c r="BI2282" s="146"/>
      <c r="BJ2282" s="20"/>
      <c r="BK2282" s="20"/>
      <c r="BL2282" s="154"/>
      <c r="BP2282" s="20"/>
      <c r="BQ2282" s="154"/>
      <c r="BR2282" s="18"/>
      <c r="BS2282" s="16"/>
      <c r="BT2282" s="18"/>
      <c r="BU2282" s="18"/>
      <c r="BV2282" s="18"/>
      <c r="BW2282" s="20"/>
      <c r="BX2282" s="154"/>
      <c r="BY2282" s="18"/>
      <c r="BZ2282" s="146"/>
      <c r="CA2282" s="18"/>
      <c r="CB2282" s="18"/>
      <c r="CC2282" s="20"/>
      <c r="CD2282" s="154"/>
    </row>
    <row r="2283" spans="35:82">
      <c r="AI2283" s="19"/>
      <c r="AO2283" s="19"/>
      <c r="AY2283" s="145"/>
      <c r="AZ2283" s="16"/>
      <c r="BC2283" s="16"/>
      <c r="BD2283" s="20"/>
      <c r="BE2283" s="17"/>
      <c r="BF2283" s="20"/>
      <c r="BG2283" s="146"/>
      <c r="BH2283" s="146"/>
      <c r="BI2283" s="146"/>
      <c r="BJ2283" s="20"/>
      <c r="BK2283" s="20"/>
      <c r="BL2283" s="154"/>
      <c r="BP2283" s="20"/>
      <c r="BQ2283" s="154"/>
      <c r="BR2283" s="18"/>
      <c r="BS2283" s="16"/>
      <c r="BT2283" s="18"/>
      <c r="BU2283" s="18"/>
      <c r="BV2283" s="18"/>
      <c r="BW2283" s="20"/>
      <c r="BX2283" s="154"/>
      <c r="BY2283" s="18"/>
      <c r="BZ2283" s="146"/>
      <c r="CA2283" s="18"/>
      <c r="CB2283" s="18"/>
      <c r="CC2283" s="20"/>
      <c r="CD2283" s="154"/>
    </row>
    <row r="2284" spans="35:82">
      <c r="AI2284" s="19"/>
      <c r="AO2284" s="19"/>
      <c r="AY2284" s="145"/>
      <c r="AZ2284" s="16"/>
      <c r="BC2284" s="16"/>
      <c r="BD2284" s="20"/>
      <c r="BE2284" s="17"/>
      <c r="BF2284" s="20"/>
      <c r="BG2284" s="146"/>
      <c r="BH2284" s="146"/>
      <c r="BI2284" s="146"/>
      <c r="BJ2284" s="20"/>
      <c r="BK2284" s="20"/>
      <c r="BL2284" s="154"/>
      <c r="BP2284" s="20"/>
      <c r="BQ2284" s="154"/>
      <c r="BR2284" s="18"/>
      <c r="BS2284" s="16"/>
      <c r="BT2284" s="18"/>
      <c r="BU2284" s="18"/>
      <c r="BV2284" s="18"/>
      <c r="BW2284" s="20"/>
      <c r="BX2284" s="154"/>
      <c r="BY2284" s="18"/>
      <c r="BZ2284" s="146"/>
      <c r="CA2284" s="18"/>
      <c r="CB2284" s="18"/>
      <c r="CC2284" s="20"/>
      <c r="CD2284" s="154"/>
    </row>
    <row r="2285" spans="35:82">
      <c r="AI2285" s="19"/>
      <c r="AO2285" s="19"/>
      <c r="AY2285" s="145"/>
      <c r="AZ2285" s="16"/>
      <c r="BC2285" s="16"/>
      <c r="BD2285" s="20"/>
      <c r="BE2285" s="17"/>
      <c r="BF2285" s="20"/>
      <c r="BG2285" s="146"/>
      <c r="BH2285" s="146"/>
      <c r="BI2285" s="146"/>
      <c r="BJ2285" s="20"/>
      <c r="BK2285" s="20"/>
      <c r="BL2285" s="154"/>
      <c r="BP2285" s="20"/>
      <c r="BQ2285" s="154"/>
      <c r="BR2285" s="18"/>
      <c r="BS2285" s="16"/>
      <c r="BT2285" s="18"/>
      <c r="BU2285" s="18"/>
      <c r="BV2285" s="18"/>
      <c r="BW2285" s="20"/>
      <c r="BX2285" s="154"/>
      <c r="BY2285" s="18"/>
      <c r="BZ2285" s="146"/>
      <c r="CA2285" s="18"/>
      <c r="CB2285" s="18"/>
      <c r="CC2285" s="20"/>
      <c r="CD2285" s="154"/>
    </row>
    <row r="2286" spans="35:82">
      <c r="AI2286" s="19"/>
      <c r="AO2286" s="19"/>
      <c r="AY2286" s="145"/>
      <c r="AZ2286" s="16"/>
      <c r="BC2286" s="16"/>
      <c r="BD2286" s="20"/>
      <c r="BE2286" s="17"/>
      <c r="BF2286" s="20"/>
      <c r="BG2286" s="146"/>
      <c r="BH2286" s="146"/>
      <c r="BI2286" s="146"/>
      <c r="BJ2286" s="20"/>
      <c r="BK2286" s="20"/>
      <c r="BL2286" s="154"/>
      <c r="BP2286" s="20"/>
      <c r="BQ2286" s="154"/>
      <c r="BR2286" s="18"/>
      <c r="BS2286" s="16"/>
      <c r="BT2286" s="18"/>
      <c r="BU2286" s="18"/>
      <c r="BV2286" s="18"/>
      <c r="BW2286" s="20"/>
      <c r="BX2286" s="154"/>
      <c r="BY2286" s="18"/>
      <c r="BZ2286" s="146"/>
      <c r="CA2286" s="18"/>
      <c r="CB2286" s="18"/>
      <c r="CC2286" s="20"/>
      <c r="CD2286" s="154"/>
    </row>
    <row r="2287" spans="35:82">
      <c r="AI2287" s="19"/>
      <c r="AO2287" s="19"/>
      <c r="AY2287" s="145"/>
      <c r="AZ2287" s="16"/>
      <c r="BC2287" s="16"/>
      <c r="BD2287" s="20"/>
      <c r="BE2287" s="17"/>
      <c r="BF2287" s="20"/>
      <c r="BG2287" s="146"/>
      <c r="BH2287" s="146"/>
      <c r="BI2287" s="146"/>
      <c r="BJ2287" s="20"/>
      <c r="BK2287" s="20"/>
      <c r="BL2287" s="154"/>
      <c r="BP2287" s="20"/>
      <c r="BQ2287" s="154"/>
      <c r="BR2287" s="18"/>
      <c r="BS2287" s="16"/>
      <c r="BT2287" s="18"/>
      <c r="BU2287" s="18"/>
      <c r="BV2287" s="18"/>
      <c r="BW2287" s="20"/>
      <c r="BX2287" s="154"/>
      <c r="BY2287" s="18"/>
      <c r="BZ2287" s="146"/>
      <c r="CA2287" s="18"/>
      <c r="CB2287" s="18"/>
      <c r="CC2287" s="20"/>
      <c r="CD2287" s="154"/>
    </row>
    <row r="2288" spans="35:82">
      <c r="AI2288" s="19"/>
      <c r="AO2288" s="19"/>
      <c r="AY2288" s="145"/>
      <c r="AZ2288" s="16"/>
      <c r="BC2288" s="16"/>
      <c r="BD2288" s="20"/>
      <c r="BE2288" s="17"/>
      <c r="BF2288" s="20"/>
      <c r="BG2288" s="146"/>
      <c r="BH2288" s="146"/>
      <c r="BI2288" s="146"/>
      <c r="BJ2288" s="20"/>
      <c r="BK2288" s="20"/>
      <c r="BL2288" s="154"/>
      <c r="BP2288" s="20"/>
      <c r="BQ2288" s="154"/>
      <c r="BR2288" s="18"/>
      <c r="BS2288" s="16"/>
      <c r="BT2288" s="18"/>
      <c r="BU2288" s="18"/>
      <c r="BV2288" s="18"/>
      <c r="BW2288" s="20"/>
      <c r="BX2288" s="154"/>
      <c r="BY2288" s="18"/>
      <c r="BZ2288" s="146"/>
      <c r="CA2288" s="18"/>
      <c r="CB2288" s="18"/>
      <c r="CC2288" s="20"/>
      <c r="CD2288" s="154"/>
    </row>
    <row r="2289" spans="35:82">
      <c r="AI2289" s="19"/>
      <c r="AO2289" s="19"/>
      <c r="AY2289" s="145"/>
      <c r="AZ2289" s="16"/>
      <c r="BC2289" s="16"/>
      <c r="BD2289" s="20"/>
      <c r="BE2289" s="17"/>
      <c r="BF2289" s="20"/>
      <c r="BG2289" s="146"/>
      <c r="BH2289" s="146"/>
      <c r="BI2289" s="146"/>
      <c r="BJ2289" s="20"/>
      <c r="BK2289" s="20"/>
      <c r="BL2289" s="154"/>
      <c r="BP2289" s="20"/>
      <c r="BQ2289" s="154"/>
      <c r="BR2289" s="18"/>
      <c r="BS2289" s="16"/>
      <c r="BT2289" s="18"/>
      <c r="BU2289" s="18"/>
      <c r="BV2289" s="18"/>
      <c r="BW2289" s="20"/>
      <c r="BX2289" s="154"/>
      <c r="BY2289" s="18"/>
      <c r="BZ2289" s="146"/>
      <c r="CA2289" s="18"/>
      <c r="CB2289" s="18"/>
      <c r="CC2289" s="20"/>
      <c r="CD2289" s="154"/>
    </row>
    <row r="2290" spans="35:82">
      <c r="AI2290" s="19"/>
      <c r="AO2290" s="19"/>
      <c r="AY2290" s="145"/>
      <c r="AZ2290" s="16"/>
      <c r="BC2290" s="16"/>
      <c r="BD2290" s="20"/>
      <c r="BE2290" s="17"/>
      <c r="BF2290" s="20"/>
      <c r="BG2290" s="146"/>
      <c r="BH2290" s="146"/>
      <c r="BI2290" s="146"/>
      <c r="BJ2290" s="20"/>
      <c r="BK2290" s="20"/>
      <c r="BL2290" s="154"/>
      <c r="BP2290" s="20"/>
      <c r="BQ2290" s="154"/>
      <c r="BR2290" s="18"/>
      <c r="BS2290" s="16"/>
      <c r="BT2290" s="18"/>
      <c r="BU2290" s="18"/>
      <c r="BV2290" s="18"/>
      <c r="BW2290" s="20"/>
      <c r="BX2290" s="154"/>
      <c r="BY2290" s="18"/>
      <c r="BZ2290" s="146"/>
      <c r="CA2290" s="18"/>
      <c r="CB2290" s="18"/>
      <c r="CC2290" s="20"/>
      <c r="CD2290" s="154"/>
    </row>
    <row r="2291" spans="35:82">
      <c r="AI2291" s="19"/>
      <c r="AO2291" s="19"/>
      <c r="AY2291" s="145"/>
      <c r="AZ2291" s="16"/>
      <c r="BC2291" s="16"/>
      <c r="BD2291" s="20"/>
      <c r="BE2291" s="17"/>
      <c r="BF2291" s="20"/>
      <c r="BG2291" s="146"/>
      <c r="BH2291" s="146"/>
      <c r="BI2291" s="146"/>
      <c r="BJ2291" s="20"/>
      <c r="BK2291" s="20"/>
      <c r="BL2291" s="154"/>
      <c r="BP2291" s="20"/>
      <c r="BQ2291" s="154"/>
      <c r="BR2291" s="18"/>
      <c r="BS2291" s="16"/>
      <c r="BT2291" s="18"/>
      <c r="BU2291" s="18"/>
      <c r="BV2291" s="18"/>
      <c r="BW2291" s="20"/>
      <c r="BX2291" s="154"/>
      <c r="BY2291" s="18"/>
      <c r="BZ2291" s="146"/>
      <c r="CA2291" s="18"/>
      <c r="CB2291" s="18"/>
      <c r="CC2291" s="20"/>
      <c r="CD2291" s="154"/>
    </row>
    <row r="2292" spans="35:82">
      <c r="AI2292" s="19"/>
      <c r="AO2292" s="19"/>
      <c r="AY2292" s="145"/>
      <c r="AZ2292" s="16"/>
      <c r="BC2292" s="16"/>
      <c r="BD2292" s="20"/>
      <c r="BE2292" s="17"/>
      <c r="BF2292" s="20"/>
      <c r="BG2292" s="146"/>
      <c r="BH2292" s="146"/>
      <c r="BI2292" s="146"/>
      <c r="BJ2292" s="20"/>
      <c r="BK2292" s="20"/>
      <c r="BL2292" s="154"/>
      <c r="BP2292" s="20"/>
      <c r="BQ2292" s="154"/>
      <c r="BR2292" s="18"/>
      <c r="BS2292" s="16"/>
      <c r="BT2292" s="18"/>
      <c r="BU2292" s="18"/>
      <c r="BV2292" s="18"/>
      <c r="BW2292" s="20"/>
      <c r="BX2292" s="154"/>
      <c r="BY2292" s="18"/>
      <c r="BZ2292" s="146"/>
      <c r="CA2292" s="18"/>
      <c r="CB2292" s="18"/>
      <c r="CC2292" s="20"/>
      <c r="CD2292" s="154"/>
    </row>
    <row r="2293" spans="35:82">
      <c r="AI2293" s="19"/>
      <c r="AO2293" s="19"/>
      <c r="AY2293" s="145"/>
      <c r="AZ2293" s="16"/>
      <c r="BC2293" s="16"/>
      <c r="BD2293" s="20"/>
      <c r="BE2293" s="17"/>
      <c r="BF2293" s="20"/>
      <c r="BG2293" s="146"/>
      <c r="BH2293" s="146"/>
      <c r="BI2293" s="146"/>
      <c r="BJ2293" s="20"/>
      <c r="BK2293" s="20"/>
      <c r="BL2293" s="154"/>
      <c r="BP2293" s="20"/>
      <c r="BQ2293" s="154"/>
      <c r="BR2293" s="18"/>
      <c r="BS2293" s="16"/>
      <c r="BT2293" s="18"/>
      <c r="BU2293" s="18"/>
      <c r="BV2293" s="18"/>
      <c r="BW2293" s="20"/>
      <c r="BX2293" s="154"/>
      <c r="BY2293" s="18"/>
      <c r="BZ2293" s="146"/>
      <c r="CA2293" s="18"/>
      <c r="CB2293" s="18"/>
      <c r="CC2293" s="20"/>
      <c r="CD2293" s="154"/>
    </row>
    <row r="2294" spans="35:82">
      <c r="AI2294" s="19"/>
      <c r="AO2294" s="19"/>
      <c r="AY2294" s="145"/>
      <c r="AZ2294" s="16"/>
      <c r="BC2294" s="16"/>
      <c r="BD2294" s="20"/>
      <c r="BE2294" s="17"/>
      <c r="BF2294" s="20"/>
      <c r="BG2294" s="146"/>
      <c r="BH2294" s="146"/>
      <c r="BI2294" s="146"/>
      <c r="BJ2294" s="20"/>
      <c r="BK2294" s="20"/>
      <c r="BL2294" s="154"/>
      <c r="BP2294" s="20"/>
      <c r="BQ2294" s="154"/>
      <c r="BR2294" s="18"/>
      <c r="BS2294" s="16"/>
      <c r="BT2294" s="18"/>
      <c r="BU2294" s="18"/>
      <c r="BV2294" s="18"/>
      <c r="BW2294" s="20"/>
      <c r="BX2294" s="154"/>
      <c r="BY2294" s="18"/>
      <c r="BZ2294" s="146"/>
      <c r="CA2294" s="18"/>
      <c r="CB2294" s="18"/>
      <c r="CC2294" s="20"/>
      <c r="CD2294" s="154"/>
    </row>
    <row r="2295" spans="35:82">
      <c r="AI2295" s="19"/>
      <c r="AO2295" s="19"/>
      <c r="AY2295" s="145"/>
      <c r="AZ2295" s="16"/>
      <c r="BC2295" s="16"/>
      <c r="BD2295" s="20"/>
      <c r="BE2295" s="17"/>
      <c r="BF2295" s="20"/>
      <c r="BG2295" s="146"/>
      <c r="BH2295" s="146"/>
      <c r="BI2295" s="146"/>
      <c r="BJ2295" s="20"/>
      <c r="BK2295" s="20"/>
      <c r="BL2295" s="154"/>
      <c r="BP2295" s="20"/>
      <c r="BQ2295" s="154"/>
      <c r="BR2295" s="18"/>
      <c r="BS2295" s="16"/>
      <c r="BT2295" s="18"/>
      <c r="BU2295" s="18"/>
      <c r="BV2295" s="18"/>
      <c r="BW2295" s="20"/>
      <c r="BX2295" s="154"/>
      <c r="BY2295" s="18"/>
      <c r="BZ2295" s="146"/>
      <c r="CA2295" s="18"/>
      <c r="CB2295" s="18"/>
      <c r="CC2295" s="20"/>
      <c r="CD2295" s="154"/>
    </row>
    <row r="2296" spans="35:82">
      <c r="AI2296" s="19"/>
      <c r="AO2296" s="19"/>
      <c r="AY2296" s="145"/>
      <c r="AZ2296" s="16"/>
      <c r="BC2296" s="16"/>
      <c r="BD2296" s="20"/>
      <c r="BE2296" s="17"/>
      <c r="BF2296" s="20"/>
      <c r="BG2296" s="146"/>
      <c r="BH2296" s="146"/>
      <c r="BI2296" s="146"/>
      <c r="BJ2296" s="20"/>
      <c r="BK2296" s="20"/>
      <c r="BL2296" s="154"/>
      <c r="BP2296" s="20"/>
      <c r="BQ2296" s="154"/>
      <c r="BR2296" s="18"/>
      <c r="BS2296" s="16"/>
      <c r="BT2296" s="18"/>
      <c r="BU2296" s="18"/>
      <c r="BV2296" s="18"/>
      <c r="BW2296" s="20"/>
      <c r="BX2296" s="154"/>
      <c r="BY2296" s="18"/>
      <c r="BZ2296" s="146"/>
      <c r="CA2296" s="18"/>
      <c r="CB2296" s="18"/>
      <c r="CC2296" s="20"/>
      <c r="CD2296" s="154"/>
    </row>
    <row r="2297" spans="35:82">
      <c r="AI2297" s="19"/>
      <c r="AO2297" s="19"/>
      <c r="AY2297" s="145"/>
      <c r="AZ2297" s="16"/>
      <c r="BC2297" s="16"/>
      <c r="BD2297" s="20"/>
      <c r="BE2297" s="17"/>
      <c r="BF2297" s="20"/>
      <c r="BG2297" s="146"/>
      <c r="BH2297" s="146"/>
      <c r="BI2297" s="146"/>
      <c r="BJ2297" s="20"/>
      <c r="BK2297" s="20"/>
      <c r="BL2297" s="154"/>
      <c r="BP2297" s="20"/>
      <c r="BQ2297" s="154"/>
      <c r="BR2297" s="18"/>
      <c r="BS2297" s="16"/>
      <c r="BT2297" s="18"/>
      <c r="BU2297" s="18"/>
      <c r="BV2297" s="18"/>
      <c r="BW2297" s="20"/>
      <c r="BX2297" s="154"/>
      <c r="BY2297" s="18"/>
      <c r="BZ2297" s="146"/>
      <c r="CA2297" s="18"/>
      <c r="CB2297" s="18"/>
      <c r="CC2297" s="20"/>
      <c r="CD2297" s="154"/>
    </row>
    <row r="2298" spans="35:82">
      <c r="AI2298" s="19"/>
      <c r="AO2298" s="19"/>
      <c r="AY2298" s="145"/>
      <c r="AZ2298" s="16"/>
      <c r="BC2298" s="16"/>
      <c r="BD2298" s="20"/>
      <c r="BE2298" s="17"/>
      <c r="BF2298" s="20"/>
      <c r="BG2298" s="146"/>
      <c r="BH2298" s="146"/>
      <c r="BI2298" s="146"/>
      <c r="BJ2298" s="20"/>
      <c r="BK2298" s="20"/>
      <c r="BL2298" s="154"/>
      <c r="BP2298" s="20"/>
      <c r="BQ2298" s="154"/>
      <c r="BR2298" s="18"/>
      <c r="BS2298" s="16"/>
      <c r="BT2298" s="18"/>
      <c r="BU2298" s="18"/>
      <c r="BV2298" s="18"/>
      <c r="BW2298" s="20"/>
      <c r="BX2298" s="154"/>
      <c r="BY2298" s="18"/>
      <c r="BZ2298" s="146"/>
      <c r="CA2298" s="18"/>
      <c r="CB2298" s="18"/>
      <c r="CC2298" s="20"/>
      <c r="CD2298" s="154"/>
    </row>
    <row r="2299" spans="35:82">
      <c r="AI2299" s="19"/>
      <c r="AO2299" s="19"/>
      <c r="AY2299" s="145"/>
      <c r="AZ2299" s="16"/>
      <c r="BC2299" s="16"/>
      <c r="BD2299" s="20"/>
      <c r="BE2299" s="17"/>
      <c r="BF2299" s="20"/>
      <c r="BG2299" s="146"/>
      <c r="BH2299" s="146"/>
      <c r="BI2299" s="146"/>
      <c r="BJ2299" s="20"/>
      <c r="BK2299" s="20"/>
      <c r="BL2299" s="154"/>
      <c r="BP2299" s="20"/>
      <c r="BQ2299" s="154"/>
      <c r="BR2299" s="18"/>
      <c r="BS2299" s="16"/>
      <c r="BT2299" s="18"/>
      <c r="BU2299" s="18"/>
      <c r="BV2299" s="18"/>
      <c r="BW2299" s="20"/>
      <c r="BX2299" s="154"/>
      <c r="BY2299" s="18"/>
      <c r="BZ2299" s="146"/>
      <c r="CA2299" s="18"/>
      <c r="CB2299" s="18"/>
      <c r="CC2299" s="20"/>
      <c r="CD2299" s="154"/>
    </row>
    <row r="2300" spans="35:82">
      <c r="AI2300" s="19"/>
      <c r="AO2300" s="19"/>
      <c r="AY2300" s="145"/>
      <c r="AZ2300" s="16"/>
      <c r="BC2300" s="16"/>
      <c r="BD2300" s="20"/>
      <c r="BE2300" s="17"/>
      <c r="BF2300" s="20"/>
      <c r="BG2300" s="146"/>
      <c r="BH2300" s="146"/>
      <c r="BI2300" s="146"/>
      <c r="BJ2300" s="20"/>
      <c r="BK2300" s="20"/>
      <c r="BL2300" s="154"/>
      <c r="BP2300" s="20"/>
      <c r="BQ2300" s="154"/>
      <c r="BR2300" s="18"/>
      <c r="BS2300" s="16"/>
      <c r="BT2300" s="18"/>
      <c r="BU2300" s="18"/>
      <c r="BV2300" s="18"/>
      <c r="BW2300" s="20"/>
      <c r="BX2300" s="154"/>
      <c r="BY2300" s="18"/>
      <c r="BZ2300" s="146"/>
      <c r="CA2300" s="18"/>
      <c r="CB2300" s="18"/>
      <c r="CC2300" s="20"/>
      <c r="CD2300" s="154"/>
    </row>
    <row r="2301" spans="35:82">
      <c r="AI2301" s="19"/>
      <c r="AO2301" s="19"/>
      <c r="AY2301" s="145"/>
      <c r="AZ2301" s="16"/>
      <c r="BC2301" s="16"/>
      <c r="BD2301" s="20"/>
      <c r="BE2301" s="17"/>
      <c r="BF2301" s="20"/>
      <c r="BG2301" s="146"/>
      <c r="BH2301" s="146"/>
      <c r="BI2301" s="146"/>
      <c r="BJ2301" s="20"/>
      <c r="BK2301" s="20"/>
      <c r="BL2301" s="154"/>
      <c r="BP2301" s="20"/>
      <c r="BQ2301" s="154"/>
      <c r="BR2301" s="18"/>
      <c r="BS2301" s="16"/>
      <c r="BT2301" s="18"/>
      <c r="BU2301" s="18"/>
      <c r="BV2301" s="18"/>
      <c r="BW2301" s="20"/>
      <c r="BX2301" s="154"/>
      <c r="BY2301" s="18"/>
      <c r="BZ2301" s="146"/>
      <c r="CA2301" s="18"/>
      <c r="CB2301" s="18"/>
      <c r="CC2301" s="20"/>
      <c r="CD2301" s="154"/>
    </row>
    <row r="2302" spans="35:82">
      <c r="AI2302" s="19"/>
      <c r="AO2302" s="19"/>
      <c r="AY2302" s="145"/>
      <c r="AZ2302" s="16"/>
      <c r="BC2302" s="16"/>
      <c r="BD2302" s="20"/>
      <c r="BE2302" s="17"/>
      <c r="BF2302" s="20"/>
      <c r="BG2302" s="146"/>
      <c r="BH2302" s="146"/>
      <c r="BI2302" s="146"/>
      <c r="BJ2302" s="20"/>
      <c r="BK2302" s="20"/>
      <c r="BL2302" s="154"/>
      <c r="BP2302" s="20"/>
      <c r="BQ2302" s="154"/>
      <c r="BR2302" s="18"/>
      <c r="BS2302" s="16"/>
      <c r="BT2302" s="18"/>
      <c r="BU2302" s="18"/>
      <c r="BV2302" s="18"/>
      <c r="BW2302" s="20"/>
      <c r="BX2302" s="154"/>
      <c r="BY2302" s="18"/>
      <c r="BZ2302" s="146"/>
      <c r="CA2302" s="18"/>
      <c r="CB2302" s="18"/>
      <c r="CC2302" s="20"/>
      <c r="CD2302" s="154"/>
    </row>
    <row r="2303" spans="35:82">
      <c r="AI2303" s="19"/>
      <c r="AO2303" s="19"/>
      <c r="AY2303" s="145"/>
      <c r="AZ2303" s="16"/>
      <c r="BC2303" s="16"/>
      <c r="BD2303" s="20"/>
      <c r="BE2303" s="17"/>
      <c r="BF2303" s="20"/>
      <c r="BG2303" s="146"/>
      <c r="BH2303" s="146"/>
      <c r="BI2303" s="146"/>
      <c r="BJ2303" s="20"/>
      <c r="BK2303" s="20"/>
      <c r="BL2303" s="154"/>
      <c r="BP2303" s="20"/>
      <c r="BQ2303" s="154"/>
      <c r="BR2303" s="18"/>
      <c r="BS2303" s="16"/>
      <c r="BT2303" s="18"/>
      <c r="BU2303" s="18"/>
      <c r="BV2303" s="18"/>
      <c r="BW2303" s="20"/>
      <c r="BX2303" s="154"/>
      <c r="BY2303" s="18"/>
      <c r="BZ2303" s="146"/>
      <c r="CA2303" s="18"/>
      <c r="CB2303" s="18"/>
      <c r="CC2303" s="20"/>
      <c r="CD2303" s="154"/>
    </row>
    <row r="2304" spans="35:82">
      <c r="AI2304" s="19"/>
      <c r="AO2304" s="19"/>
      <c r="AY2304" s="145"/>
      <c r="AZ2304" s="16"/>
      <c r="BC2304" s="16"/>
      <c r="BD2304" s="20"/>
      <c r="BE2304" s="17"/>
      <c r="BF2304" s="20"/>
      <c r="BG2304" s="146"/>
      <c r="BH2304" s="146"/>
      <c r="BI2304" s="146"/>
      <c r="BJ2304" s="20"/>
      <c r="BK2304" s="20"/>
      <c r="BL2304" s="154"/>
      <c r="BP2304" s="20"/>
      <c r="BQ2304" s="154"/>
      <c r="BR2304" s="18"/>
      <c r="BS2304" s="16"/>
      <c r="BT2304" s="18"/>
      <c r="BU2304" s="18"/>
      <c r="BV2304" s="18"/>
      <c r="BW2304" s="20"/>
      <c r="BX2304" s="154"/>
      <c r="BY2304" s="18"/>
      <c r="BZ2304" s="146"/>
      <c r="CA2304" s="18"/>
      <c r="CB2304" s="18"/>
      <c r="CC2304" s="20"/>
      <c r="CD2304" s="154"/>
    </row>
    <row r="2305" spans="35:82">
      <c r="AI2305" s="19"/>
      <c r="AO2305" s="19"/>
      <c r="AY2305" s="145"/>
      <c r="AZ2305" s="16"/>
      <c r="BC2305" s="16"/>
      <c r="BD2305" s="20"/>
      <c r="BE2305" s="17"/>
      <c r="BF2305" s="20"/>
      <c r="BG2305" s="146"/>
      <c r="BH2305" s="146"/>
      <c r="BI2305" s="146"/>
      <c r="BJ2305" s="20"/>
      <c r="BK2305" s="20"/>
      <c r="BL2305" s="154"/>
      <c r="BP2305" s="20"/>
      <c r="BQ2305" s="154"/>
      <c r="BR2305" s="18"/>
      <c r="BS2305" s="16"/>
      <c r="BT2305" s="18"/>
      <c r="BU2305" s="18"/>
      <c r="BV2305" s="18"/>
      <c r="BW2305" s="20"/>
      <c r="BX2305" s="154"/>
      <c r="BY2305" s="18"/>
      <c r="BZ2305" s="146"/>
      <c r="CA2305" s="18"/>
      <c r="CB2305" s="18"/>
      <c r="CC2305" s="20"/>
      <c r="CD2305" s="154"/>
    </row>
    <row r="2306" spans="35:82">
      <c r="AI2306" s="19"/>
      <c r="AO2306" s="19"/>
      <c r="AY2306" s="145"/>
      <c r="AZ2306" s="16"/>
      <c r="BC2306" s="16"/>
      <c r="BD2306" s="20"/>
      <c r="BE2306" s="17"/>
      <c r="BF2306" s="20"/>
      <c r="BG2306" s="146"/>
      <c r="BH2306" s="146"/>
      <c r="BI2306" s="146"/>
      <c r="BJ2306" s="20"/>
      <c r="BK2306" s="20"/>
      <c r="BL2306" s="154"/>
      <c r="BP2306" s="20"/>
      <c r="BQ2306" s="154"/>
      <c r="BR2306" s="18"/>
      <c r="BS2306" s="16"/>
      <c r="BT2306" s="18"/>
      <c r="BU2306" s="18"/>
      <c r="BV2306" s="18"/>
      <c r="BW2306" s="20"/>
      <c r="BX2306" s="154"/>
      <c r="BY2306" s="18"/>
      <c r="BZ2306" s="146"/>
      <c r="CA2306" s="18"/>
      <c r="CB2306" s="18"/>
      <c r="CC2306" s="20"/>
      <c r="CD2306" s="154"/>
    </row>
    <row r="2307" spans="35:82">
      <c r="AI2307" s="19"/>
      <c r="AO2307" s="19"/>
      <c r="AY2307" s="145"/>
      <c r="AZ2307" s="16"/>
      <c r="BC2307" s="16"/>
      <c r="BD2307" s="20"/>
      <c r="BE2307" s="17"/>
      <c r="BF2307" s="20"/>
      <c r="BG2307" s="146"/>
      <c r="BH2307" s="146"/>
      <c r="BI2307" s="146"/>
      <c r="BJ2307" s="20"/>
      <c r="BK2307" s="20"/>
      <c r="BL2307" s="154"/>
      <c r="BP2307" s="20"/>
      <c r="BQ2307" s="154"/>
      <c r="BR2307" s="18"/>
      <c r="BS2307" s="16"/>
      <c r="BT2307" s="18"/>
      <c r="BU2307" s="18"/>
      <c r="BV2307" s="18"/>
      <c r="BW2307" s="20"/>
      <c r="BX2307" s="154"/>
      <c r="BY2307" s="18"/>
      <c r="BZ2307" s="146"/>
      <c r="CA2307" s="18"/>
      <c r="CB2307" s="18"/>
      <c r="CC2307" s="20"/>
      <c r="CD2307" s="154"/>
    </row>
    <row r="2308" spans="35:82">
      <c r="AI2308" s="19"/>
      <c r="AO2308" s="19"/>
      <c r="AY2308" s="145"/>
      <c r="AZ2308" s="16"/>
      <c r="BC2308" s="16"/>
      <c r="BD2308" s="20"/>
      <c r="BE2308" s="17"/>
      <c r="BF2308" s="20"/>
      <c r="BG2308" s="146"/>
      <c r="BH2308" s="146"/>
      <c r="BI2308" s="146"/>
      <c r="BJ2308" s="20"/>
      <c r="BK2308" s="20"/>
      <c r="BL2308" s="154"/>
      <c r="BP2308" s="20"/>
      <c r="BQ2308" s="154"/>
      <c r="BR2308" s="18"/>
      <c r="BS2308" s="16"/>
      <c r="BT2308" s="18"/>
      <c r="BU2308" s="18"/>
      <c r="BV2308" s="18"/>
      <c r="BW2308" s="20"/>
      <c r="BX2308" s="154"/>
      <c r="BY2308" s="18"/>
      <c r="BZ2308" s="146"/>
      <c r="CA2308" s="18"/>
      <c r="CB2308" s="18"/>
      <c r="CC2308" s="20"/>
      <c r="CD2308" s="154"/>
    </row>
    <row r="2309" spans="35:82">
      <c r="AI2309" s="19"/>
      <c r="AO2309" s="19"/>
      <c r="AY2309" s="145"/>
      <c r="AZ2309" s="16"/>
      <c r="BC2309" s="16"/>
      <c r="BD2309" s="20"/>
      <c r="BE2309" s="17"/>
      <c r="BF2309" s="20"/>
      <c r="BG2309" s="146"/>
      <c r="BH2309" s="146"/>
      <c r="BI2309" s="146"/>
      <c r="BJ2309" s="20"/>
      <c r="BK2309" s="20"/>
      <c r="BL2309" s="154"/>
      <c r="BP2309" s="20"/>
      <c r="BQ2309" s="154"/>
      <c r="BR2309" s="18"/>
      <c r="BS2309" s="16"/>
      <c r="BT2309" s="18"/>
      <c r="BU2309" s="18"/>
      <c r="BV2309" s="18"/>
      <c r="BW2309" s="20"/>
      <c r="BX2309" s="154"/>
      <c r="BY2309" s="18"/>
      <c r="BZ2309" s="146"/>
      <c r="CA2309" s="18"/>
      <c r="CB2309" s="18"/>
      <c r="CC2309" s="20"/>
      <c r="CD2309" s="154"/>
    </row>
    <row r="2310" spans="35:82">
      <c r="AI2310" s="19"/>
      <c r="AO2310" s="19"/>
      <c r="AY2310" s="145"/>
      <c r="AZ2310" s="16"/>
      <c r="BC2310" s="16"/>
      <c r="BD2310" s="20"/>
      <c r="BE2310" s="17"/>
      <c r="BF2310" s="20"/>
      <c r="BG2310" s="146"/>
      <c r="BH2310" s="146"/>
      <c r="BI2310" s="146"/>
      <c r="BJ2310" s="20"/>
      <c r="BK2310" s="20"/>
      <c r="BL2310" s="154"/>
      <c r="BP2310" s="20"/>
      <c r="BQ2310" s="154"/>
      <c r="BR2310" s="18"/>
      <c r="BS2310" s="16"/>
      <c r="BT2310" s="18"/>
      <c r="BU2310" s="18"/>
      <c r="BV2310" s="18"/>
      <c r="BW2310" s="20"/>
      <c r="BX2310" s="154"/>
      <c r="BY2310" s="18"/>
      <c r="BZ2310" s="146"/>
      <c r="CA2310" s="18"/>
      <c r="CB2310" s="18"/>
      <c r="CC2310" s="20"/>
      <c r="CD2310" s="154"/>
    </row>
    <row r="2311" spans="35:82">
      <c r="AI2311" s="19"/>
      <c r="AO2311" s="19"/>
      <c r="AY2311" s="145"/>
      <c r="AZ2311" s="16"/>
      <c r="BC2311" s="16"/>
      <c r="BD2311" s="20"/>
      <c r="BE2311" s="17"/>
      <c r="BF2311" s="20"/>
      <c r="BG2311" s="146"/>
      <c r="BH2311" s="146"/>
      <c r="BI2311" s="146"/>
      <c r="BJ2311" s="20"/>
      <c r="BK2311" s="20"/>
      <c r="BL2311" s="154"/>
      <c r="BP2311" s="20"/>
      <c r="BQ2311" s="154"/>
      <c r="BR2311" s="18"/>
      <c r="BS2311" s="16"/>
      <c r="BT2311" s="18"/>
      <c r="BU2311" s="18"/>
      <c r="BV2311" s="18"/>
      <c r="BW2311" s="20"/>
      <c r="BX2311" s="154"/>
      <c r="BY2311" s="18"/>
      <c r="BZ2311" s="146"/>
      <c r="CA2311" s="18"/>
      <c r="CB2311" s="18"/>
      <c r="CC2311" s="20"/>
      <c r="CD2311" s="154"/>
    </row>
    <row r="2312" spans="35:82">
      <c r="AI2312" s="19"/>
      <c r="AO2312" s="19"/>
      <c r="AY2312" s="145"/>
      <c r="AZ2312" s="16"/>
      <c r="BC2312" s="16"/>
      <c r="BD2312" s="20"/>
      <c r="BE2312" s="17"/>
      <c r="BF2312" s="20"/>
      <c r="BG2312" s="146"/>
      <c r="BH2312" s="146"/>
      <c r="BI2312" s="146"/>
      <c r="BJ2312" s="20"/>
      <c r="BK2312" s="20"/>
      <c r="BL2312" s="154"/>
      <c r="BP2312" s="20"/>
      <c r="BQ2312" s="154"/>
      <c r="BR2312" s="18"/>
      <c r="BS2312" s="16"/>
      <c r="BT2312" s="18"/>
      <c r="BU2312" s="18"/>
      <c r="BV2312" s="18"/>
      <c r="BW2312" s="20"/>
      <c r="BX2312" s="154"/>
      <c r="BY2312" s="18"/>
      <c r="BZ2312" s="146"/>
      <c r="CA2312" s="18"/>
      <c r="CB2312" s="18"/>
      <c r="CC2312" s="20"/>
      <c r="CD2312" s="154"/>
    </row>
    <row r="2313" spans="35:82">
      <c r="AI2313" s="19"/>
      <c r="AO2313" s="19"/>
      <c r="AY2313" s="145"/>
      <c r="AZ2313" s="16"/>
      <c r="BC2313" s="16"/>
      <c r="BD2313" s="20"/>
      <c r="BE2313" s="17"/>
      <c r="BF2313" s="20"/>
      <c r="BG2313" s="146"/>
      <c r="BH2313" s="146"/>
      <c r="BI2313" s="146"/>
      <c r="BJ2313" s="20"/>
      <c r="BK2313" s="20"/>
      <c r="BL2313" s="154"/>
      <c r="BP2313" s="20"/>
      <c r="BQ2313" s="154"/>
      <c r="BR2313" s="18"/>
      <c r="BS2313" s="16"/>
      <c r="BT2313" s="18"/>
      <c r="BU2313" s="18"/>
      <c r="BV2313" s="18"/>
      <c r="BW2313" s="20"/>
      <c r="BX2313" s="154"/>
      <c r="BY2313" s="18"/>
      <c r="BZ2313" s="146"/>
      <c r="CA2313" s="18"/>
      <c r="CB2313" s="18"/>
      <c r="CC2313" s="20"/>
      <c r="CD2313" s="154"/>
    </row>
    <row r="2314" spans="35:82">
      <c r="AI2314" s="19"/>
      <c r="AO2314" s="19"/>
      <c r="AY2314" s="145"/>
      <c r="AZ2314" s="16"/>
      <c r="BC2314" s="16"/>
      <c r="BD2314" s="20"/>
      <c r="BE2314" s="17"/>
      <c r="BF2314" s="20"/>
      <c r="BG2314" s="146"/>
      <c r="BH2314" s="146"/>
      <c r="BI2314" s="146"/>
      <c r="BJ2314" s="20"/>
      <c r="BK2314" s="20"/>
      <c r="BL2314" s="154"/>
      <c r="BP2314" s="20"/>
      <c r="BQ2314" s="154"/>
      <c r="BR2314" s="18"/>
      <c r="BS2314" s="16"/>
      <c r="BT2314" s="18"/>
      <c r="BU2314" s="18"/>
      <c r="BV2314" s="18"/>
      <c r="BW2314" s="20"/>
      <c r="BX2314" s="154"/>
      <c r="BY2314" s="18"/>
      <c r="BZ2314" s="146"/>
      <c r="CA2314" s="18"/>
      <c r="CB2314" s="18"/>
      <c r="CC2314" s="20"/>
      <c r="CD2314" s="154"/>
    </row>
    <row r="2315" spans="35:82">
      <c r="AI2315" s="19"/>
      <c r="AO2315" s="19"/>
      <c r="AY2315" s="145"/>
      <c r="AZ2315" s="16"/>
      <c r="BC2315" s="16"/>
      <c r="BD2315" s="20"/>
      <c r="BE2315" s="17"/>
      <c r="BF2315" s="20"/>
      <c r="BG2315" s="146"/>
      <c r="BH2315" s="146"/>
      <c r="BI2315" s="146"/>
      <c r="BJ2315" s="20"/>
      <c r="BK2315" s="20"/>
      <c r="BL2315" s="154"/>
      <c r="BP2315" s="20"/>
      <c r="BQ2315" s="154"/>
      <c r="BR2315" s="18"/>
      <c r="BS2315" s="16"/>
      <c r="BT2315" s="18"/>
      <c r="BU2315" s="18"/>
      <c r="BV2315" s="18"/>
      <c r="BW2315" s="20"/>
      <c r="BX2315" s="154"/>
      <c r="BY2315" s="18"/>
      <c r="BZ2315" s="146"/>
      <c r="CA2315" s="18"/>
      <c r="CB2315" s="18"/>
      <c r="CC2315" s="20"/>
      <c r="CD2315" s="154"/>
    </row>
    <row r="2316" spans="35:82">
      <c r="AI2316" s="19"/>
      <c r="AO2316" s="19"/>
      <c r="AY2316" s="145"/>
      <c r="AZ2316" s="16"/>
      <c r="BC2316" s="16"/>
      <c r="BD2316" s="20"/>
      <c r="BE2316" s="17"/>
      <c r="BF2316" s="20"/>
      <c r="BG2316" s="146"/>
      <c r="BH2316" s="146"/>
      <c r="BI2316" s="146"/>
      <c r="BJ2316" s="20"/>
      <c r="BK2316" s="20"/>
      <c r="BL2316" s="154"/>
      <c r="BP2316" s="20"/>
      <c r="BQ2316" s="154"/>
      <c r="BR2316" s="18"/>
      <c r="BS2316" s="16"/>
      <c r="BT2316" s="18"/>
      <c r="BU2316" s="18"/>
      <c r="BV2316" s="18"/>
      <c r="BW2316" s="20"/>
      <c r="BX2316" s="154"/>
      <c r="BY2316" s="18"/>
      <c r="BZ2316" s="146"/>
      <c r="CA2316" s="18"/>
      <c r="CB2316" s="18"/>
      <c r="CC2316" s="20"/>
      <c r="CD2316" s="154"/>
    </row>
    <row r="2317" spans="35:82">
      <c r="AI2317" s="19"/>
      <c r="AO2317" s="19"/>
      <c r="AY2317" s="145"/>
      <c r="AZ2317" s="16"/>
      <c r="BC2317" s="16"/>
      <c r="BD2317" s="20"/>
      <c r="BE2317" s="17"/>
      <c r="BF2317" s="20"/>
      <c r="BG2317" s="146"/>
      <c r="BH2317" s="146"/>
      <c r="BI2317" s="146"/>
      <c r="BJ2317" s="20"/>
      <c r="BK2317" s="20"/>
      <c r="BL2317" s="154"/>
      <c r="BP2317" s="20"/>
      <c r="BQ2317" s="154"/>
      <c r="BR2317" s="18"/>
      <c r="BS2317" s="16"/>
      <c r="BT2317" s="18"/>
      <c r="BU2317" s="18"/>
      <c r="BV2317" s="18"/>
      <c r="BW2317" s="20"/>
      <c r="BX2317" s="154"/>
      <c r="BY2317" s="18"/>
      <c r="BZ2317" s="146"/>
      <c r="CA2317" s="18"/>
      <c r="CB2317" s="18"/>
      <c r="CC2317" s="20"/>
      <c r="CD2317" s="154"/>
    </row>
    <row r="2318" spans="35:82">
      <c r="AI2318" s="19"/>
      <c r="AO2318" s="19"/>
      <c r="AY2318" s="145"/>
      <c r="AZ2318" s="16"/>
      <c r="BC2318" s="16"/>
      <c r="BD2318" s="20"/>
      <c r="BE2318" s="17"/>
      <c r="BF2318" s="20"/>
      <c r="BG2318" s="146"/>
      <c r="BH2318" s="146"/>
      <c r="BI2318" s="146"/>
      <c r="BJ2318" s="20"/>
      <c r="BK2318" s="20"/>
      <c r="BL2318" s="154"/>
      <c r="BP2318" s="20"/>
      <c r="BQ2318" s="154"/>
      <c r="BR2318" s="18"/>
      <c r="BS2318" s="16"/>
      <c r="BT2318" s="18"/>
      <c r="BU2318" s="18"/>
      <c r="BV2318" s="18"/>
      <c r="BW2318" s="20"/>
      <c r="BX2318" s="154"/>
      <c r="BY2318" s="18"/>
      <c r="BZ2318" s="146"/>
      <c r="CA2318" s="18"/>
      <c r="CB2318" s="18"/>
      <c r="CC2318" s="20"/>
      <c r="CD2318" s="154"/>
    </row>
    <row r="2319" spans="35:82">
      <c r="AI2319" s="19"/>
      <c r="AO2319" s="19"/>
      <c r="AY2319" s="145"/>
      <c r="AZ2319" s="16"/>
      <c r="BC2319" s="16"/>
      <c r="BD2319" s="20"/>
      <c r="BE2319" s="17"/>
      <c r="BF2319" s="20"/>
      <c r="BG2319" s="146"/>
      <c r="BH2319" s="146"/>
      <c r="BI2319" s="146"/>
      <c r="BJ2319" s="20"/>
      <c r="BK2319" s="20"/>
      <c r="BL2319" s="154"/>
      <c r="BP2319" s="20"/>
      <c r="BQ2319" s="154"/>
      <c r="BR2319" s="18"/>
      <c r="BS2319" s="16"/>
      <c r="BT2319" s="18"/>
      <c r="BU2319" s="18"/>
      <c r="BV2319" s="18"/>
      <c r="BW2319" s="20"/>
      <c r="BX2319" s="154"/>
      <c r="BY2319" s="18"/>
      <c r="BZ2319" s="146"/>
      <c r="CA2319" s="18"/>
      <c r="CB2319" s="18"/>
      <c r="CC2319" s="20"/>
      <c r="CD2319" s="154"/>
    </row>
    <row r="2320" spans="35:82">
      <c r="AI2320" s="19"/>
      <c r="AO2320" s="19"/>
      <c r="AY2320" s="145"/>
      <c r="AZ2320" s="16"/>
      <c r="BC2320" s="16"/>
      <c r="BD2320" s="20"/>
      <c r="BE2320" s="17"/>
      <c r="BF2320" s="20"/>
      <c r="BG2320" s="146"/>
      <c r="BH2320" s="146"/>
      <c r="BI2320" s="146"/>
      <c r="BJ2320" s="20"/>
      <c r="BK2320" s="20"/>
      <c r="BL2320" s="154"/>
      <c r="BP2320" s="20"/>
      <c r="BQ2320" s="154"/>
      <c r="BR2320" s="18"/>
      <c r="BS2320" s="16"/>
      <c r="BT2320" s="18"/>
      <c r="BU2320" s="18"/>
      <c r="BV2320" s="18"/>
      <c r="BW2320" s="20"/>
      <c r="BX2320" s="154"/>
      <c r="BY2320" s="18"/>
      <c r="BZ2320" s="146"/>
      <c r="CA2320" s="18"/>
      <c r="CB2320" s="18"/>
      <c r="CC2320" s="20"/>
      <c r="CD2320" s="154"/>
    </row>
    <row r="2321" spans="35:82">
      <c r="AI2321" s="19"/>
      <c r="AO2321" s="19"/>
      <c r="AY2321" s="145"/>
      <c r="AZ2321" s="16"/>
      <c r="BC2321" s="16"/>
      <c r="BD2321" s="20"/>
      <c r="BE2321" s="17"/>
      <c r="BF2321" s="20"/>
      <c r="BG2321" s="146"/>
      <c r="BH2321" s="146"/>
      <c r="BI2321" s="146"/>
      <c r="BJ2321" s="20"/>
      <c r="BK2321" s="20"/>
      <c r="BL2321" s="154"/>
      <c r="BP2321" s="20"/>
      <c r="BQ2321" s="154"/>
      <c r="BR2321" s="18"/>
      <c r="BS2321" s="16"/>
      <c r="BT2321" s="18"/>
      <c r="BU2321" s="18"/>
      <c r="BV2321" s="18"/>
      <c r="BW2321" s="20"/>
      <c r="BX2321" s="154"/>
      <c r="BY2321" s="18"/>
      <c r="BZ2321" s="146"/>
      <c r="CA2321" s="18"/>
      <c r="CB2321" s="18"/>
      <c r="CC2321" s="20"/>
      <c r="CD2321" s="154"/>
    </row>
    <row r="2322" spans="35:82">
      <c r="AI2322" s="19"/>
      <c r="AO2322" s="19"/>
      <c r="AY2322" s="145"/>
      <c r="AZ2322" s="16"/>
      <c r="BC2322" s="16"/>
      <c r="BD2322" s="20"/>
      <c r="BE2322" s="17"/>
      <c r="BF2322" s="20"/>
      <c r="BG2322" s="146"/>
      <c r="BH2322" s="146"/>
      <c r="BI2322" s="146"/>
      <c r="BJ2322" s="20"/>
      <c r="BK2322" s="20"/>
      <c r="BL2322" s="154"/>
      <c r="BP2322" s="20"/>
      <c r="BQ2322" s="154"/>
      <c r="BR2322" s="18"/>
      <c r="BS2322" s="16"/>
      <c r="BT2322" s="18"/>
      <c r="BU2322" s="18"/>
      <c r="BV2322" s="18"/>
      <c r="BW2322" s="20"/>
      <c r="BX2322" s="154"/>
      <c r="BY2322" s="18"/>
      <c r="BZ2322" s="146"/>
      <c r="CA2322" s="18"/>
      <c r="CB2322" s="18"/>
      <c r="CC2322" s="20"/>
      <c r="CD2322" s="154"/>
    </row>
    <row r="2323" spans="35:82">
      <c r="AI2323" s="19"/>
      <c r="AO2323" s="19"/>
      <c r="AY2323" s="145"/>
      <c r="AZ2323" s="16"/>
      <c r="BC2323" s="16"/>
      <c r="BD2323" s="20"/>
      <c r="BE2323" s="17"/>
      <c r="BF2323" s="20"/>
      <c r="BG2323" s="146"/>
      <c r="BH2323" s="146"/>
      <c r="BI2323" s="146"/>
      <c r="BJ2323" s="20"/>
      <c r="BK2323" s="20"/>
      <c r="BL2323" s="154"/>
      <c r="BP2323" s="20"/>
      <c r="BQ2323" s="154"/>
      <c r="BR2323" s="18"/>
      <c r="BS2323" s="16"/>
      <c r="BT2323" s="18"/>
      <c r="BU2323" s="18"/>
      <c r="BV2323" s="18"/>
      <c r="BW2323" s="20"/>
      <c r="BX2323" s="154"/>
      <c r="BY2323" s="18"/>
      <c r="BZ2323" s="146"/>
      <c r="CA2323" s="18"/>
      <c r="CB2323" s="18"/>
      <c r="CC2323" s="20"/>
      <c r="CD2323" s="154"/>
    </row>
    <row r="2324" spans="35:82">
      <c r="AI2324" s="19"/>
      <c r="AO2324" s="19"/>
      <c r="AY2324" s="145"/>
      <c r="AZ2324" s="16"/>
      <c r="BC2324" s="16"/>
      <c r="BD2324" s="20"/>
      <c r="BE2324" s="17"/>
      <c r="BF2324" s="20"/>
      <c r="BG2324" s="146"/>
      <c r="BH2324" s="146"/>
      <c r="BI2324" s="146"/>
      <c r="BJ2324" s="20"/>
      <c r="BK2324" s="20"/>
      <c r="BL2324" s="154"/>
      <c r="BP2324" s="20"/>
      <c r="BQ2324" s="154"/>
      <c r="BR2324" s="18"/>
      <c r="BS2324" s="16"/>
      <c r="BT2324" s="18"/>
      <c r="BU2324" s="18"/>
      <c r="BV2324" s="18"/>
      <c r="BW2324" s="20"/>
      <c r="BX2324" s="154"/>
      <c r="BY2324" s="18"/>
      <c r="BZ2324" s="146"/>
      <c r="CA2324" s="18"/>
      <c r="CB2324" s="18"/>
      <c r="CC2324" s="20"/>
      <c r="CD2324" s="154"/>
    </row>
    <row r="2325" spans="35:82">
      <c r="AI2325" s="19"/>
      <c r="AO2325" s="19"/>
      <c r="AY2325" s="145"/>
      <c r="AZ2325" s="16"/>
      <c r="BC2325" s="16"/>
      <c r="BD2325" s="20"/>
      <c r="BE2325" s="17"/>
      <c r="BF2325" s="20"/>
      <c r="BG2325" s="146"/>
      <c r="BH2325" s="146"/>
      <c r="BI2325" s="146"/>
      <c r="BJ2325" s="20"/>
      <c r="BK2325" s="20"/>
      <c r="BL2325" s="154"/>
      <c r="BP2325" s="20"/>
      <c r="BQ2325" s="154"/>
      <c r="BR2325" s="18"/>
      <c r="BS2325" s="16"/>
      <c r="BT2325" s="18"/>
      <c r="BU2325" s="18"/>
      <c r="BV2325" s="18"/>
      <c r="BW2325" s="20"/>
      <c r="BX2325" s="154"/>
      <c r="BY2325" s="18"/>
      <c r="BZ2325" s="146"/>
      <c r="CA2325" s="18"/>
      <c r="CB2325" s="18"/>
      <c r="CC2325" s="20"/>
      <c r="CD2325" s="154"/>
    </row>
    <row r="2326" spans="35:82">
      <c r="AI2326" s="19"/>
      <c r="AO2326" s="19"/>
      <c r="AY2326" s="145"/>
      <c r="AZ2326" s="16"/>
      <c r="BC2326" s="16"/>
      <c r="BD2326" s="20"/>
      <c r="BE2326" s="17"/>
      <c r="BF2326" s="20"/>
      <c r="BG2326" s="146"/>
      <c r="BH2326" s="146"/>
      <c r="BI2326" s="146"/>
      <c r="BJ2326" s="20"/>
      <c r="BK2326" s="20"/>
      <c r="BL2326" s="154"/>
      <c r="BP2326" s="20"/>
      <c r="BQ2326" s="154"/>
      <c r="BR2326" s="18"/>
      <c r="BS2326" s="16"/>
      <c r="BT2326" s="18"/>
      <c r="BU2326" s="18"/>
      <c r="BV2326" s="18"/>
      <c r="BW2326" s="20"/>
      <c r="BX2326" s="154"/>
      <c r="BY2326" s="18"/>
      <c r="BZ2326" s="146"/>
      <c r="CA2326" s="18"/>
      <c r="CB2326" s="18"/>
      <c r="CC2326" s="20"/>
      <c r="CD2326" s="154"/>
    </row>
    <row r="2327" spans="35:82">
      <c r="AI2327" s="19"/>
      <c r="AO2327" s="19"/>
      <c r="AY2327" s="145"/>
      <c r="AZ2327" s="16"/>
      <c r="BC2327" s="16"/>
      <c r="BD2327" s="20"/>
      <c r="BE2327" s="17"/>
      <c r="BF2327" s="20"/>
      <c r="BG2327" s="146"/>
      <c r="BH2327" s="146"/>
      <c r="BI2327" s="146"/>
      <c r="BJ2327" s="20"/>
      <c r="BK2327" s="20"/>
      <c r="BL2327" s="154"/>
      <c r="BP2327" s="20"/>
      <c r="BQ2327" s="154"/>
      <c r="BR2327" s="18"/>
      <c r="BS2327" s="16"/>
      <c r="BT2327" s="18"/>
      <c r="BU2327" s="18"/>
      <c r="BV2327" s="18"/>
      <c r="BW2327" s="20"/>
      <c r="BX2327" s="154"/>
      <c r="BY2327" s="18"/>
      <c r="BZ2327" s="146"/>
      <c r="CA2327" s="18"/>
      <c r="CB2327" s="18"/>
      <c r="CC2327" s="20"/>
      <c r="CD2327" s="154"/>
    </row>
    <row r="2328" spans="35:82">
      <c r="AI2328" s="19"/>
      <c r="AO2328" s="19"/>
      <c r="AY2328" s="145"/>
      <c r="AZ2328" s="16"/>
      <c r="BC2328" s="16"/>
      <c r="BD2328" s="20"/>
      <c r="BE2328" s="17"/>
      <c r="BF2328" s="20"/>
      <c r="BG2328" s="146"/>
      <c r="BH2328" s="146"/>
      <c r="BI2328" s="146"/>
      <c r="BJ2328" s="20"/>
      <c r="BK2328" s="20"/>
      <c r="BL2328" s="154"/>
      <c r="BP2328" s="20"/>
      <c r="BQ2328" s="154"/>
      <c r="BR2328" s="18"/>
      <c r="BS2328" s="16"/>
      <c r="BT2328" s="18"/>
      <c r="BU2328" s="18"/>
      <c r="BV2328" s="18"/>
      <c r="BW2328" s="20"/>
      <c r="BX2328" s="154"/>
      <c r="BY2328" s="18"/>
      <c r="BZ2328" s="146"/>
      <c r="CA2328" s="18"/>
      <c r="CB2328" s="18"/>
      <c r="CC2328" s="20"/>
      <c r="CD2328" s="154"/>
    </row>
    <row r="2329" spans="35:82">
      <c r="AI2329" s="19"/>
      <c r="AO2329" s="19"/>
      <c r="AY2329" s="145"/>
      <c r="AZ2329" s="16"/>
      <c r="BC2329" s="16"/>
      <c r="BD2329" s="20"/>
      <c r="BE2329" s="17"/>
      <c r="BF2329" s="20"/>
      <c r="BG2329" s="146"/>
      <c r="BH2329" s="146"/>
      <c r="BI2329" s="146"/>
      <c r="BJ2329" s="20"/>
      <c r="BK2329" s="20"/>
      <c r="BL2329" s="154"/>
      <c r="BP2329" s="20"/>
      <c r="BQ2329" s="154"/>
      <c r="BR2329" s="18"/>
      <c r="BS2329" s="16"/>
      <c r="BT2329" s="18"/>
      <c r="BU2329" s="18"/>
      <c r="BV2329" s="18"/>
      <c r="BW2329" s="20"/>
      <c r="BX2329" s="154"/>
      <c r="BY2329" s="18"/>
      <c r="BZ2329" s="146"/>
      <c r="CA2329" s="18"/>
      <c r="CB2329" s="18"/>
      <c r="CC2329" s="20"/>
      <c r="CD2329" s="154"/>
    </row>
    <row r="2330" spans="35:82">
      <c r="AI2330" s="19"/>
      <c r="AO2330" s="19"/>
      <c r="AY2330" s="145"/>
      <c r="AZ2330" s="16"/>
      <c r="BC2330" s="16"/>
      <c r="BD2330" s="20"/>
      <c r="BE2330" s="17"/>
      <c r="BF2330" s="20"/>
      <c r="BG2330" s="146"/>
      <c r="BH2330" s="146"/>
      <c r="BI2330" s="146"/>
      <c r="BJ2330" s="20"/>
      <c r="BK2330" s="20"/>
      <c r="BL2330" s="154"/>
      <c r="BP2330" s="20"/>
      <c r="BQ2330" s="154"/>
      <c r="BR2330" s="18"/>
      <c r="BS2330" s="16"/>
      <c r="BT2330" s="18"/>
      <c r="BU2330" s="18"/>
      <c r="BV2330" s="18"/>
      <c r="BW2330" s="20"/>
      <c r="BX2330" s="154"/>
      <c r="BY2330" s="18"/>
      <c r="BZ2330" s="146"/>
      <c r="CA2330" s="18"/>
      <c r="CB2330" s="18"/>
      <c r="CC2330" s="20"/>
      <c r="CD2330" s="154"/>
    </row>
    <row r="2331" spans="35:82">
      <c r="AI2331" s="19"/>
      <c r="AO2331" s="19"/>
      <c r="AY2331" s="145"/>
      <c r="AZ2331" s="16"/>
      <c r="BC2331" s="16"/>
      <c r="BD2331" s="20"/>
      <c r="BE2331" s="17"/>
      <c r="BF2331" s="20"/>
      <c r="BG2331" s="146"/>
      <c r="BH2331" s="146"/>
      <c r="BI2331" s="146"/>
      <c r="BJ2331" s="20"/>
      <c r="BK2331" s="20"/>
      <c r="BL2331" s="154"/>
      <c r="BP2331" s="20"/>
      <c r="BQ2331" s="154"/>
      <c r="BR2331" s="18"/>
      <c r="BS2331" s="16"/>
      <c r="BT2331" s="18"/>
      <c r="BU2331" s="18"/>
      <c r="BV2331" s="18"/>
      <c r="BW2331" s="20"/>
      <c r="BX2331" s="154"/>
      <c r="BY2331" s="18"/>
      <c r="BZ2331" s="146"/>
      <c r="CA2331" s="18"/>
      <c r="CB2331" s="18"/>
      <c r="CC2331" s="20"/>
      <c r="CD2331" s="154"/>
    </row>
    <row r="2332" spans="35:82">
      <c r="AI2332" s="19"/>
      <c r="AO2332" s="19"/>
      <c r="AY2332" s="145"/>
      <c r="AZ2332" s="16"/>
      <c r="BC2332" s="16"/>
      <c r="BD2332" s="20"/>
      <c r="BE2332" s="17"/>
      <c r="BF2332" s="20"/>
      <c r="BG2332" s="146"/>
      <c r="BH2332" s="146"/>
      <c r="BI2332" s="146"/>
      <c r="BJ2332" s="20"/>
      <c r="BK2332" s="20"/>
      <c r="BL2332" s="154"/>
      <c r="BP2332" s="20"/>
      <c r="BQ2332" s="154"/>
      <c r="BR2332" s="18"/>
      <c r="BS2332" s="16"/>
      <c r="BT2332" s="18"/>
      <c r="BU2332" s="18"/>
      <c r="BV2332" s="18"/>
      <c r="BW2332" s="20"/>
      <c r="BX2332" s="154"/>
      <c r="BY2332" s="18"/>
      <c r="BZ2332" s="146"/>
      <c r="CA2332" s="18"/>
      <c r="CB2332" s="18"/>
      <c r="CC2332" s="20"/>
      <c r="CD2332" s="154"/>
    </row>
    <row r="2333" spans="35:82">
      <c r="AI2333" s="19"/>
      <c r="AO2333" s="19"/>
      <c r="AY2333" s="145"/>
      <c r="AZ2333" s="16"/>
      <c r="BC2333" s="16"/>
      <c r="BD2333" s="20"/>
      <c r="BE2333" s="17"/>
      <c r="BF2333" s="20"/>
      <c r="BG2333" s="146"/>
      <c r="BH2333" s="146"/>
      <c r="BI2333" s="146"/>
      <c r="BJ2333" s="20"/>
      <c r="BK2333" s="20"/>
      <c r="BL2333" s="154"/>
      <c r="BP2333" s="20"/>
      <c r="BQ2333" s="154"/>
      <c r="BR2333" s="18"/>
      <c r="BS2333" s="16"/>
      <c r="BT2333" s="18"/>
      <c r="BU2333" s="18"/>
      <c r="BV2333" s="18"/>
      <c r="BW2333" s="20"/>
      <c r="BX2333" s="154"/>
      <c r="BY2333" s="18"/>
      <c r="BZ2333" s="146"/>
      <c r="CA2333" s="18"/>
      <c r="CB2333" s="18"/>
      <c r="CC2333" s="20"/>
      <c r="CD2333" s="154"/>
    </row>
    <row r="2334" spans="35:82">
      <c r="AI2334" s="19"/>
      <c r="AO2334" s="19"/>
      <c r="AY2334" s="145"/>
      <c r="AZ2334" s="16"/>
      <c r="BC2334" s="16"/>
      <c r="BD2334" s="20"/>
      <c r="BE2334" s="17"/>
      <c r="BF2334" s="20"/>
      <c r="BG2334" s="146"/>
      <c r="BH2334" s="146"/>
      <c r="BI2334" s="146"/>
      <c r="BJ2334" s="20"/>
      <c r="BK2334" s="20"/>
      <c r="BL2334" s="154"/>
      <c r="BP2334" s="20"/>
      <c r="BQ2334" s="154"/>
      <c r="BR2334" s="18"/>
      <c r="BS2334" s="16"/>
      <c r="BT2334" s="18"/>
      <c r="BU2334" s="18"/>
      <c r="BV2334" s="18"/>
      <c r="BW2334" s="20"/>
      <c r="BX2334" s="154"/>
      <c r="BY2334" s="18"/>
      <c r="BZ2334" s="146"/>
      <c r="CA2334" s="18"/>
      <c r="CB2334" s="18"/>
      <c r="CC2334" s="20"/>
      <c r="CD2334" s="154"/>
    </row>
    <row r="2335" spans="35:82">
      <c r="AI2335" s="19"/>
      <c r="AO2335" s="19"/>
      <c r="AY2335" s="145"/>
      <c r="AZ2335" s="16"/>
      <c r="BC2335" s="16"/>
      <c r="BD2335" s="20"/>
      <c r="BE2335" s="17"/>
      <c r="BF2335" s="20"/>
      <c r="BG2335" s="146"/>
      <c r="BH2335" s="146"/>
      <c r="BI2335" s="146"/>
      <c r="BJ2335" s="20"/>
      <c r="BK2335" s="20"/>
      <c r="BL2335" s="154"/>
      <c r="BP2335" s="20"/>
      <c r="BQ2335" s="154"/>
      <c r="BR2335" s="18"/>
      <c r="BS2335" s="16"/>
      <c r="BT2335" s="18"/>
      <c r="BU2335" s="18"/>
      <c r="BV2335" s="18"/>
      <c r="BW2335" s="20"/>
      <c r="BX2335" s="154"/>
      <c r="BY2335" s="18"/>
      <c r="BZ2335" s="146"/>
      <c r="CA2335" s="18"/>
      <c r="CB2335" s="18"/>
      <c r="CC2335" s="20"/>
      <c r="CD2335" s="154"/>
    </row>
    <row r="2336" spans="35:82">
      <c r="AI2336" s="19"/>
      <c r="AO2336" s="19"/>
      <c r="AY2336" s="145"/>
      <c r="AZ2336" s="16"/>
      <c r="BC2336" s="16"/>
      <c r="BD2336" s="20"/>
      <c r="BE2336" s="17"/>
      <c r="BF2336" s="20"/>
      <c r="BG2336" s="146"/>
      <c r="BH2336" s="146"/>
      <c r="BI2336" s="146"/>
      <c r="BJ2336" s="20"/>
      <c r="BK2336" s="20"/>
      <c r="BL2336" s="154"/>
      <c r="BP2336" s="20"/>
      <c r="BQ2336" s="154"/>
      <c r="BR2336" s="18"/>
      <c r="BS2336" s="16"/>
      <c r="BT2336" s="18"/>
      <c r="BU2336" s="18"/>
      <c r="BV2336" s="18"/>
      <c r="BW2336" s="20"/>
      <c r="BX2336" s="154"/>
      <c r="BY2336" s="18"/>
      <c r="BZ2336" s="146"/>
      <c r="CA2336" s="18"/>
      <c r="CB2336" s="18"/>
      <c r="CC2336" s="20"/>
      <c r="CD2336" s="154"/>
    </row>
    <row r="2337" spans="35:82">
      <c r="AI2337" s="19"/>
      <c r="AO2337" s="19"/>
      <c r="AY2337" s="145"/>
      <c r="AZ2337" s="16"/>
      <c r="BC2337" s="16"/>
      <c r="BD2337" s="20"/>
      <c r="BE2337" s="17"/>
      <c r="BF2337" s="20"/>
      <c r="BG2337" s="146"/>
      <c r="BH2337" s="146"/>
      <c r="BI2337" s="146"/>
      <c r="BJ2337" s="20"/>
      <c r="BK2337" s="20"/>
      <c r="BL2337" s="154"/>
      <c r="BP2337" s="20"/>
      <c r="BQ2337" s="154"/>
      <c r="BR2337" s="18"/>
      <c r="BS2337" s="16"/>
      <c r="BT2337" s="18"/>
      <c r="BU2337" s="18"/>
      <c r="BV2337" s="18"/>
      <c r="BW2337" s="20"/>
      <c r="BX2337" s="154"/>
      <c r="BY2337" s="18"/>
      <c r="BZ2337" s="146"/>
      <c r="CA2337" s="18"/>
      <c r="CB2337" s="18"/>
      <c r="CC2337" s="20"/>
      <c r="CD2337" s="154"/>
    </row>
    <row r="2338" spans="35:82">
      <c r="AI2338" s="19"/>
      <c r="AO2338" s="19"/>
      <c r="AY2338" s="145"/>
      <c r="AZ2338" s="16"/>
      <c r="BC2338" s="16"/>
      <c r="BD2338" s="20"/>
      <c r="BE2338" s="17"/>
      <c r="BF2338" s="20"/>
      <c r="BG2338" s="146"/>
      <c r="BH2338" s="146"/>
      <c r="BI2338" s="146"/>
      <c r="BJ2338" s="20"/>
      <c r="BK2338" s="20"/>
      <c r="BL2338" s="154"/>
      <c r="BP2338" s="20"/>
      <c r="BQ2338" s="154"/>
      <c r="BR2338" s="18"/>
      <c r="BS2338" s="16"/>
      <c r="BT2338" s="18"/>
      <c r="BU2338" s="18"/>
      <c r="BV2338" s="18"/>
      <c r="BW2338" s="20"/>
      <c r="BX2338" s="154"/>
      <c r="BY2338" s="18"/>
      <c r="BZ2338" s="146"/>
      <c r="CA2338" s="18"/>
      <c r="CB2338" s="18"/>
      <c r="CC2338" s="20"/>
      <c r="CD2338" s="154"/>
    </row>
    <row r="2339" spans="35:82">
      <c r="AI2339" s="19"/>
      <c r="AO2339" s="19"/>
      <c r="AY2339" s="145"/>
      <c r="AZ2339" s="16"/>
      <c r="BC2339" s="16"/>
      <c r="BD2339" s="20"/>
      <c r="BE2339" s="17"/>
      <c r="BF2339" s="20"/>
      <c r="BG2339" s="146"/>
      <c r="BH2339" s="146"/>
      <c r="BI2339" s="146"/>
      <c r="BJ2339" s="20"/>
      <c r="BK2339" s="20"/>
      <c r="BL2339" s="154"/>
      <c r="BP2339" s="20"/>
      <c r="BQ2339" s="154"/>
      <c r="BR2339" s="18"/>
      <c r="BS2339" s="16"/>
      <c r="BT2339" s="18"/>
      <c r="BU2339" s="18"/>
      <c r="BV2339" s="18"/>
      <c r="BW2339" s="20"/>
      <c r="BX2339" s="154"/>
      <c r="BY2339" s="18"/>
      <c r="BZ2339" s="146"/>
      <c r="CA2339" s="18"/>
      <c r="CB2339" s="18"/>
      <c r="CC2339" s="20"/>
      <c r="CD2339" s="154"/>
    </row>
    <row r="2340" spans="35:82">
      <c r="AI2340" s="19"/>
      <c r="AO2340" s="19"/>
      <c r="AY2340" s="145"/>
      <c r="AZ2340" s="16"/>
      <c r="BC2340" s="16"/>
      <c r="BD2340" s="20"/>
      <c r="BE2340" s="17"/>
      <c r="BF2340" s="20"/>
      <c r="BG2340" s="146"/>
      <c r="BH2340" s="146"/>
      <c r="BI2340" s="146"/>
      <c r="BJ2340" s="20"/>
      <c r="BK2340" s="20"/>
      <c r="BL2340" s="154"/>
      <c r="BP2340" s="20"/>
      <c r="BQ2340" s="154"/>
      <c r="BR2340" s="18"/>
      <c r="BS2340" s="16"/>
      <c r="BT2340" s="18"/>
      <c r="BU2340" s="18"/>
      <c r="BV2340" s="18"/>
      <c r="BW2340" s="20"/>
      <c r="BX2340" s="154"/>
      <c r="BY2340" s="18"/>
      <c r="BZ2340" s="146"/>
      <c r="CA2340" s="18"/>
      <c r="CB2340" s="18"/>
      <c r="CC2340" s="20"/>
      <c r="CD2340" s="154"/>
    </row>
    <row r="2341" spans="35:82">
      <c r="AI2341" s="19"/>
      <c r="AO2341" s="19"/>
      <c r="AY2341" s="145"/>
      <c r="AZ2341" s="16"/>
      <c r="BC2341" s="16"/>
      <c r="BD2341" s="20"/>
      <c r="BE2341" s="17"/>
      <c r="BF2341" s="20"/>
      <c r="BG2341" s="146"/>
      <c r="BH2341" s="146"/>
      <c r="BI2341" s="146"/>
      <c r="BJ2341" s="20"/>
      <c r="BK2341" s="20"/>
      <c r="BL2341" s="154"/>
      <c r="BP2341" s="20"/>
      <c r="BQ2341" s="154"/>
      <c r="BR2341" s="18"/>
      <c r="BS2341" s="16"/>
      <c r="BT2341" s="18"/>
      <c r="BU2341" s="18"/>
      <c r="BV2341" s="18"/>
      <c r="BW2341" s="20"/>
      <c r="BX2341" s="154"/>
      <c r="BY2341" s="18"/>
      <c r="BZ2341" s="146"/>
      <c r="CA2341" s="18"/>
      <c r="CB2341" s="18"/>
      <c r="CC2341" s="20"/>
      <c r="CD2341" s="154"/>
    </row>
    <row r="2342" spans="35:82">
      <c r="AI2342" s="19"/>
      <c r="AO2342" s="19"/>
      <c r="AY2342" s="145"/>
      <c r="AZ2342" s="16"/>
      <c r="BC2342" s="16"/>
      <c r="BD2342" s="20"/>
      <c r="BE2342" s="17"/>
      <c r="BF2342" s="20"/>
      <c r="BG2342" s="146"/>
      <c r="BH2342" s="146"/>
      <c r="BI2342" s="146"/>
      <c r="BJ2342" s="20"/>
      <c r="BK2342" s="20"/>
      <c r="BL2342" s="154"/>
      <c r="BP2342" s="20"/>
      <c r="BQ2342" s="154"/>
      <c r="BR2342" s="18"/>
      <c r="BS2342" s="16"/>
      <c r="BT2342" s="18"/>
      <c r="BU2342" s="18"/>
      <c r="BV2342" s="18"/>
      <c r="BW2342" s="20"/>
      <c r="BX2342" s="154"/>
      <c r="BY2342" s="18"/>
      <c r="BZ2342" s="146"/>
      <c r="CA2342" s="18"/>
      <c r="CB2342" s="18"/>
      <c r="CC2342" s="20"/>
      <c r="CD2342" s="154"/>
    </row>
    <row r="2343" spans="35:82">
      <c r="AI2343" s="19"/>
      <c r="AO2343" s="19"/>
      <c r="AY2343" s="145"/>
      <c r="AZ2343" s="16"/>
      <c r="BC2343" s="16"/>
      <c r="BD2343" s="20"/>
      <c r="BE2343" s="17"/>
      <c r="BF2343" s="20"/>
      <c r="BG2343" s="146"/>
      <c r="BH2343" s="146"/>
      <c r="BI2343" s="146"/>
      <c r="BJ2343" s="20"/>
      <c r="BK2343" s="20"/>
      <c r="BL2343" s="154"/>
      <c r="BP2343" s="20"/>
      <c r="BQ2343" s="154"/>
      <c r="BR2343" s="18"/>
      <c r="BS2343" s="16"/>
      <c r="BT2343" s="18"/>
      <c r="BU2343" s="18"/>
      <c r="BV2343" s="18"/>
      <c r="BW2343" s="20"/>
      <c r="BX2343" s="154"/>
      <c r="BY2343" s="18"/>
      <c r="BZ2343" s="146"/>
      <c r="CA2343" s="18"/>
      <c r="CB2343" s="18"/>
      <c r="CC2343" s="20"/>
      <c r="CD2343" s="154"/>
    </row>
    <row r="2344" spans="35:82">
      <c r="AI2344" s="19"/>
      <c r="AO2344" s="19"/>
      <c r="AY2344" s="145"/>
      <c r="AZ2344" s="16"/>
      <c r="BC2344" s="16"/>
      <c r="BD2344" s="20"/>
      <c r="BE2344" s="17"/>
      <c r="BF2344" s="20"/>
      <c r="BG2344" s="146"/>
      <c r="BH2344" s="146"/>
      <c r="BI2344" s="146"/>
      <c r="BJ2344" s="20"/>
      <c r="BK2344" s="20"/>
      <c r="BL2344" s="154"/>
      <c r="BP2344" s="20"/>
      <c r="BQ2344" s="154"/>
      <c r="BR2344" s="18"/>
      <c r="BS2344" s="16"/>
      <c r="BT2344" s="18"/>
      <c r="BU2344" s="18"/>
      <c r="BV2344" s="18"/>
      <c r="BW2344" s="20"/>
      <c r="BX2344" s="154"/>
      <c r="BY2344" s="18"/>
      <c r="BZ2344" s="146"/>
      <c r="CA2344" s="18"/>
      <c r="CB2344" s="18"/>
      <c r="CC2344" s="20"/>
      <c r="CD2344" s="154"/>
    </row>
    <row r="2345" spans="35:82">
      <c r="AI2345" s="19"/>
      <c r="AO2345" s="19"/>
      <c r="AY2345" s="145"/>
      <c r="AZ2345" s="16"/>
      <c r="BC2345" s="16"/>
      <c r="BD2345" s="20"/>
      <c r="BE2345" s="17"/>
      <c r="BF2345" s="20"/>
      <c r="BG2345" s="146"/>
      <c r="BH2345" s="146"/>
      <c r="BI2345" s="146"/>
      <c r="BJ2345" s="20"/>
      <c r="BK2345" s="20"/>
      <c r="BL2345" s="154"/>
      <c r="BP2345" s="20"/>
      <c r="BQ2345" s="154"/>
      <c r="BR2345" s="18"/>
      <c r="BS2345" s="16"/>
      <c r="BT2345" s="18"/>
      <c r="BU2345" s="18"/>
      <c r="BV2345" s="18"/>
      <c r="BW2345" s="20"/>
      <c r="BX2345" s="154"/>
      <c r="BY2345" s="18"/>
      <c r="BZ2345" s="146"/>
      <c r="CA2345" s="18"/>
      <c r="CB2345" s="18"/>
      <c r="CC2345" s="20"/>
      <c r="CD2345" s="154"/>
    </row>
    <row r="2346" spans="35:82">
      <c r="AI2346" s="19"/>
      <c r="AO2346" s="19"/>
      <c r="AY2346" s="145"/>
      <c r="AZ2346" s="16"/>
      <c r="BC2346" s="16"/>
      <c r="BD2346" s="20"/>
      <c r="BE2346" s="17"/>
      <c r="BF2346" s="20"/>
      <c r="BG2346" s="146"/>
      <c r="BH2346" s="146"/>
      <c r="BI2346" s="146"/>
      <c r="BJ2346" s="20"/>
      <c r="BK2346" s="20"/>
      <c r="BL2346" s="154"/>
      <c r="BP2346" s="20"/>
      <c r="BQ2346" s="154"/>
      <c r="BR2346" s="18"/>
      <c r="BS2346" s="16"/>
      <c r="BT2346" s="18"/>
      <c r="BU2346" s="18"/>
      <c r="BV2346" s="18"/>
      <c r="BW2346" s="20"/>
      <c r="BX2346" s="154"/>
      <c r="BY2346" s="18"/>
      <c r="BZ2346" s="146"/>
      <c r="CA2346" s="18"/>
      <c r="CB2346" s="18"/>
      <c r="CC2346" s="20"/>
      <c r="CD2346" s="154"/>
    </row>
    <row r="2347" spans="35:82">
      <c r="AI2347" s="19"/>
      <c r="AO2347" s="19"/>
      <c r="AY2347" s="145"/>
      <c r="AZ2347" s="16"/>
      <c r="BC2347" s="16"/>
      <c r="BD2347" s="20"/>
      <c r="BE2347" s="17"/>
      <c r="BF2347" s="20"/>
      <c r="BG2347" s="146"/>
      <c r="BH2347" s="146"/>
      <c r="BI2347" s="146"/>
      <c r="BJ2347" s="20"/>
      <c r="BK2347" s="20"/>
      <c r="BL2347" s="154"/>
      <c r="BP2347" s="20"/>
      <c r="BQ2347" s="154"/>
      <c r="BR2347" s="18"/>
      <c r="BS2347" s="16"/>
      <c r="BT2347" s="18"/>
      <c r="BU2347" s="18"/>
      <c r="BV2347" s="18"/>
      <c r="BW2347" s="20"/>
      <c r="BX2347" s="154"/>
      <c r="BY2347" s="18"/>
      <c r="BZ2347" s="146"/>
      <c r="CA2347" s="18"/>
      <c r="CB2347" s="18"/>
      <c r="CC2347" s="20"/>
      <c r="CD2347" s="154"/>
    </row>
    <row r="2348" spans="35:82">
      <c r="AI2348" s="19"/>
      <c r="AO2348" s="19"/>
      <c r="AY2348" s="145"/>
      <c r="AZ2348" s="16"/>
      <c r="BC2348" s="16"/>
      <c r="BD2348" s="20"/>
      <c r="BE2348" s="17"/>
      <c r="BF2348" s="20"/>
      <c r="BG2348" s="146"/>
      <c r="BH2348" s="146"/>
      <c r="BI2348" s="146"/>
      <c r="BJ2348" s="20"/>
      <c r="BK2348" s="20"/>
      <c r="BL2348" s="154"/>
      <c r="BP2348" s="20"/>
      <c r="BQ2348" s="154"/>
      <c r="BR2348" s="18"/>
      <c r="BS2348" s="16"/>
      <c r="BT2348" s="18"/>
      <c r="BU2348" s="18"/>
      <c r="BV2348" s="18"/>
      <c r="BW2348" s="20"/>
      <c r="BX2348" s="154"/>
      <c r="BY2348" s="18"/>
      <c r="BZ2348" s="146"/>
      <c r="CA2348" s="18"/>
      <c r="CB2348" s="18"/>
      <c r="CC2348" s="20"/>
      <c r="CD2348" s="154"/>
    </row>
    <row r="2349" spans="35:82">
      <c r="AI2349" s="19"/>
      <c r="AO2349" s="19"/>
      <c r="AY2349" s="145"/>
      <c r="AZ2349" s="16"/>
      <c r="BC2349" s="16"/>
      <c r="BD2349" s="20"/>
      <c r="BE2349" s="17"/>
      <c r="BF2349" s="20"/>
      <c r="BG2349" s="146"/>
      <c r="BH2349" s="146"/>
      <c r="BI2349" s="146"/>
      <c r="BJ2349" s="20"/>
      <c r="BK2349" s="20"/>
      <c r="BL2349" s="154"/>
      <c r="BP2349" s="20"/>
      <c r="BQ2349" s="154"/>
      <c r="BR2349" s="18"/>
      <c r="BS2349" s="16"/>
      <c r="BT2349" s="18"/>
      <c r="BU2349" s="18"/>
      <c r="BV2349" s="18"/>
      <c r="BW2349" s="20"/>
      <c r="BX2349" s="154"/>
      <c r="BY2349" s="18"/>
      <c r="BZ2349" s="146"/>
      <c r="CA2349" s="18"/>
      <c r="CB2349" s="18"/>
      <c r="CC2349" s="20"/>
      <c r="CD2349" s="154"/>
    </row>
    <row r="2350" spans="35:82">
      <c r="AI2350" s="19"/>
      <c r="AO2350" s="19"/>
      <c r="AY2350" s="145"/>
      <c r="AZ2350" s="16"/>
      <c r="BC2350" s="16"/>
      <c r="BD2350" s="20"/>
      <c r="BE2350" s="17"/>
      <c r="BF2350" s="20"/>
      <c r="BG2350" s="146"/>
      <c r="BH2350" s="146"/>
      <c r="BI2350" s="146"/>
      <c r="BJ2350" s="20"/>
      <c r="BK2350" s="20"/>
      <c r="BL2350" s="154"/>
      <c r="BP2350" s="20"/>
      <c r="BQ2350" s="154"/>
      <c r="BR2350" s="18"/>
      <c r="BS2350" s="16"/>
      <c r="BT2350" s="18"/>
      <c r="BU2350" s="18"/>
      <c r="BV2350" s="18"/>
      <c r="BW2350" s="20"/>
      <c r="BX2350" s="154"/>
      <c r="BY2350" s="18"/>
      <c r="BZ2350" s="146"/>
      <c r="CA2350" s="18"/>
      <c r="CB2350" s="18"/>
      <c r="CC2350" s="20"/>
      <c r="CD2350" s="154"/>
    </row>
    <row r="2351" spans="35:82">
      <c r="AI2351" s="19"/>
      <c r="AO2351" s="19"/>
      <c r="AY2351" s="145"/>
      <c r="AZ2351" s="16"/>
      <c r="BC2351" s="16"/>
      <c r="BD2351" s="20"/>
      <c r="BE2351" s="17"/>
      <c r="BF2351" s="20"/>
      <c r="BG2351" s="146"/>
      <c r="BH2351" s="146"/>
      <c r="BI2351" s="146"/>
      <c r="BJ2351" s="20"/>
      <c r="BK2351" s="20"/>
      <c r="BL2351" s="154"/>
      <c r="BP2351" s="20"/>
      <c r="BQ2351" s="154"/>
      <c r="BR2351" s="18"/>
      <c r="BS2351" s="16"/>
      <c r="BT2351" s="18"/>
      <c r="BU2351" s="18"/>
      <c r="BV2351" s="18"/>
      <c r="BW2351" s="20"/>
      <c r="BX2351" s="154"/>
      <c r="BY2351" s="18"/>
      <c r="BZ2351" s="146"/>
      <c r="CA2351" s="18"/>
      <c r="CB2351" s="18"/>
      <c r="CC2351" s="20"/>
      <c r="CD2351" s="154"/>
    </row>
    <row r="2352" spans="35:82">
      <c r="AI2352" s="19"/>
      <c r="AO2352" s="19"/>
      <c r="AY2352" s="145"/>
      <c r="AZ2352" s="16"/>
      <c r="BC2352" s="16"/>
      <c r="BD2352" s="20"/>
      <c r="BE2352" s="17"/>
      <c r="BF2352" s="20"/>
      <c r="BG2352" s="146"/>
      <c r="BH2352" s="146"/>
      <c r="BI2352" s="146"/>
      <c r="BJ2352" s="20"/>
      <c r="BK2352" s="20"/>
      <c r="BL2352" s="154"/>
      <c r="BP2352" s="20"/>
      <c r="BQ2352" s="154"/>
      <c r="BR2352" s="18"/>
      <c r="BS2352" s="16"/>
      <c r="BT2352" s="18"/>
      <c r="BU2352" s="18"/>
      <c r="BV2352" s="18"/>
      <c r="BW2352" s="20"/>
      <c r="BX2352" s="154"/>
      <c r="BY2352" s="18"/>
      <c r="BZ2352" s="146"/>
      <c r="CA2352" s="18"/>
      <c r="CB2352" s="18"/>
      <c r="CC2352" s="20"/>
      <c r="CD2352" s="154"/>
    </row>
    <row r="2353" spans="35:82">
      <c r="AI2353" s="19"/>
      <c r="AO2353" s="19"/>
      <c r="AY2353" s="145"/>
      <c r="AZ2353" s="16"/>
      <c r="BC2353" s="16"/>
      <c r="BD2353" s="20"/>
      <c r="BE2353" s="17"/>
      <c r="BF2353" s="20"/>
      <c r="BG2353" s="146"/>
      <c r="BH2353" s="146"/>
      <c r="BI2353" s="146"/>
      <c r="BJ2353" s="20"/>
      <c r="BK2353" s="20"/>
      <c r="BL2353" s="154"/>
      <c r="BP2353" s="20"/>
      <c r="BQ2353" s="154"/>
      <c r="BR2353" s="18"/>
      <c r="BS2353" s="16"/>
      <c r="BT2353" s="18"/>
      <c r="BU2353" s="18"/>
      <c r="BV2353" s="18"/>
      <c r="BW2353" s="20"/>
      <c r="BX2353" s="154"/>
      <c r="BY2353" s="18"/>
      <c r="BZ2353" s="146"/>
      <c r="CA2353" s="18"/>
      <c r="CB2353" s="18"/>
      <c r="CC2353" s="20"/>
      <c r="CD2353" s="154"/>
    </row>
    <row r="2354" spans="35:82">
      <c r="AI2354" s="19"/>
      <c r="AO2354" s="19"/>
      <c r="AY2354" s="145"/>
      <c r="AZ2354" s="16"/>
      <c r="BC2354" s="16"/>
      <c r="BD2354" s="20"/>
      <c r="BE2354" s="17"/>
      <c r="BF2354" s="20"/>
      <c r="BG2354" s="146"/>
      <c r="BH2354" s="146"/>
      <c r="BI2354" s="146"/>
      <c r="BJ2354" s="20"/>
      <c r="BK2354" s="20"/>
      <c r="BL2354" s="154"/>
      <c r="BP2354" s="20"/>
      <c r="BQ2354" s="154"/>
      <c r="BR2354" s="18"/>
      <c r="BS2354" s="16"/>
      <c r="BT2354" s="18"/>
      <c r="BU2354" s="18"/>
      <c r="BV2354" s="18"/>
      <c r="BW2354" s="20"/>
      <c r="BX2354" s="154"/>
      <c r="BY2354" s="18"/>
      <c r="BZ2354" s="146"/>
      <c r="CA2354" s="18"/>
      <c r="CB2354" s="18"/>
      <c r="CC2354" s="20"/>
      <c r="CD2354" s="154"/>
    </row>
    <row r="2355" spans="35:82">
      <c r="AI2355" s="19"/>
      <c r="AO2355" s="19"/>
      <c r="AY2355" s="145"/>
      <c r="AZ2355" s="16"/>
      <c r="BC2355" s="16"/>
      <c r="BD2355" s="20"/>
      <c r="BE2355" s="17"/>
      <c r="BF2355" s="20"/>
      <c r="BG2355" s="146"/>
      <c r="BH2355" s="146"/>
      <c r="BI2355" s="146"/>
      <c r="BJ2355" s="20"/>
      <c r="BK2355" s="20"/>
      <c r="BL2355" s="154"/>
      <c r="BP2355" s="20"/>
      <c r="BQ2355" s="154"/>
      <c r="BR2355" s="18"/>
      <c r="BS2355" s="16"/>
      <c r="BT2355" s="18"/>
      <c r="BU2355" s="18"/>
      <c r="BV2355" s="18"/>
      <c r="BW2355" s="20"/>
      <c r="BX2355" s="154"/>
      <c r="BY2355" s="18"/>
      <c r="BZ2355" s="146"/>
      <c r="CA2355" s="18"/>
      <c r="CB2355" s="18"/>
      <c r="CC2355" s="20"/>
      <c r="CD2355" s="154"/>
    </row>
    <row r="2356" spans="35:82">
      <c r="AI2356" s="19"/>
      <c r="AO2356" s="19"/>
      <c r="AY2356" s="145"/>
      <c r="AZ2356" s="16"/>
      <c r="BC2356" s="16"/>
      <c r="BD2356" s="20"/>
      <c r="BE2356" s="17"/>
      <c r="BF2356" s="20"/>
      <c r="BG2356" s="146"/>
      <c r="BH2356" s="146"/>
      <c r="BI2356" s="146"/>
      <c r="BJ2356" s="20"/>
      <c r="BK2356" s="20"/>
      <c r="BL2356" s="154"/>
      <c r="BP2356" s="20"/>
      <c r="BQ2356" s="154"/>
      <c r="BR2356" s="18"/>
      <c r="BS2356" s="16"/>
      <c r="BT2356" s="18"/>
      <c r="BU2356" s="18"/>
      <c r="BV2356" s="18"/>
      <c r="BW2356" s="20"/>
      <c r="BX2356" s="154"/>
      <c r="BY2356" s="18"/>
      <c r="BZ2356" s="146"/>
      <c r="CA2356" s="18"/>
      <c r="CB2356" s="18"/>
      <c r="CC2356" s="20"/>
      <c r="CD2356" s="154"/>
    </row>
    <row r="2357" spans="35:82">
      <c r="AI2357" s="19"/>
      <c r="AO2357" s="19"/>
      <c r="AY2357" s="145"/>
      <c r="AZ2357" s="16"/>
      <c r="BC2357" s="16"/>
      <c r="BD2357" s="20"/>
      <c r="BE2357" s="17"/>
      <c r="BF2357" s="20"/>
      <c r="BG2357" s="146"/>
      <c r="BH2357" s="146"/>
      <c r="BI2357" s="146"/>
      <c r="BJ2357" s="20"/>
      <c r="BK2357" s="20"/>
      <c r="BL2357" s="154"/>
      <c r="BP2357" s="20"/>
      <c r="BQ2357" s="154"/>
      <c r="BR2357" s="18"/>
      <c r="BS2357" s="16"/>
      <c r="BT2357" s="18"/>
      <c r="BU2357" s="18"/>
      <c r="BV2357" s="18"/>
      <c r="BW2357" s="20"/>
      <c r="BX2357" s="154"/>
      <c r="BY2357" s="18"/>
      <c r="BZ2357" s="146"/>
      <c r="CA2357" s="18"/>
      <c r="CB2357" s="18"/>
      <c r="CC2357" s="20"/>
      <c r="CD2357" s="154"/>
    </row>
    <row r="2358" spans="35:82">
      <c r="AI2358" s="19"/>
      <c r="AO2358" s="19"/>
      <c r="AY2358" s="145"/>
      <c r="AZ2358" s="16"/>
      <c r="BC2358" s="16"/>
      <c r="BD2358" s="20"/>
      <c r="BE2358" s="17"/>
      <c r="BF2358" s="20"/>
      <c r="BG2358" s="146"/>
      <c r="BH2358" s="146"/>
      <c r="BI2358" s="146"/>
      <c r="BJ2358" s="20"/>
      <c r="BK2358" s="20"/>
      <c r="BL2358" s="154"/>
      <c r="BP2358" s="20"/>
      <c r="BQ2358" s="154"/>
      <c r="BR2358" s="18"/>
      <c r="BS2358" s="16"/>
      <c r="BT2358" s="18"/>
      <c r="BU2358" s="18"/>
      <c r="BV2358" s="18"/>
      <c r="BW2358" s="20"/>
      <c r="BX2358" s="154"/>
      <c r="BY2358" s="18"/>
      <c r="BZ2358" s="146"/>
      <c r="CA2358" s="18"/>
      <c r="CB2358" s="18"/>
      <c r="CC2358" s="20"/>
      <c r="CD2358" s="154"/>
    </row>
    <row r="2359" spans="35:82">
      <c r="AI2359" s="19"/>
      <c r="AO2359" s="19"/>
      <c r="AY2359" s="145"/>
      <c r="AZ2359" s="16"/>
      <c r="BC2359" s="16"/>
      <c r="BD2359" s="20"/>
      <c r="BE2359" s="17"/>
      <c r="BF2359" s="20"/>
      <c r="BG2359" s="146"/>
      <c r="BH2359" s="146"/>
      <c r="BI2359" s="146"/>
      <c r="BJ2359" s="20"/>
      <c r="BK2359" s="20"/>
      <c r="BL2359" s="154"/>
      <c r="BP2359" s="20"/>
      <c r="BQ2359" s="154"/>
      <c r="BR2359" s="18"/>
      <c r="BS2359" s="16"/>
      <c r="BT2359" s="18"/>
      <c r="BU2359" s="18"/>
      <c r="BV2359" s="18"/>
      <c r="BW2359" s="20"/>
      <c r="BX2359" s="154"/>
      <c r="BY2359" s="18"/>
      <c r="BZ2359" s="146"/>
      <c r="CA2359" s="18"/>
      <c r="CB2359" s="18"/>
      <c r="CC2359" s="20"/>
      <c r="CD2359" s="154"/>
    </row>
    <row r="2360" spans="35:82">
      <c r="AI2360" s="19"/>
      <c r="AO2360" s="19"/>
      <c r="AY2360" s="145"/>
      <c r="AZ2360" s="16"/>
      <c r="BC2360" s="16"/>
      <c r="BD2360" s="20"/>
      <c r="BE2360" s="17"/>
      <c r="BF2360" s="20"/>
      <c r="BG2360" s="146"/>
      <c r="BH2360" s="146"/>
      <c r="BI2360" s="146"/>
      <c r="BJ2360" s="20"/>
      <c r="BK2360" s="20"/>
      <c r="BL2360" s="154"/>
      <c r="BP2360" s="20"/>
      <c r="BQ2360" s="154"/>
      <c r="BR2360" s="18"/>
      <c r="BS2360" s="16"/>
      <c r="BT2360" s="18"/>
      <c r="BU2360" s="18"/>
      <c r="BV2360" s="18"/>
      <c r="BW2360" s="20"/>
      <c r="BX2360" s="154"/>
      <c r="BY2360" s="18"/>
      <c r="BZ2360" s="146"/>
      <c r="CA2360" s="18"/>
      <c r="CB2360" s="18"/>
      <c r="CC2360" s="20"/>
      <c r="CD2360" s="154"/>
    </row>
    <row r="2361" spans="35:82">
      <c r="AI2361" s="19"/>
      <c r="AO2361" s="19"/>
      <c r="AY2361" s="145"/>
      <c r="AZ2361" s="16"/>
      <c r="BC2361" s="16"/>
      <c r="BD2361" s="20"/>
      <c r="BE2361" s="17"/>
      <c r="BF2361" s="20"/>
      <c r="BG2361" s="146"/>
      <c r="BH2361" s="146"/>
      <c r="BI2361" s="146"/>
      <c r="BJ2361" s="20"/>
      <c r="BK2361" s="20"/>
      <c r="BL2361" s="154"/>
      <c r="BP2361" s="20"/>
      <c r="BQ2361" s="154"/>
      <c r="BR2361" s="18"/>
      <c r="BS2361" s="16"/>
      <c r="BT2361" s="18"/>
      <c r="BU2361" s="18"/>
      <c r="BV2361" s="18"/>
      <c r="BW2361" s="20"/>
      <c r="BX2361" s="154"/>
      <c r="BY2361" s="18"/>
      <c r="BZ2361" s="146"/>
      <c r="CA2361" s="18"/>
      <c r="CB2361" s="18"/>
      <c r="CC2361" s="20"/>
      <c r="CD2361" s="154"/>
    </row>
    <row r="2362" spans="35:82">
      <c r="AI2362" s="19"/>
      <c r="AO2362" s="19"/>
      <c r="AY2362" s="145"/>
      <c r="AZ2362" s="16"/>
      <c r="BC2362" s="16"/>
      <c r="BD2362" s="20"/>
      <c r="BE2362" s="17"/>
      <c r="BF2362" s="20"/>
      <c r="BG2362" s="146"/>
      <c r="BH2362" s="146"/>
      <c r="BI2362" s="146"/>
      <c r="BJ2362" s="20"/>
      <c r="BK2362" s="20"/>
      <c r="BL2362" s="154"/>
      <c r="BP2362" s="20"/>
      <c r="BQ2362" s="154"/>
      <c r="BR2362" s="18"/>
      <c r="BS2362" s="16"/>
      <c r="BT2362" s="18"/>
      <c r="BU2362" s="18"/>
      <c r="BV2362" s="18"/>
      <c r="BW2362" s="20"/>
      <c r="BX2362" s="154"/>
      <c r="BY2362" s="18"/>
      <c r="BZ2362" s="146"/>
      <c r="CA2362" s="18"/>
      <c r="CB2362" s="18"/>
      <c r="CC2362" s="20"/>
      <c r="CD2362" s="154"/>
    </row>
    <row r="2363" spans="35:82">
      <c r="AI2363" s="19"/>
      <c r="AO2363" s="19"/>
      <c r="AY2363" s="145"/>
      <c r="AZ2363" s="16"/>
      <c r="BC2363" s="16"/>
      <c r="BD2363" s="20"/>
      <c r="BE2363" s="17"/>
      <c r="BF2363" s="20"/>
      <c r="BG2363" s="146"/>
      <c r="BH2363" s="146"/>
      <c r="BI2363" s="146"/>
      <c r="BJ2363" s="20"/>
      <c r="BK2363" s="20"/>
      <c r="BL2363" s="154"/>
      <c r="BP2363" s="20"/>
      <c r="BQ2363" s="154"/>
      <c r="BR2363" s="18"/>
      <c r="BS2363" s="16"/>
      <c r="BT2363" s="18"/>
      <c r="BU2363" s="18"/>
      <c r="BV2363" s="18"/>
      <c r="BW2363" s="20"/>
      <c r="BX2363" s="154"/>
      <c r="BY2363" s="18"/>
      <c r="BZ2363" s="146"/>
      <c r="CA2363" s="18"/>
      <c r="CB2363" s="18"/>
      <c r="CC2363" s="20"/>
      <c r="CD2363" s="154"/>
    </row>
    <row r="2364" spans="35:82">
      <c r="AI2364" s="19"/>
      <c r="AO2364" s="19"/>
      <c r="AY2364" s="145"/>
      <c r="AZ2364" s="16"/>
      <c r="BC2364" s="16"/>
      <c r="BD2364" s="20"/>
      <c r="BE2364" s="17"/>
      <c r="BF2364" s="20"/>
      <c r="BG2364" s="146"/>
      <c r="BH2364" s="146"/>
      <c r="BI2364" s="146"/>
      <c r="BJ2364" s="20"/>
      <c r="BK2364" s="20"/>
      <c r="BL2364" s="154"/>
      <c r="BP2364" s="20"/>
      <c r="BQ2364" s="154"/>
      <c r="BR2364" s="18"/>
      <c r="BS2364" s="16"/>
      <c r="BT2364" s="18"/>
      <c r="BU2364" s="18"/>
      <c r="BV2364" s="18"/>
      <c r="BW2364" s="20"/>
      <c r="BX2364" s="154"/>
      <c r="BY2364" s="18"/>
      <c r="BZ2364" s="146"/>
      <c r="CA2364" s="18"/>
      <c r="CB2364" s="18"/>
      <c r="CC2364" s="20"/>
      <c r="CD2364" s="154"/>
    </row>
    <row r="2365" spans="35:82">
      <c r="AI2365" s="19"/>
      <c r="AO2365" s="19"/>
      <c r="AY2365" s="145"/>
      <c r="AZ2365" s="16"/>
      <c r="BC2365" s="16"/>
      <c r="BD2365" s="20"/>
      <c r="BE2365" s="17"/>
      <c r="BF2365" s="20"/>
      <c r="BG2365" s="146"/>
      <c r="BH2365" s="146"/>
      <c r="BI2365" s="146"/>
      <c r="BJ2365" s="20"/>
      <c r="BK2365" s="20"/>
      <c r="BL2365" s="154"/>
      <c r="BP2365" s="20"/>
      <c r="BQ2365" s="154"/>
      <c r="BR2365" s="18"/>
      <c r="BS2365" s="16"/>
      <c r="BT2365" s="18"/>
      <c r="BU2365" s="18"/>
      <c r="BV2365" s="18"/>
      <c r="BW2365" s="20"/>
      <c r="BX2365" s="154"/>
      <c r="BY2365" s="18"/>
      <c r="BZ2365" s="146"/>
      <c r="CA2365" s="18"/>
      <c r="CB2365" s="18"/>
      <c r="CC2365" s="20"/>
      <c r="CD2365" s="154"/>
    </row>
    <row r="2366" spans="35:82">
      <c r="AI2366" s="19"/>
      <c r="AO2366" s="19"/>
      <c r="AY2366" s="145"/>
      <c r="AZ2366" s="16"/>
      <c r="BC2366" s="16"/>
      <c r="BD2366" s="20"/>
      <c r="BE2366" s="17"/>
      <c r="BF2366" s="20"/>
      <c r="BG2366" s="146"/>
      <c r="BH2366" s="146"/>
      <c r="BI2366" s="146"/>
      <c r="BJ2366" s="20"/>
      <c r="BK2366" s="20"/>
      <c r="BL2366" s="154"/>
      <c r="BP2366" s="20"/>
      <c r="BQ2366" s="154"/>
      <c r="BR2366" s="18"/>
      <c r="BS2366" s="16"/>
      <c r="BT2366" s="18"/>
      <c r="BU2366" s="18"/>
      <c r="BV2366" s="18"/>
      <c r="BW2366" s="20"/>
      <c r="BX2366" s="154"/>
      <c r="BY2366" s="18"/>
      <c r="BZ2366" s="146"/>
      <c r="CA2366" s="18"/>
      <c r="CB2366" s="18"/>
      <c r="CC2366" s="20"/>
      <c r="CD2366" s="154"/>
    </row>
    <row r="2367" spans="35:82">
      <c r="AI2367" s="19"/>
      <c r="AO2367" s="19"/>
      <c r="AY2367" s="145"/>
      <c r="AZ2367" s="16"/>
      <c r="BC2367" s="16"/>
      <c r="BD2367" s="20"/>
      <c r="BE2367" s="17"/>
      <c r="BF2367" s="20"/>
      <c r="BG2367" s="146"/>
      <c r="BH2367" s="146"/>
      <c r="BI2367" s="146"/>
      <c r="BJ2367" s="20"/>
      <c r="BK2367" s="20"/>
      <c r="BL2367" s="154"/>
      <c r="BP2367" s="20"/>
      <c r="BQ2367" s="154"/>
      <c r="BR2367" s="18"/>
      <c r="BS2367" s="16"/>
      <c r="BT2367" s="18"/>
      <c r="BU2367" s="18"/>
      <c r="BV2367" s="18"/>
      <c r="BW2367" s="20"/>
      <c r="BX2367" s="154"/>
      <c r="BY2367" s="18"/>
      <c r="BZ2367" s="146"/>
      <c r="CA2367" s="18"/>
      <c r="CB2367" s="18"/>
      <c r="CC2367" s="20"/>
      <c r="CD2367" s="154"/>
    </row>
    <row r="2368" spans="35:82">
      <c r="AI2368" s="19"/>
      <c r="AO2368" s="19"/>
      <c r="AY2368" s="145"/>
      <c r="AZ2368" s="16"/>
      <c r="BC2368" s="16"/>
      <c r="BD2368" s="20"/>
      <c r="BE2368" s="17"/>
      <c r="BF2368" s="20"/>
      <c r="BG2368" s="146"/>
      <c r="BH2368" s="146"/>
      <c r="BI2368" s="146"/>
      <c r="BJ2368" s="20"/>
      <c r="BK2368" s="20"/>
      <c r="BL2368" s="154"/>
      <c r="BP2368" s="20"/>
      <c r="BQ2368" s="154"/>
      <c r="BR2368" s="18"/>
      <c r="BS2368" s="16"/>
      <c r="BT2368" s="18"/>
      <c r="BU2368" s="18"/>
      <c r="BV2368" s="18"/>
      <c r="BW2368" s="20"/>
      <c r="BX2368" s="154"/>
      <c r="BY2368" s="18"/>
      <c r="BZ2368" s="146"/>
      <c r="CA2368" s="18"/>
      <c r="CB2368" s="18"/>
      <c r="CC2368" s="20"/>
      <c r="CD2368" s="154"/>
    </row>
    <row r="2369" spans="35:82">
      <c r="AI2369" s="19"/>
      <c r="AO2369" s="19"/>
      <c r="AY2369" s="145"/>
      <c r="AZ2369" s="16"/>
      <c r="BC2369" s="16"/>
      <c r="BD2369" s="20"/>
      <c r="BE2369" s="17"/>
      <c r="BF2369" s="20"/>
      <c r="BG2369" s="146"/>
      <c r="BH2369" s="146"/>
      <c r="BI2369" s="146"/>
      <c r="BJ2369" s="20"/>
      <c r="BK2369" s="20"/>
      <c r="BL2369" s="154"/>
      <c r="BP2369" s="20"/>
      <c r="BQ2369" s="154"/>
      <c r="BR2369" s="18"/>
      <c r="BS2369" s="16"/>
      <c r="BT2369" s="18"/>
      <c r="BU2369" s="18"/>
      <c r="BV2369" s="18"/>
      <c r="BW2369" s="20"/>
      <c r="BX2369" s="154"/>
      <c r="BY2369" s="18"/>
      <c r="BZ2369" s="146"/>
      <c r="CA2369" s="18"/>
      <c r="CB2369" s="18"/>
      <c r="CC2369" s="20"/>
      <c r="CD2369" s="154"/>
    </row>
    <row r="2370" spans="35:82">
      <c r="AI2370" s="19"/>
      <c r="AO2370" s="19"/>
      <c r="AY2370" s="145"/>
      <c r="AZ2370" s="16"/>
      <c r="BC2370" s="16"/>
      <c r="BD2370" s="20"/>
      <c r="BE2370" s="17"/>
      <c r="BF2370" s="20"/>
      <c r="BG2370" s="146"/>
      <c r="BH2370" s="146"/>
      <c r="BI2370" s="146"/>
      <c r="BJ2370" s="20"/>
      <c r="BK2370" s="20"/>
      <c r="BL2370" s="154"/>
      <c r="BP2370" s="20"/>
      <c r="BQ2370" s="154"/>
      <c r="BR2370" s="18"/>
      <c r="BS2370" s="16"/>
      <c r="BT2370" s="18"/>
      <c r="BU2370" s="18"/>
      <c r="BV2370" s="18"/>
      <c r="BW2370" s="20"/>
      <c r="BX2370" s="154"/>
      <c r="BY2370" s="18"/>
      <c r="BZ2370" s="146"/>
      <c r="CA2370" s="18"/>
      <c r="CB2370" s="18"/>
      <c r="CC2370" s="20"/>
      <c r="CD2370" s="154"/>
    </row>
    <row r="2371" spans="35:82">
      <c r="AI2371" s="19"/>
      <c r="AO2371" s="19"/>
      <c r="AY2371" s="145"/>
      <c r="AZ2371" s="16"/>
      <c r="BC2371" s="16"/>
      <c r="BD2371" s="20"/>
      <c r="BE2371" s="17"/>
      <c r="BF2371" s="20"/>
      <c r="BG2371" s="146"/>
      <c r="BH2371" s="146"/>
      <c r="BI2371" s="146"/>
      <c r="BJ2371" s="20"/>
      <c r="BK2371" s="20"/>
      <c r="BL2371" s="154"/>
      <c r="BP2371" s="20"/>
      <c r="BQ2371" s="154"/>
      <c r="BR2371" s="18"/>
      <c r="BS2371" s="16"/>
      <c r="BT2371" s="18"/>
      <c r="BU2371" s="18"/>
      <c r="BV2371" s="18"/>
      <c r="BW2371" s="20"/>
      <c r="BX2371" s="154"/>
      <c r="BY2371" s="18"/>
      <c r="BZ2371" s="146"/>
      <c r="CA2371" s="18"/>
      <c r="CB2371" s="18"/>
      <c r="CC2371" s="20"/>
      <c r="CD2371" s="154"/>
    </row>
    <row r="2372" spans="35:82">
      <c r="AI2372" s="19"/>
      <c r="AO2372" s="19"/>
      <c r="AY2372" s="145"/>
      <c r="AZ2372" s="16"/>
      <c r="BC2372" s="16"/>
      <c r="BD2372" s="20"/>
      <c r="BE2372" s="17"/>
      <c r="BF2372" s="20"/>
      <c r="BG2372" s="146"/>
      <c r="BH2372" s="146"/>
      <c r="BI2372" s="146"/>
      <c r="BJ2372" s="20"/>
      <c r="BK2372" s="20"/>
      <c r="BL2372" s="154"/>
      <c r="BP2372" s="20"/>
      <c r="BQ2372" s="154"/>
      <c r="BR2372" s="18"/>
      <c r="BS2372" s="16"/>
      <c r="BT2372" s="18"/>
      <c r="BU2372" s="18"/>
      <c r="BV2372" s="18"/>
      <c r="BW2372" s="20"/>
      <c r="BX2372" s="154"/>
      <c r="BY2372" s="18"/>
      <c r="BZ2372" s="146"/>
      <c r="CA2372" s="18"/>
      <c r="CB2372" s="18"/>
      <c r="CC2372" s="20"/>
      <c r="CD2372" s="154"/>
    </row>
    <row r="2373" spans="35:82">
      <c r="AI2373" s="19"/>
      <c r="AO2373" s="19"/>
      <c r="AY2373" s="145"/>
      <c r="AZ2373" s="16"/>
      <c r="BC2373" s="16"/>
      <c r="BD2373" s="20"/>
      <c r="BE2373" s="17"/>
      <c r="BF2373" s="20"/>
      <c r="BG2373" s="146"/>
      <c r="BH2373" s="146"/>
      <c r="BI2373" s="146"/>
      <c r="BJ2373" s="20"/>
      <c r="BK2373" s="20"/>
      <c r="BL2373" s="154"/>
      <c r="BP2373" s="20"/>
      <c r="BQ2373" s="154"/>
      <c r="BR2373" s="18"/>
      <c r="BS2373" s="16"/>
      <c r="BT2373" s="18"/>
      <c r="BU2373" s="18"/>
      <c r="BV2373" s="18"/>
      <c r="BW2373" s="20"/>
      <c r="BX2373" s="154"/>
      <c r="BY2373" s="18"/>
      <c r="BZ2373" s="146"/>
      <c r="CA2373" s="18"/>
      <c r="CB2373" s="18"/>
      <c r="CC2373" s="20"/>
      <c r="CD2373" s="154"/>
    </row>
    <row r="2374" spans="35:82">
      <c r="AI2374" s="19"/>
      <c r="AO2374" s="19"/>
      <c r="AY2374" s="145"/>
      <c r="AZ2374" s="16"/>
      <c r="BC2374" s="16"/>
      <c r="BD2374" s="20"/>
      <c r="BE2374" s="17"/>
      <c r="BF2374" s="20"/>
      <c r="BG2374" s="146"/>
      <c r="BH2374" s="146"/>
      <c r="BI2374" s="146"/>
      <c r="BJ2374" s="20"/>
      <c r="BK2374" s="20"/>
      <c r="BL2374" s="154"/>
      <c r="BP2374" s="20"/>
      <c r="BQ2374" s="154"/>
      <c r="BR2374" s="18"/>
      <c r="BS2374" s="16"/>
      <c r="BT2374" s="18"/>
      <c r="BU2374" s="18"/>
      <c r="BV2374" s="18"/>
      <c r="BW2374" s="20"/>
      <c r="BX2374" s="154"/>
      <c r="BY2374" s="18"/>
      <c r="BZ2374" s="146"/>
      <c r="CA2374" s="18"/>
      <c r="CB2374" s="18"/>
      <c r="CC2374" s="20"/>
      <c r="CD2374" s="154"/>
    </row>
    <row r="2375" spans="35:82">
      <c r="AI2375" s="19"/>
      <c r="AO2375" s="19"/>
      <c r="AY2375" s="145"/>
      <c r="AZ2375" s="16"/>
      <c r="BC2375" s="16"/>
      <c r="BD2375" s="20"/>
      <c r="BE2375" s="17"/>
      <c r="BF2375" s="20"/>
      <c r="BG2375" s="146"/>
      <c r="BH2375" s="146"/>
      <c r="BI2375" s="146"/>
      <c r="BJ2375" s="20"/>
      <c r="BK2375" s="20"/>
      <c r="BL2375" s="154"/>
      <c r="BP2375" s="20"/>
      <c r="BQ2375" s="154"/>
      <c r="BR2375" s="18"/>
      <c r="BS2375" s="16"/>
      <c r="BT2375" s="18"/>
      <c r="BU2375" s="18"/>
      <c r="BV2375" s="18"/>
      <c r="BW2375" s="20"/>
      <c r="BX2375" s="154"/>
      <c r="BY2375" s="18"/>
      <c r="BZ2375" s="146"/>
      <c r="CA2375" s="18"/>
      <c r="CB2375" s="18"/>
      <c r="CC2375" s="20"/>
      <c r="CD2375" s="154"/>
    </row>
    <row r="2376" spans="35:82">
      <c r="AI2376" s="19"/>
      <c r="AO2376" s="19"/>
      <c r="AY2376" s="145"/>
      <c r="AZ2376" s="16"/>
      <c r="BC2376" s="16"/>
      <c r="BD2376" s="20"/>
      <c r="BE2376" s="17"/>
      <c r="BF2376" s="20"/>
      <c r="BG2376" s="146"/>
      <c r="BH2376" s="146"/>
      <c r="BI2376" s="146"/>
      <c r="BJ2376" s="20"/>
      <c r="BK2376" s="20"/>
      <c r="BL2376" s="154"/>
      <c r="BP2376" s="20"/>
      <c r="BQ2376" s="154"/>
      <c r="BR2376" s="18"/>
      <c r="BS2376" s="16"/>
      <c r="BT2376" s="18"/>
      <c r="BU2376" s="18"/>
      <c r="BV2376" s="18"/>
      <c r="BW2376" s="20"/>
      <c r="BX2376" s="154"/>
      <c r="BY2376" s="18"/>
      <c r="BZ2376" s="146"/>
      <c r="CA2376" s="18"/>
      <c r="CB2376" s="18"/>
      <c r="CC2376" s="20"/>
      <c r="CD2376" s="154"/>
    </row>
    <row r="2377" spans="35:82">
      <c r="AI2377" s="19"/>
      <c r="AO2377" s="19"/>
      <c r="AY2377" s="145"/>
      <c r="AZ2377" s="16"/>
      <c r="BC2377" s="16"/>
      <c r="BD2377" s="20"/>
      <c r="BE2377" s="17"/>
      <c r="BF2377" s="20"/>
      <c r="BG2377" s="146"/>
      <c r="BH2377" s="146"/>
      <c r="BI2377" s="146"/>
      <c r="BJ2377" s="20"/>
      <c r="BK2377" s="20"/>
      <c r="BL2377" s="154"/>
      <c r="BP2377" s="20"/>
      <c r="BQ2377" s="154"/>
      <c r="BR2377" s="18"/>
      <c r="BS2377" s="16"/>
      <c r="BT2377" s="18"/>
      <c r="BU2377" s="18"/>
      <c r="BV2377" s="18"/>
      <c r="BW2377" s="20"/>
      <c r="BX2377" s="154"/>
      <c r="BY2377" s="18"/>
      <c r="BZ2377" s="146"/>
      <c r="CA2377" s="18"/>
      <c r="CB2377" s="18"/>
      <c r="CC2377" s="20"/>
      <c r="CD2377" s="154"/>
    </row>
    <row r="2378" spans="35:82">
      <c r="AI2378" s="19"/>
      <c r="AO2378" s="19"/>
      <c r="AY2378" s="145"/>
      <c r="AZ2378" s="16"/>
      <c r="BC2378" s="16"/>
      <c r="BD2378" s="20"/>
      <c r="BE2378" s="17"/>
      <c r="BF2378" s="20"/>
      <c r="BG2378" s="146"/>
      <c r="BH2378" s="146"/>
      <c r="BI2378" s="146"/>
      <c r="BJ2378" s="20"/>
      <c r="BK2378" s="20"/>
      <c r="BL2378" s="154"/>
      <c r="BP2378" s="20"/>
      <c r="BQ2378" s="154"/>
      <c r="BR2378" s="18"/>
      <c r="BS2378" s="16"/>
      <c r="BT2378" s="18"/>
      <c r="BU2378" s="18"/>
      <c r="BV2378" s="18"/>
      <c r="BW2378" s="20"/>
      <c r="BX2378" s="154"/>
      <c r="BY2378" s="18"/>
      <c r="BZ2378" s="146"/>
      <c r="CA2378" s="18"/>
      <c r="CB2378" s="18"/>
      <c r="CC2378" s="20"/>
      <c r="CD2378" s="154"/>
    </row>
    <row r="2379" spans="35:82">
      <c r="AI2379" s="19"/>
      <c r="AO2379" s="19"/>
      <c r="AY2379" s="145"/>
      <c r="AZ2379" s="16"/>
      <c r="BC2379" s="16"/>
      <c r="BD2379" s="20"/>
      <c r="BE2379" s="17"/>
      <c r="BF2379" s="20"/>
      <c r="BG2379" s="146"/>
      <c r="BH2379" s="146"/>
      <c r="BI2379" s="146"/>
      <c r="BJ2379" s="20"/>
      <c r="BK2379" s="20"/>
      <c r="BL2379" s="154"/>
      <c r="BP2379" s="20"/>
      <c r="BQ2379" s="154"/>
      <c r="BR2379" s="18"/>
      <c r="BS2379" s="16"/>
      <c r="BT2379" s="18"/>
      <c r="BU2379" s="18"/>
      <c r="BV2379" s="18"/>
      <c r="BW2379" s="20"/>
      <c r="BX2379" s="154"/>
      <c r="BY2379" s="18"/>
      <c r="BZ2379" s="146"/>
      <c r="CA2379" s="18"/>
      <c r="CB2379" s="18"/>
      <c r="CC2379" s="20"/>
      <c r="CD2379" s="154"/>
    </row>
    <row r="2380" spans="35:82">
      <c r="AI2380" s="19"/>
      <c r="AO2380" s="19"/>
      <c r="AY2380" s="145"/>
      <c r="AZ2380" s="16"/>
      <c r="BC2380" s="16"/>
      <c r="BD2380" s="20"/>
      <c r="BE2380" s="17"/>
      <c r="BF2380" s="20"/>
      <c r="BG2380" s="146"/>
      <c r="BH2380" s="146"/>
      <c r="BI2380" s="146"/>
      <c r="BJ2380" s="20"/>
      <c r="BK2380" s="20"/>
      <c r="BL2380" s="154"/>
      <c r="BP2380" s="20"/>
      <c r="BQ2380" s="154"/>
      <c r="BR2380" s="18"/>
      <c r="BS2380" s="16"/>
      <c r="BT2380" s="18"/>
      <c r="BU2380" s="18"/>
      <c r="BV2380" s="18"/>
      <c r="BW2380" s="20"/>
      <c r="BX2380" s="154"/>
      <c r="BY2380" s="18"/>
      <c r="BZ2380" s="146"/>
      <c r="CA2380" s="18"/>
      <c r="CB2380" s="18"/>
      <c r="CC2380" s="20"/>
      <c r="CD2380" s="154"/>
    </row>
    <row r="2381" spans="35:82">
      <c r="AI2381" s="19"/>
      <c r="AO2381" s="19"/>
      <c r="AY2381" s="145"/>
      <c r="AZ2381" s="16"/>
      <c r="BC2381" s="16"/>
      <c r="BD2381" s="20"/>
      <c r="BE2381" s="17"/>
      <c r="BF2381" s="20"/>
      <c r="BG2381" s="146"/>
      <c r="BH2381" s="146"/>
      <c r="BI2381" s="146"/>
      <c r="BJ2381" s="20"/>
      <c r="BK2381" s="20"/>
      <c r="BL2381" s="154"/>
      <c r="BP2381" s="20"/>
      <c r="BQ2381" s="154"/>
      <c r="BR2381" s="18"/>
      <c r="BS2381" s="16"/>
      <c r="BT2381" s="18"/>
      <c r="BU2381" s="18"/>
      <c r="BV2381" s="18"/>
      <c r="BW2381" s="20"/>
      <c r="BX2381" s="154"/>
      <c r="BY2381" s="18"/>
      <c r="BZ2381" s="146"/>
      <c r="CA2381" s="18"/>
      <c r="CB2381" s="18"/>
      <c r="CC2381" s="20"/>
      <c r="CD2381" s="154"/>
    </row>
    <row r="2382" spans="35:82">
      <c r="AI2382" s="19"/>
      <c r="AO2382" s="19"/>
      <c r="AY2382" s="145"/>
      <c r="AZ2382" s="16"/>
      <c r="BC2382" s="16"/>
      <c r="BD2382" s="20"/>
      <c r="BE2382" s="17"/>
      <c r="BF2382" s="20"/>
      <c r="BG2382" s="146"/>
      <c r="BH2382" s="146"/>
      <c r="BI2382" s="146"/>
      <c r="BJ2382" s="20"/>
      <c r="BK2382" s="20"/>
      <c r="BL2382" s="154"/>
      <c r="BP2382" s="20"/>
      <c r="BQ2382" s="154"/>
      <c r="BR2382" s="18"/>
      <c r="BS2382" s="16"/>
      <c r="BT2382" s="18"/>
      <c r="BU2382" s="18"/>
      <c r="BV2382" s="18"/>
      <c r="BW2382" s="20"/>
      <c r="BX2382" s="154"/>
      <c r="BY2382" s="18"/>
      <c r="BZ2382" s="146"/>
      <c r="CA2382" s="18"/>
      <c r="CB2382" s="18"/>
      <c r="CC2382" s="20"/>
      <c r="CD2382" s="154"/>
    </row>
    <row r="2383" spans="35:82">
      <c r="AI2383" s="19"/>
      <c r="AO2383" s="19"/>
      <c r="AY2383" s="145"/>
      <c r="AZ2383" s="16"/>
      <c r="BC2383" s="16"/>
      <c r="BD2383" s="20"/>
      <c r="BE2383" s="17"/>
      <c r="BF2383" s="20"/>
      <c r="BG2383" s="146"/>
      <c r="BH2383" s="146"/>
      <c r="BI2383" s="146"/>
      <c r="BJ2383" s="20"/>
      <c r="BK2383" s="20"/>
      <c r="BL2383" s="154"/>
      <c r="BP2383" s="20"/>
      <c r="BQ2383" s="154"/>
      <c r="BR2383" s="18"/>
      <c r="BS2383" s="16"/>
      <c r="BT2383" s="18"/>
      <c r="BU2383" s="18"/>
      <c r="BV2383" s="18"/>
      <c r="BW2383" s="20"/>
      <c r="BX2383" s="154"/>
      <c r="BY2383" s="18"/>
      <c r="BZ2383" s="146"/>
      <c r="CA2383" s="18"/>
      <c r="CB2383" s="18"/>
      <c r="CC2383" s="20"/>
      <c r="CD2383" s="154"/>
    </row>
    <row r="2384" spans="35:82">
      <c r="AI2384" s="19"/>
      <c r="AO2384" s="19"/>
      <c r="AY2384" s="145"/>
      <c r="AZ2384" s="16"/>
      <c r="BC2384" s="16"/>
      <c r="BD2384" s="20"/>
      <c r="BE2384" s="17"/>
      <c r="BF2384" s="20"/>
      <c r="BG2384" s="146"/>
      <c r="BH2384" s="146"/>
      <c r="BI2384" s="146"/>
      <c r="BJ2384" s="20"/>
      <c r="BK2384" s="20"/>
      <c r="BL2384" s="154"/>
      <c r="BP2384" s="20"/>
      <c r="BQ2384" s="154"/>
      <c r="BR2384" s="18"/>
      <c r="BS2384" s="16"/>
      <c r="BT2384" s="18"/>
      <c r="BU2384" s="18"/>
      <c r="BV2384" s="18"/>
      <c r="BW2384" s="20"/>
      <c r="BX2384" s="154"/>
      <c r="BY2384" s="18"/>
      <c r="BZ2384" s="146"/>
      <c r="CA2384" s="18"/>
      <c r="CB2384" s="18"/>
      <c r="CC2384" s="20"/>
      <c r="CD2384" s="154"/>
    </row>
    <row r="2385" spans="35:82">
      <c r="AI2385" s="19"/>
      <c r="AO2385" s="19"/>
      <c r="AY2385" s="145"/>
      <c r="AZ2385" s="16"/>
      <c r="BC2385" s="16"/>
      <c r="BD2385" s="20"/>
      <c r="BE2385" s="17"/>
      <c r="BF2385" s="20"/>
      <c r="BG2385" s="146"/>
      <c r="BH2385" s="146"/>
      <c r="BI2385" s="146"/>
      <c r="BJ2385" s="20"/>
      <c r="BK2385" s="20"/>
      <c r="BL2385" s="154"/>
      <c r="BP2385" s="20"/>
      <c r="BQ2385" s="154"/>
      <c r="BR2385" s="18"/>
      <c r="BS2385" s="16"/>
      <c r="BT2385" s="18"/>
      <c r="BU2385" s="18"/>
      <c r="BV2385" s="18"/>
      <c r="BW2385" s="20"/>
      <c r="BX2385" s="154"/>
      <c r="BY2385" s="18"/>
      <c r="BZ2385" s="146"/>
      <c r="CA2385" s="18"/>
      <c r="CB2385" s="18"/>
      <c r="CC2385" s="20"/>
      <c r="CD2385" s="154"/>
    </row>
    <row r="2386" spans="35:82">
      <c r="AI2386" s="19"/>
      <c r="AO2386" s="19"/>
      <c r="AY2386" s="145"/>
      <c r="AZ2386" s="16"/>
      <c r="BC2386" s="16"/>
      <c r="BD2386" s="20"/>
      <c r="BE2386" s="17"/>
      <c r="BF2386" s="20"/>
      <c r="BG2386" s="146"/>
      <c r="BH2386" s="146"/>
      <c r="BI2386" s="146"/>
      <c r="BJ2386" s="20"/>
      <c r="BK2386" s="20"/>
      <c r="BL2386" s="154"/>
      <c r="BP2386" s="20"/>
      <c r="BQ2386" s="154"/>
      <c r="BR2386" s="18"/>
      <c r="BS2386" s="16"/>
      <c r="BT2386" s="18"/>
      <c r="BU2386" s="18"/>
      <c r="BV2386" s="18"/>
      <c r="BW2386" s="20"/>
      <c r="BX2386" s="154"/>
      <c r="BY2386" s="18"/>
      <c r="BZ2386" s="146"/>
      <c r="CA2386" s="18"/>
      <c r="CB2386" s="18"/>
      <c r="CC2386" s="20"/>
      <c r="CD2386" s="154"/>
    </row>
    <row r="2387" spans="35:82">
      <c r="AI2387" s="19"/>
      <c r="AO2387" s="19"/>
      <c r="AY2387" s="145"/>
      <c r="AZ2387" s="16"/>
      <c r="BC2387" s="16"/>
      <c r="BD2387" s="20"/>
      <c r="BE2387" s="17"/>
      <c r="BF2387" s="20"/>
      <c r="BG2387" s="146"/>
      <c r="BH2387" s="146"/>
      <c r="BI2387" s="146"/>
      <c r="BJ2387" s="20"/>
      <c r="BK2387" s="20"/>
      <c r="BL2387" s="154"/>
      <c r="BP2387" s="20"/>
      <c r="BQ2387" s="154"/>
      <c r="BR2387" s="18"/>
      <c r="BS2387" s="16"/>
      <c r="BT2387" s="18"/>
      <c r="BU2387" s="18"/>
      <c r="BV2387" s="18"/>
      <c r="BW2387" s="20"/>
      <c r="BX2387" s="154"/>
      <c r="BY2387" s="18"/>
      <c r="BZ2387" s="146"/>
      <c r="CA2387" s="18"/>
      <c r="CB2387" s="18"/>
      <c r="CC2387" s="20"/>
      <c r="CD2387" s="154"/>
    </row>
    <row r="2388" spans="35:82">
      <c r="AI2388" s="19"/>
      <c r="AO2388" s="19"/>
      <c r="AY2388" s="145"/>
      <c r="AZ2388" s="16"/>
      <c r="BC2388" s="16"/>
      <c r="BD2388" s="20"/>
      <c r="BE2388" s="17"/>
      <c r="BF2388" s="20"/>
      <c r="BG2388" s="146"/>
      <c r="BH2388" s="146"/>
      <c r="BI2388" s="146"/>
      <c r="BJ2388" s="20"/>
      <c r="BK2388" s="20"/>
      <c r="BL2388" s="154"/>
      <c r="BP2388" s="20"/>
      <c r="BQ2388" s="154"/>
      <c r="BR2388" s="18"/>
      <c r="BS2388" s="16"/>
      <c r="BT2388" s="18"/>
      <c r="BU2388" s="18"/>
      <c r="BV2388" s="18"/>
      <c r="BW2388" s="20"/>
      <c r="BX2388" s="154"/>
      <c r="BY2388" s="18"/>
      <c r="BZ2388" s="146"/>
      <c r="CA2388" s="18"/>
      <c r="CB2388" s="18"/>
      <c r="CC2388" s="20"/>
      <c r="CD2388" s="154"/>
    </row>
    <row r="2389" spans="35:82">
      <c r="AI2389" s="19"/>
      <c r="AO2389" s="19"/>
      <c r="AY2389" s="145"/>
      <c r="AZ2389" s="16"/>
      <c r="BC2389" s="16"/>
      <c r="BD2389" s="20"/>
      <c r="BE2389" s="17"/>
      <c r="BF2389" s="20"/>
      <c r="BG2389" s="146"/>
      <c r="BH2389" s="146"/>
      <c r="BI2389" s="146"/>
      <c r="BJ2389" s="20"/>
      <c r="BK2389" s="20"/>
      <c r="BL2389" s="154"/>
      <c r="BP2389" s="20"/>
      <c r="BQ2389" s="154"/>
      <c r="BR2389" s="18"/>
      <c r="BS2389" s="16"/>
      <c r="BT2389" s="18"/>
      <c r="BU2389" s="18"/>
      <c r="BV2389" s="18"/>
      <c r="BW2389" s="20"/>
      <c r="BX2389" s="154"/>
      <c r="BY2389" s="18"/>
      <c r="BZ2389" s="146"/>
      <c r="CA2389" s="18"/>
      <c r="CB2389" s="18"/>
      <c r="CC2389" s="20"/>
      <c r="CD2389" s="154"/>
    </row>
    <row r="2390" spans="35:82">
      <c r="AI2390" s="19"/>
      <c r="AO2390" s="19"/>
      <c r="AY2390" s="145"/>
      <c r="AZ2390" s="16"/>
      <c r="BC2390" s="16"/>
      <c r="BD2390" s="20"/>
      <c r="BE2390" s="17"/>
      <c r="BF2390" s="20"/>
      <c r="BG2390" s="146"/>
      <c r="BH2390" s="146"/>
      <c r="BI2390" s="146"/>
      <c r="BJ2390" s="20"/>
      <c r="BK2390" s="20"/>
      <c r="BL2390" s="154"/>
      <c r="BP2390" s="20"/>
      <c r="BQ2390" s="154"/>
      <c r="BR2390" s="18"/>
      <c r="BS2390" s="16"/>
      <c r="BT2390" s="18"/>
      <c r="BU2390" s="18"/>
      <c r="BV2390" s="18"/>
      <c r="BW2390" s="20"/>
      <c r="BX2390" s="154"/>
      <c r="BY2390" s="18"/>
      <c r="BZ2390" s="146"/>
      <c r="CA2390" s="18"/>
      <c r="CB2390" s="18"/>
      <c r="CC2390" s="20"/>
      <c r="CD2390" s="154"/>
    </row>
    <row r="2391" spans="35:82">
      <c r="AI2391" s="19"/>
      <c r="AO2391" s="19"/>
      <c r="AY2391" s="145"/>
      <c r="AZ2391" s="16"/>
      <c r="BC2391" s="16"/>
      <c r="BD2391" s="20"/>
      <c r="BE2391" s="17"/>
      <c r="BF2391" s="20"/>
      <c r="BG2391" s="146"/>
      <c r="BH2391" s="146"/>
      <c r="BI2391" s="146"/>
      <c r="BJ2391" s="20"/>
      <c r="BK2391" s="20"/>
      <c r="BL2391" s="154"/>
      <c r="BP2391" s="20"/>
      <c r="BQ2391" s="154"/>
      <c r="BR2391" s="18"/>
      <c r="BS2391" s="16"/>
      <c r="BT2391" s="18"/>
      <c r="BU2391" s="18"/>
      <c r="BV2391" s="18"/>
      <c r="BW2391" s="20"/>
      <c r="BX2391" s="154"/>
      <c r="BY2391" s="18"/>
      <c r="BZ2391" s="146"/>
      <c r="CA2391" s="18"/>
      <c r="CB2391" s="18"/>
      <c r="CC2391" s="20"/>
      <c r="CD2391" s="154"/>
    </row>
    <row r="2392" spans="35:82">
      <c r="AI2392" s="19"/>
      <c r="AO2392" s="19"/>
      <c r="AY2392" s="145"/>
      <c r="AZ2392" s="16"/>
      <c r="BC2392" s="16"/>
      <c r="BD2392" s="20"/>
      <c r="BE2392" s="17"/>
      <c r="BF2392" s="20"/>
      <c r="BG2392" s="146"/>
      <c r="BH2392" s="146"/>
      <c r="BI2392" s="146"/>
      <c r="BJ2392" s="20"/>
      <c r="BK2392" s="20"/>
      <c r="BL2392" s="154"/>
      <c r="BP2392" s="20"/>
      <c r="BQ2392" s="154"/>
      <c r="BR2392" s="18"/>
      <c r="BS2392" s="16"/>
      <c r="BT2392" s="18"/>
      <c r="BU2392" s="18"/>
      <c r="BV2392" s="18"/>
      <c r="BW2392" s="20"/>
      <c r="BX2392" s="154"/>
      <c r="BY2392" s="18"/>
      <c r="BZ2392" s="146"/>
      <c r="CA2392" s="18"/>
      <c r="CB2392" s="18"/>
      <c r="CC2392" s="20"/>
      <c r="CD2392" s="154"/>
    </row>
    <row r="2393" spans="35:82">
      <c r="AI2393" s="19"/>
      <c r="AO2393" s="19"/>
      <c r="AY2393" s="145"/>
      <c r="AZ2393" s="16"/>
      <c r="BC2393" s="16"/>
      <c r="BD2393" s="20"/>
      <c r="BE2393" s="17"/>
      <c r="BF2393" s="20"/>
      <c r="BG2393" s="146"/>
      <c r="BH2393" s="146"/>
      <c r="BI2393" s="146"/>
      <c r="BJ2393" s="20"/>
      <c r="BK2393" s="20"/>
      <c r="BL2393" s="154"/>
      <c r="BP2393" s="20"/>
      <c r="BQ2393" s="154"/>
      <c r="BR2393" s="18"/>
      <c r="BS2393" s="16"/>
      <c r="BT2393" s="18"/>
      <c r="BU2393" s="18"/>
      <c r="BV2393" s="18"/>
      <c r="BW2393" s="20"/>
      <c r="BX2393" s="154"/>
      <c r="BY2393" s="18"/>
      <c r="BZ2393" s="146"/>
      <c r="CA2393" s="18"/>
      <c r="CB2393" s="18"/>
      <c r="CC2393" s="20"/>
      <c r="CD2393" s="154"/>
    </row>
    <row r="2394" spans="35:82">
      <c r="AI2394" s="19"/>
      <c r="AO2394" s="19"/>
      <c r="AY2394" s="145"/>
      <c r="AZ2394" s="16"/>
      <c r="BC2394" s="16"/>
      <c r="BD2394" s="20"/>
      <c r="BE2394" s="17"/>
      <c r="BF2394" s="20"/>
      <c r="BG2394" s="146"/>
      <c r="BH2394" s="146"/>
      <c r="BI2394" s="146"/>
      <c r="BJ2394" s="20"/>
      <c r="BK2394" s="20"/>
      <c r="BL2394" s="154"/>
      <c r="BP2394" s="20"/>
      <c r="BQ2394" s="154"/>
      <c r="BR2394" s="18"/>
      <c r="BS2394" s="16"/>
      <c r="BT2394" s="18"/>
      <c r="BU2394" s="18"/>
      <c r="BV2394" s="18"/>
      <c r="BW2394" s="20"/>
      <c r="BX2394" s="154"/>
      <c r="BY2394" s="18"/>
      <c r="BZ2394" s="146"/>
      <c r="CA2394" s="18"/>
      <c r="CB2394" s="18"/>
      <c r="CC2394" s="20"/>
      <c r="CD2394" s="154"/>
    </row>
    <row r="2395" spans="35:82">
      <c r="AI2395" s="19"/>
      <c r="AO2395" s="19"/>
      <c r="AY2395" s="145"/>
      <c r="AZ2395" s="16"/>
      <c r="BC2395" s="16"/>
      <c r="BD2395" s="20"/>
      <c r="BE2395" s="17"/>
      <c r="BF2395" s="20"/>
      <c r="BG2395" s="146"/>
      <c r="BH2395" s="146"/>
      <c r="BI2395" s="146"/>
      <c r="BJ2395" s="20"/>
      <c r="BK2395" s="20"/>
      <c r="BL2395" s="154"/>
      <c r="BP2395" s="20"/>
      <c r="BQ2395" s="154"/>
      <c r="BR2395" s="18"/>
      <c r="BS2395" s="16"/>
      <c r="BT2395" s="18"/>
      <c r="BU2395" s="18"/>
      <c r="BV2395" s="18"/>
      <c r="BW2395" s="20"/>
      <c r="BX2395" s="154"/>
      <c r="BY2395" s="18"/>
      <c r="BZ2395" s="146"/>
      <c r="CA2395" s="18"/>
      <c r="CB2395" s="18"/>
      <c r="CC2395" s="20"/>
      <c r="CD2395" s="154"/>
    </row>
    <row r="2396" spans="35:82">
      <c r="AI2396" s="19"/>
      <c r="AO2396" s="19"/>
      <c r="AY2396" s="145"/>
      <c r="AZ2396" s="16"/>
      <c r="BC2396" s="16"/>
      <c r="BD2396" s="20"/>
      <c r="BE2396" s="17"/>
      <c r="BF2396" s="20"/>
      <c r="BG2396" s="146"/>
      <c r="BH2396" s="146"/>
      <c r="BI2396" s="146"/>
      <c r="BJ2396" s="20"/>
      <c r="BK2396" s="20"/>
      <c r="BL2396" s="154"/>
      <c r="BP2396" s="20"/>
      <c r="BQ2396" s="154"/>
      <c r="BR2396" s="18"/>
      <c r="BS2396" s="16"/>
      <c r="BT2396" s="18"/>
      <c r="BU2396" s="18"/>
      <c r="BV2396" s="18"/>
      <c r="BW2396" s="20"/>
      <c r="BX2396" s="154"/>
      <c r="BY2396" s="18"/>
      <c r="BZ2396" s="146"/>
      <c r="CA2396" s="18"/>
      <c r="CB2396" s="18"/>
      <c r="CC2396" s="20"/>
      <c r="CD2396" s="154"/>
    </row>
    <row r="2397" spans="35:82">
      <c r="AI2397" s="19"/>
      <c r="AO2397" s="19"/>
      <c r="AY2397" s="145"/>
      <c r="AZ2397" s="16"/>
      <c r="BC2397" s="16"/>
      <c r="BD2397" s="20"/>
      <c r="BE2397" s="17"/>
      <c r="BF2397" s="20"/>
      <c r="BG2397" s="146"/>
      <c r="BH2397" s="146"/>
      <c r="BI2397" s="146"/>
      <c r="BJ2397" s="20"/>
      <c r="BK2397" s="20"/>
      <c r="BL2397" s="154"/>
      <c r="BP2397" s="20"/>
      <c r="BQ2397" s="154"/>
      <c r="BR2397" s="18"/>
      <c r="BS2397" s="16"/>
      <c r="BT2397" s="18"/>
      <c r="BU2397" s="18"/>
      <c r="BV2397" s="18"/>
      <c r="BW2397" s="20"/>
      <c r="BX2397" s="154"/>
      <c r="BY2397" s="18"/>
      <c r="BZ2397" s="146"/>
      <c r="CA2397" s="18"/>
      <c r="CB2397" s="18"/>
      <c r="CC2397" s="20"/>
      <c r="CD2397" s="154"/>
    </row>
    <row r="2398" spans="35:82">
      <c r="AI2398" s="19"/>
      <c r="AO2398" s="19"/>
      <c r="AY2398" s="145"/>
      <c r="AZ2398" s="16"/>
      <c r="BC2398" s="16"/>
      <c r="BD2398" s="20"/>
      <c r="BE2398" s="17"/>
      <c r="BF2398" s="20"/>
      <c r="BG2398" s="146"/>
      <c r="BH2398" s="146"/>
      <c r="BI2398" s="146"/>
      <c r="BJ2398" s="20"/>
      <c r="BK2398" s="20"/>
      <c r="BL2398" s="154"/>
      <c r="BP2398" s="20"/>
      <c r="BQ2398" s="154"/>
      <c r="BR2398" s="18"/>
      <c r="BS2398" s="16"/>
      <c r="BT2398" s="18"/>
      <c r="BU2398" s="18"/>
      <c r="BV2398" s="18"/>
      <c r="BW2398" s="20"/>
      <c r="BX2398" s="154"/>
      <c r="BY2398" s="18"/>
      <c r="BZ2398" s="146"/>
      <c r="CA2398" s="18"/>
      <c r="CB2398" s="18"/>
      <c r="CC2398" s="20"/>
      <c r="CD2398" s="154"/>
    </row>
    <row r="2399" spans="35:82">
      <c r="AI2399" s="19"/>
      <c r="AO2399" s="19"/>
      <c r="AY2399" s="145"/>
      <c r="AZ2399" s="16"/>
      <c r="BC2399" s="16"/>
      <c r="BD2399" s="20"/>
      <c r="BE2399" s="17"/>
      <c r="BF2399" s="20"/>
      <c r="BG2399" s="146"/>
      <c r="BH2399" s="146"/>
      <c r="BI2399" s="146"/>
      <c r="BJ2399" s="20"/>
      <c r="BK2399" s="20"/>
      <c r="BL2399" s="154"/>
      <c r="BP2399" s="20"/>
      <c r="BQ2399" s="154"/>
      <c r="BR2399" s="18"/>
      <c r="BS2399" s="16"/>
      <c r="BT2399" s="18"/>
      <c r="BU2399" s="18"/>
      <c r="BV2399" s="18"/>
      <c r="BW2399" s="20"/>
      <c r="BX2399" s="154"/>
      <c r="BY2399" s="18"/>
      <c r="BZ2399" s="146"/>
      <c r="CA2399" s="18"/>
      <c r="CB2399" s="18"/>
      <c r="CC2399" s="20"/>
      <c r="CD2399" s="154"/>
    </row>
    <row r="2400" spans="35:82">
      <c r="AI2400" s="19"/>
      <c r="AO2400" s="19"/>
      <c r="AY2400" s="145"/>
      <c r="AZ2400" s="16"/>
      <c r="BC2400" s="16"/>
      <c r="BD2400" s="20"/>
      <c r="BE2400" s="17"/>
      <c r="BF2400" s="20"/>
      <c r="BG2400" s="146"/>
      <c r="BH2400" s="146"/>
      <c r="BI2400" s="146"/>
      <c r="BJ2400" s="20"/>
      <c r="BK2400" s="20"/>
      <c r="BL2400" s="154"/>
      <c r="BP2400" s="20"/>
      <c r="BQ2400" s="154"/>
      <c r="BR2400" s="18"/>
      <c r="BS2400" s="16"/>
      <c r="BT2400" s="18"/>
      <c r="BU2400" s="18"/>
      <c r="BV2400" s="18"/>
      <c r="BW2400" s="20"/>
      <c r="BX2400" s="154"/>
      <c r="BY2400" s="18"/>
      <c r="BZ2400" s="146"/>
      <c r="CA2400" s="18"/>
      <c r="CB2400" s="18"/>
      <c r="CC2400" s="20"/>
      <c r="CD2400" s="154"/>
    </row>
    <row r="2401" spans="35:82">
      <c r="AI2401" s="19"/>
      <c r="AO2401" s="19"/>
      <c r="AY2401" s="145"/>
      <c r="AZ2401" s="16"/>
      <c r="BC2401" s="16"/>
      <c r="BD2401" s="20"/>
      <c r="BE2401" s="17"/>
      <c r="BF2401" s="20"/>
      <c r="BG2401" s="146"/>
      <c r="BH2401" s="146"/>
      <c r="BI2401" s="146"/>
      <c r="BJ2401" s="20"/>
      <c r="BK2401" s="20"/>
      <c r="BL2401" s="154"/>
      <c r="BP2401" s="20"/>
      <c r="BQ2401" s="154"/>
      <c r="BR2401" s="18"/>
      <c r="BS2401" s="16"/>
      <c r="BT2401" s="18"/>
      <c r="BU2401" s="18"/>
      <c r="BV2401" s="18"/>
      <c r="BW2401" s="20"/>
      <c r="BX2401" s="154"/>
      <c r="BY2401" s="18"/>
      <c r="BZ2401" s="146"/>
      <c r="CA2401" s="18"/>
      <c r="CB2401" s="18"/>
      <c r="CC2401" s="20"/>
      <c r="CD2401" s="154"/>
    </row>
    <row r="2402" spans="35:82">
      <c r="AI2402" s="19"/>
      <c r="AO2402" s="19"/>
      <c r="AY2402" s="145"/>
      <c r="AZ2402" s="16"/>
      <c r="BC2402" s="16"/>
      <c r="BD2402" s="20"/>
      <c r="BE2402" s="17"/>
      <c r="BF2402" s="20"/>
      <c r="BG2402" s="146"/>
      <c r="BH2402" s="146"/>
      <c r="BI2402" s="146"/>
      <c r="BJ2402" s="20"/>
      <c r="BK2402" s="20"/>
      <c r="BL2402" s="154"/>
      <c r="BP2402" s="20"/>
      <c r="BQ2402" s="154"/>
      <c r="BR2402" s="18"/>
      <c r="BS2402" s="16"/>
      <c r="BT2402" s="18"/>
      <c r="BU2402" s="18"/>
      <c r="BV2402" s="18"/>
      <c r="BW2402" s="20"/>
      <c r="BX2402" s="154"/>
      <c r="BY2402" s="18"/>
      <c r="BZ2402" s="146"/>
      <c r="CA2402" s="18"/>
      <c r="CB2402" s="18"/>
      <c r="CC2402" s="20"/>
      <c r="CD2402" s="154"/>
    </row>
    <row r="2403" spans="35:82">
      <c r="AI2403" s="19"/>
      <c r="AO2403" s="19"/>
      <c r="AY2403" s="145"/>
      <c r="AZ2403" s="16"/>
      <c r="BC2403" s="16"/>
      <c r="BD2403" s="20"/>
      <c r="BE2403" s="17"/>
      <c r="BF2403" s="20"/>
      <c r="BG2403" s="146"/>
      <c r="BH2403" s="146"/>
      <c r="BI2403" s="146"/>
      <c r="BJ2403" s="20"/>
      <c r="BK2403" s="20"/>
      <c r="BL2403" s="154"/>
      <c r="BP2403" s="20"/>
      <c r="BQ2403" s="154"/>
      <c r="BR2403" s="18"/>
      <c r="BS2403" s="16"/>
      <c r="BT2403" s="18"/>
      <c r="BU2403" s="18"/>
      <c r="BV2403" s="18"/>
      <c r="BW2403" s="20"/>
      <c r="BX2403" s="154"/>
      <c r="BY2403" s="18"/>
      <c r="BZ2403" s="146"/>
      <c r="CA2403" s="18"/>
      <c r="CB2403" s="18"/>
      <c r="CC2403" s="20"/>
      <c r="CD2403" s="154"/>
    </row>
    <row r="2404" spans="35:82">
      <c r="AI2404" s="19"/>
      <c r="AO2404" s="19"/>
      <c r="AY2404" s="145"/>
      <c r="AZ2404" s="16"/>
      <c r="BC2404" s="16"/>
      <c r="BD2404" s="20"/>
      <c r="BE2404" s="17"/>
      <c r="BF2404" s="20"/>
      <c r="BG2404" s="146"/>
      <c r="BH2404" s="146"/>
      <c r="BI2404" s="146"/>
      <c r="BJ2404" s="20"/>
      <c r="BK2404" s="20"/>
      <c r="BL2404" s="154"/>
      <c r="BP2404" s="20"/>
      <c r="BQ2404" s="154"/>
      <c r="BR2404" s="18"/>
      <c r="BS2404" s="16"/>
      <c r="BT2404" s="18"/>
      <c r="BU2404" s="18"/>
      <c r="BV2404" s="18"/>
      <c r="BW2404" s="20"/>
      <c r="BX2404" s="154"/>
      <c r="BY2404" s="18"/>
      <c r="BZ2404" s="146"/>
      <c r="CA2404" s="18"/>
      <c r="CB2404" s="18"/>
      <c r="CC2404" s="20"/>
      <c r="CD2404" s="154"/>
    </row>
    <row r="2405" spans="35:82">
      <c r="AI2405" s="19"/>
      <c r="AO2405" s="19"/>
      <c r="AY2405" s="145"/>
      <c r="AZ2405" s="16"/>
      <c r="BC2405" s="16"/>
      <c r="BD2405" s="20"/>
      <c r="BE2405" s="17"/>
      <c r="BF2405" s="20"/>
      <c r="BG2405" s="146"/>
      <c r="BH2405" s="146"/>
      <c r="BI2405" s="146"/>
      <c r="BJ2405" s="20"/>
      <c r="BK2405" s="20"/>
      <c r="BL2405" s="154"/>
      <c r="BP2405" s="20"/>
      <c r="BQ2405" s="154"/>
      <c r="BR2405" s="18"/>
      <c r="BS2405" s="16"/>
      <c r="BT2405" s="18"/>
      <c r="BU2405" s="18"/>
      <c r="BV2405" s="18"/>
      <c r="BW2405" s="20"/>
      <c r="BX2405" s="154"/>
      <c r="BY2405" s="18"/>
      <c r="BZ2405" s="146"/>
      <c r="CA2405" s="18"/>
      <c r="CB2405" s="18"/>
      <c r="CC2405" s="20"/>
      <c r="CD2405" s="154"/>
    </row>
    <row r="2406" spans="35:82">
      <c r="AI2406" s="19"/>
      <c r="AO2406" s="19"/>
      <c r="AY2406" s="145"/>
      <c r="AZ2406" s="16"/>
      <c r="BC2406" s="16"/>
      <c r="BD2406" s="20"/>
      <c r="BE2406" s="17"/>
      <c r="BF2406" s="20"/>
      <c r="BG2406" s="146"/>
      <c r="BH2406" s="146"/>
      <c r="BI2406" s="146"/>
      <c r="BJ2406" s="20"/>
      <c r="BK2406" s="20"/>
      <c r="BL2406" s="154"/>
      <c r="BP2406" s="20"/>
      <c r="BQ2406" s="154"/>
      <c r="BR2406" s="18"/>
      <c r="BS2406" s="16"/>
      <c r="BT2406" s="18"/>
      <c r="BU2406" s="18"/>
      <c r="BV2406" s="18"/>
      <c r="BW2406" s="20"/>
      <c r="BX2406" s="154"/>
      <c r="BY2406" s="18"/>
      <c r="BZ2406" s="146"/>
      <c r="CA2406" s="18"/>
      <c r="CB2406" s="18"/>
      <c r="CC2406" s="20"/>
      <c r="CD2406" s="154"/>
    </row>
    <row r="2407" spans="35:82">
      <c r="AI2407" s="19"/>
      <c r="AO2407" s="19"/>
      <c r="AY2407" s="145"/>
      <c r="AZ2407" s="16"/>
      <c r="BC2407" s="16"/>
      <c r="BD2407" s="20"/>
      <c r="BE2407" s="17"/>
      <c r="BF2407" s="20"/>
      <c r="BG2407" s="146"/>
      <c r="BH2407" s="146"/>
      <c r="BI2407" s="146"/>
      <c r="BJ2407" s="20"/>
      <c r="BK2407" s="20"/>
      <c r="BL2407" s="154"/>
      <c r="BP2407" s="20"/>
      <c r="BQ2407" s="154"/>
      <c r="BR2407" s="18"/>
      <c r="BS2407" s="16"/>
      <c r="BT2407" s="18"/>
      <c r="BU2407" s="18"/>
      <c r="BV2407" s="18"/>
      <c r="BW2407" s="20"/>
      <c r="BX2407" s="154"/>
      <c r="BY2407" s="18"/>
      <c r="BZ2407" s="146"/>
      <c r="CA2407" s="18"/>
      <c r="CB2407" s="18"/>
      <c r="CC2407" s="20"/>
      <c r="CD2407" s="154"/>
    </row>
    <row r="2408" spans="35:82">
      <c r="AI2408" s="19"/>
      <c r="AO2408" s="19"/>
      <c r="AY2408" s="145"/>
      <c r="AZ2408" s="16"/>
      <c r="BC2408" s="16"/>
      <c r="BD2408" s="20"/>
      <c r="BE2408" s="17"/>
      <c r="BF2408" s="20"/>
      <c r="BG2408" s="146"/>
      <c r="BH2408" s="146"/>
      <c r="BI2408" s="146"/>
      <c r="BJ2408" s="20"/>
      <c r="BK2408" s="20"/>
      <c r="BL2408" s="154"/>
      <c r="BP2408" s="20"/>
      <c r="BQ2408" s="154"/>
      <c r="BR2408" s="18"/>
      <c r="BS2408" s="16"/>
      <c r="BT2408" s="18"/>
      <c r="BU2408" s="18"/>
      <c r="BV2408" s="18"/>
      <c r="BW2408" s="20"/>
      <c r="BX2408" s="154"/>
      <c r="BY2408" s="18"/>
      <c r="BZ2408" s="146"/>
      <c r="CA2408" s="18"/>
      <c r="CB2408" s="18"/>
      <c r="CC2408" s="20"/>
      <c r="CD2408" s="154"/>
    </row>
    <row r="2409" spans="35:82">
      <c r="AI2409" s="19"/>
      <c r="AO2409" s="19"/>
      <c r="AY2409" s="145"/>
      <c r="AZ2409" s="16"/>
      <c r="BC2409" s="16"/>
      <c r="BD2409" s="20"/>
      <c r="BE2409" s="17"/>
      <c r="BF2409" s="20"/>
      <c r="BG2409" s="146"/>
      <c r="BH2409" s="146"/>
      <c r="BI2409" s="146"/>
      <c r="BJ2409" s="20"/>
      <c r="BK2409" s="20"/>
      <c r="BL2409" s="154"/>
      <c r="BP2409" s="20"/>
      <c r="BQ2409" s="154"/>
      <c r="BR2409" s="18"/>
      <c r="BS2409" s="16"/>
      <c r="BT2409" s="18"/>
      <c r="BU2409" s="18"/>
      <c r="BV2409" s="18"/>
      <c r="BW2409" s="20"/>
      <c r="BX2409" s="154"/>
      <c r="BY2409" s="18"/>
      <c r="BZ2409" s="146"/>
      <c r="CA2409" s="18"/>
      <c r="CB2409" s="18"/>
      <c r="CC2409" s="20"/>
      <c r="CD2409" s="154"/>
    </row>
    <row r="2410" spans="35:82">
      <c r="AI2410" s="19"/>
      <c r="AO2410" s="19"/>
      <c r="AY2410" s="145"/>
      <c r="AZ2410" s="16"/>
      <c r="BC2410" s="16"/>
      <c r="BD2410" s="20"/>
      <c r="BE2410" s="17"/>
      <c r="BF2410" s="20"/>
      <c r="BG2410" s="146"/>
      <c r="BH2410" s="146"/>
      <c r="BI2410" s="146"/>
      <c r="BJ2410" s="20"/>
      <c r="BK2410" s="20"/>
      <c r="BL2410" s="154"/>
      <c r="BP2410" s="20"/>
      <c r="BQ2410" s="154"/>
      <c r="BR2410" s="18"/>
      <c r="BS2410" s="16"/>
      <c r="BT2410" s="18"/>
      <c r="BU2410" s="18"/>
      <c r="BV2410" s="18"/>
      <c r="BW2410" s="20"/>
      <c r="BX2410" s="154"/>
      <c r="BY2410" s="18"/>
      <c r="BZ2410" s="146"/>
      <c r="CA2410" s="18"/>
      <c r="CB2410" s="18"/>
      <c r="CC2410" s="20"/>
      <c r="CD2410" s="154"/>
    </row>
    <row r="2411" spans="35:82">
      <c r="AI2411" s="19"/>
      <c r="AO2411" s="19"/>
      <c r="AY2411" s="145"/>
      <c r="AZ2411" s="16"/>
      <c r="BC2411" s="16"/>
      <c r="BD2411" s="20"/>
      <c r="BE2411" s="17"/>
      <c r="BF2411" s="20"/>
      <c r="BG2411" s="146"/>
      <c r="BH2411" s="146"/>
      <c r="BI2411" s="146"/>
      <c r="BJ2411" s="20"/>
      <c r="BK2411" s="20"/>
      <c r="BL2411" s="154"/>
      <c r="BP2411" s="20"/>
      <c r="BQ2411" s="154"/>
      <c r="BR2411" s="18"/>
      <c r="BS2411" s="16"/>
      <c r="BT2411" s="18"/>
      <c r="BU2411" s="18"/>
      <c r="BV2411" s="18"/>
      <c r="BW2411" s="20"/>
      <c r="BX2411" s="154"/>
      <c r="BY2411" s="18"/>
      <c r="BZ2411" s="146"/>
      <c r="CA2411" s="18"/>
      <c r="CB2411" s="18"/>
      <c r="CC2411" s="20"/>
      <c r="CD2411" s="154"/>
    </row>
    <row r="2412" spans="35:82">
      <c r="AI2412" s="19"/>
      <c r="AO2412" s="19"/>
      <c r="AY2412" s="145"/>
      <c r="AZ2412" s="16"/>
      <c r="BC2412" s="16"/>
      <c r="BD2412" s="20"/>
      <c r="BE2412" s="17"/>
      <c r="BF2412" s="20"/>
      <c r="BG2412" s="146"/>
      <c r="BH2412" s="146"/>
      <c r="BI2412" s="146"/>
      <c r="BJ2412" s="20"/>
      <c r="BK2412" s="20"/>
      <c r="BL2412" s="154"/>
      <c r="BP2412" s="20"/>
      <c r="BQ2412" s="154"/>
      <c r="BR2412" s="18"/>
      <c r="BS2412" s="16"/>
      <c r="BT2412" s="18"/>
      <c r="BU2412" s="18"/>
      <c r="BV2412" s="18"/>
      <c r="BW2412" s="20"/>
      <c r="BX2412" s="154"/>
      <c r="BY2412" s="18"/>
      <c r="BZ2412" s="146"/>
      <c r="CA2412" s="18"/>
      <c r="CB2412" s="18"/>
      <c r="CC2412" s="20"/>
      <c r="CD2412" s="154"/>
    </row>
    <row r="2413" spans="35:82">
      <c r="AI2413" s="19"/>
      <c r="AO2413" s="19"/>
      <c r="AY2413" s="145"/>
      <c r="AZ2413" s="16"/>
      <c r="BC2413" s="16"/>
      <c r="BD2413" s="20"/>
      <c r="BE2413" s="17"/>
      <c r="BF2413" s="20"/>
      <c r="BG2413" s="146"/>
      <c r="BH2413" s="146"/>
      <c r="BI2413" s="146"/>
      <c r="BJ2413" s="20"/>
      <c r="BK2413" s="20"/>
      <c r="BL2413" s="154"/>
      <c r="BP2413" s="20"/>
      <c r="BQ2413" s="154"/>
      <c r="BR2413" s="18"/>
      <c r="BS2413" s="16"/>
      <c r="BT2413" s="18"/>
      <c r="BU2413" s="18"/>
      <c r="BV2413" s="18"/>
      <c r="BW2413" s="20"/>
      <c r="BX2413" s="154"/>
      <c r="BY2413" s="18"/>
      <c r="BZ2413" s="146"/>
      <c r="CA2413" s="18"/>
      <c r="CB2413" s="18"/>
      <c r="CC2413" s="20"/>
      <c r="CD2413" s="154"/>
    </row>
    <row r="2414" spans="35:82">
      <c r="AI2414" s="19"/>
      <c r="AO2414" s="19"/>
      <c r="AY2414" s="145"/>
      <c r="AZ2414" s="16"/>
      <c r="BC2414" s="16"/>
      <c r="BD2414" s="20"/>
      <c r="BE2414" s="17"/>
      <c r="BF2414" s="20"/>
      <c r="BG2414" s="146"/>
      <c r="BH2414" s="146"/>
      <c r="BI2414" s="146"/>
      <c r="BJ2414" s="20"/>
      <c r="BK2414" s="20"/>
      <c r="BL2414" s="154"/>
      <c r="BP2414" s="20"/>
      <c r="BQ2414" s="154"/>
      <c r="BR2414" s="18"/>
      <c r="BS2414" s="16"/>
      <c r="BT2414" s="18"/>
      <c r="BU2414" s="18"/>
      <c r="BV2414" s="18"/>
      <c r="BW2414" s="20"/>
      <c r="BX2414" s="154"/>
      <c r="BY2414" s="18"/>
      <c r="BZ2414" s="146"/>
      <c r="CA2414" s="18"/>
      <c r="CB2414" s="18"/>
      <c r="CC2414" s="20"/>
      <c r="CD2414" s="154"/>
    </row>
    <row r="2415" spans="35:82">
      <c r="AI2415" s="19"/>
      <c r="AO2415" s="19"/>
      <c r="AY2415" s="145"/>
      <c r="AZ2415" s="16"/>
      <c r="BC2415" s="16"/>
      <c r="BD2415" s="20"/>
      <c r="BE2415" s="17"/>
      <c r="BF2415" s="20"/>
      <c r="BG2415" s="146"/>
      <c r="BH2415" s="146"/>
      <c r="BI2415" s="146"/>
      <c r="BJ2415" s="20"/>
      <c r="BK2415" s="20"/>
      <c r="BL2415" s="154"/>
      <c r="BP2415" s="20"/>
      <c r="BQ2415" s="154"/>
      <c r="BR2415" s="18"/>
      <c r="BS2415" s="16"/>
      <c r="BT2415" s="18"/>
      <c r="BU2415" s="18"/>
      <c r="BV2415" s="18"/>
      <c r="BW2415" s="20"/>
      <c r="BX2415" s="154"/>
      <c r="BY2415" s="18"/>
      <c r="BZ2415" s="146"/>
      <c r="CA2415" s="18"/>
      <c r="CB2415" s="18"/>
      <c r="CC2415" s="20"/>
      <c r="CD2415" s="154"/>
    </row>
    <row r="2416" spans="35:82">
      <c r="AI2416" s="19"/>
      <c r="AO2416" s="19"/>
      <c r="AY2416" s="145"/>
      <c r="AZ2416" s="16"/>
      <c r="BC2416" s="16"/>
      <c r="BD2416" s="20"/>
      <c r="BE2416" s="17"/>
      <c r="BF2416" s="20"/>
      <c r="BG2416" s="146"/>
      <c r="BH2416" s="146"/>
      <c r="BI2416" s="146"/>
      <c r="BJ2416" s="20"/>
      <c r="BK2416" s="20"/>
      <c r="BL2416" s="154"/>
      <c r="BP2416" s="20"/>
      <c r="BQ2416" s="154"/>
      <c r="BR2416" s="18"/>
      <c r="BS2416" s="16"/>
      <c r="BT2416" s="18"/>
      <c r="BU2416" s="18"/>
      <c r="BV2416" s="18"/>
      <c r="BW2416" s="20"/>
      <c r="BX2416" s="154"/>
      <c r="BY2416" s="18"/>
      <c r="BZ2416" s="146"/>
      <c r="CA2416" s="18"/>
      <c r="CB2416" s="18"/>
      <c r="CC2416" s="20"/>
      <c r="CD2416" s="154"/>
    </row>
    <row r="2417" spans="35:82">
      <c r="AI2417" s="19"/>
      <c r="AO2417" s="19"/>
      <c r="AY2417" s="145"/>
      <c r="AZ2417" s="16"/>
      <c r="BC2417" s="16"/>
      <c r="BD2417" s="20"/>
      <c r="BE2417" s="17"/>
      <c r="BF2417" s="20"/>
      <c r="BG2417" s="146"/>
      <c r="BH2417" s="146"/>
      <c r="BI2417" s="146"/>
      <c r="BJ2417" s="20"/>
      <c r="BK2417" s="20"/>
      <c r="BL2417" s="154"/>
      <c r="BP2417" s="20"/>
      <c r="BQ2417" s="154"/>
      <c r="BR2417" s="18"/>
      <c r="BS2417" s="16"/>
      <c r="BT2417" s="18"/>
      <c r="BU2417" s="18"/>
      <c r="BV2417" s="18"/>
      <c r="BW2417" s="20"/>
      <c r="BX2417" s="154"/>
      <c r="BY2417" s="18"/>
      <c r="BZ2417" s="146"/>
      <c r="CA2417" s="18"/>
      <c r="CB2417" s="18"/>
      <c r="CC2417" s="20"/>
      <c r="CD2417" s="154"/>
    </row>
    <row r="2418" spans="35:82">
      <c r="AI2418" s="19"/>
      <c r="AO2418" s="19"/>
      <c r="AY2418" s="145"/>
      <c r="AZ2418" s="16"/>
      <c r="BC2418" s="16"/>
      <c r="BD2418" s="20"/>
      <c r="BE2418" s="17"/>
      <c r="BF2418" s="20"/>
      <c r="BG2418" s="146"/>
      <c r="BH2418" s="146"/>
      <c r="BI2418" s="146"/>
      <c r="BJ2418" s="20"/>
      <c r="BK2418" s="20"/>
      <c r="BL2418" s="154"/>
      <c r="BP2418" s="20"/>
      <c r="BQ2418" s="154"/>
      <c r="BR2418" s="18"/>
      <c r="BS2418" s="16"/>
      <c r="BT2418" s="18"/>
      <c r="BU2418" s="18"/>
      <c r="BV2418" s="18"/>
      <c r="BW2418" s="20"/>
      <c r="BX2418" s="154"/>
      <c r="BY2418" s="18"/>
      <c r="BZ2418" s="146"/>
      <c r="CA2418" s="18"/>
      <c r="CB2418" s="18"/>
      <c r="CC2418" s="20"/>
      <c r="CD2418" s="154"/>
    </row>
    <row r="2419" spans="35:82">
      <c r="AI2419" s="19"/>
      <c r="AO2419" s="19"/>
      <c r="AY2419" s="145"/>
      <c r="AZ2419" s="16"/>
      <c r="BC2419" s="16"/>
      <c r="BD2419" s="20"/>
      <c r="BE2419" s="17"/>
      <c r="BF2419" s="20"/>
      <c r="BG2419" s="146"/>
      <c r="BH2419" s="146"/>
      <c r="BI2419" s="146"/>
      <c r="BJ2419" s="20"/>
      <c r="BK2419" s="20"/>
      <c r="BL2419" s="154"/>
      <c r="BP2419" s="20"/>
      <c r="BQ2419" s="154"/>
      <c r="BR2419" s="18"/>
      <c r="BS2419" s="16"/>
      <c r="BT2419" s="18"/>
      <c r="BU2419" s="18"/>
      <c r="BV2419" s="18"/>
      <c r="BW2419" s="20"/>
      <c r="BX2419" s="154"/>
      <c r="BY2419" s="18"/>
      <c r="BZ2419" s="146"/>
      <c r="CA2419" s="18"/>
      <c r="CB2419" s="18"/>
      <c r="CC2419" s="20"/>
      <c r="CD2419" s="154"/>
    </row>
    <row r="2420" spans="35:82">
      <c r="AI2420" s="19"/>
      <c r="AO2420" s="19"/>
      <c r="AY2420" s="145"/>
      <c r="AZ2420" s="16"/>
      <c r="BC2420" s="16"/>
      <c r="BD2420" s="20"/>
      <c r="BE2420" s="17"/>
      <c r="BF2420" s="20"/>
      <c r="BG2420" s="146"/>
      <c r="BH2420" s="146"/>
      <c r="BI2420" s="146"/>
      <c r="BJ2420" s="20"/>
      <c r="BK2420" s="20"/>
      <c r="BL2420" s="154"/>
      <c r="BP2420" s="20"/>
      <c r="BQ2420" s="154"/>
      <c r="BR2420" s="18"/>
      <c r="BS2420" s="16"/>
      <c r="BT2420" s="18"/>
      <c r="BU2420" s="18"/>
      <c r="BV2420" s="18"/>
      <c r="BW2420" s="20"/>
      <c r="BX2420" s="154"/>
      <c r="BY2420" s="18"/>
      <c r="BZ2420" s="146"/>
      <c r="CA2420" s="18"/>
      <c r="CB2420" s="18"/>
      <c r="CC2420" s="20"/>
      <c r="CD2420" s="154"/>
    </row>
    <row r="2421" spans="35:82">
      <c r="AI2421" s="19"/>
      <c r="AO2421" s="19"/>
      <c r="AY2421" s="145"/>
      <c r="AZ2421" s="16"/>
      <c r="BC2421" s="16"/>
      <c r="BD2421" s="20"/>
      <c r="BE2421" s="17"/>
      <c r="BF2421" s="20"/>
      <c r="BG2421" s="146"/>
      <c r="BH2421" s="146"/>
      <c r="BI2421" s="146"/>
      <c r="BJ2421" s="20"/>
      <c r="BK2421" s="20"/>
      <c r="BL2421" s="154"/>
      <c r="BP2421" s="20"/>
      <c r="BQ2421" s="154"/>
      <c r="BR2421" s="18"/>
      <c r="BS2421" s="16"/>
      <c r="BT2421" s="18"/>
      <c r="BU2421" s="18"/>
      <c r="BV2421" s="18"/>
      <c r="BW2421" s="20"/>
      <c r="BX2421" s="154"/>
      <c r="BY2421" s="18"/>
      <c r="BZ2421" s="146"/>
      <c r="CA2421" s="18"/>
      <c r="CB2421" s="18"/>
      <c r="CC2421" s="20"/>
      <c r="CD2421" s="154"/>
    </row>
    <row r="2422" spans="35:82">
      <c r="AI2422" s="19"/>
      <c r="AO2422" s="19"/>
      <c r="AY2422" s="145"/>
      <c r="AZ2422" s="16"/>
      <c r="BC2422" s="16"/>
      <c r="BD2422" s="20"/>
      <c r="BE2422" s="17"/>
      <c r="BF2422" s="20"/>
      <c r="BG2422" s="146"/>
      <c r="BH2422" s="146"/>
      <c r="BI2422" s="146"/>
      <c r="BJ2422" s="20"/>
      <c r="BK2422" s="20"/>
      <c r="BL2422" s="154"/>
      <c r="BP2422" s="20"/>
      <c r="BQ2422" s="154"/>
      <c r="BR2422" s="18"/>
      <c r="BS2422" s="16"/>
      <c r="BT2422" s="18"/>
      <c r="BU2422" s="18"/>
      <c r="BV2422" s="18"/>
      <c r="BW2422" s="20"/>
      <c r="BX2422" s="154"/>
      <c r="BY2422" s="18"/>
      <c r="BZ2422" s="146"/>
      <c r="CA2422" s="18"/>
      <c r="CB2422" s="18"/>
      <c r="CC2422" s="20"/>
      <c r="CD2422" s="154"/>
    </row>
    <row r="2423" spans="35:82">
      <c r="AI2423" s="19"/>
      <c r="AO2423" s="19"/>
      <c r="AY2423" s="145"/>
      <c r="AZ2423" s="16"/>
      <c r="BC2423" s="16"/>
      <c r="BD2423" s="20"/>
      <c r="BE2423" s="17"/>
      <c r="BF2423" s="20"/>
      <c r="BG2423" s="146"/>
      <c r="BH2423" s="146"/>
      <c r="BI2423" s="146"/>
      <c r="BJ2423" s="20"/>
      <c r="BK2423" s="20"/>
      <c r="BL2423" s="154"/>
      <c r="BP2423" s="20"/>
      <c r="BQ2423" s="154"/>
      <c r="BR2423" s="18"/>
      <c r="BS2423" s="16"/>
      <c r="BT2423" s="18"/>
      <c r="BU2423" s="18"/>
      <c r="BV2423" s="18"/>
      <c r="BW2423" s="20"/>
      <c r="BX2423" s="154"/>
      <c r="BY2423" s="18"/>
      <c r="BZ2423" s="146"/>
      <c r="CA2423" s="18"/>
      <c r="CB2423" s="18"/>
      <c r="CC2423" s="20"/>
      <c r="CD2423" s="154"/>
    </row>
    <row r="2424" spans="35:82">
      <c r="AI2424" s="19"/>
      <c r="AO2424" s="19"/>
      <c r="AY2424" s="145"/>
      <c r="AZ2424" s="16"/>
      <c r="BC2424" s="16"/>
      <c r="BD2424" s="20"/>
      <c r="BE2424" s="17"/>
      <c r="BF2424" s="20"/>
      <c r="BG2424" s="146"/>
      <c r="BH2424" s="146"/>
      <c r="BI2424" s="146"/>
      <c r="BJ2424" s="20"/>
      <c r="BK2424" s="20"/>
      <c r="BL2424" s="154"/>
      <c r="BP2424" s="20"/>
      <c r="BQ2424" s="154"/>
      <c r="BR2424" s="18"/>
      <c r="BS2424" s="16"/>
      <c r="BT2424" s="18"/>
      <c r="BU2424" s="18"/>
      <c r="BV2424" s="18"/>
      <c r="BW2424" s="20"/>
      <c r="BX2424" s="154"/>
      <c r="BY2424" s="18"/>
      <c r="BZ2424" s="146"/>
      <c r="CA2424" s="18"/>
      <c r="CB2424" s="18"/>
      <c r="CC2424" s="20"/>
      <c r="CD2424" s="154"/>
    </row>
    <row r="2425" spans="35:82">
      <c r="AI2425" s="19"/>
      <c r="AO2425" s="19"/>
      <c r="AY2425" s="145"/>
      <c r="AZ2425" s="16"/>
      <c r="BC2425" s="16"/>
      <c r="BD2425" s="20"/>
      <c r="BE2425" s="17"/>
      <c r="BF2425" s="20"/>
      <c r="BG2425" s="146"/>
      <c r="BH2425" s="146"/>
      <c r="BI2425" s="146"/>
      <c r="BJ2425" s="20"/>
      <c r="BK2425" s="20"/>
      <c r="BL2425" s="154"/>
      <c r="BP2425" s="20"/>
      <c r="BQ2425" s="154"/>
      <c r="BR2425" s="18"/>
      <c r="BS2425" s="16"/>
      <c r="BT2425" s="18"/>
      <c r="BU2425" s="18"/>
      <c r="BV2425" s="18"/>
      <c r="BW2425" s="20"/>
      <c r="BX2425" s="154"/>
      <c r="BY2425" s="18"/>
      <c r="BZ2425" s="146"/>
      <c r="CA2425" s="18"/>
      <c r="CB2425" s="18"/>
      <c r="CC2425" s="20"/>
      <c r="CD2425" s="154"/>
    </row>
    <row r="2426" spans="35:82">
      <c r="AI2426" s="19"/>
      <c r="AO2426" s="19"/>
      <c r="AY2426" s="145"/>
      <c r="AZ2426" s="16"/>
      <c r="BC2426" s="16"/>
      <c r="BD2426" s="20"/>
      <c r="BE2426" s="17"/>
      <c r="BF2426" s="20"/>
      <c r="BG2426" s="146"/>
      <c r="BH2426" s="146"/>
      <c r="BI2426" s="146"/>
      <c r="BJ2426" s="20"/>
      <c r="BK2426" s="20"/>
      <c r="BL2426" s="154"/>
      <c r="BP2426" s="20"/>
      <c r="BQ2426" s="154"/>
      <c r="BR2426" s="18"/>
      <c r="BS2426" s="16"/>
      <c r="BT2426" s="18"/>
      <c r="BU2426" s="18"/>
      <c r="BV2426" s="18"/>
      <c r="BW2426" s="20"/>
      <c r="BX2426" s="154"/>
      <c r="BY2426" s="18"/>
      <c r="BZ2426" s="146"/>
      <c r="CA2426" s="18"/>
      <c r="CB2426" s="18"/>
      <c r="CC2426" s="20"/>
      <c r="CD2426" s="154"/>
    </row>
    <row r="2427" spans="35:82">
      <c r="AI2427" s="19"/>
      <c r="AO2427" s="19"/>
      <c r="AY2427" s="145"/>
      <c r="AZ2427" s="16"/>
      <c r="BC2427" s="16"/>
      <c r="BD2427" s="20"/>
      <c r="BE2427" s="17"/>
      <c r="BF2427" s="20"/>
      <c r="BG2427" s="146"/>
      <c r="BH2427" s="146"/>
      <c r="BI2427" s="146"/>
      <c r="BJ2427" s="20"/>
      <c r="BK2427" s="20"/>
      <c r="BL2427" s="154"/>
      <c r="BP2427" s="20"/>
      <c r="BQ2427" s="154"/>
      <c r="BR2427" s="18"/>
      <c r="BS2427" s="16"/>
      <c r="BT2427" s="18"/>
      <c r="BU2427" s="18"/>
      <c r="BV2427" s="18"/>
      <c r="BW2427" s="20"/>
      <c r="BX2427" s="154"/>
      <c r="BY2427" s="18"/>
      <c r="BZ2427" s="146"/>
      <c r="CA2427" s="18"/>
      <c r="CB2427" s="18"/>
      <c r="CC2427" s="20"/>
      <c r="CD2427" s="154"/>
    </row>
    <row r="2428" spans="35:82">
      <c r="AI2428" s="19"/>
      <c r="AO2428" s="19"/>
      <c r="AY2428" s="145"/>
      <c r="AZ2428" s="16"/>
      <c r="BC2428" s="16"/>
      <c r="BD2428" s="20"/>
      <c r="BE2428" s="17"/>
      <c r="BF2428" s="20"/>
      <c r="BG2428" s="146"/>
      <c r="BH2428" s="146"/>
      <c r="BI2428" s="146"/>
      <c r="BJ2428" s="20"/>
      <c r="BK2428" s="20"/>
      <c r="BL2428" s="154"/>
      <c r="BP2428" s="20"/>
      <c r="BQ2428" s="154"/>
      <c r="BR2428" s="18"/>
      <c r="BS2428" s="16"/>
      <c r="BT2428" s="18"/>
      <c r="BU2428" s="18"/>
      <c r="BV2428" s="18"/>
      <c r="BW2428" s="20"/>
      <c r="BX2428" s="154"/>
      <c r="BY2428" s="18"/>
      <c r="BZ2428" s="146"/>
      <c r="CA2428" s="18"/>
      <c r="CB2428" s="18"/>
      <c r="CC2428" s="20"/>
      <c r="CD2428" s="154"/>
    </row>
    <row r="2429" spans="35:82">
      <c r="AI2429" s="19"/>
      <c r="AO2429" s="19"/>
      <c r="AY2429" s="145"/>
      <c r="AZ2429" s="16"/>
      <c r="BC2429" s="16"/>
      <c r="BD2429" s="20"/>
      <c r="BE2429" s="17"/>
      <c r="BF2429" s="20"/>
      <c r="BG2429" s="146"/>
      <c r="BH2429" s="146"/>
      <c r="BI2429" s="146"/>
      <c r="BJ2429" s="20"/>
      <c r="BK2429" s="20"/>
      <c r="BL2429" s="154"/>
      <c r="BP2429" s="20"/>
      <c r="BQ2429" s="154"/>
      <c r="BR2429" s="18"/>
      <c r="BS2429" s="16"/>
      <c r="BT2429" s="18"/>
      <c r="BU2429" s="18"/>
      <c r="BV2429" s="18"/>
      <c r="BW2429" s="20"/>
      <c r="BX2429" s="154"/>
      <c r="BY2429" s="18"/>
      <c r="BZ2429" s="146"/>
      <c r="CA2429" s="18"/>
      <c r="CB2429" s="18"/>
      <c r="CC2429" s="20"/>
      <c r="CD2429" s="154"/>
    </row>
    <row r="2430" spans="35:82">
      <c r="AI2430" s="19"/>
      <c r="AO2430" s="19"/>
      <c r="AY2430" s="145"/>
      <c r="AZ2430" s="16"/>
      <c r="BC2430" s="16"/>
      <c r="BD2430" s="20"/>
      <c r="BE2430" s="17"/>
      <c r="BF2430" s="20"/>
      <c r="BG2430" s="146"/>
      <c r="BH2430" s="146"/>
      <c r="BI2430" s="146"/>
      <c r="BJ2430" s="20"/>
      <c r="BK2430" s="20"/>
      <c r="BL2430" s="154"/>
      <c r="BP2430" s="20"/>
      <c r="BQ2430" s="154"/>
      <c r="BR2430" s="18"/>
      <c r="BS2430" s="16"/>
      <c r="BT2430" s="18"/>
      <c r="BU2430" s="18"/>
      <c r="BV2430" s="18"/>
      <c r="BW2430" s="20"/>
      <c r="BX2430" s="154"/>
      <c r="BY2430" s="18"/>
      <c r="BZ2430" s="146"/>
      <c r="CA2430" s="18"/>
      <c r="CB2430" s="18"/>
      <c r="CC2430" s="20"/>
      <c r="CD2430" s="154"/>
    </row>
    <row r="2431" spans="35:82">
      <c r="AI2431" s="19"/>
      <c r="AO2431" s="19"/>
      <c r="AY2431" s="145"/>
      <c r="AZ2431" s="16"/>
      <c r="BC2431" s="16"/>
      <c r="BD2431" s="20"/>
      <c r="BE2431" s="17"/>
      <c r="BF2431" s="20"/>
      <c r="BG2431" s="146"/>
      <c r="BH2431" s="146"/>
      <c r="BI2431" s="146"/>
      <c r="BJ2431" s="20"/>
      <c r="BK2431" s="20"/>
      <c r="BL2431" s="154"/>
      <c r="BP2431" s="20"/>
      <c r="BQ2431" s="154"/>
      <c r="BR2431" s="18"/>
      <c r="BS2431" s="16"/>
      <c r="BT2431" s="18"/>
      <c r="BU2431" s="18"/>
      <c r="BV2431" s="18"/>
      <c r="BW2431" s="20"/>
      <c r="BX2431" s="154"/>
      <c r="BY2431" s="18"/>
      <c r="BZ2431" s="146"/>
      <c r="CA2431" s="18"/>
      <c r="CB2431" s="18"/>
      <c r="CC2431" s="20"/>
      <c r="CD2431" s="154"/>
    </row>
    <row r="2432" spans="35:82">
      <c r="AI2432" s="19"/>
      <c r="AO2432" s="19"/>
      <c r="AY2432" s="145"/>
      <c r="AZ2432" s="16"/>
      <c r="BC2432" s="16"/>
      <c r="BD2432" s="20"/>
      <c r="BE2432" s="17"/>
      <c r="BF2432" s="20"/>
      <c r="BG2432" s="146"/>
      <c r="BH2432" s="146"/>
      <c r="BI2432" s="146"/>
      <c r="BJ2432" s="20"/>
      <c r="BK2432" s="20"/>
      <c r="BL2432" s="154"/>
      <c r="BP2432" s="20"/>
      <c r="BQ2432" s="154"/>
      <c r="BR2432" s="18"/>
      <c r="BS2432" s="16"/>
      <c r="BT2432" s="18"/>
      <c r="BU2432" s="18"/>
      <c r="BV2432" s="18"/>
      <c r="BW2432" s="20"/>
      <c r="BX2432" s="154"/>
      <c r="BY2432" s="18"/>
      <c r="BZ2432" s="146"/>
      <c r="CA2432" s="18"/>
      <c r="CB2432" s="18"/>
      <c r="CC2432" s="20"/>
      <c r="CD2432" s="154"/>
    </row>
    <row r="2433" spans="35:82">
      <c r="AI2433" s="19"/>
      <c r="AO2433" s="19"/>
      <c r="AY2433" s="145"/>
      <c r="AZ2433" s="16"/>
      <c r="BC2433" s="16"/>
      <c r="BD2433" s="20"/>
      <c r="BE2433" s="17"/>
      <c r="BF2433" s="20"/>
      <c r="BG2433" s="146"/>
      <c r="BH2433" s="146"/>
      <c r="BI2433" s="146"/>
      <c r="BJ2433" s="20"/>
      <c r="BK2433" s="20"/>
      <c r="BL2433" s="154"/>
      <c r="BP2433" s="20"/>
      <c r="BQ2433" s="154"/>
      <c r="BR2433" s="18"/>
      <c r="BS2433" s="16"/>
      <c r="BT2433" s="18"/>
      <c r="BU2433" s="18"/>
      <c r="BV2433" s="18"/>
      <c r="BW2433" s="20"/>
      <c r="BX2433" s="154"/>
      <c r="BY2433" s="18"/>
      <c r="BZ2433" s="146"/>
      <c r="CA2433" s="18"/>
      <c r="CB2433" s="18"/>
      <c r="CC2433" s="20"/>
      <c r="CD2433" s="154"/>
    </row>
    <row r="2434" spans="35:82">
      <c r="AI2434" s="19"/>
      <c r="AO2434" s="19"/>
      <c r="AY2434" s="145"/>
      <c r="AZ2434" s="16"/>
      <c r="BC2434" s="16"/>
      <c r="BD2434" s="20"/>
      <c r="BE2434" s="17"/>
      <c r="BF2434" s="20"/>
      <c r="BG2434" s="146"/>
      <c r="BH2434" s="146"/>
      <c r="BI2434" s="146"/>
      <c r="BJ2434" s="20"/>
      <c r="BK2434" s="20"/>
      <c r="BL2434" s="154"/>
      <c r="BP2434" s="20"/>
      <c r="BQ2434" s="154"/>
      <c r="BR2434" s="18"/>
      <c r="BS2434" s="16"/>
      <c r="BT2434" s="18"/>
      <c r="BU2434" s="18"/>
      <c r="BV2434" s="18"/>
      <c r="BW2434" s="20"/>
      <c r="BX2434" s="154"/>
      <c r="BY2434" s="18"/>
      <c r="BZ2434" s="146"/>
      <c r="CA2434" s="18"/>
      <c r="CB2434" s="18"/>
      <c r="CC2434" s="20"/>
      <c r="CD2434" s="154"/>
    </row>
    <row r="2435" spans="35:82">
      <c r="AI2435" s="19"/>
      <c r="AO2435" s="19"/>
      <c r="AY2435" s="145"/>
      <c r="AZ2435" s="16"/>
      <c r="BC2435" s="16"/>
      <c r="BD2435" s="20"/>
      <c r="BE2435" s="17"/>
      <c r="BF2435" s="20"/>
      <c r="BG2435" s="146"/>
      <c r="BH2435" s="146"/>
      <c r="BI2435" s="146"/>
      <c r="BJ2435" s="20"/>
      <c r="BK2435" s="20"/>
      <c r="BL2435" s="154"/>
      <c r="BP2435" s="20"/>
      <c r="BQ2435" s="154"/>
      <c r="BR2435" s="18"/>
      <c r="BS2435" s="16"/>
      <c r="BT2435" s="18"/>
      <c r="BU2435" s="18"/>
      <c r="BV2435" s="18"/>
      <c r="BW2435" s="20"/>
      <c r="BX2435" s="154"/>
      <c r="BY2435" s="18"/>
      <c r="BZ2435" s="146"/>
      <c r="CA2435" s="18"/>
      <c r="CB2435" s="18"/>
      <c r="CC2435" s="20"/>
      <c r="CD2435" s="154"/>
    </row>
    <row r="2436" spans="35:82">
      <c r="AI2436" s="19"/>
      <c r="AO2436" s="19"/>
      <c r="AY2436" s="145"/>
      <c r="AZ2436" s="16"/>
      <c r="BC2436" s="16"/>
      <c r="BD2436" s="20"/>
      <c r="BE2436" s="17"/>
      <c r="BF2436" s="20"/>
      <c r="BG2436" s="146"/>
      <c r="BH2436" s="146"/>
      <c r="BI2436" s="146"/>
      <c r="BJ2436" s="20"/>
      <c r="BK2436" s="20"/>
      <c r="BL2436" s="154"/>
      <c r="BP2436" s="20"/>
      <c r="BQ2436" s="154"/>
      <c r="BR2436" s="18"/>
      <c r="BS2436" s="16"/>
      <c r="BT2436" s="18"/>
      <c r="BU2436" s="18"/>
      <c r="BV2436" s="18"/>
      <c r="BW2436" s="20"/>
      <c r="BX2436" s="154"/>
      <c r="BY2436" s="18"/>
      <c r="BZ2436" s="146"/>
      <c r="CA2436" s="18"/>
      <c r="CB2436" s="18"/>
      <c r="CC2436" s="20"/>
      <c r="CD2436" s="154"/>
    </row>
    <row r="2437" spans="35:82">
      <c r="AI2437" s="19"/>
      <c r="AO2437" s="19"/>
      <c r="AY2437" s="145"/>
      <c r="AZ2437" s="16"/>
      <c r="BC2437" s="16"/>
      <c r="BD2437" s="20"/>
      <c r="BE2437" s="17"/>
      <c r="BF2437" s="20"/>
      <c r="BG2437" s="146"/>
      <c r="BH2437" s="146"/>
      <c r="BI2437" s="146"/>
      <c r="BJ2437" s="20"/>
      <c r="BK2437" s="20"/>
      <c r="BL2437" s="154"/>
      <c r="BP2437" s="20"/>
      <c r="BQ2437" s="154"/>
      <c r="BR2437" s="18"/>
      <c r="BS2437" s="16"/>
      <c r="BT2437" s="18"/>
      <c r="BU2437" s="18"/>
      <c r="BV2437" s="18"/>
      <c r="BW2437" s="20"/>
      <c r="BX2437" s="154"/>
      <c r="BY2437" s="18"/>
      <c r="BZ2437" s="146"/>
      <c r="CA2437" s="18"/>
      <c r="CB2437" s="18"/>
      <c r="CC2437" s="20"/>
      <c r="CD2437" s="154"/>
    </row>
    <row r="2438" spans="35:82">
      <c r="AI2438" s="19"/>
      <c r="AO2438" s="19"/>
      <c r="AY2438" s="145"/>
      <c r="AZ2438" s="16"/>
      <c r="BC2438" s="16"/>
      <c r="BD2438" s="20"/>
      <c r="BE2438" s="17"/>
      <c r="BF2438" s="20"/>
      <c r="BG2438" s="146"/>
      <c r="BH2438" s="146"/>
      <c r="BI2438" s="146"/>
      <c r="BJ2438" s="20"/>
      <c r="BK2438" s="20"/>
      <c r="BL2438" s="154"/>
      <c r="BP2438" s="20"/>
      <c r="BQ2438" s="154"/>
      <c r="BR2438" s="18"/>
      <c r="BS2438" s="16"/>
      <c r="BT2438" s="18"/>
      <c r="BU2438" s="18"/>
      <c r="BV2438" s="18"/>
      <c r="BW2438" s="20"/>
      <c r="BX2438" s="154"/>
      <c r="BY2438" s="18"/>
      <c r="BZ2438" s="146"/>
      <c r="CA2438" s="18"/>
      <c r="CB2438" s="18"/>
      <c r="CC2438" s="20"/>
      <c r="CD2438" s="154"/>
    </row>
    <row r="2439" spans="35:82">
      <c r="AI2439" s="19"/>
      <c r="AO2439" s="19"/>
      <c r="AY2439" s="145"/>
      <c r="AZ2439" s="16"/>
      <c r="BC2439" s="16"/>
      <c r="BD2439" s="20"/>
      <c r="BE2439" s="17"/>
      <c r="BF2439" s="20"/>
      <c r="BG2439" s="146"/>
      <c r="BH2439" s="146"/>
      <c r="BI2439" s="146"/>
      <c r="BJ2439" s="20"/>
      <c r="BK2439" s="20"/>
      <c r="BL2439" s="154"/>
      <c r="BP2439" s="20"/>
      <c r="BQ2439" s="154"/>
      <c r="BR2439" s="18"/>
      <c r="BS2439" s="16"/>
      <c r="BT2439" s="18"/>
      <c r="BU2439" s="18"/>
      <c r="BV2439" s="18"/>
      <c r="BW2439" s="20"/>
      <c r="BX2439" s="154"/>
      <c r="BY2439" s="18"/>
      <c r="BZ2439" s="146"/>
      <c r="CA2439" s="18"/>
      <c r="CB2439" s="18"/>
      <c r="CC2439" s="20"/>
      <c r="CD2439" s="154"/>
    </row>
    <row r="2440" spans="35:82">
      <c r="AI2440" s="19"/>
      <c r="AO2440" s="19"/>
      <c r="AY2440" s="145"/>
      <c r="AZ2440" s="16"/>
      <c r="BC2440" s="16"/>
      <c r="BD2440" s="20"/>
      <c r="BE2440" s="17"/>
      <c r="BF2440" s="20"/>
      <c r="BG2440" s="146"/>
      <c r="BH2440" s="146"/>
      <c r="BI2440" s="146"/>
      <c r="BJ2440" s="20"/>
      <c r="BK2440" s="20"/>
      <c r="BL2440" s="154"/>
      <c r="BP2440" s="20"/>
      <c r="BQ2440" s="154"/>
      <c r="BR2440" s="18"/>
      <c r="BS2440" s="16"/>
      <c r="BT2440" s="18"/>
      <c r="BU2440" s="18"/>
      <c r="BV2440" s="18"/>
      <c r="BW2440" s="20"/>
      <c r="BX2440" s="154"/>
      <c r="BY2440" s="18"/>
      <c r="BZ2440" s="146"/>
      <c r="CA2440" s="18"/>
      <c r="CB2440" s="18"/>
      <c r="CC2440" s="20"/>
      <c r="CD2440" s="154"/>
    </row>
    <row r="2441" spans="35:82">
      <c r="AI2441" s="19"/>
      <c r="AO2441" s="19"/>
      <c r="AY2441" s="145"/>
      <c r="AZ2441" s="16"/>
      <c r="BC2441" s="16"/>
      <c r="BD2441" s="20"/>
      <c r="BE2441" s="17"/>
      <c r="BF2441" s="20"/>
      <c r="BG2441" s="146"/>
      <c r="BH2441" s="146"/>
      <c r="BI2441" s="146"/>
      <c r="BJ2441" s="20"/>
      <c r="BK2441" s="20"/>
      <c r="BL2441" s="154"/>
      <c r="BP2441" s="20"/>
      <c r="BQ2441" s="154"/>
      <c r="BR2441" s="18"/>
      <c r="BS2441" s="16"/>
      <c r="BT2441" s="18"/>
      <c r="BU2441" s="18"/>
      <c r="BV2441" s="18"/>
      <c r="BW2441" s="20"/>
      <c r="BX2441" s="154"/>
      <c r="BY2441" s="18"/>
      <c r="BZ2441" s="146"/>
      <c r="CA2441" s="18"/>
      <c r="CB2441" s="18"/>
      <c r="CC2441" s="20"/>
      <c r="CD2441" s="154"/>
    </row>
    <row r="2442" spans="35:82">
      <c r="AI2442" s="19"/>
      <c r="AO2442" s="19"/>
      <c r="AY2442" s="145"/>
      <c r="AZ2442" s="16"/>
      <c r="BC2442" s="16"/>
      <c r="BD2442" s="20"/>
      <c r="BE2442" s="17"/>
      <c r="BF2442" s="20"/>
      <c r="BG2442" s="146"/>
      <c r="BH2442" s="146"/>
      <c r="BI2442" s="146"/>
      <c r="BJ2442" s="20"/>
      <c r="BK2442" s="20"/>
      <c r="BL2442" s="154"/>
      <c r="BP2442" s="20"/>
      <c r="BQ2442" s="154"/>
      <c r="BR2442" s="18"/>
      <c r="BS2442" s="16"/>
      <c r="BT2442" s="18"/>
      <c r="BU2442" s="18"/>
      <c r="BV2442" s="18"/>
      <c r="BW2442" s="20"/>
      <c r="BX2442" s="154"/>
      <c r="BY2442" s="18"/>
      <c r="BZ2442" s="146"/>
      <c r="CA2442" s="18"/>
      <c r="CB2442" s="18"/>
      <c r="CC2442" s="20"/>
      <c r="CD2442" s="154"/>
    </row>
    <row r="2443" spans="35:82">
      <c r="AI2443" s="19"/>
      <c r="AO2443" s="19"/>
      <c r="AY2443" s="145"/>
      <c r="AZ2443" s="16"/>
      <c r="BC2443" s="16"/>
      <c r="BD2443" s="20"/>
      <c r="BE2443" s="17"/>
      <c r="BF2443" s="20"/>
      <c r="BG2443" s="146"/>
      <c r="BH2443" s="146"/>
      <c r="BI2443" s="146"/>
      <c r="BJ2443" s="20"/>
      <c r="BK2443" s="20"/>
      <c r="BL2443" s="154"/>
      <c r="BP2443" s="20"/>
      <c r="BQ2443" s="154"/>
      <c r="BR2443" s="18"/>
      <c r="BS2443" s="16"/>
      <c r="BT2443" s="18"/>
      <c r="BU2443" s="18"/>
      <c r="BV2443" s="18"/>
      <c r="BW2443" s="20"/>
      <c r="BX2443" s="154"/>
      <c r="BY2443" s="18"/>
      <c r="BZ2443" s="146"/>
      <c r="CA2443" s="18"/>
      <c r="CB2443" s="18"/>
      <c r="CC2443" s="20"/>
      <c r="CD2443" s="154"/>
    </row>
    <row r="2444" spans="35:82">
      <c r="AI2444" s="19"/>
      <c r="AO2444" s="19"/>
      <c r="AY2444" s="145"/>
      <c r="AZ2444" s="16"/>
      <c r="BC2444" s="16"/>
      <c r="BD2444" s="20"/>
      <c r="BE2444" s="17"/>
      <c r="BF2444" s="20"/>
      <c r="BG2444" s="146"/>
      <c r="BH2444" s="146"/>
      <c r="BI2444" s="146"/>
      <c r="BJ2444" s="20"/>
      <c r="BK2444" s="20"/>
      <c r="BL2444" s="154"/>
      <c r="BP2444" s="20"/>
      <c r="BQ2444" s="154"/>
      <c r="BR2444" s="18"/>
      <c r="BS2444" s="16"/>
      <c r="BT2444" s="18"/>
      <c r="BU2444" s="18"/>
      <c r="BV2444" s="18"/>
      <c r="BW2444" s="20"/>
      <c r="BX2444" s="154"/>
      <c r="BY2444" s="18"/>
      <c r="BZ2444" s="146"/>
      <c r="CA2444" s="18"/>
      <c r="CB2444" s="18"/>
      <c r="CC2444" s="20"/>
      <c r="CD2444" s="154"/>
    </row>
    <row r="2445" spans="35:82">
      <c r="AI2445" s="19"/>
      <c r="AO2445" s="19"/>
      <c r="AY2445" s="145"/>
      <c r="AZ2445" s="16"/>
      <c r="BC2445" s="16"/>
      <c r="BD2445" s="20"/>
      <c r="BE2445" s="17"/>
      <c r="BF2445" s="20"/>
      <c r="BG2445" s="146"/>
      <c r="BH2445" s="146"/>
      <c r="BI2445" s="146"/>
      <c r="BJ2445" s="20"/>
      <c r="BK2445" s="20"/>
      <c r="BL2445" s="154"/>
      <c r="BP2445" s="20"/>
      <c r="BQ2445" s="154"/>
      <c r="BR2445" s="18"/>
      <c r="BS2445" s="16"/>
      <c r="BT2445" s="18"/>
      <c r="BU2445" s="18"/>
      <c r="BV2445" s="18"/>
      <c r="BW2445" s="20"/>
      <c r="BX2445" s="154"/>
      <c r="BY2445" s="18"/>
      <c r="BZ2445" s="146"/>
      <c r="CA2445" s="18"/>
      <c r="CB2445" s="18"/>
      <c r="CC2445" s="20"/>
      <c r="CD2445" s="154"/>
    </row>
    <row r="2446" spans="35:82">
      <c r="AI2446" s="19"/>
      <c r="AO2446" s="19"/>
      <c r="AY2446" s="145"/>
      <c r="AZ2446" s="16"/>
      <c r="BC2446" s="16"/>
      <c r="BD2446" s="20"/>
      <c r="BE2446" s="17"/>
      <c r="BF2446" s="20"/>
      <c r="BG2446" s="146"/>
      <c r="BH2446" s="146"/>
      <c r="BI2446" s="146"/>
      <c r="BJ2446" s="20"/>
      <c r="BK2446" s="20"/>
      <c r="BL2446" s="154"/>
      <c r="BP2446" s="20"/>
      <c r="BQ2446" s="154"/>
      <c r="BR2446" s="18"/>
      <c r="BS2446" s="16"/>
      <c r="BT2446" s="18"/>
      <c r="BU2446" s="18"/>
      <c r="BV2446" s="18"/>
      <c r="BW2446" s="20"/>
      <c r="BX2446" s="154"/>
      <c r="BY2446" s="18"/>
      <c r="BZ2446" s="146"/>
      <c r="CA2446" s="18"/>
      <c r="CB2446" s="18"/>
      <c r="CC2446" s="20"/>
      <c r="CD2446" s="154"/>
    </row>
    <row r="2447" spans="35:82">
      <c r="AI2447" s="19"/>
      <c r="AO2447" s="19"/>
      <c r="AY2447" s="145"/>
      <c r="AZ2447" s="16"/>
      <c r="BC2447" s="16"/>
      <c r="BD2447" s="20"/>
      <c r="BE2447" s="17"/>
      <c r="BF2447" s="20"/>
      <c r="BG2447" s="146"/>
      <c r="BH2447" s="146"/>
      <c r="BI2447" s="146"/>
      <c r="BJ2447" s="20"/>
      <c r="BK2447" s="20"/>
      <c r="BL2447" s="154"/>
      <c r="BP2447" s="20"/>
      <c r="BQ2447" s="154"/>
      <c r="BR2447" s="18"/>
      <c r="BS2447" s="16"/>
      <c r="BT2447" s="18"/>
      <c r="BU2447" s="18"/>
      <c r="BV2447" s="18"/>
      <c r="BW2447" s="20"/>
      <c r="BX2447" s="154"/>
      <c r="BY2447" s="18"/>
      <c r="BZ2447" s="146"/>
      <c r="CA2447" s="18"/>
      <c r="CB2447" s="18"/>
      <c r="CC2447" s="20"/>
      <c r="CD2447" s="154"/>
    </row>
    <row r="2448" spans="35:82">
      <c r="AI2448" s="19"/>
      <c r="AO2448" s="19"/>
      <c r="AY2448" s="145"/>
      <c r="AZ2448" s="16"/>
      <c r="BC2448" s="16"/>
      <c r="BD2448" s="20"/>
      <c r="BE2448" s="17"/>
      <c r="BF2448" s="20"/>
      <c r="BG2448" s="146"/>
      <c r="BH2448" s="146"/>
      <c r="BI2448" s="146"/>
      <c r="BJ2448" s="20"/>
      <c r="BK2448" s="20"/>
      <c r="BL2448" s="154"/>
      <c r="BP2448" s="20"/>
      <c r="BQ2448" s="154"/>
      <c r="BR2448" s="18"/>
      <c r="BS2448" s="16"/>
      <c r="BT2448" s="18"/>
      <c r="BU2448" s="18"/>
      <c r="BV2448" s="18"/>
      <c r="BW2448" s="20"/>
      <c r="BX2448" s="154"/>
      <c r="BY2448" s="18"/>
      <c r="BZ2448" s="146"/>
      <c r="CA2448" s="18"/>
      <c r="CB2448" s="18"/>
      <c r="CC2448" s="20"/>
      <c r="CD2448" s="154"/>
    </row>
    <row r="2449" spans="35:82">
      <c r="AI2449" s="19"/>
      <c r="AO2449" s="19"/>
      <c r="AY2449" s="145"/>
      <c r="AZ2449" s="16"/>
      <c r="BC2449" s="16"/>
      <c r="BD2449" s="20"/>
      <c r="BE2449" s="17"/>
      <c r="BF2449" s="20"/>
      <c r="BG2449" s="146"/>
      <c r="BH2449" s="146"/>
      <c r="BI2449" s="146"/>
      <c r="BJ2449" s="20"/>
      <c r="BK2449" s="20"/>
      <c r="BL2449" s="154"/>
      <c r="BP2449" s="20"/>
      <c r="BQ2449" s="154"/>
      <c r="BR2449" s="18"/>
      <c r="BS2449" s="16"/>
      <c r="BT2449" s="18"/>
      <c r="BU2449" s="18"/>
      <c r="BV2449" s="18"/>
      <c r="BW2449" s="20"/>
      <c r="BX2449" s="154"/>
      <c r="BY2449" s="18"/>
      <c r="BZ2449" s="146"/>
      <c r="CA2449" s="18"/>
      <c r="CB2449" s="18"/>
      <c r="CC2449" s="20"/>
      <c r="CD2449" s="154"/>
    </row>
    <row r="2450" spans="35:82">
      <c r="AI2450" s="19"/>
      <c r="AO2450" s="19"/>
      <c r="AY2450" s="145"/>
      <c r="AZ2450" s="16"/>
      <c r="BC2450" s="16"/>
      <c r="BD2450" s="20"/>
      <c r="BE2450" s="17"/>
      <c r="BF2450" s="20"/>
      <c r="BG2450" s="146"/>
      <c r="BH2450" s="146"/>
      <c r="BI2450" s="146"/>
      <c r="BJ2450" s="20"/>
      <c r="BK2450" s="20"/>
      <c r="BL2450" s="154"/>
      <c r="BP2450" s="20"/>
      <c r="BQ2450" s="154"/>
      <c r="BR2450" s="18"/>
      <c r="BS2450" s="16"/>
      <c r="BT2450" s="18"/>
      <c r="BU2450" s="18"/>
      <c r="BV2450" s="18"/>
      <c r="BW2450" s="20"/>
      <c r="BX2450" s="154"/>
      <c r="BY2450" s="18"/>
      <c r="BZ2450" s="146"/>
      <c r="CA2450" s="18"/>
      <c r="CB2450" s="18"/>
      <c r="CC2450" s="20"/>
      <c r="CD2450" s="154"/>
    </row>
    <row r="2451" spans="35:82">
      <c r="AI2451" s="19"/>
      <c r="AO2451" s="19"/>
      <c r="AY2451" s="145"/>
      <c r="AZ2451" s="16"/>
      <c r="BC2451" s="16"/>
      <c r="BD2451" s="20"/>
      <c r="BE2451" s="17"/>
      <c r="BF2451" s="20"/>
      <c r="BG2451" s="146"/>
      <c r="BH2451" s="146"/>
      <c r="BI2451" s="146"/>
      <c r="BJ2451" s="20"/>
      <c r="BK2451" s="20"/>
      <c r="BL2451" s="154"/>
      <c r="BP2451" s="20"/>
      <c r="BQ2451" s="154"/>
      <c r="BR2451" s="18"/>
      <c r="BS2451" s="16"/>
      <c r="BT2451" s="18"/>
      <c r="BU2451" s="18"/>
      <c r="BV2451" s="18"/>
      <c r="BW2451" s="20"/>
      <c r="BX2451" s="154"/>
      <c r="BY2451" s="18"/>
      <c r="BZ2451" s="146"/>
      <c r="CA2451" s="18"/>
      <c r="CB2451" s="18"/>
      <c r="CC2451" s="20"/>
      <c r="CD2451" s="154"/>
    </row>
    <row r="2452" spans="35:82">
      <c r="AI2452" s="19"/>
      <c r="AO2452" s="19"/>
      <c r="AY2452" s="145"/>
      <c r="AZ2452" s="16"/>
      <c r="BC2452" s="16"/>
      <c r="BD2452" s="20"/>
      <c r="BE2452" s="17"/>
      <c r="BF2452" s="20"/>
      <c r="BG2452" s="146"/>
      <c r="BH2452" s="146"/>
      <c r="BI2452" s="146"/>
      <c r="BJ2452" s="20"/>
      <c r="BK2452" s="20"/>
      <c r="BL2452" s="154"/>
      <c r="BP2452" s="20"/>
      <c r="BQ2452" s="154"/>
      <c r="BR2452" s="18"/>
      <c r="BS2452" s="16"/>
      <c r="BT2452" s="18"/>
      <c r="BU2452" s="18"/>
      <c r="BV2452" s="18"/>
      <c r="BW2452" s="20"/>
      <c r="BX2452" s="154"/>
      <c r="BY2452" s="18"/>
      <c r="BZ2452" s="146"/>
      <c r="CA2452" s="18"/>
      <c r="CB2452" s="18"/>
      <c r="CC2452" s="20"/>
      <c r="CD2452" s="154"/>
    </row>
    <row r="2453" spans="35:82">
      <c r="AI2453" s="19"/>
      <c r="AO2453" s="19"/>
      <c r="AY2453" s="145"/>
      <c r="AZ2453" s="16"/>
      <c r="BC2453" s="16"/>
      <c r="BD2453" s="20"/>
      <c r="BE2453" s="17"/>
      <c r="BF2453" s="20"/>
      <c r="BG2453" s="146"/>
      <c r="BH2453" s="146"/>
      <c r="BI2453" s="146"/>
      <c r="BJ2453" s="20"/>
      <c r="BK2453" s="20"/>
      <c r="BL2453" s="154"/>
      <c r="BP2453" s="20"/>
      <c r="BQ2453" s="154"/>
      <c r="BR2453" s="18"/>
      <c r="BS2453" s="16"/>
      <c r="BT2453" s="18"/>
      <c r="BU2453" s="18"/>
      <c r="BV2453" s="18"/>
      <c r="BW2453" s="20"/>
      <c r="BX2453" s="154"/>
      <c r="BY2453" s="18"/>
      <c r="BZ2453" s="146"/>
      <c r="CA2453" s="18"/>
      <c r="CB2453" s="18"/>
      <c r="CC2453" s="20"/>
      <c r="CD2453" s="154"/>
    </row>
    <row r="2454" spans="35:82">
      <c r="AI2454" s="19"/>
      <c r="AO2454" s="19"/>
      <c r="AY2454" s="145"/>
      <c r="AZ2454" s="16"/>
      <c r="BC2454" s="16"/>
      <c r="BD2454" s="20"/>
      <c r="BE2454" s="17"/>
      <c r="BF2454" s="20"/>
      <c r="BG2454" s="146"/>
      <c r="BH2454" s="146"/>
      <c r="BI2454" s="146"/>
      <c r="BJ2454" s="20"/>
      <c r="BK2454" s="20"/>
      <c r="BL2454" s="154"/>
      <c r="BP2454" s="20"/>
      <c r="BQ2454" s="154"/>
      <c r="BR2454" s="18"/>
      <c r="BS2454" s="16"/>
      <c r="BT2454" s="18"/>
      <c r="BU2454" s="18"/>
      <c r="BV2454" s="18"/>
      <c r="BW2454" s="20"/>
      <c r="BX2454" s="154"/>
      <c r="BY2454" s="18"/>
      <c r="BZ2454" s="146"/>
      <c r="CA2454" s="18"/>
      <c r="CB2454" s="18"/>
      <c r="CC2454" s="20"/>
      <c r="CD2454" s="154"/>
    </row>
    <row r="2455" spans="35:82">
      <c r="AI2455" s="19"/>
      <c r="AO2455" s="19"/>
      <c r="AY2455" s="145"/>
      <c r="AZ2455" s="16"/>
      <c r="BC2455" s="16"/>
      <c r="BD2455" s="20"/>
      <c r="BE2455" s="17"/>
      <c r="BF2455" s="20"/>
      <c r="BG2455" s="146"/>
      <c r="BH2455" s="146"/>
      <c r="BI2455" s="146"/>
      <c r="BJ2455" s="20"/>
      <c r="BK2455" s="20"/>
      <c r="BL2455" s="154"/>
      <c r="BP2455" s="20"/>
      <c r="BQ2455" s="154"/>
      <c r="BR2455" s="18"/>
      <c r="BS2455" s="16"/>
      <c r="BT2455" s="18"/>
      <c r="BU2455" s="18"/>
      <c r="BV2455" s="18"/>
      <c r="BW2455" s="20"/>
      <c r="BX2455" s="154"/>
      <c r="BY2455" s="18"/>
      <c r="BZ2455" s="146"/>
      <c r="CA2455" s="18"/>
      <c r="CB2455" s="18"/>
      <c r="CC2455" s="20"/>
      <c r="CD2455" s="154"/>
    </row>
    <row r="2456" spans="35:82">
      <c r="AI2456" s="19"/>
      <c r="AO2456" s="19"/>
      <c r="AY2456" s="145"/>
      <c r="AZ2456" s="16"/>
      <c r="BC2456" s="16"/>
      <c r="BD2456" s="20"/>
      <c r="BE2456" s="17"/>
      <c r="BF2456" s="20"/>
      <c r="BG2456" s="146"/>
      <c r="BH2456" s="146"/>
      <c r="BI2456" s="146"/>
      <c r="BJ2456" s="20"/>
      <c r="BK2456" s="20"/>
      <c r="BL2456" s="154"/>
      <c r="BP2456" s="20"/>
      <c r="BQ2456" s="154"/>
      <c r="BR2456" s="18"/>
      <c r="BS2456" s="16"/>
      <c r="BT2456" s="18"/>
      <c r="BU2456" s="18"/>
      <c r="BV2456" s="18"/>
      <c r="BW2456" s="20"/>
      <c r="BX2456" s="154"/>
      <c r="BY2456" s="18"/>
      <c r="BZ2456" s="146"/>
      <c r="CA2456" s="18"/>
      <c r="CB2456" s="18"/>
      <c r="CC2456" s="20"/>
      <c r="CD2456" s="154"/>
    </row>
    <row r="2457" spans="35:82">
      <c r="AI2457" s="19"/>
      <c r="AO2457" s="19"/>
      <c r="AY2457" s="145"/>
      <c r="AZ2457" s="16"/>
      <c r="BC2457" s="16"/>
      <c r="BD2457" s="20"/>
      <c r="BE2457" s="17"/>
      <c r="BF2457" s="20"/>
      <c r="BG2457" s="146"/>
      <c r="BH2457" s="146"/>
      <c r="BI2457" s="146"/>
      <c r="BJ2457" s="20"/>
      <c r="BK2457" s="20"/>
      <c r="BL2457" s="154"/>
      <c r="BP2457" s="20"/>
      <c r="BQ2457" s="154"/>
      <c r="BR2457" s="18"/>
      <c r="BS2457" s="16"/>
      <c r="BT2457" s="18"/>
      <c r="BU2457" s="18"/>
      <c r="BV2457" s="18"/>
      <c r="BW2457" s="20"/>
      <c r="BX2457" s="154"/>
      <c r="BY2457" s="18"/>
      <c r="BZ2457" s="146"/>
      <c r="CA2457" s="18"/>
      <c r="CB2457" s="18"/>
      <c r="CC2457" s="20"/>
      <c r="CD2457" s="154"/>
    </row>
    <row r="2458" spans="35:82">
      <c r="AI2458" s="19"/>
      <c r="AO2458" s="19"/>
      <c r="AY2458" s="145"/>
      <c r="AZ2458" s="16"/>
      <c r="BC2458" s="16"/>
      <c r="BD2458" s="20"/>
      <c r="BE2458" s="17"/>
      <c r="BF2458" s="20"/>
      <c r="BG2458" s="146"/>
      <c r="BH2458" s="146"/>
      <c r="BI2458" s="146"/>
      <c r="BJ2458" s="20"/>
      <c r="BK2458" s="20"/>
      <c r="BL2458" s="154"/>
      <c r="BP2458" s="20"/>
      <c r="BQ2458" s="154"/>
      <c r="BR2458" s="18"/>
      <c r="BS2458" s="16"/>
      <c r="BT2458" s="18"/>
      <c r="BU2458" s="18"/>
      <c r="BV2458" s="18"/>
      <c r="BW2458" s="20"/>
      <c r="BX2458" s="154"/>
      <c r="BY2458" s="18"/>
      <c r="BZ2458" s="146"/>
      <c r="CA2458" s="18"/>
      <c r="CB2458" s="18"/>
      <c r="CC2458" s="20"/>
      <c r="CD2458" s="154"/>
    </row>
    <row r="2459" spans="35:82">
      <c r="AI2459" s="19"/>
      <c r="AO2459" s="19"/>
      <c r="AY2459" s="145"/>
      <c r="AZ2459" s="16"/>
      <c r="BC2459" s="16"/>
      <c r="BD2459" s="20"/>
      <c r="BE2459" s="17"/>
      <c r="BF2459" s="20"/>
      <c r="BG2459" s="146"/>
      <c r="BH2459" s="146"/>
      <c r="BI2459" s="146"/>
      <c r="BJ2459" s="20"/>
      <c r="BK2459" s="20"/>
      <c r="BL2459" s="154"/>
      <c r="BP2459" s="20"/>
      <c r="BQ2459" s="154"/>
      <c r="BR2459" s="18"/>
      <c r="BS2459" s="16"/>
      <c r="BT2459" s="18"/>
      <c r="BU2459" s="18"/>
      <c r="BV2459" s="18"/>
      <c r="BW2459" s="20"/>
      <c r="BX2459" s="154"/>
      <c r="BY2459" s="18"/>
      <c r="BZ2459" s="146"/>
      <c r="CA2459" s="18"/>
      <c r="CB2459" s="18"/>
      <c r="CC2459" s="20"/>
      <c r="CD2459" s="154"/>
    </row>
    <row r="2460" spans="35:82">
      <c r="AI2460" s="19"/>
      <c r="AO2460" s="19"/>
      <c r="AY2460" s="145"/>
      <c r="AZ2460" s="16"/>
      <c r="BC2460" s="16"/>
      <c r="BD2460" s="20"/>
      <c r="BE2460" s="17"/>
      <c r="BF2460" s="20"/>
      <c r="BG2460" s="146"/>
      <c r="BH2460" s="146"/>
      <c r="BI2460" s="146"/>
      <c r="BJ2460" s="20"/>
      <c r="BK2460" s="20"/>
      <c r="BL2460" s="154"/>
      <c r="BP2460" s="20"/>
      <c r="BQ2460" s="154"/>
      <c r="BR2460" s="18"/>
      <c r="BS2460" s="16"/>
      <c r="BT2460" s="18"/>
      <c r="BU2460" s="18"/>
      <c r="BV2460" s="18"/>
      <c r="BW2460" s="20"/>
      <c r="BX2460" s="154"/>
      <c r="BY2460" s="18"/>
      <c r="BZ2460" s="146"/>
      <c r="CA2460" s="18"/>
      <c r="CB2460" s="18"/>
      <c r="CC2460" s="20"/>
      <c r="CD2460" s="154"/>
    </row>
    <row r="2461" spans="35:82">
      <c r="AI2461" s="19"/>
      <c r="AO2461" s="19"/>
      <c r="AY2461" s="145"/>
      <c r="AZ2461" s="16"/>
      <c r="BC2461" s="16"/>
      <c r="BD2461" s="20"/>
      <c r="BE2461" s="17"/>
      <c r="BF2461" s="20"/>
      <c r="BG2461" s="146"/>
      <c r="BH2461" s="146"/>
      <c r="BI2461" s="146"/>
      <c r="BJ2461" s="20"/>
      <c r="BK2461" s="20"/>
      <c r="BL2461" s="154"/>
      <c r="BP2461" s="20"/>
      <c r="BQ2461" s="154"/>
      <c r="BR2461" s="18"/>
      <c r="BS2461" s="16"/>
      <c r="BT2461" s="18"/>
      <c r="BU2461" s="18"/>
      <c r="BV2461" s="18"/>
      <c r="BW2461" s="20"/>
      <c r="BX2461" s="154"/>
      <c r="BY2461" s="18"/>
      <c r="BZ2461" s="146"/>
      <c r="CA2461" s="18"/>
      <c r="CB2461" s="18"/>
      <c r="CC2461" s="20"/>
      <c r="CD2461" s="154"/>
    </row>
    <row r="2462" spans="35:82">
      <c r="AI2462" s="19"/>
      <c r="AO2462" s="19"/>
      <c r="AY2462" s="145"/>
      <c r="AZ2462" s="16"/>
      <c r="BC2462" s="16"/>
      <c r="BD2462" s="20"/>
      <c r="BE2462" s="17"/>
      <c r="BF2462" s="20"/>
      <c r="BG2462" s="146"/>
      <c r="BH2462" s="146"/>
      <c r="BI2462" s="146"/>
      <c r="BJ2462" s="20"/>
      <c r="BK2462" s="20"/>
      <c r="BL2462" s="154"/>
      <c r="BP2462" s="20"/>
      <c r="BQ2462" s="154"/>
      <c r="BR2462" s="18"/>
      <c r="BS2462" s="16"/>
      <c r="BT2462" s="18"/>
      <c r="BU2462" s="18"/>
      <c r="BV2462" s="18"/>
      <c r="BW2462" s="20"/>
      <c r="BX2462" s="154"/>
      <c r="BY2462" s="18"/>
      <c r="BZ2462" s="146"/>
      <c r="CA2462" s="18"/>
      <c r="CB2462" s="18"/>
      <c r="CC2462" s="20"/>
      <c r="CD2462" s="154"/>
    </row>
    <row r="2463" spans="35:82">
      <c r="AI2463" s="19"/>
      <c r="AO2463" s="19"/>
      <c r="AY2463" s="145"/>
      <c r="AZ2463" s="16"/>
      <c r="BC2463" s="16"/>
      <c r="BD2463" s="20"/>
      <c r="BE2463" s="17"/>
      <c r="BF2463" s="20"/>
      <c r="BG2463" s="146"/>
      <c r="BH2463" s="146"/>
      <c r="BI2463" s="146"/>
      <c r="BJ2463" s="20"/>
      <c r="BK2463" s="20"/>
      <c r="BL2463" s="154"/>
      <c r="BP2463" s="20"/>
      <c r="BQ2463" s="154"/>
      <c r="BR2463" s="18"/>
      <c r="BS2463" s="16"/>
      <c r="BT2463" s="18"/>
      <c r="BU2463" s="18"/>
      <c r="BV2463" s="18"/>
      <c r="BW2463" s="20"/>
      <c r="BX2463" s="154"/>
      <c r="BY2463" s="18"/>
      <c r="BZ2463" s="146"/>
      <c r="CA2463" s="18"/>
      <c r="CB2463" s="18"/>
      <c r="CC2463" s="20"/>
      <c r="CD2463" s="154"/>
    </row>
    <row r="2464" spans="35:82">
      <c r="AI2464" s="19"/>
      <c r="AO2464" s="19"/>
      <c r="AY2464" s="145"/>
      <c r="AZ2464" s="16"/>
      <c r="BC2464" s="16"/>
      <c r="BD2464" s="20"/>
      <c r="BE2464" s="17"/>
      <c r="BF2464" s="20"/>
      <c r="BG2464" s="146"/>
      <c r="BH2464" s="146"/>
      <c r="BI2464" s="146"/>
      <c r="BJ2464" s="20"/>
      <c r="BK2464" s="20"/>
      <c r="BL2464" s="154"/>
      <c r="BP2464" s="20"/>
      <c r="BQ2464" s="154"/>
      <c r="BR2464" s="18"/>
      <c r="BS2464" s="16"/>
      <c r="BT2464" s="18"/>
      <c r="BU2464" s="18"/>
      <c r="BV2464" s="18"/>
      <c r="BW2464" s="20"/>
      <c r="BX2464" s="154"/>
      <c r="BY2464" s="18"/>
      <c r="BZ2464" s="146"/>
      <c r="CA2464" s="18"/>
      <c r="CB2464" s="18"/>
      <c r="CC2464" s="20"/>
      <c r="CD2464" s="154"/>
    </row>
    <row r="2465" spans="35:82">
      <c r="AI2465" s="19"/>
      <c r="AO2465" s="19"/>
      <c r="AY2465" s="145"/>
      <c r="AZ2465" s="16"/>
      <c r="BC2465" s="16"/>
      <c r="BD2465" s="20"/>
      <c r="BE2465" s="17"/>
      <c r="BF2465" s="20"/>
      <c r="BG2465" s="146"/>
      <c r="BH2465" s="146"/>
      <c r="BI2465" s="146"/>
      <c r="BJ2465" s="20"/>
      <c r="BK2465" s="20"/>
      <c r="BL2465" s="154"/>
      <c r="BP2465" s="20"/>
      <c r="BQ2465" s="154"/>
      <c r="BR2465" s="18"/>
      <c r="BS2465" s="16"/>
      <c r="BT2465" s="18"/>
      <c r="BU2465" s="18"/>
      <c r="BV2465" s="18"/>
      <c r="BW2465" s="20"/>
      <c r="BX2465" s="154"/>
      <c r="BY2465" s="18"/>
      <c r="BZ2465" s="146"/>
      <c r="CA2465" s="18"/>
      <c r="CB2465" s="18"/>
      <c r="CC2465" s="20"/>
      <c r="CD2465" s="154"/>
    </row>
    <row r="2466" spans="35:82">
      <c r="AI2466" s="19"/>
      <c r="AO2466" s="19"/>
      <c r="AY2466" s="145"/>
      <c r="AZ2466" s="16"/>
      <c r="BC2466" s="16"/>
      <c r="BD2466" s="20"/>
      <c r="BE2466" s="17"/>
      <c r="BF2466" s="20"/>
      <c r="BG2466" s="146"/>
      <c r="BH2466" s="146"/>
      <c r="BI2466" s="146"/>
      <c r="BJ2466" s="20"/>
      <c r="BK2466" s="20"/>
      <c r="BL2466" s="154"/>
      <c r="BP2466" s="20"/>
      <c r="BQ2466" s="154"/>
      <c r="BR2466" s="18"/>
      <c r="BS2466" s="16"/>
      <c r="BT2466" s="18"/>
      <c r="BU2466" s="18"/>
      <c r="BV2466" s="18"/>
      <c r="BW2466" s="20"/>
      <c r="BX2466" s="154"/>
      <c r="BY2466" s="18"/>
      <c r="BZ2466" s="146"/>
      <c r="CA2466" s="18"/>
      <c r="CB2466" s="18"/>
      <c r="CC2466" s="20"/>
      <c r="CD2466" s="154"/>
    </row>
    <row r="2467" spans="35:82">
      <c r="AI2467" s="19"/>
      <c r="AO2467" s="19"/>
      <c r="AY2467" s="145"/>
      <c r="AZ2467" s="16"/>
      <c r="BC2467" s="16"/>
      <c r="BD2467" s="20"/>
      <c r="BE2467" s="17"/>
      <c r="BF2467" s="20"/>
      <c r="BG2467" s="146"/>
      <c r="BH2467" s="146"/>
      <c r="BI2467" s="146"/>
      <c r="BJ2467" s="20"/>
      <c r="BK2467" s="20"/>
      <c r="BL2467" s="154"/>
      <c r="BP2467" s="20"/>
      <c r="BQ2467" s="154"/>
      <c r="BR2467" s="18"/>
      <c r="BS2467" s="16"/>
      <c r="BT2467" s="18"/>
      <c r="BU2467" s="18"/>
      <c r="BV2467" s="18"/>
      <c r="BW2467" s="20"/>
      <c r="BX2467" s="154"/>
      <c r="BY2467" s="18"/>
      <c r="BZ2467" s="146"/>
      <c r="CA2467" s="18"/>
      <c r="CB2467" s="18"/>
      <c r="CC2467" s="20"/>
      <c r="CD2467" s="154"/>
    </row>
    <row r="2468" spans="35:82">
      <c r="AI2468" s="19"/>
      <c r="AO2468" s="19"/>
      <c r="AY2468" s="145"/>
      <c r="AZ2468" s="16"/>
      <c r="BC2468" s="16"/>
      <c r="BD2468" s="20"/>
      <c r="BE2468" s="17"/>
      <c r="BF2468" s="20"/>
      <c r="BG2468" s="146"/>
      <c r="BH2468" s="146"/>
      <c r="BI2468" s="146"/>
      <c r="BJ2468" s="20"/>
      <c r="BK2468" s="20"/>
      <c r="BL2468" s="154"/>
      <c r="BP2468" s="20"/>
      <c r="BQ2468" s="154"/>
      <c r="BR2468" s="18"/>
      <c r="BS2468" s="16"/>
      <c r="BT2468" s="18"/>
      <c r="BU2468" s="18"/>
      <c r="BV2468" s="18"/>
      <c r="BW2468" s="20"/>
      <c r="BX2468" s="154"/>
      <c r="BY2468" s="18"/>
      <c r="BZ2468" s="146"/>
      <c r="CA2468" s="18"/>
      <c r="CB2468" s="18"/>
      <c r="CC2468" s="20"/>
      <c r="CD2468" s="154"/>
    </row>
    <row r="2469" spans="35:82">
      <c r="AI2469" s="19"/>
      <c r="AO2469" s="19"/>
      <c r="AY2469" s="145"/>
      <c r="AZ2469" s="16"/>
      <c r="BC2469" s="16"/>
      <c r="BD2469" s="20"/>
      <c r="BE2469" s="17"/>
      <c r="BF2469" s="20"/>
      <c r="BG2469" s="146"/>
      <c r="BH2469" s="146"/>
      <c r="BI2469" s="146"/>
      <c r="BJ2469" s="20"/>
      <c r="BK2469" s="20"/>
      <c r="BL2469" s="154"/>
      <c r="BP2469" s="20"/>
      <c r="BQ2469" s="154"/>
      <c r="BR2469" s="18"/>
      <c r="BS2469" s="16"/>
      <c r="BT2469" s="18"/>
      <c r="BU2469" s="18"/>
      <c r="BV2469" s="18"/>
      <c r="BW2469" s="20"/>
      <c r="BX2469" s="154"/>
      <c r="BY2469" s="18"/>
      <c r="BZ2469" s="146"/>
      <c r="CA2469" s="18"/>
      <c r="CB2469" s="18"/>
      <c r="CC2469" s="20"/>
      <c r="CD2469" s="154"/>
    </row>
    <row r="2470" spans="35:82">
      <c r="AI2470" s="19"/>
      <c r="AO2470" s="19"/>
      <c r="AY2470" s="145"/>
      <c r="AZ2470" s="16"/>
      <c r="BC2470" s="16"/>
      <c r="BD2470" s="20"/>
      <c r="BE2470" s="17"/>
      <c r="BF2470" s="20"/>
      <c r="BG2470" s="146"/>
      <c r="BH2470" s="146"/>
      <c r="BI2470" s="146"/>
      <c r="BJ2470" s="20"/>
      <c r="BK2470" s="20"/>
      <c r="BL2470" s="154"/>
      <c r="BP2470" s="20"/>
      <c r="BQ2470" s="154"/>
      <c r="BR2470" s="18"/>
      <c r="BS2470" s="16"/>
      <c r="BT2470" s="18"/>
      <c r="BU2470" s="18"/>
      <c r="BV2470" s="18"/>
      <c r="BW2470" s="20"/>
      <c r="BX2470" s="154"/>
      <c r="BY2470" s="18"/>
      <c r="BZ2470" s="146"/>
      <c r="CA2470" s="18"/>
      <c r="CB2470" s="18"/>
      <c r="CC2470" s="20"/>
      <c r="CD2470" s="154"/>
    </row>
    <row r="2471" spans="35:82">
      <c r="AI2471" s="19"/>
      <c r="AO2471" s="19"/>
      <c r="AY2471" s="145"/>
      <c r="AZ2471" s="16"/>
      <c r="BC2471" s="16"/>
      <c r="BD2471" s="20"/>
      <c r="BE2471" s="17"/>
      <c r="BF2471" s="20"/>
      <c r="BG2471" s="146"/>
      <c r="BH2471" s="146"/>
      <c r="BI2471" s="146"/>
      <c r="BJ2471" s="20"/>
      <c r="BK2471" s="20"/>
      <c r="BL2471" s="154"/>
      <c r="BP2471" s="20"/>
      <c r="BQ2471" s="154"/>
      <c r="BR2471" s="18"/>
      <c r="BS2471" s="16"/>
      <c r="BT2471" s="18"/>
      <c r="BU2471" s="18"/>
      <c r="BV2471" s="18"/>
      <c r="BW2471" s="20"/>
      <c r="BX2471" s="154"/>
      <c r="BY2471" s="18"/>
      <c r="BZ2471" s="146"/>
      <c r="CA2471" s="18"/>
      <c r="CB2471" s="18"/>
      <c r="CC2471" s="20"/>
      <c r="CD2471" s="154"/>
    </row>
    <row r="2472" spans="35:82">
      <c r="AI2472" s="19"/>
      <c r="AO2472" s="19"/>
      <c r="AY2472" s="145"/>
      <c r="AZ2472" s="16"/>
      <c r="BC2472" s="16"/>
      <c r="BD2472" s="20"/>
      <c r="BE2472" s="17"/>
      <c r="BF2472" s="20"/>
      <c r="BG2472" s="146"/>
      <c r="BH2472" s="146"/>
      <c r="BI2472" s="146"/>
      <c r="BJ2472" s="20"/>
      <c r="BK2472" s="20"/>
      <c r="BL2472" s="154"/>
      <c r="BP2472" s="20"/>
      <c r="BQ2472" s="154"/>
      <c r="BR2472" s="18"/>
      <c r="BS2472" s="16"/>
      <c r="BT2472" s="18"/>
      <c r="BU2472" s="18"/>
      <c r="BV2472" s="18"/>
      <c r="BW2472" s="20"/>
      <c r="BX2472" s="154"/>
      <c r="BY2472" s="18"/>
      <c r="BZ2472" s="146"/>
      <c r="CA2472" s="18"/>
      <c r="CB2472" s="18"/>
      <c r="CC2472" s="20"/>
      <c r="CD2472" s="154"/>
    </row>
    <row r="2473" spans="35:82">
      <c r="AI2473" s="19"/>
      <c r="AO2473" s="19"/>
      <c r="AY2473" s="145"/>
      <c r="AZ2473" s="16"/>
      <c r="BC2473" s="16"/>
      <c r="BD2473" s="20"/>
      <c r="BE2473" s="17"/>
      <c r="BF2473" s="20"/>
      <c r="BG2473" s="146"/>
      <c r="BH2473" s="146"/>
      <c r="BI2473" s="146"/>
      <c r="BJ2473" s="20"/>
      <c r="BK2473" s="20"/>
      <c r="BL2473" s="154"/>
      <c r="BP2473" s="20"/>
      <c r="BQ2473" s="154"/>
      <c r="BR2473" s="18"/>
      <c r="BS2473" s="16"/>
      <c r="BT2473" s="18"/>
      <c r="BU2473" s="18"/>
      <c r="BV2473" s="18"/>
      <c r="BW2473" s="20"/>
      <c r="BX2473" s="154"/>
      <c r="BY2473" s="18"/>
      <c r="BZ2473" s="146"/>
      <c r="CA2473" s="18"/>
      <c r="CB2473" s="18"/>
      <c r="CC2473" s="20"/>
      <c r="CD2473" s="154"/>
    </row>
    <row r="2474" spans="35:82">
      <c r="AI2474" s="19"/>
      <c r="AO2474" s="19"/>
      <c r="AY2474" s="145"/>
      <c r="AZ2474" s="16"/>
      <c r="BC2474" s="16"/>
      <c r="BD2474" s="20"/>
      <c r="BE2474" s="17"/>
      <c r="BF2474" s="20"/>
      <c r="BG2474" s="146"/>
      <c r="BH2474" s="146"/>
      <c r="BI2474" s="146"/>
      <c r="BJ2474" s="20"/>
      <c r="BK2474" s="20"/>
      <c r="BL2474" s="154"/>
      <c r="BP2474" s="20"/>
      <c r="BQ2474" s="154"/>
      <c r="BR2474" s="18"/>
      <c r="BS2474" s="16"/>
      <c r="BT2474" s="18"/>
      <c r="BU2474" s="18"/>
      <c r="BV2474" s="18"/>
      <c r="BW2474" s="20"/>
      <c r="BX2474" s="154"/>
      <c r="BY2474" s="18"/>
      <c r="BZ2474" s="146"/>
      <c r="CA2474" s="18"/>
      <c r="CB2474" s="18"/>
      <c r="CC2474" s="20"/>
      <c r="CD2474" s="154"/>
    </row>
    <row r="2475" spans="35:82">
      <c r="AI2475" s="19"/>
      <c r="AO2475" s="19"/>
      <c r="AY2475" s="145"/>
      <c r="AZ2475" s="16"/>
      <c r="BC2475" s="16"/>
      <c r="BD2475" s="20"/>
      <c r="BE2475" s="17"/>
      <c r="BF2475" s="20"/>
      <c r="BG2475" s="146"/>
      <c r="BH2475" s="146"/>
      <c r="BI2475" s="146"/>
      <c r="BJ2475" s="20"/>
      <c r="BK2475" s="20"/>
      <c r="BL2475" s="154"/>
      <c r="BP2475" s="20"/>
      <c r="BQ2475" s="154"/>
      <c r="BR2475" s="18"/>
      <c r="BS2475" s="16"/>
      <c r="BT2475" s="18"/>
      <c r="BU2475" s="18"/>
      <c r="BV2475" s="18"/>
      <c r="BW2475" s="20"/>
      <c r="BX2475" s="154"/>
      <c r="BY2475" s="18"/>
      <c r="BZ2475" s="146"/>
      <c r="CA2475" s="18"/>
      <c r="CB2475" s="18"/>
      <c r="CC2475" s="20"/>
      <c r="CD2475" s="154"/>
    </row>
    <row r="2476" spans="35:82">
      <c r="AI2476" s="19"/>
      <c r="AO2476" s="19"/>
      <c r="AY2476" s="145"/>
      <c r="AZ2476" s="16"/>
      <c r="BC2476" s="16"/>
      <c r="BD2476" s="20"/>
      <c r="BE2476" s="17"/>
      <c r="BF2476" s="20"/>
      <c r="BG2476" s="146"/>
      <c r="BH2476" s="146"/>
      <c r="BI2476" s="146"/>
      <c r="BJ2476" s="20"/>
      <c r="BK2476" s="20"/>
      <c r="BL2476" s="154"/>
      <c r="BP2476" s="20"/>
      <c r="BQ2476" s="154"/>
      <c r="BR2476" s="18"/>
      <c r="BS2476" s="16"/>
      <c r="BT2476" s="18"/>
      <c r="BU2476" s="18"/>
      <c r="BV2476" s="18"/>
      <c r="BW2476" s="20"/>
      <c r="BX2476" s="154"/>
      <c r="BY2476" s="18"/>
      <c r="BZ2476" s="146"/>
      <c r="CA2476" s="18"/>
      <c r="CB2476" s="18"/>
      <c r="CC2476" s="20"/>
      <c r="CD2476" s="154"/>
    </row>
    <row r="2477" spans="35:82">
      <c r="AI2477" s="19"/>
      <c r="AO2477" s="19"/>
      <c r="AY2477" s="145"/>
      <c r="AZ2477" s="16"/>
      <c r="BC2477" s="16"/>
      <c r="BD2477" s="20"/>
      <c r="BE2477" s="17"/>
      <c r="BF2477" s="20"/>
      <c r="BG2477" s="146"/>
      <c r="BH2477" s="146"/>
      <c r="BI2477" s="146"/>
      <c r="BJ2477" s="20"/>
      <c r="BK2477" s="20"/>
      <c r="BL2477" s="154"/>
      <c r="BP2477" s="20"/>
      <c r="BQ2477" s="154"/>
      <c r="BR2477" s="18"/>
      <c r="BS2477" s="16"/>
      <c r="BT2477" s="18"/>
      <c r="BU2477" s="18"/>
      <c r="BV2477" s="18"/>
      <c r="BW2477" s="20"/>
      <c r="BX2477" s="154"/>
      <c r="BY2477" s="18"/>
      <c r="BZ2477" s="146"/>
      <c r="CA2477" s="18"/>
      <c r="CB2477" s="18"/>
      <c r="CC2477" s="20"/>
      <c r="CD2477" s="154"/>
    </row>
    <row r="2478" spans="35:82">
      <c r="AI2478" s="19"/>
      <c r="AO2478" s="19"/>
      <c r="AY2478" s="145"/>
      <c r="AZ2478" s="16"/>
      <c r="BC2478" s="16"/>
      <c r="BD2478" s="20"/>
      <c r="BE2478" s="17"/>
      <c r="BF2478" s="20"/>
      <c r="BG2478" s="146"/>
      <c r="BH2478" s="146"/>
      <c r="BI2478" s="146"/>
      <c r="BJ2478" s="20"/>
      <c r="BK2478" s="20"/>
      <c r="BL2478" s="154"/>
      <c r="BP2478" s="20"/>
      <c r="BQ2478" s="154"/>
      <c r="BR2478" s="18"/>
      <c r="BS2478" s="16"/>
      <c r="BT2478" s="18"/>
      <c r="BU2478" s="18"/>
      <c r="BV2478" s="18"/>
      <c r="BW2478" s="20"/>
      <c r="BX2478" s="154"/>
      <c r="BY2478" s="18"/>
      <c r="BZ2478" s="146"/>
      <c r="CA2478" s="18"/>
      <c r="CB2478" s="18"/>
      <c r="CC2478" s="20"/>
      <c r="CD2478" s="154"/>
    </row>
    <row r="2479" spans="35:82">
      <c r="AI2479" s="19"/>
      <c r="AO2479" s="19"/>
      <c r="AY2479" s="145"/>
      <c r="AZ2479" s="16"/>
      <c r="BC2479" s="16"/>
      <c r="BD2479" s="20"/>
      <c r="BE2479" s="17"/>
      <c r="BF2479" s="20"/>
      <c r="BG2479" s="146"/>
      <c r="BH2479" s="146"/>
      <c r="BI2479" s="146"/>
      <c r="BJ2479" s="20"/>
      <c r="BK2479" s="20"/>
      <c r="BL2479" s="154"/>
      <c r="BP2479" s="20"/>
      <c r="BQ2479" s="154"/>
      <c r="BR2479" s="18"/>
      <c r="BS2479" s="16"/>
      <c r="BT2479" s="18"/>
      <c r="BU2479" s="18"/>
      <c r="BV2479" s="18"/>
      <c r="BW2479" s="20"/>
      <c r="BX2479" s="154"/>
      <c r="BY2479" s="18"/>
      <c r="BZ2479" s="146"/>
      <c r="CA2479" s="18"/>
      <c r="CB2479" s="18"/>
      <c r="CC2479" s="20"/>
      <c r="CD2479" s="154"/>
    </row>
    <row r="2480" spans="35:82">
      <c r="AI2480" s="19"/>
      <c r="AO2480" s="19"/>
      <c r="AY2480" s="145"/>
      <c r="AZ2480" s="16"/>
      <c r="BC2480" s="16"/>
      <c r="BD2480" s="20"/>
      <c r="BE2480" s="17"/>
      <c r="BF2480" s="20"/>
      <c r="BG2480" s="146"/>
      <c r="BH2480" s="146"/>
      <c r="BI2480" s="146"/>
      <c r="BJ2480" s="20"/>
      <c r="BK2480" s="20"/>
      <c r="BL2480" s="154"/>
      <c r="BP2480" s="20"/>
      <c r="BQ2480" s="154"/>
      <c r="BR2480" s="18"/>
      <c r="BS2480" s="16"/>
      <c r="BT2480" s="18"/>
      <c r="BU2480" s="18"/>
      <c r="BV2480" s="18"/>
      <c r="BW2480" s="20"/>
      <c r="BX2480" s="154"/>
      <c r="BY2480" s="18"/>
      <c r="BZ2480" s="146"/>
      <c r="CA2480" s="18"/>
      <c r="CB2480" s="18"/>
      <c r="CC2480" s="20"/>
      <c r="CD2480" s="154"/>
    </row>
    <row r="2481" spans="35:82">
      <c r="AI2481" s="19"/>
      <c r="AO2481" s="19"/>
      <c r="AY2481" s="145"/>
      <c r="AZ2481" s="16"/>
      <c r="BC2481" s="16"/>
      <c r="BD2481" s="20"/>
      <c r="BE2481" s="17"/>
      <c r="BF2481" s="20"/>
      <c r="BG2481" s="146"/>
      <c r="BH2481" s="146"/>
      <c r="BI2481" s="146"/>
      <c r="BJ2481" s="20"/>
      <c r="BK2481" s="20"/>
      <c r="BL2481" s="154"/>
      <c r="BP2481" s="20"/>
      <c r="BQ2481" s="154"/>
      <c r="BR2481" s="18"/>
      <c r="BS2481" s="16"/>
      <c r="BT2481" s="18"/>
      <c r="BU2481" s="18"/>
      <c r="BV2481" s="18"/>
      <c r="BW2481" s="20"/>
      <c r="BX2481" s="154"/>
      <c r="BY2481" s="18"/>
      <c r="BZ2481" s="146"/>
      <c r="CA2481" s="18"/>
      <c r="CB2481" s="18"/>
      <c r="CC2481" s="20"/>
      <c r="CD2481" s="154"/>
    </row>
    <row r="2482" spans="35:82">
      <c r="AI2482" s="19"/>
      <c r="AO2482" s="19"/>
      <c r="AY2482" s="145"/>
      <c r="AZ2482" s="16"/>
      <c r="BC2482" s="16"/>
      <c r="BD2482" s="20"/>
      <c r="BE2482" s="17"/>
      <c r="BF2482" s="20"/>
      <c r="BG2482" s="146"/>
      <c r="BH2482" s="146"/>
      <c r="BI2482" s="146"/>
      <c r="BJ2482" s="20"/>
      <c r="BK2482" s="20"/>
      <c r="BL2482" s="154"/>
      <c r="BP2482" s="20"/>
      <c r="BQ2482" s="154"/>
      <c r="BR2482" s="18"/>
      <c r="BS2482" s="16"/>
      <c r="BT2482" s="18"/>
      <c r="BU2482" s="18"/>
      <c r="BV2482" s="18"/>
      <c r="BW2482" s="20"/>
      <c r="BX2482" s="154"/>
      <c r="BY2482" s="18"/>
      <c r="BZ2482" s="146"/>
      <c r="CA2482" s="18"/>
      <c r="CB2482" s="18"/>
      <c r="CC2482" s="20"/>
      <c r="CD2482" s="154"/>
    </row>
    <row r="2483" spans="35:82">
      <c r="AI2483" s="19"/>
      <c r="AO2483" s="19"/>
      <c r="AY2483" s="145"/>
      <c r="AZ2483" s="16"/>
      <c r="BC2483" s="16"/>
      <c r="BD2483" s="20"/>
      <c r="BE2483" s="17"/>
      <c r="BF2483" s="20"/>
      <c r="BG2483" s="146"/>
      <c r="BH2483" s="146"/>
      <c r="BI2483" s="146"/>
      <c r="BJ2483" s="20"/>
      <c r="BK2483" s="20"/>
      <c r="BL2483" s="154"/>
      <c r="BP2483" s="20"/>
      <c r="BQ2483" s="154"/>
      <c r="BR2483" s="18"/>
      <c r="BS2483" s="16"/>
      <c r="BT2483" s="18"/>
      <c r="BU2483" s="18"/>
      <c r="BV2483" s="18"/>
      <c r="BW2483" s="20"/>
      <c r="BX2483" s="154"/>
      <c r="BY2483" s="18"/>
      <c r="BZ2483" s="146"/>
      <c r="CA2483" s="18"/>
      <c r="CB2483" s="18"/>
      <c r="CC2483" s="20"/>
      <c r="CD2483" s="154"/>
    </row>
    <row r="2484" spans="35:82">
      <c r="AI2484" s="19"/>
      <c r="AO2484" s="19"/>
      <c r="AY2484" s="145"/>
      <c r="AZ2484" s="16"/>
      <c r="BC2484" s="16"/>
      <c r="BD2484" s="20"/>
      <c r="BE2484" s="17"/>
      <c r="BF2484" s="20"/>
      <c r="BG2484" s="146"/>
      <c r="BH2484" s="146"/>
      <c r="BI2484" s="146"/>
      <c r="BJ2484" s="20"/>
      <c r="BK2484" s="20"/>
      <c r="BL2484" s="154"/>
      <c r="BP2484" s="20"/>
      <c r="BQ2484" s="154"/>
      <c r="BR2484" s="18"/>
      <c r="BS2484" s="16"/>
      <c r="BT2484" s="18"/>
      <c r="BU2484" s="18"/>
      <c r="BV2484" s="18"/>
      <c r="BW2484" s="20"/>
      <c r="BX2484" s="154"/>
      <c r="BY2484" s="18"/>
      <c r="BZ2484" s="146"/>
      <c r="CA2484" s="18"/>
      <c r="CB2484" s="18"/>
      <c r="CC2484" s="20"/>
      <c r="CD2484" s="154"/>
    </row>
    <row r="2485" spans="35:82">
      <c r="AI2485" s="19"/>
      <c r="AO2485" s="19"/>
      <c r="AY2485" s="145"/>
      <c r="AZ2485" s="16"/>
      <c r="BC2485" s="16"/>
      <c r="BD2485" s="20"/>
      <c r="BE2485" s="17"/>
      <c r="BF2485" s="20"/>
      <c r="BG2485" s="146"/>
      <c r="BH2485" s="146"/>
      <c r="BI2485" s="146"/>
      <c r="BJ2485" s="20"/>
      <c r="BK2485" s="20"/>
      <c r="BL2485" s="154"/>
      <c r="BP2485" s="20"/>
      <c r="BQ2485" s="154"/>
      <c r="BR2485" s="18"/>
      <c r="BS2485" s="16"/>
      <c r="BT2485" s="18"/>
      <c r="BU2485" s="18"/>
      <c r="BV2485" s="18"/>
      <c r="BW2485" s="20"/>
      <c r="BX2485" s="154"/>
      <c r="BY2485" s="18"/>
      <c r="BZ2485" s="146"/>
      <c r="CA2485" s="18"/>
      <c r="CB2485" s="18"/>
      <c r="CC2485" s="20"/>
      <c r="CD2485" s="154"/>
    </row>
    <row r="2486" spans="35:82">
      <c r="AI2486" s="19"/>
      <c r="AO2486" s="19"/>
      <c r="AY2486" s="145"/>
      <c r="AZ2486" s="16"/>
      <c r="BC2486" s="16"/>
      <c r="BD2486" s="20"/>
      <c r="BE2486" s="17"/>
      <c r="BF2486" s="20"/>
      <c r="BG2486" s="146"/>
      <c r="BH2486" s="146"/>
      <c r="BI2486" s="146"/>
      <c r="BJ2486" s="20"/>
      <c r="BK2486" s="20"/>
      <c r="BL2486" s="154"/>
      <c r="BP2486" s="20"/>
      <c r="BQ2486" s="154"/>
      <c r="BR2486" s="18"/>
      <c r="BS2486" s="16"/>
      <c r="BT2486" s="18"/>
      <c r="BU2486" s="18"/>
      <c r="BV2486" s="18"/>
      <c r="BW2486" s="20"/>
      <c r="BX2486" s="154"/>
      <c r="BY2486" s="18"/>
      <c r="BZ2486" s="146"/>
      <c r="CA2486" s="18"/>
      <c r="CB2486" s="18"/>
      <c r="CC2486" s="20"/>
      <c r="CD2486" s="154"/>
    </row>
    <row r="2487" spans="35:82">
      <c r="AI2487" s="19"/>
      <c r="AO2487" s="19"/>
      <c r="AY2487" s="145"/>
      <c r="AZ2487" s="16"/>
      <c r="BC2487" s="16"/>
      <c r="BD2487" s="20"/>
      <c r="BE2487" s="17"/>
      <c r="BF2487" s="20"/>
      <c r="BG2487" s="146"/>
      <c r="BH2487" s="146"/>
      <c r="BI2487" s="146"/>
      <c r="BJ2487" s="20"/>
      <c r="BK2487" s="20"/>
      <c r="BL2487" s="154"/>
      <c r="BP2487" s="20"/>
      <c r="BQ2487" s="154"/>
      <c r="BR2487" s="18"/>
      <c r="BS2487" s="16"/>
      <c r="BT2487" s="18"/>
      <c r="BU2487" s="18"/>
      <c r="BV2487" s="18"/>
      <c r="BW2487" s="20"/>
      <c r="BX2487" s="154"/>
      <c r="BY2487" s="18"/>
      <c r="BZ2487" s="146"/>
      <c r="CA2487" s="18"/>
      <c r="CB2487" s="18"/>
      <c r="CC2487" s="20"/>
      <c r="CD2487" s="154"/>
    </row>
    <row r="2488" spans="35:82">
      <c r="AI2488" s="19"/>
      <c r="AO2488" s="19"/>
      <c r="AY2488" s="145"/>
      <c r="AZ2488" s="16"/>
      <c r="BC2488" s="16"/>
      <c r="BD2488" s="20"/>
      <c r="BE2488" s="17"/>
      <c r="BF2488" s="20"/>
      <c r="BG2488" s="146"/>
      <c r="BH2488" s="146"/>
      <c r="BI2488" s="146"/>
      <c r="BJ2488" s="20"/>
      <c r="BK2488" s="20"/>
      <c r="BL2488" s="154"/>
      <c r="BP2488" s="20"/>
      <c r="BQ2488" s="154"/>
      <c r="BR2488" s="18"/>
      <c r="BS2488" s="16"/>
      <c r="BT2488" s="18"/>
      <c r="BU2488" s="18"/>
      <c r="BV2488" s="18"/>
      <c r="BW2488" s="20"/>
      <c r="BX2488" s="154"/>
      <c r="BY2488" s="18"/>
      <c r="BZ2488" s="146"/>
      <c r="CA2488" s="18"/>
      <c r="CB2488" s="18"/>
      <c r="CC2488" s="20"/>
      <c r="CD2488" s="154"/>
    </row>
    <row r="2489" spans="35:82">
      <c r="AI2489" s="19"/>
      <c r="AO2489" s="19"/>
      <c r="AY2489" s="145"/>
      <c r="AZ2489" s="16"/>
      <c r="BC2489" s="16"/>
      <c r="BD2489" s="20"/>
      <c r="BE2489" s="17"/>
      <c r="BF2489" s="20"/>
      <c r="BG2489" s="146"/>
      <c r="BH2489" s="146"/>
      <c r="BI2489" s="146"/>
      <c r="BJ2489" s="20"/>
      <c r="BK2489" s="20"/>
      <c r="BL2489" s="154"/>
      <c r="BP2489" s="20"/>
      <c r="BQ2489" s="154"/>
      <c r="BR2489" s="18"/>
      <c r="BS2489" s="16"/>
      <c r="BT2489" s="18"/>
      <c r="BU2489" s="18"/>
      <c r="BV2489" s="18"/>
      <c r="BW2489" s="20"/>
      <c r="BX2489" s="154"/>
      <c r="BY2489" s="18"/>
      <c r="BZ2489" s="146"/>
      <c r="CA2489" s="18"/>
      <c r="CB2489" s="18"/>
      <c r="CC2489" s="20"/>
      <c r="CD2489" s="154"/>
    </row>
    <row r="2490" spans="35:82">
      <c r="AI2490" s="19"/>
      <c r="AO2490" s="19"/>
      <c r="AY2490" s="145"/>
      <c r="AZ2490" s="16"/>
      <c r="BC2490" s="16"/>
      <c r="BD2490" s="20"/>
      <c r="BE2490" s="17"/>
      <c r="BF2490" s="20"/>
      <c r="BG2490" s="146"/>
      <c r="BH2490" s="146"/>
      <c r="BI2490" s="146"/>
      <c r="BJ2490" s="20"/>
      <c r="BK2490" s="20"/>
      <c r="BL2490" s="154"/>
      <c r="BP2490" s="20"/>
      <c r="BQ2490" s="154"/>
      <c r="BR2490" s="18"/>
      <c r="BS2490" s="16"/>
      <c r="BT2490" s="18"/>
      <c r="BU2490" s="18"/>
      <c r="BV2490" s="18"/>
      <c r="BW2490" s="20"/>
      <c r="BX2490" s="154"/>
      <c r="BY2490" s="18"/>
      <c r="BZ2490" s="146"/>
      <c r="CA2490" s="18"/>
      <c r="CB2490" s="18"/>
      <c r="CC2490" s="20"/>
      <c r="CD2490" s="154"/>
    </row>
    <row r="2491" spans="35:82">
      <c r="AI2491" s="19"/>
      <c r="AO2491" s="19"/>
      <c r="AY2491" s="145"/>
      <c r="AZ2491" s="16"/>
      <c r="BC2491" s="16"/>
      <c r="BD2491" s="20"/>
      <c r="BE2491" s="17"/>
      <c r="BF2491" s="20"/>
      <c r="BG2491" s="146"/>
      <c r="BH2491" s="146"/>
      <c r="BI2491" s="146"/>
      <c r="BJ2491" s="20"/>
      <c r="BK2491" s="20"/>
      <c r="BL2491" s="154"/>
      <c r="BP2491" s="20"/>
      <c r="BQ2491" s="154"/>
      <c r="BR2491" s="18"/>
      <c r="BS2491" s="16"/>
      <c r="BT2491" s="18"/>
      <c r="BU2491" s="18"/>
      <c r="BV2491" s="18"/>
      <c r="BW2491" s="20"/>
      <c r="BX2491" s="154"/>
      <c r="BY2491" s="18"/>
      <c r="BZ2491" s="146"/>
      <c r="CA2491" s="18"/>
      <c r="CB2491" s="18"/>
      <c r="CC2491" s="20"/>
      <c r="CD2491" s="154"/>
    </row>
    <row r="2492" spans="35:82">
      <c r="AI2492" s="19"/>
      <c r="AO2492" s="19"/>
      <c r="AY2492" s="145"/>
      <c r="AZ2492" s="16"/>
      <c r="BC2492" s="16"/>
      <c r="BD2492" s="20"/>
      <c r="BE2492" s="17"/>
      <c r="BF2492" s="20"/>
      <c r="BG2492" s="146"/>
      <c r="BH2492" s="146"/>
      <c r="BI2492" s="146"/>
      <c r="BJ2492" s="20"/>
      <c r="BK2492" s="20"/>
      <c r="BL2492" s="154"/>
      <c r="BP2492" s="20"/>
      <c r="BQ2492" s="154"/>
      <c r="BR2492" s="18"/>
      <c r="BS2492" s="16"/>
      <c r="BT2492" s="18"/>
      <c r="BU2492" s="18"/>
      <c r="BV2492" s="18"/>
      <c r="BW2492" s="20"/>
      <c r="BX2492" s="154"/>
      <c r="BY2492" s="18"/>
      <c r="BZ2492" s="146"/>
      <c r="CA2492" s="18"/>
      <c r="CB2492" s="18"/>
      <c r="CC2492" s="20"/>
      <c r="CD2492" s="154"/>
    </row>
    <row r="2493" spans="35:82">
      <c r="AI2493" s="19"/>
      <c r="AO2493" s="19"/>
      <c r="AY2493" s="145"/>
      <c r="AZ2493" s="16"/>
      <c r="BC2493" s="16"/>
      <c r="BD2493" s="20"/>
      <c r="BE2493" s="17"/>
      <c r="BF2493" s="20"/>
      <c r="BG2493" s="146"/>
      <c r="BH2493" s="146"/>
      <c r="BI2493" s="146"/>
      <c r="BJ2493" s="20"/>
      <c r="BK2493" s="20"/>
      <c r="BL2493" s="154"/>
      <c r="BP2493" s="20"/>
      <c r="BQ2493" s="154"/>
      <c r="BR2493" s="18"/>
      <c r="BS2493" s="16"/>
      <c r="BT2493" s="18"/>
      <c r="BU2493" s="18"/>
      <c r="BV2493" s="18"/>
      <c r="BW2493" s="20"/>
      <c r="BX2493" s="154"/>
      <c r="BY2493" s="18"/>
      <c r="BZ2493" s="146"/>
      <c r="CA2493" s="18"/>
      <c r="CB2493" s="18"/>
      <c r="CC2493" s="20"/>
      <c r="CD2493" s="154"/>
    </row>
    <row r="2494" spans="35:82">
      <c r="AI2494" s="19"/>
      <c r="AO2494" s="19"/>
      <c r="AY2494" s="145"/>
      <c r="AZ2494" s="16"/>
      <c r="BC2494" s="16"/>
      <c r="BD2494" s="20"/>
      <c r="BE2494" s="17"/>
      <c r="BF2494" s="20"/>
      <c r="BG2494" s="146"/>
      <c r="BH2494" s="146"/>
      <c r="BI2494" s="146"/>
      <c r="BJ2494" s="20"/>
      <c r="BK2494" s="20"/>
      <c r="BL2494" s="154"/>
      <c r="BP2494" s="20"/>
      <c r="BQ2494" s="154"/>
      <c r="BR2494" s="18"/>
      <c r="BS2494" s="16"/>
      <c r="BT2494" s="18"/>
      <c r="BU2494" s="18"/>
      <c r="BV2494" s="18"/>
      <c r="BW2494" s="20"/>
      <c r="BX2494" s="154"/>
      <c r="BY2494" s="18"/>
      <c r="BZ2494" s="146"/>
      <c r="CA2494" s="18"/>
      <c r="CB2494" s="18"/>
      <c r="CC2494" s="20"/>
      <c r="CD2494" s="154"/>
    </row>
    <row r="2495" spans="35:82">
      <c r="AI2495" s="19"/>
      <c r="AO2495" s="19"/>
      <c r="AY2495" s="145"/>
      <c r="AZ2495" s="16"/>
      <c r="BC2495" s="16"/>
      <c r="BD2495" s="20"/>
      <c r="BE2495" s="17"/>
      <c r="BF2495" s="20"/>
      <c r="BG2495" s="146"/>
      <c r="BH2495" s="146"/>
      <c r="BI2495" s="146"/>
      <c r="BJ2495" s="20"/>
      <c r="BK2495" s="20"/>
      <c r="BL2495" s="154"/>
      <c r="BP2495" s="20"/>
      <c r="BQ2495" s="154"/>
      <c r="BR2495" s="18"/>
      <c r="BS2495" s="16"/>
      <c r="BT2495" s="18"/>
      <c r="BU2495" s="18"/>
      <c r="BV2495" s="18"/>
      <c r="BW2495" s="20"/>
      <c r="BX2495" s="154"/>
      <c r="BY2495" s="18"/>
      <c r="BZ2495" s="146"/>
      <c r="CA2495" s="18"/>
      <c r="CB2495" s="18"/>
      <c r="CC2495" s="20"/>
      <c r="CD2495" s="154"/>
    </row>
    <row r="2496" spans="35:82">
      <c r="AI2496" s="19"/>
      <c r="AO2496" s="19"/>
      <c r="AY2496" s="145"/>
      <c r="AZ2496" s="16"/>
      <c r="BC2496" s="16"/>
      <c r="BD2496" s="20"/>
      <c r="BE2496" s="17"/>
      <c r="BF2496" s="20"/>
      <c r="BG2496" s="146"/>
      <c r="BH2496" s="146"/>
      <c r="BI2496" s="146"/>
      <c r="BJ2496" s="20"/>
      <c r="BK2496" s="20"/>
      <c r="BL2496" s="154"/>
      <c r="BP2496" s="20"/>
      <c r="BQ2496" s="154"/>
      <c r="BR2496" s="18"/>
      <c r="BS2496" s="16"/>
      <c r="BT2496" s="18"/>
      <c r="BU2496" s="18"/>
      <c r="BV2496" s="18"/>
      <c r="BW2496" s="20"/>
      <c r="BX2496" s="154"/>
      <c r="BY2496" s="18"/>
      <c r="BZ2496" s="146"/>
      <c r="CA2496" s="18"/>
      <c r="CB2496" s="18"/>
      <c r="CC2496" s="20"/>
      <c r="CD2496" s="154"/>
    </row>
    <row r="2497" spans="35:82">
      <c r="AI2497" s="19"/>
      <c r="AO2497" s="19"/>
      <c r="AY2497" s="145"/>
      <c r="AZ2497" s="16"/>
      <c r="BC2497" s="16"/>
      <c r="BD2497" s="20"/>
      <c r="BE2497" s="17"/>
      <c r="BF2497" s="20"/>
      <c r="BG2497" s="146"/>
      <c r="BH2497" s="146"/>
      <c r="BI2497" s="146"/>
      <c r="BJ2497" s="20"/>
      <c r="BK2497" s="20"/>
      <c r="BL2497" s="154"/>
      <c r="BP2497" s="20"/>
      <c r="BQ2497" s="154"/>
      <c r="BR2497" s="18"/>
      <c r="BS2497" s="16"/>
      <c r="BT2497" s="18"/>
      <c r="BU2497" s="18"/>
      <c r="BV2497" s="18"/>
      <c r="BW2497" s="20"/>
      <c r="BX2497" s="154"/>
      <c r="BY2497" s="18"/>
      <c r="BZ2497" s="146"/>
      <c r="CA2497" s="18"/>
      <c r="CB2497" s="18"/>
      <c r="CC2497" s="20"/>
      <c r="CD2497" s="154"/>
    </row>
    <row r="2498" spans="35:82">
      <c r="AI2498" s="19"/>
      <c r="AO2498" s="19"/>
      <c r="AY2498" s="145"/>
      <c r="AZ2498" s="16"/>
      <c r="BC2498" s="16"/>
      <c r="BD2498" s="20"/>
      <c r="BE2498" s="17"/>
      <c r="BF2498" s="20"/>
      <c r="BG2498" s="146"/>
      <c r="BH2498" s="146"/>
      <c r="BI2498" s="146"/>
      <c r="BJ2498" s="20"/>
      <c r="BK2498" s="20"/>
      <c r="BL2498" s="154"/>
      <c r="BP2498" s="20"/>
      <c r="BQ2498" s="154"/>
      <c r="BR2498" s="18"/>
      <c r="BS2498" s="16"/>
      <c r="BT2498" s="18"/>
      <c r="BU2498" s="18"/>
      <c r="BV2498" s="18"/>
      <c r="BW2498" s="20"/>
      <c r="BX2498" s="154"/>
      <c r="BY2498" s="18"/>
      <c r="BZ2498" s="146"/>
      <c r="CA2498" s="18"/>
      <c r="CB2498" s="18"/>
      <c r="CC2498" s="20"/>
      <c r="CD2498" s="154"/>
    </row>
    <row r="2499" spans="35:82">
      <c r="AI2499" s="19"/>
      <c r="AO2499" s="19"/>
      <c r="AY2499" s="145"/>
      <c r="AZ2499" s="16"/>
      <c r="BC2499" s="16"/>
      <c r="BD2499" s="20"/>
      <c r="BE2499" s="17"/>
      <c r="BF2499" s="20"/>
      <c r="BG2499" s="146"/>
      <c r="BH2499" s="146"/>
      <c r="BI2499" s="146"/>
      <c r="BJ2499" s="20"/>
      <c r="BK2499" s="20"/>
      <c r="BL2499" s="154"/>
      <c r="BP2499" s="20"/>
      <c r="BQ2499" s="154"/>
      <c r="BR2499" s="18"/>
      <c r="BS2499" s="16"/>
      <c r="BT2499" s="18"/>
      <c r="BU2499" s="18"/>
      <c r="BV2499" s="18"/>
      <c r="BW2499" s="20"/>
      <c r="BX2499" s="154"/>
      <c r="BY2499" s="18"/>
      <c r="BZ2499" s="146"/>
      <c r="CA2499" s="18"/>
      <c r="CB2499" s="18"/>
      <c r="CC2499" s="20"/>
      <c r="CD2499" s="154"/>
    </row>
    <row r="2500" spans="35:82">
      <c r="AI2500" s="19"/>
      <c r="AO2500" s="19"/>
      <c r="AY2500" s="145"/>
      <c r="AZ2500" s="16"/>
      <c r="BC2500" s="16"/>
      <c r="BD2500" s="20"/>
      <c r="BE2500" s="17"/>
      <c r="BF2500" s="20"/>
      <c r="BG2500" s="146"/>
      <c r="BH2500" s="146"/>
      <c r="BI2500" s="146"/>
      <c r="BJ2500" s="20"/>
      <c r="BK2500" s="20"/>
      <c r="BL2500" s="154"/>
      <c r="BP2500" s="20"/>
      <c r="BQ2500" s="154"/>
      <c r="BR2500" s="18"/>
      <c r="BS2500" s="16"/>
      <c r="BT2500" s="18"/>
      <c r="BU2500" s="18"/>
      <c r="BV2500" s="18"/>
      <c r="BW2500" s="20"/>
      <c r="BX2500" s="154"/>
      <c r="BY2500" s="18"/>
      <c r="BZ2500" s="146"/>
      <c r="CA2500" s="18"/>
      <c r="CB2500" s="18"/>
      <c r="CC2500" s="20"/>
      <c r="CD2500" s="154"/>
    </row>
    <row r="2501" spans="35:82">
      <c r="AI2501" s="19"/>
      <c r="AO2501" s="19"/>
      <c r="AY2501" s="145"/>
      <c r="AZ2501" s="16"/>
      <c r="BC2501" s="16"/>
      <c r="BD2501" s="20"/>
      <c r="BE2501" s="17"/>
      <c r="BF2501" s="20"/>
      <c r="BG2501" s="146"/>
      <c r="BH2501" s="146"/>
      <c r="BI2501" s="146"/>
      <c r="BJ2501" s="20"/>
      <c r="BK2501" s="20"/>
      <c r="BL2501" s="154"/>
      <c r="BP2501" s="20"/>
      <c r="BQ2501" s="154"/>
      <c r="BR2501" s="18"/>
      <c r="BS2501" s="16"/>
      <c r="BT2501" s="18"/>
      <c r="BU2501" s="18"/>
      <c r="BV2501" s="18"/>
      <c r="BW2501" s="20"/>
      <c r="BX2501" s="154"/>
      <c r="BY2501" s="18"/>
      <c r="BZ2501" s="146"/>
      <c r="CA2501" s="18"/>
      <c r="CB2501" s="18"/>
      <c r="CC2501" s="20"/>
      <c r="CD2501" s="154"/>
    </row>
    <row r="2502" spans="35:82">
      <c r="AI2502" s="19"/>
      <c r="AO2502" s="19"/>
      <c r="AY2502" s="145"/>
      <c r="AZ2502" s="16"/>
      <c r="BC2502" s="16"/>
      <c r="BD2502" s="20"/>
      <c r="BE2502" s="17"/>
      <c r="BF2502" s="20"/>
      <c r="BG2502" s="146"/>
      <c r="BH2502" s="146"/>
      <c r="BI2502" s="146"/>
      <c r="BJ2502" s="20"/>
      <c r="BK2502" s="20"/>
      <c r="BL2502" s="154"/>
      <c r="BP2502" s="20"/>
      <c r="BQ2502" s="154"/>
      <c r="BR2502" s="18"/>
      <c r="BS2502" s="16"/>
      <c r="BT2502" s="18"/>
      <c r="BU2502" s="18"/>
      <c r="BV2502" s="18"/>
      <c r="BW2502" s="20"/>
      <c r="BX2502" s="154"/>
      <c r="BY2502" s="18"/>
      <c r="BZ2502" s="146"/>
      <c r="CA2502" s="18"/>
      <c r="CB2502" s="18"/>
      <c r="CC2502" s="20"/>
      <c r="CD2502" s="154"/>
    </row>
    <row r="2503" spans="35:82">
      <c r="AI2503" s="19"/>
      <c r="AO2503" s="19"/>
      <c r="AY2503" s="145"/>
      <c r="AZ2503" s="16"/>
      <c r="BC2503" s="16"/>
      <c r="BD2503" s="20"/>
      <c r="BE2503" s="17"/>
      <c r="BF2503" s="20"/>
      <c r="BG2503" s="146"/>
      <c r="BH2503" s="146"/>
      <c r="BI2503" s="146"/>
      <c r="BJ2503" s="20"/>
      <c r="BK2503" s="20"/>
      <c r="BL2503" s="154"/>
      <c r="BP2503" s="20"/>
      <c r="BQ2503" s="154"/>
      <c r="BR2503" s="18"/>
      <c r="BS2503" s="16"/>
      <c r="BT2503" s="18"/>
      <c r="BU2503" s="18"/>
      <c r="BV2503" s="18"/>
      <c r="BW2503" s="20"/>
      <c r="BX2503" s="154"/>
      <c r="BY2503" s="18"/>
      <c r="BZ2503" s="146"/>
      <c r="CA2503" s="18"/>
      <c r="CB2503" s="18"/>
      <c r="CC2503" s="20"/>
      <c r="CD2503" s="154"/>
    </row>
    <row r="2504" spans="35:82">
      <c r="AI2504" s="19"/>
      <c r="AO2504" s="19"/>
      <c r="AY2504" s="145"/>
      <c r="AZ2504" s="16"/>
      <c r="BC2504" s="16"/>
      <c r="BD2504" s="20"/>
      <c r="BE2504" s="17"/>
      <c r="BF2504" s="20"/>
      <c r="BG2504" s="146"/>
      <c r="BH2504" s="146"/>
      <c r="BI2504" s="146"/>
      <c r="BJ2504" s="20"/>
      <c r="BK2504" s="20"/>
      <c r="BL2504" s="154"/>
      <c r="BP2504" s="20"/>
      <c r="BQ2504" s="154"/>
      <c r="BR2504" s="18"/>
      <c r="BS2504" s="16"/>
      <c r="BT2504" s="18"/>
      <c r="BU2504" s="18"/>
      <c r="BV2504" s="18"/>
      <c r="BW2504" s="20"/>
      <c r="BX2504" s="154"/>
      <c r="BY2504" s="18"/>
      <c r="BZ2504" s="146"/>
      <c r="CA2504" s="18"/>
      <c r="CB2504" s="18"/>
      <c r="CC2504" s="20"/>
      <c r="CD2504" s="154"/>
    </row>
    <row r="2505" spans="35:82">
      <c r="AI2505" s="19"/>
      <c r="AO2505" s="19"/>
      <c r="AY2505" s="145"/>
      <c r="AZ2505" s="16"/>
      <c r="BC2505" s="16"/>
      <c r="BD2505" s="20"/>
      <c r="BE2505" s="17"/>
      <c r="BF2505" s="20"/>
      <c r="BG2505" s="146"/>
      <c r="BH2505" s="146"/>
      <c r="BI2505" s="146"/>
      <c r="BJ2505" s="20"/>
      <c r="BK2505" s="20"/>
      <c r="BL2505" s="154"/>
      <c r="BP2505" s="20"/>
      <c r="BQ2505" s="154"/>
      <c r="BR2505" s="18"/>
      <c r="BS2505" s="16"/>
      <c r="BT2505" s="18"/>
      <c r="BU2505" s="18"/>
      <c r="BV2505" s="18"/>
      <c r="BW2505" s="20"/>
      <c r="BX2505" s="154"/>
      <c r="BY2505" s="18"/>
      <c r="BZ2505" s="146"/>
      <c r="CA2505" s="18"/>
      <c r="CB2505" s="18"/>
      <c r="CC2505" s="20"/>
      <c r="CD2505" s="154"/>
    </row>
    <row r="2506" spans="35:82">
      <c r="AI2506" s="19"/>
      <c r="AO2506" s="19"/>
      <c r="AY2506" s="145"/>
      <c r="AZ2506" s="16"/>
      <c r="BC2506" s="16"/>
      <c r="BD2506" s="20"/>
      <c r="BE2506" s="17"/>
      <c r="BF2506" s="20"/>
      <c r="BG2506" s="146"/>
      <c r="BH2506" s="146"/>
      <c r="BI2506" s="146"/>
      <c r="BJ2506" s="20"/>
      <c r="BK2506" s="20"/>
      <c r="BL2506" s="154"/>
      <c r="BP2506" s="20"/>
      <c r="BQ2506" s="154"/>
      <c r="BR2506" s="18"/>
      <c r="BS2506" s="16"/>
      <c r="BT2506" s="18"/>
      <c r="BU2506" s="18"/>
      <c r="BV2506" s="18"/>
      <c r="BW2506" s="20"/>
      <c r="BX2506" s="154"/>
      <c r="BY2506" s="18"/>
      <c r="BZ2506" s="146"/>
      <c r="CA2506" s="18"/>
      <c r="CB2506" s="18"/>
      <c r="CC2506" s="20"/>
      <c r="CD2506" s="154"/>
    </row>
    <row r="2507" spans="35:82">
      <c r="AI2507" s="19"/>
      <c r="AO2507" s="19"/>
      <c r="AY2507" s="145"/>
      <c r="AZ2507" s="16"/>
      <c r="BC2507" s="16"/>
      <c r="BD2507" s="20"/>
      <c r="BE2507" s="17"/>
      <c r="BF2507" s="20"/>
      <c r="BG2507" s="146"/>
      <c r="BH2507" s="146"/>
      <c r="BI2507" s="146"/>
      <c r="BJ2507" s="20"/>
      <c r="BK2507" s="20"/>
      <c r="BL2507" s="154"/>
      <c r="BP2507" s="20"/>
      <c r="BQ2507" s="154"/>
      <c r="BR2507" s="18"/>
      <c r="BS2507" s="16"/>
      <c r="BT2507" s="18"/>
      <c r="BU2507" s="18"/>
      <c r="BV2507" s="18"/>
      <c r="BW2507" s="20"/>
      <c r="BX2507" s="154"/>
      <c r="BY2507" s="18"/>
      <c r="BZ2507" s="146"/>
      <c r="CA2507" s="18"/>
      <c r="CB2507" s="18"/>
      <c r="CC2507" s="20"/>
      <c r="CD2507" s="154"/>
    </row>
    <row r="2508" spans="35:82">
      <c r="AI2508" s="19"/>
      <c r="AO2508" s="19"/>
      <c r="AY2508" s="145"/>
      <c r="AZ2508" s="16"/>
      <c r="BC2508" s="16"/>
      <c r="BD2508" s="20"/>
      <c r="BE2508" s="17"/>
      <c r="BF2508" s="20"/>
      <c r="BG2508" s="146"/>
      <c r="BH2508" s="146"/>
      <c r="BI2508" s="146"/>
      <c r="BJ2508" s="20"/>
      <c r="BK2508" s="20"/>
      <c r="BL2508" s="154"/>
      <c r="BP2508" s="20"/>
      <c r="BQ2508" s="154"/>
      <c r="BR2508" s="18"/>
      <c r="BS2508" s="16"/>
      <c r="BT2508" s="18"/>
      <c r="BU2508" s="18"/>
      <c r="BV2508" s="18"/>
      <c r="BW2508" s="20"/>
      <c r="BX2508" s="154"/>
      <c r="BY2508" s="18"/>
      <c r="BZ2508" s="146"/>
      <c r="CA2508" s="18"/>
      <c r="CB2508" s="18"/>
      <c r="CC2508" s="20"/>
      <c r="CD2508" s="154"/>
    </row>
    <row r="2509" spans="35:82">
      <c r="AI2509" s="19"/>
      <c r="AO2509" s="19"/>
      <c r="AY2509" s="145"/>
      <c r="AZ2509" s="16"/>
      <c r="BC2509" s="16"/>
      <c r="BD2509" s="20"/>
      <c r="BE2509" s="17"/>
      <c r="BF2509" s="20"/>
      <c r="BG2509" s="146"/>
      <c r="BH2509" s="146"/>
      <c r="BI2509" s="146"/>
      <c r="BJ2509" s="20"/>
      <c r="BK2509" s="20"/>
      <c r="BL2509" s="154"/>
      <c r="BP2509" s="20"/>
      <c r="BQ2509" s="154"/>
      <c r="BR2509" s="18"/>
      <c r="BS2509" s="16"/>
      <c r="BT2509" s="18"/>
      <c r="BU2509" s="18"/>
      <c r="BV2509" s="18"/>
      <c r="BW2509" s="20"/>
      <c r="BX2509" s="154"/>
      <c r="BY2509" s="18"/>
      <c r="BZ2509" s="146"/>
      <c r="CA2509" s="18"/>
      <c r="CB2509" s="18"/>
      <c r="CC2509" s="20"/>
      <c r="CD2509" s="154"/>
    </row>
    <row r="2510" spans="35:82">
      <c r="AI2510" s="19"/>
      <c r="AO2510" s="19"/>
      <c r="AY2510" s="145"/>
      <c r="AZ2510" s="16"/>
      <c r="BC2510" s="16"/>
      <c r="BD2510" s="20"/>
      <c r="BE2510" s="17"/>
      <c r="BF2510" s="20"/>
      <c r="BG2510" s="146"/>
      <c r="BH2510" s="146"/>
      <c r="BI2510" s="146"/>
      <c r="BJ2510" s="20"/>
      <c r="BK2510" s="20"/>
      <c r="BL2510" s="154"/>
      <c r="BP2510" s="20"/>
      <c r="BQ2510" s="154"/>
      <c r="BR2510" s="18"/>
      <c r="BS2510" s="16"/>
      <c r="BT2510" s="18"/>
      <c r="BU2510" s="18"/>
      <c r="BV2510" s="18"/>
      <c r="BW2510" s="20"/>
      <c r="BX2510" s="154"/>
      <c r="BY2510" s="18"/>
      <c r="BZ2510" s="146"/>
      <c r="CA2510" s="18"/>
      <c r="CB2510" s="18"/>
      <c r="CC2510" s="20"/>
      <c r="CD2510" s="154"/>
    </row>
    <row r="2511" spans="35:82">
      <c r="AI2511" s="19"/>
      <c r="AO2511" s="19"/>
      <c r="AY2511" s="145"/>
      <c r="AZ2511" s="16"/>
      <c r="BC2511" s="16"/>
      <c r="BD2511" s="20"/>
      <c r="BE2511" s="17"/>
      <c r="BF2511" s="20"/>
      <c r="BG2511" s="146"/>
      <c r="BH2511" s="146"/>
      <c r="BI2511" s="146"/>
      <c r="BJ2511" s="20"/>
      <c r="BK2511" s="20"/>
      <c r="BL2511" s="154"/>
      <c r="BP2511" s="20"/>
      <c r="BQ2511" s="154"/>
      <c r="BR2511" s="18"/>
      <c r="BS2511" s="16"/>
      <c r="BT2511" s="18"/>
      <c r="BU2511" s="18"/>
      <c r="BV2511" s="18"/>
      <c r="BW2511" s="20"/>
      <c r="BX2511" s="154"/>
      <c r="BY2511" s="18"/>
      <c r="BZ2511" s="146"/>
      <c r="CA2511" s="18"/>
      <c r="CB2511" s="18"/>
      <c r="CC2511" s="20"/>
      <c r="CD2511" s="154"/>
    </row>
    <row r="2512" spans="35:82">
      <c r="AI2512" s="19"/>
      <c r="AO2512" s="19"/>
      <c r="AY2512" s="145"/>
      <c r="AZ2512" s="16"/>
      <c r="BC2512" s="16"/>
      <c r="BD2512" s="20"/>
      <c r="BE2512" s="17"/>
      <c r="BF2512" s="20"/>
      <c r="BG2512" s="146"/>
      <c r="BH2512" s="146"/>
      <c r="BI2512" s="146"/>
      <c r="BJ2512" s="20"/>
      <c r="BK2512" s="20"/>
      <c r="BL2512" s="154"/>
      <c r="BP2512" s="20"/>
      <c r="BQ2512" s="154"/>
      <c r="BR2512" s="18"/>
      <c r="BS2512" s="16"/>
      <c r="BT2512" s="18"/>
      <c r="BU2512" s="18"/>
      <c r="BV2512" s="18"/>
      <c r="BW2512" s="20"/>
      <c r="BX2512" s="154"/>
      <c r="BY2512" s="18"/>
      <c r="BZ2512" s="146"/>
      <c r="CA2512" s="18"/>
      <c r="CB2512" s="18"/>
      <c r="CC2512" s="20"/>
      <c r="CD2512" s="154"/>
    </row>
    <row r="2513" spans="35:82">
      <c r="AI2513" s="19"/>
      <c r="AO2513" s="19"/>
      <c r="AY2513" s="145"/>
      <c r="AZ2513" s="16"/>
      <c r="BC2513" s="16"/>
      <c r="BD2513" s="20"/>
      <c r="BE2513" s="17"/>
      <c r="BF2513" s="20"/>
      <c r="BG2513" s="146"/>
      <c r="BH2513" s="146"/>
      <c r="BI2513" s="146"/>
      <c r="BJ2513" s="20"/>
      <c r="BK2513" s="20"/>
      <c r="BL2513" s="154"/>
      <c r="BP2513" s="20"/>
      <c r="BQ2513" s="154"/>
      <c r="BR2513" s="18"/>
      <c r="BS2513" s="16"/>
      <c r="BT2513" s="18"/>
      <c r="BU2513" s="18"/>
      <c r="BV2513" s="18"/>
      <c r="BW2513" s="20"/>
      <c r="BX2513" s="154"/>
      <c r="BY2513" s="18"/>
      <c r="BZ2513" s="146"/>
      <c r="CA2513" s="18"/>
      <c r="CB2513" s="18"/>
      <c r="CC2513" s="20"/>
      <c r="CD2513" s="154"/>
    </row>
    <row r="2514" spans="35:82">
      <c r="AI2514" s="19"/>
      <c r="AO2514" s="19"/>
      <c r="AY2514" s="145"/>
      <c r="AZ2514" s="16"/>
      <c r="BC2514" s="16"/>
      <c r="BD2514" s="20"/>
      <c r="BE2514" s="17"/>
      <c r="BF2514" s="20"/>
      <c r="BG2514" s="146"/>
      <c r="BH2514" s="146"/>
      <c r="BI2514" s="146"/>
      <c r="BJ2514" s="20"/>
      <c r="BK2514" s="20"/>
      <c r="BL2514" s="154"/>
      <c r="BP2514" s="20"/>
      <c r="BQ2514" s="154"/>
      <c r="BR2514" s="18"/>
      <c r="BS2514" s="16"/>
      <c r="BT2514" s="18"/>
      <c r="BU2514" s="18"/>
      <c r="BV2514" s="18"/>
      <c r="BW2514" s="20"/>
      <c r="BX2514" s="154"/>
      <c r="BY2514" s="18"/>
      <c r="BZ2514" s="146"/>
      <c r="CA2514" s="18"/>
      <c r="CB2514" s="18"/>
      <c r="CC2514" s="20"/>
      <c r="CD2514" s="154"/>
    </row>
    <row r="2515" spans="35:82">
      <c r="AI2515" s="19"/>
      <c r="AO2515" s="19"/>
      <c r="AY2515" s="145"/>
      <c r="AZ2515" s="16"/>
      <c r="BC2515" s="16"/>
      <c r="BD2515" s="20"/>
      <c r="BE2515" s="17"/>
      <c r="BF2515" s="20"/>
      <c r="BG2515" s="146"/>
      <c r="BH2515" s="146"/>
      <c r="BI2515" s="146"/>
      <c r="BJ2515" s="20"/>
      <c r="BK2515" s="20"/>
      <c r="BL2515" s="154"/>
      <c r="BP2515" s="20"/>
      <c r="BQ2515" s="154"/>
      <c r="BR2515" s="18"/>
      <c r="BS2515" s="16"/>
      <c r="BT2515" s="18"/>
      <c r="BU2515" s="18"/>
      <c r="BV2515" s="18"/>
      <c r="BW2515" s="20"/>
      <c r="BX2515" s="154"/>
      <c r="BY2515" s="18"/>
      <c r="BZ2515" s="146"/>
      <c r="CA2515" s="18"/>
      <c r="CB2515" s="18"/>
      <c r="CC2515" s="20"/>
      <c r="CD2515" s="154"/>
    </row>
    <row r="2516" spans="35:82">
      <c r="AI2516" s="19"/>
      <c r="AO2516" s="19"/>
      <c r="AY2516" s="145"/>
      <c r="AZ2516" s="16"/>
      <c r="BC2516" s="16"/>
      <c r="BD2516" s="20"/>
      <c r="BE2516" s="17"/>
      <c r="BF2516" s="20"/>
      <c r="BG2516" s="146"/>
      <c r="BH2516" s="146"/>
      <c r="BI2516" s="146"/>
      <c r="BJ2516" s="20"/>
      <c r="BK2516" s="20"/>
      <c r="BL2516" s="154"/>
      <c r="BP2516" s="20"/>
      <c r="BQ2516" s="154"/>
      <c r="BR2516" s="18"/>
      <c r="BS2516" s="16"/>
      <c r="BT2516" s="18"/>
      <c r="BU2516" s="18"/>
      <c r="BV2516" s="18"/>
      <c r="BW2516" s="20"/>
      <c r="BX2516" s="154"/>
      <c r="BY2516" s="18"/>
      <c r="BZ2516" s="146"/>
      <c r="CA2516" s="18"/>
      <c r="CB2516" s="18"/>
      <c r="CC2516" s="20"/>
      <c r="CD2516" s="154"/>
    </row>
    <row r="2517" spans="35:82">
      <c r="AI2517" s="19"/>
      <c r="AO2517" s="19"/>
      <c r="AY2517" s="145"/>
      <c r="AZ2517" s="16"/>
      <c r="BC2517" s="16"/>
      <c r="BD2517" s="20"/>
      <c r="BE2517" s="17"/>
      <c r="BF2517" s="20"/>
      <c r="BG2517" s="146"/>
      <c r="BH2517" s="146"/>
      <c r="BI2517" s="146"/>
      <c r="BJ2517" s="20"/>
      <c r="BK2517" s="20"/>
      <c r="BL2517" s="154"/>
      <c r="BP2517" s="20"/>
      <c r="BQ2517" s="154"/>
      <c r="BR2517" s="18"/>
      <c r="BS2517" s="16"/>
      <c r="BT2517" s="18"/>
      <c r="BU2517" s="18"/>
      <c r="BV2517" s="18"/>
      <c r="BW2517" s="20"/>
      <c r="BX2517" s="154"/>
      <c r="BY2517" s="18"/>
      <c r="BZ2517" s="146"/>
      <c r="CA2517" s="18"/>
      <c r="CB2517" s="18"/>
      <c r="CC2517" s="20"/>
      <c r="CD2517" s="154"/>
    </row>
    <row r="2518" spans="35:82">
      <c r="AI2518" s="19"/>
      <c r="AO2518" s="19"/>
      <c r="AY2518" s="145"/>
      <c r="AZ2518" s="16"/>
      <c r="BC2518" s="16"/>
      <c r="BD2518" s="20"/>
      <c r="BE2518" s="17"/>
      <c r="BF2518" s="20"/>
      <c r="BG2518" s="146"/>
      <c r="BH2518" s="146"/>
      <c r="BI2518" s="146"/>
      <c r="BJ2518" s="20"/>
      <c r="BK2518" s="20"/>
      <c r="BL2518" s="154"/>
      <c r="BP2518" s="20"/>
      <c r="BQ2518" s="154"/>
      <c r="BR2518" s="18"/>
      <c r="BS2518" s="16"/>
      <c r="BT2518" s="18"/>
      <c r="BU2518" s="18"/>
      <c r="BV2518" s="18"/>
      <c r="BW2518" s="20"/>
      <c r="BX2518" s="154"/>
      <c r="BY2518" s="18"/>
      <c r="BZ2518" s="146"/>
      <c r="CA2518" s="18"/>
      <c r="CB2518" s="18"/>
      <c r="CC2518" s="20"/>
      <c r="CD2518" s="154"/>
    </row>
    <row r="2519" spans="35:82">
      <c r="AI2519" s="19"/>
      <c r="AO2519" s="19"/>
      <c r="AY2519" s="145"/>
      <c r="AZ2519" s="16"/>
      <c r="BC2519" s="16"/>
      <c r="BD2519" s="20"/>
      <c r="BE2519" s="17"/>
      <c r="BF2519" s="20"/>
      <c r="BG2519" s="146"/>
      <c r="BH2519" s="146"/>
      <c r="BI2519" s="146"/>
      <c r="BJ2519" s="20"/>
      <c r="BK2519" s="20"/>
      <c r="BL2519" s="154"/>
      <c r="BP2519" s="20"/>
      <c r="BQ2519" s="154"/>
      <c r="BR2519" s="18"/>
      <c r="BS2519" s="16"/>
      <c r="BT2519" s="18"/>
      <c r="BU2519" s="18"/>
      <c r="BV2519" s="18"/>
      <c r="BW2519" s="20"/>
      <c r="BX2519" s="154"/>
      <c r="BY2519" s="18"/>
      <c r="BZ2519" s="146"/>
      <c r="CA2519" s="18"/>
      <c r="CB2519" s="18"/>
      <c r="CC2519" s="20"/>
      <c r="CD2519" s="154"/>
    </row>
    <row r="2520" spans="35:82">
      <c r="AI2520" s="19"/>
      <c r="AO2520" s="19"/>
      <c r="AY2520" s="145"/>
      <c r="AZ2520" s="16"/>
      <c r="BC2520" s="16"/>
      <c r="BD2520" s="20"/>
      <c r="BE2520" s="17"/>
      <c r="BF2520" s="20"/>
      <c r="BG2520" s="146"/>
      <c r="BH2520" s="146"/>
      <c r="BI2520" s="146"/>
      <c r="BJ2520" s="20"/>
      <c r="BK2520" s="20"/>
      <c r="BL2520" s="154"/>
      <c r="BP2520" s="20"/>
      <c r="BQ2520" s="154"/>
      <c r="BR2520" s="18"/>
      <c r="BS2520" s="16"/>
      <c r="BT2520" s="18"/>
      <c r="BU2520" s="18"/>
      <c r="BV2520" s="18"/>
      <c r="BW2520" s="20"/>
      <c r="BX2520" s="154"/>
      <c r="BY2520" s="18"/>
      <c r="BZ2520" s="146"/>
      <c r="CA2520" s="18"/>
      <c r="CB2520" s="18"/>
      <c r="CC2520" s="20"/>
      <c r="CD2520" s="154"/>
    </row>
    <row r="2521" spans="35:82">
      <c r="AI2521" s="19"/>
      <c r="AO2521" s="19"/>
      <c r="AY2521" s="145"/>
      <c r="AZ2521" s="16"/>
      <c r="BC2521" s="16"/>
      <c r="BD2521" s="20"/>
      <c r="BE2521" s="17"/>
      <c r="BF2521" s="20"/>
      <c r="BG2521" s="146"/>
      <c r="BH2521" s="146"/>
      <c r="BI2521" s="146"/>
      <c r="BJ2521" s="20"/>
      <c r="BK2521" s="20"/>
      <c r="BL2521" s="154"/>
      <c r="BP2521" s="20"/>
      <c r="BQ2521" s="154"/>
      <c r="BR2521" s="18"/>
      <c r="BS2521" s="16"/>
      <c r="BT2521" s="18"/>
      <c r="BU2521" s="18"/>
      <c r="BV2521" s="18"/>
      <c r="BW2521" s="20"/>
      <c r="BX2521" s="154"/>
      <c r="BY2521" s="18"/>
      <c r="BZ2521" s="146"/>
      <c r="CA2521" s="18"/>
      <c r="CB2521" s="18"/>
      <c r="CC2521" s="20"/>
      <c r="CD2521" s="154"/>
    </row>
    <row r="2522" spans="35:82">
      <c r="AI2522" s="19"/>
      <c r="AO2522" s="19"/>
      <c r="AY2522" s="145"/>
      <c r="AZ2522" s="16"/>
      <c r="BC2522" s="16"/>
      <c r="BD2522" s="20"/>
      <c r="BE2522" s="17"/>
      <c r="BF2522" s="20"/>
      <c r="BG2522" s="146"/>
      <c r="BH2522" s="146"/>
      <c r="BI2522" s="146"/>
      <c r="BJ2522" s="20"/>
      <c r="BK2522" s="20"/>
      <c r="BL2522" s="154"/>
      <c r="BP2522" s="20"/>
      <c r="BQ2522" s="154"/>
      <c r="BR2522" s="18"/>
      <c r="BS2522" s="16"/>
      <c r="BT2522" s="18"/>
      <c r="BU2522" s="18"/>
      <c r="BV2522" s="18"/>
      <c r="BW2522" s="20"/>
      <c r="BX2522" s="154"/>
      <c r="BY2522" s="18"/>
      <c r="BZ2522" s="146"/>
      <c r="CA2522" s="18"/>
      <c r="CB2522" s="18"/>
      <c r="CC2522" s="20"/>
      <c r="CD2522" s="154"/>
    </row>
    <row r="2523" spans="35:82">
      <c r="AI2523" s="19"/>
      <c r="AO2523" s="19"/>
      <c r="AY2523" s="145"/>
      <c r="AZ2523" s="16"/>
      <c r="BC2523" s="16"/>
      <c r="BD2523" s="20"/>
      <c r="BE2523" s="17"/>
      <c r="BF2523" s="20"/>
      <c r="BG2523" s="146"/>
      <c r="BH2523" s="146"/>
      <c r="BI2523" s="146"/>
      <c r="BJ2523" s="20"/>
      <c r="BK2523" s="20"/>
      <c r="BL2523" s="154"/>
      <c r="BP2523" s="20"/>
      <c r="BQ2523" s="154"/>
      <c r="BR2523" s="18"/>
      <c r="BS2523" s="16"/>
      <c r="BT2523" s="18"/>
      <c r="BU2523" s="18"/>
      <c r="BV2523" s="18"/>
      <c r="BW2523" s="20"/>
      <c r="BX2523" s="154"/>
      <c r="BY2523" s="18"/>
      <c r="BZ2523" s="146"/>
      <c r="CA2523" s="18"/>
      <c r="CB2523" s="18"/>
      <c r="CC2523" s="20"/>
      <c r="CD2523" s="154"/>
    </row>
    <row r="2524" spans="35:82">
      <c r="AI2524" s="19"/>
      <c r="AO2524" s="19"/>
      <c r="AY2524" s="145"/>
      <c r="AZ2524" s="16"/>
      <c r="BC2524" s="16"/>
      <c r="BD2524" s="20"/>
      <c r="BE2524" s="17"/>
      <c r="BF2524" s="20"/>
      <c r="BG2524" s="146"/>
      <c r="BH2524" s="146"/>
      <c r="BI2524" s="146"/>
      <c r="BJ2524" s="20"/>
      <c r="BK2524" s="20"/>
      <c r="BL2524" s="154"/>
      <c r="BP2524" s="20"/>
      <c r="BQ2524" s="154"/>
      <c r="BR2524" s="18"/>
      <c r="BS2524" s="16"/>
      <c r="BT2524" s="18"/>
      <c r="BU2524" s="18"/>
      <c r="BV2524" s="18"/>
      <c r="BW2524" s="20"/>
      <c r="BX2524" s="154"/>
      <c r="BY2524" s="18"/>
      <c r="BZ2524" s="146"/>
      <c r="CA2524" s="18"/>
      <c r="CB2524" s="18"/>
      <c r="CC2524" s="20"/>
      <c r="CD2524" s="154"/>
    </row>
    <row r="2525" spans="35:82">
      <c r="AI2525" s="19"/>
      <c r="AO2525" s="19"/>
      <c r="AY2525" s="145"/>
      <c r="AZ2525" s="16"/>
      <c r="BC2525" s="16"/>
      <c r="BD2525" s="20"/>
      <c r="BE2525" s="17"/>
      <c r="BF2525" s="20"/>
      <c r="BG2525" s="146"/>
      <c r="BH2525" s="146"/>
      <c r="BI2525" s="146"/>
      <c r="BJ2525" s="20"/>
      <c r="BK2525" s="20"/>
      <c r="BL2525" s="154"/>
      <c r="BP2525" s="20"/>
      <c r="BQ2525" s="154"/>
      <c r="BR2525" s="18"/>
      <c r="BS2525" s="16"/>
      <c r="BT2525" s="18"/>
      <c r="BU2525" s="18"/>
      <c r="BV2525" s="18"/>
      <c r="BW2525" s="20"/>
      <c r="BX2525" s="154"/>
      <c r="BY2525" s="18"/>
      <c r="BZ2525" s="146"/>
      <c r="CA2525" s="18"/>
      <c r="CB2525" s="18"/>
      <c r="CC2525" s="20"/>
      <c r="CD2525" s="154"/>
    </row>
    <row r="2526" spans="35:82">
      <c r="AI2526" s="19"/>
      <c r="AO2526" s="19"/>
      <c r="AY2526" s="145"/>
      <c r="AZ2526" s="16"/>
      <c r="BC2526" s="16"/>
      <c r="BD2526" s="20"/>
      <c r="BE2526" s="17"/>
      <c r="BF2526" s="20"/>
      <c r="BG2526" s="146"/>
      <c r="BH2526" s="146"/>
      <c r="BI2526" s="146"/>
      <c r="BJ2526" s="20"/>
      <c r="BK2526" s="20"/>
      <c r="BL2526" s="154"/>
      <c r="BP2526" s="20"/>
      <c r="BQ2526" s="154"/>
      <c r="BR2526" s="18"/>
      <c r="BS2526" s="16"/>
      <c r="BT2526" s="18"/>
      <c r="BU2526" s="18"/>
      <c r="BV2526" s="18"/>
      <c r="BW2526" s="20"/>
      <c r="BX2526" s="154"/>
      <c r="BY2526" s="18"/>
      <c r="BZ2526" s="146"/>
      <c r="CA2526" s="18"/>
      <c r="CB2526" s="18"/>
      <c r="CC2526" s="20"/>
      <c r="CD2526" s="154"/>
    </row>
    <row r="2527" spans="35:82">
      <c r="AI2527" s="19"/>
      <c r="AO2527" s="19"/>
      <c r="AY2527" s="145"/>
      <c r="AZ2527" s="16"/>
      <c r="BC2527" s="16"/>
      <c r="BD2527" s="20"/>
      <c r="BE2527" s="17"/>
      <c r="BF2527" s="20"/>
      <c r="BG2527" s="146"/>
      <c r="BH2527" s="146"/>
      <c r="BI2527" s="146"/>
      <c r="BJ2527" s="20"/>
      <c r="BK2527" s="20"/>
      <c r="BL2527" s="154"/>
      <c r="BP2527" s="20"/>
      <c r="BQ2527" s="154"/>
      <c r="BR2527" s="18"/>
      <c r="BS2527" s="16"/>
      <c r="BT2527" s="18"/>
      <c r="BU2527" s="18"/>
      <c r="BV2527" s="18"/>
      <c r="BW2527" s="20"/>
      <c r="BX2527" s="154"/>
      <c r="BY2527" s="18"/>
      <c r="BZ2527" s="146"/>
      <c r="CA2527" s="18"/>
      <c r="CB2527" s="18"/>
      <c r="CC2527" s="20"/>
      <c r="CD2527" s="154"/>
    </row>
    <row r="2528" spans="35:82">
      <c r="AI2528" s="19"/>
      <c r="AO2528" s="19"/>
      <c r="AY2528" s="145"/>
      <c r="AZ2528" s="16"/>
      <c r="BC2528" s="16"/>
      <c r="BD2528" s="20"/>
      <c r="BE2528" s="17"/>
      <c r="BF2528" s="20"/>
      <c r="BG2528" s="146"/>
      <c r="BH2528" s="146"/>
      <c r="BI2528" s="146"/>
      <c r="BJ2528" s="20"/>
      <c r="BK2528" s="20"/>
      <c r="BL2528" s="154"/>
      <c r="BP2528" s="20"/>
      <c r="BQ2528" s="154"/>
      <c r="BR2528" s="18"/>
      <c r="BS2528" s="16"/>
      <c r="BT2528" s="18"/>
      <c r="BU2528" s="18"/>
      <c r="BV2528" s="18"/>
      <c r="BW2528" s="20"/>
      <c r="BX2528" s="154"/>
      <c r="BY2528" s="18"/>
      <c r="BZ2528" s="146"/>
      <c r="CA2528" s="18"/>
      <c r="CB2528" s="18"/>
      <c r="CC2528" s="20"/>
      <c r="CD2528" s="154"/>
    </row>
    <row r="2529" spans="35:82">
      <c r="AI2529" s="19"/>
      <c r="AO2529" s="19"/>
      <c r="AY2529" s="145"/>
      <c r="AZ2529" s="16"/>
      <c r="BC2529" s="16"/>
      <c r="BD2529" s="20"/>
      <c r="BE2529" s="17"/>
      <c r="BF2529" s="20"/>
      <c r="BG2529" s="146"/>
      <c r="BH2529" s="146"/>
      <c r="BI2529" s="146"/>
      <c r="BJ2529" s="20"/>
      <c r="BK2529" s="20"/>
      <c r="BL2529" s="154"/>
      <c r="BP2529" s="20"/>
      <c r="BQ2529" s="154"/>
      <c r="BR2529" s="18"/>
      <c r="BS2529" s="16"/>
      <c r="BT2529" s="18"/>
      <c r="BU2529" s="18"/>
      <c r="BV2529" s="18"/>
      <c r="BW2529" s="20"/>
      <c r="BX2529" s="154"/>
      <c r="BY2529" s="18"/>
      <c r="BZ2529" s="146"/>
      <c r="CA2529" s="18"/>
      <c r="CB2529" s="18"/>
      <c r="CC2529" s="20"/>
      <c r="CD2529" s="154"/>
    </row>
    <row r="2530" spans="35:82">
      <c r="AI2530" s="19"/>
      <c r="AO2530" s="19"/>
      <c r="AY2530" s="145"/>
      <c r="AZ2530" s="16"/>
      <c r="BC2530" s="16"/>
      <c r="BD2530" s="20"/>
      <c r="BE2530" s="17"/>
      <c r="BF2530" s="20"/>
      <c r="BG2530" s="146"/>
      <c r="BH2530" s="146"/>
      <c r="BI2530" s="146"/>
      <c r="BJ2530" s="20"/>
      <c r="BK2530" s="20"/>
      <c r="BL2530" s="154"/>
      <c r="BP2530" s="20"/>
      <c r="BQ2530" s="154"/>
      <c r="BR2530" s="18"/>
      <c r="BS2530" s="16"/>
      <c r="BT2530" s="18"/>
      <c r="BU2530" s="18"/>
      <c r="BV2530" s="18"/>
      <c r="BW2530" s="20"/>
      <c r="BX2530" s="154"/>
      <c r="BY2530" s="18"/>
      <c r="BZ2530" s="146"/>
      <c r="CA2530" s="18"/>
      <c r="CB2530" s="18"/>
      <c r="CC2530" s="20"/>
      <c r="CD2530" s="154"/>
    </row>
    <row r="2531" spans="35:82">
      <c r="AI2531" s="19"/>
      <c r="AO2531" s="19"/>
      <c r="AY2531" s="145"/>
      <c r="AZ2531" s="16"/>
      <c r="BC2531" s="16"/>
      <c r="BD2531" s="20"/>
      <c r="BE2531" s="17"/>
      <c r="BF2531" s="20"/>
      <c r="BG2531" s="146"/>
      <c r="BH2531" s="146"/>
      <c r="BI2531" s="146"/>
      <c r="BJ2531" s="20"/>
      <c r="BK2531" s="20"/>
      <c r="BL2531" s="154"/>
      <c r="BP2531" s="20"/>
      <c r="BQ2531" s="154"/>
      <c r="BR2531" s="18"/>
      <c r="BS2531" s="16"/>
      <c r="BT2531" s="18"/>
      <c r="BU2531" s="18"/>
      <c r="BV2531" s="18"/>
      <c r="BW2531" s="20"/>
      <c r="BX2531" s="154"/>
      <c r="BY2531" s="18"/>
      <c r="BZ2531" s="146"/>
      <c r="CA2531" s="18"/>
      <c r="CB2531" s="18"/>
      <c r="CC2531" s="20"/>
      <c r="CD2531" s="154"/>
    </row>
    <row r="2532" spans="35:82">
      <c r="AI2532" s="19"/>
      <c r="AO2532" s="19"/>
      <c r="AY2532" s="145"/>
      <c r="AZ2532" s="16"/>
      <c r="BC2532" s="16"/>
      <c r="BD2532" s="20"/>
      <c r="BE2532" s="17"/>
      <c r="BF2532" s="20"/>
      <c r="BG2532" s="146"/>
      <c r="BH2532" s="146"/>
      <c r="BI2532" s="146"/>
      <c r="BJ2532" s="20"/>
      <c r="BK2532" s="20"/>
      <c r="BL2532" s="154"/>
      <c r="BP2532" s="20"/>
      <c r="BQ2532" s="154"/>
      <c r="BR2532" s="18"/>
      <c r="BS2532" s="16"/>
      <c r="BT2532" s="18"/>
      <c r="BU2532" s="18"/>
      <c r="BV2532" s="18"/>
      <c r="BW2532" s="20"/>
      <c r="BX2532" s="154"/>
      <c r="BY2532" s="18"/>
      <c r="BZ2532" s="146"/>
      <c r="CA2532" s="18"/>
      <c r="CB2532" s="18"/>
      <c r="CC2532" s="20"/>
      <c r="CD2532" s="154"/>
    </row>
    <row r="2533" spans="35:82">
      <c r="AI2533" s="19"/>
      <c r="AO2533" s="19"/>
      <c r="AY2533" s="145"/>
      <c r="AZ2533" s="16"/>
      <c r="BC2533" s="16"/>
      <c r="BD2533" s="20"/>
      <c r="BE2533" s="17"/>
      <c r="BF2533" s="20"/>
      <c r="BG2533" s="146"/>
      <c r="BH2533" s="146"/>
      <c r="BI2533" s="146"/>
      <c r="BJ2533" s="20"/>
      <c r="BK2533" s="20"/>
      <c r="BL2533" s="154"/>
      <c r="BP2533" s="20"/>
      <c r="BQ2533" s="154"/>
      <c r="BR2533" s="18"/>
      <c r="BS2533" s="16"/>
      <c r="BT2533" s="18"/>
      <c r="BU2533" s="18"/>
      <c r="BV2533" s="18"/>
      <c r="BW2533" s="20"/>
      <c r="BX2533" s="154"/>
      <c r="BY2533" s="18"/>
      <c r="BZ2533" s="146"/>
      <c r="CA2533" s="18"/>
      <c r="CB2533" s="18"/>
      <c r="CC2533" s="20"/>
      <c r="CD2533" s="154"/>
    </row>
    <row r="2534" spans="35:82">
      <c r="AI2534" s="19"/>
      <c r="AO2534" s="19"/>
      <c r="AY2534" s="145"/>
      <c r="AZ2534" s="16"/>
      <c r="BC2534" s="16"/>
      <c r="BD2534" s="20"/>
      <c r="BE2534" s="17"/>
      <c r="BF2534" s="20"/>
      <c r="BG2534" s="146"/>
      <c r="BH2534" s="146"/>
      <c r="BI2534" s="146"/>
      <c r="BJ2534" s="20"/>
      <c r="BK2534" s="20"/>
      <c r="BL2534" s="154"/>
      <c r="BP2534" s="20"/>
      <c r="BQ2534" s="154"/>
      <c r="BR2534" s="18"/>
      <c r="BS2534" s="16"/>
      <c r="BT2534" s="18"/>
      <c r="BU2534" s="18"/>
      <c r="BV2534" s="18"/>
      <c r="BW2534" s="20"/>
      <c r="BX2534" s="154"/>
      <c r="BY2534" s="18"/>
      <c r="BZ2534" s="146"/>
      <c r="CA2534" s="18"/>
      <c r="CB2534" s="18"/>
      <c r="CC2534" s="20"/>
      <c r="CD2534" s="154"/>
    </row>
    <row r="2535" spans="35:82">
      <c r="AI2535" s="19"/>
      <c r="AO2535" s="19"/>
      <c r="AY2535" s="145"/>
      <c r="AZ2535" s="16"/>
      <c r="BC2535" s="16"/>
      <c r="BD2535" s="20"/>
      <c r="BE2535" s="17"/>
      <c r="BF2535" s="20"/>
      <c r="BG2535" s="146"/>
      <c r="BH2535" s="146"/>
      <c r="BI2535" s="146"/>
      <c r="BJ2535" s="20"/>
      <c r="BK2535" s="20"/>
      <c r="BL2535" s="154"/>
      <c r="BP2535" s="20"/>
      <c r="BQ2535" s="154"/>
      <c r="BR2535" s="18"/>
      <c r="BS2535" s="16"/>
      <c r="BT2535" s="18"/>
      <c r="BU2535" s="18"/>
      <c r="BV2535" s="18"/>
      <c r="BW2535" s="20"/>
      <c r="BX2535" s="154"/>
      <c r="BY2535" s="18"/>
      <c r="BZ2535" s="146"/>
      <c r="CA2535" s="18"/>
      <c r="CB2535" s="18"/>
      <c r="CC2535" s="20"/>
      <c r="CD2535" s="154"/>
    </row>
    <row r="2536" spans="35:82">
      <c r="AI2536" s="19"/>
      <c r="AO2536" s="19"/>
      <c r="AY2536" s="145"/>
      <c r="AZ2536" s="16"/>
      <c r="BC2536" s="16"/>
      <c r="BD2536" s="20"/>
      <c r="BE2536" s="17"/>
      <c r="BF2536" s="20"/>
      <c r="BG2536" s="146"/>
      <c r="BH2536" s="146"/>
      <c r="BI2536" s="146"/>
      <c r="BJ2536" s="20"/>
      <c r="BK2536" s="20"/>
      <c r="BL2536" s="154"/>
      <c r="BP2536" s="20"/>
      <c r="BQ2536" s="154"/>
      <c r="BR2536" s="18"/>
      <c r="BS2536" s="16"/>
      <c r="BT2536" s="18"/>
      <c r="BU2536" s="18"/>
      <c r="BV2536" s="18"/>
      <c r="BW2536" s="20"/>
      <c r="BX2536" s="154"/>
      <c r="BY2536" s="18"/>
      <c r="BZ2536" s="146"/>
      <c r="CA2536" s="18"/>
      <c r="CB2536" s="18"/>
      <c r="CC2536" s="20"/>
      <c r="CD2536" s="154"/>
    </row>
    <row r="2537" spans="35:82">
      <c r="AI2537" s="19"/>
      <c r="AO2537" s="19"/>
      <c r="AY2537" s="145"/>
      <c r="AZ2537" s="16"/>
      <c r="BC2537" s="16"/>
      <c r="BD2537" s="20"/>
      <c r="BE2537" s="17"/>
      <c r="BF2537" s="20"/>
      <c r="BG2537" s="146"/>
      <c r="BH2537" s="146"/>
      <c r="BI2537" s="146"/>
      <c r="BJ2537" s="20"/>
      <c r="BK2537" s="20"/>
      <c r="BL2537" s="154"/>
      <c r="BP2537" s="20"/>
      <c r="BQ2537" s="154"/>
      <c r="BR2537" s="18"/>
      <c r="BS2537" s="16"/>
      <c r="BT2537" s="18"/>
      <c r="BU2537" s="18"/>
      <c r="BV2537" s="18"/>
      <c r="BW2537" s="20"/>
      <c r="BX2537" s="154"/>
      <c r="BY2537" s="18"/>
      <c r="BZ2537" s="146"/>
      <c r="CA2537" s="18"/>
      <c r="CB2537" s="18"/>
      <c r="CC2537" s="20"/>
      <c r="CD2537" s="154"/>
    </row>
    <row r="2538" spans="35:82">
      <c r="AI2538" s="19"/>
      <c r="AO2538" s="19"/>
      <c r="AY2538" s="145"/>
      <c r="AZ2538" s="16"/>
      <c r="BC2538" s="16"/>
      <c r="BD2538" s="20"/>
      <c r="BE2538" s="17"/>
      <c r="BF2538" s="20"/>
      <c r="BG2538" s="146"/>
      <c r="BH2538" s="146"/>
      <c r="BI2538" s="146"/>
      <c r="BJ2538" s="20"/>
      <c r="BK2538" s="20"/>
      <c r="BL2538" s="154"/>
      <c r="BP2538" s="20"/>
      <c r="BQ2538" s="154"/>
      <c r="BR2538" s="18"/>
      <c r="BS2538" s="16"/>
      <c r="BT2538" s="18"/>
      <c r="BU2538" s="18"/>
      <c r="BV2538" s="18"/>
      <c r="BW2538" s="20"/>
      <c r="BX2538" s="154"/>
      <c r="BY2538" s="18"/>
      <c r="BZ2538" s="146"/>
      <c r="CA2538" s="18"/>
      <c r="CB2538" s="18"/>
      <c r="CC2538" s="20"/>
      <c r="CD2538" s="154"/>
    </row>
    <row r="2539" spans="35:82">
      <c r="AI2539" s="19"/>
      <c r="AO2539" s="19"/>
      <c r="AY2539" s="145"/>
      <c r="AZ2539" s="16"/>
      <c r="BC2539" s="16"/>
      <c r="BD2539" s="20"/>
      <c r="BE2539" s="17"/>
      <c r="BF2539" s="20"/>
      <c r="BG2539" s="146"/>
      <c r="BH2539" s="146"/>
      <c r="BI2539" s="146"/>
      <c r="BJ2539" s="20"/>
      <c r="BK2539" s="20"/>
      <c r="BL2539" s="154"/>
      <c r="BP2539" s="20"/>
      <c r="BQ2539" s="154"/>
      <c r="BR2539" s="18"/>
      <c r="BS2539" s="16"/>
      <c r="BT2539" s="18"/>
      <c r="BU2539" s="18"/>
      <c r="BV2539" s="18"/>
      <c r="BW2539" s="20"/>
      <c r="BX2539" s="154"/>
      <c r="BY2539" s="18"/>
      <c r="BZ2539" s="146"/>
      <c r="CA2539" s="18"/>
      <c r="CB2539" s="18"/>
      <c r="CC2539" s="20"/>
      <c r="CD2539" s="154"/>
    </row>
    <row r="2540" spans="35:82">
      <c r="AI2540" s="19"/>
      <c r="AO2540" s="19"/>
      <c r="AY2540" s="145"/>
      <c r="AZ2540" s="16"/>
      <c r="BC2540" s="16"/>
      <c r="BD2540" s="20"/>
      <c r="BE2540" s="17"/>
      <c r="BF2540" s="20"/>
      <c r="BG2540" s="146"/>
      <c r="BH2540" s="146"/>
      <c r="BI2540" s="146"/>
      <c r="BJ2540" s="20"/>
      <c r="BK2540" s="20"/>
      <c r="BL2540" s="154"/>
      <c r="BP2540" s="20"/>
      <c r="BQ2540" s="154"/>
      <c r="BR2540" s="18"/>
      <c r="BS2540" s="16"/>
      <c r="BT2540" s="18"/>
      <c r="BU2540" s="18"/>
      <c r="BV2540" s="18"/>
      <c r="BW2540" s="20"/>
      <c r="BX2540" s="154"/>
      <c r="BY2540" s="18"/>
      <c r="BZ2540" s="146"/>
      <c r="CA2540" s="18"/>
      <c r="CB2540" s="18"/>
      <c r="CC2540" s="20"/>
      <c r="CD2540" s="154"/>
    </row>
    <row r="2541" spans="35:82">
      <c r="AI2541" s="19"/>
      <c r="AO2541" s="19"/>
      <c r="AY2541" s="145"/>
      <c r="AZ2541" s="16"/>
      <c r="BC2541" s="16"/>
      <c r="BD2541" s="20"/>
      <c r="BE2541" s="17"/>
      <c r="BF2541" s="20"/>
      <c r="BG2541" s="146"/>
      <c r="BH2541" s="146"/>
      <c r="BI2541" s="146"/>
      <c r="BJ2541" s="20"/>
      <c r="BK2541" s="20"/>
      <c r="BL2541" s="154"/>
      <c r="BP2541" s="20"/>
      <c r="BQ2541" s="154"/>
      <c r="BR2541" s="18"/>
      <c r="BS2541" s="16"/>
      <c r="BT2541" s="18"/>
      <c r="BU2541" s="18"/>
      <c r="BV2541" s="18"/>
      <c r="BW2541" s="20"/>
      <c r="BX2541" s="154"/>
      <c r="BY2541" s="18"/>
      <c r="BZ2541" s="146"/>
      <c r="CA2541" s="18"/>
      <c r="CB2541" s="18"/>
      <c r="CC2541" s="20"/>
      <c r="CD2541" s="154"/>
    </row>
    <row r="2542" spans="35:82">
      <c r="AI2542" s="19"/>
      <c r="AO2542" s="19"/>
      <c r="AY2542" s="145"/>
      <c r="AZ2542" s="16"/>
      <c r="BC2542" s="16"/>
      <c r="BD2542" s="20"/>
      <c r="BE2542" s="17"/>
      <c r="BF2542" s="20"/>
      <c r="BG2542" s="146"/>
      <c r="BH2542" s="146"/>
      <c r="BI2542" s="146"/>
      <c r="BJ2542" s="20"/>
      <c r="BK2542" s="20"/>
      <c r="BL2542" s="154"/>
      <c r="BP2542" s="20"/>
      <c r="BQ2542" s="154"/>
      <c r="BR2542" s="18"/>
      <c r="BS2542" s="16"/>
      <c r="BT2542" s="18"/>
      <c r="BU2542" s="18"/>
      <c r="BV2542" s="18"/>
      <c r="BW2542" s="20"/>
      <c r="BX2542" s="154"/>
      <c r="BY2542" s="18"/>
      <c r="BZ2542" s="146"/>
      <c r="CA2542" s="18"/>
      <c r="CB2542" s="18"/>
      <c r="CC2542" s="20"/>
      <c r="CD2542" s="154"/>
    </row>
    <row r="2543" spans="35:82">
      <c r="AI2543" s="19"/>
      <c r="AO2543" s="19"/>
      <c r="AY2543" s="145"/>
      <c r="AZ2543" s="16"/>
      <c r="BC2543" s="16"/>
      <c r="BD2543" s="20"/>
      <c r="BE2543" s="17"/>
      <c r="BF2543" s="20"/>
      <c r="BG2543" s="146"/>
      <c r="BH2543" s="146"/>
      <c r="BI2543" s="146"/>
      <c r="BJ2543" s="20"/>
      <c r="BK2543" s="20"/>
      <c r="BL2543" s="154"/>
      <c r="BP2543" s="20"/>
      <c r="BQ2543" s="154"/>
      <c r="BR2543" s="18"/>
      <c r="BS2543" s="16"/>
      <c r="BT2543" s="18"/>
      <c r="BU2543" s="18"/>
      <c r="BV2543" s="18"/>
      <c r="BW2543" s="20"/>
      <c r="BX2543" s="154"/>
      <c r="BY2543" s="18"/>
      <c r="BZ2543" s="146"/>
      <c r="CA2543" s="18"/>
      <c r="CB2543" s="18"/>
      <c r="CC2543" s="20"/>
      <c r="CD2543" s="154"/>
    </row>
    <row r="2544" spans="35:82">
      <c r="AI2544" s="19"/>
      <c r="AO2544" s="19"/>
      <c r="AY2544" s="145"/>
      <c r="AZ2544" s="16"/>
      <c r="BC2544" s="16"/>
      <c r="BD2544" s="20"/>
      <c r="BE2544" s="17"/>
      <c r="BF2544" s="20"/>
      <c r="BG2544" s="146"/>
      <c r="BH2544" s="146"/>
      <c r="BI2544" s="146"/>
      <c r="BJ2544" s="20"/>
      <c r="BK2544" s="20"/>
      <c r="BL2544" s="154"/>
      <c r="BP2544" s="20"/>
      <c r="BQ2544" s="154"/>
      <c r="BR2544" s="18"/>
      <c r="BS2544" s="16"/>
      <c r="BT2544" s="18"/>
      <c r="BU2544" s="18"/>
      <c r="BV2544" s="18"/>
      <c r="BW2544" s="20"/>
      <c r="BX2544" s="154"/>
      <c r="BY2544" s="18"/>
      <c r="BZ2544" s="146"/>
      <c r="CA2544" s="18"/>
      <c r="CB2544" s="18"/>
      <c r="CC2544" s="20"/>
      <c r="CD2544" s="154"/>
    </row>
    <row r="2545" spans="35:82">
      <c r="AI2545" s="19"/>
      <c r="AO2545" s="19"/>
      <c r="AY2545" s="145"/>
      <c r="AZ2545" s="16"/>
      <c r="BC2545" s="16"/>
      <c r="BD2545" s="20"/>
      <c r="BE2545" s="17"/>
      <c r="BF2545" s="20"/>
      <c r="BG2545" s="146"/>
      <c r="BH2545" s="146"/>
      <c r="BI2545" s="146"/>
      <c r="BJ2545" s="20"/>
      <c r="BK2545" s="20"/>
      <c r="BL2545" s="154"/>
      <c r="BP2545" s="20"/>
      <c r="BQ2545" s="154"/>
      <c r="BR2545" s="18"/>
      <c r="BS2545" s="16"/>
      <c r="BT2545" s="18"/>
      <c r="BU2545" s="18"/>
      <c r="BV2545" s="18"/>
      <c r="BW2545" s="20"/>
      <c r="BX2545" s="154"/>
      <c r="BY2545" s="18"/>
      <c r="BZ2545" s="146"/>
      <c r="CA2545" s="18"/>
      <c r="CB2545" s="18"/>
      <c r="CC2545" s="20"/>
      <c r="CD2545" s="154"/>
    </row>
    <row r="2546" spans="35:82">
      <c r="AI2546" s="19"/>
      <c r="AO2546" s="19"/>
      <c r="AY2546" s="145"/>
      <c r="AZ2546" s="16"/>
      <c r="BC2546" s="16"/>
      <c r="BD2546" s="20"/>
      <c r="BE2546" s="17"/>
      <c r="BF2546" s="20"/>
      <c r="BG2546" s="146"/>
      <c r="BH2546" s="146"/>
      <c r="BI2546" s="146"/>
      <c r="BJ2546" s="20"/>
      <c r="BK2546" s="20"/>
      <c r="BL2546" s="154"/>
      <c r="BP2546" s="20"/>
      <c r="BQ2546" s="154"/>
      <c r="BR2546" s="18"/>
      <c r="BS2546" s="16"/>
      <c r="BT2546" s="18"/>
      <c r="BU2546" s="18"/>
      <c r="BV2546" s="18"/>
      <c r="BW2546" s="20"/>
      <c r="BX2546" s="154"/>
      <c r="BY2546" s="18"/>
      <c r="BZ2546" s="146"/>
      <c r="CA2546" s="18"/>
      <c r="CB2546" s="18"/>
      <c r="CC2546" s="20"/>
      <c r="CD2546" s="154"/>
    </row>
    <row r="2547" spans="35:82">
      <c r="AI2547" s="19"/>
      <c r="AO2547" s="19"/>
      <c r="AY2547" s="145"/>
      <c r="AZ2547" s="16"/>
      <c r="BC2547" s="16"/>
      <c r="BD2547" s="20"/>
      <c r="BE2547" s="17"/>
      <c r="BF2547" s="20"/>
      <c r="BG2547" s="146"/>
      <c r="BH2547" s="146"/>
      <c r="BI2547" s="146"/>
      <c r="BJ2547" s="20"/>
      <c r="BK2547" s="20"/>
      <c r="BL2547" s="154"/>
      <c r="BP2547" s="20"/>
      <c r="BQ2547" s="154"/>
      <c r="BR2547" s="18"/>
      <c r="BS2547" s="16"/>
      <c r="BT2547" s="18"/>
      <c r="BU2547" s="18"/>
      <c r="BV2547" s="18"/>
      <c r="BW2547" s="20"/>
      <c r="BX2547" s="154"/>
      <c r="BY2547" s="18"/>
      <c r="BZ2547" s="146"/>
      <c r="CA2547" s="18"/>
      <c r="CB2547" s="18"/>
      <c r="CC2547" s="20"/>
      <c r="CD2547" s="154"/>
    </row>
    <row r="2548" spans="35:82">
      <c r="AI2548" s="19"/>
      <c r="AO2548" s="19"/>
      <c r="AY2548" s="145"/>
      <c r="AZ2548" s="16"/>
      <c r="BC2548" s="16"/>
      <c r="BD2548" s="20"/>
      <c r="BE2548" s="17"/>
      <c r="BF2548" s="20"/>
      <c r="BG2548" s="146"/>
      <c r="BH2548" s="146"/>
      <c r="BI2548" s="146"/>
      <c r="BJ2548" s="20"/>
      <c r="BK2548" s="20"/>
      <c r="BL2548" s="154"/>
      <c r="BP2548" s="20"/>
      <c r="BQ2548" s="154"/>
      <c r="BR2548" s="18"/>
      <c r="BS2548" s="16"/>
      <c r="BT2548" s="18"/>
      <c r="BU2548" s="18"/>
      <c r="BV2548" s="18"/>
      <c r="BW2548" s="20"/>
      <c r="BX2548" s="154"/>
      <c r="BY2548" s="18"/>
      <c r="BZ2548" s="146"/>
      <c r="CA2548" s="18"/>
      <c r="CB2548" s="18"/>
      <c r="CC2548" s="20"/>
      <c r="CD2548" s="154"/>
    </row>
    <row r="2549" spans="35:82">
      <c r="AI2549" s="19"/>
      <c r="AO2549" s="19"/>
      <c r="AY2549" s="145"/>
      <c r="AZ2549" s="16"/>
      <c r="BC2549" s="16"/>
      <c r="BD2549" s="20"/>
      <c r="BE2549" s="17"/>
      <c r="BF2549" s="20"/>
      <c r="BG2549" s="146"/>
      <c r="BH2549" s="146"/>
      <c r="BI2549" s="146"/>
      <c r="BJ2549" s="20"/>
      <c r="BK2549" s="20"/>
      <c r="BL2549" s="154"/>
      <c r="BP2549" s="20"/>
      <c r="BQ2549" s="154"/>
      <c r="BR2549" s="18"/>
      <c r="BS2549" s="16"/>
      <c r="BT2549" s="18"/>
      <c r="BU2549" s="18"/>
      <c r="BV2549" s="18"/>
      <c r="BW2549" s="20"/>
      <c r="BX2549" s="154"/>
      <c r="BY2549" s="18"/>
      <c r="BZ2549" s="146"/>
      <c r="CA2549" s="18"/>
      <c r="CB2549" s="18"/>
      <c r="CC2549" s="20"/>
      <c r="CD2549" s="154"/>
    </row>
    <row r="2550" spans="35:82">
      <c r="AI2550" s="19"/>
      <c r="AO2550" s="19"/>
      <c r="AY2550" s="145"/>
      <c r="AZ2550" s="16"/>
      <c r="BC2550" s="16"/>
      <c r="BD2550" s="20"/>
      <c r="BE2550" s="17"/>
      <c r="BF2550" s="20"/>
      <c r="BG2550" s="146"/>
      <c r="BH2550" s="146"/>
      <c r="BI2550" s="146"/>
      <c r="BJ2550" s="20"/>
      <c r="BK2550" s="20"/>
      <c r="BL2550" s="154"/>
      <c r="BP2550" s="20"/>
      <c r="BQ2550" s="154"/>
      <c r="BR2550" s="18"/>
      <c r="BS2550" s="16"/>
      <c r="BT2550" s="18"/>
      <c r="BU2550" s="18"/>
      <c r="BV2550" s="18"/>
      <c r="BW2550" s="20"/>
      <c r="BX2550" s="154"/>
      <c r="BY2550" s="18"/>
      <c r="BZ2550" s="146"/>
      <c r="CA2550" s="18"/>
      <c r="CB2550" s="18"/>
      <c r="CC2550" s="20"/>
      <c r="CD2550" s="154"/>
    </row>
    <row r="2551" spans="35:82">
      <c r="AI2551" s="19"/>
      <c r="AO2551" s="19"/>
      <c r="AY2551" s="145"/>
      <c r="AZ2551" s="16"/>
      <c r="BC2551" s="16"/>
      <c r="BD2551" s="20"/>
      <c r="BE2551" s="17"/>
      <c r="BF2551" s="20"/>
      <c r="BG2551" s="146"/>
      <c r="BH2551" s="146"/>
      <c r="BI2551" s="146"/>
      <c r="BJ2551" s="20"/>
      <c r="BK2551" s="20"/>
      <c r="BL2551" s="154"/>
      <c r="BP2551" s="20"/>
      <c r="BQ2551" s="154"/>
      <c r="BR2551" s="18"/>
      <c r="BS2551" s="16"/>
      <c r="BT2551" s="18"/>
      <c r="BU2551" s="18"/>
      <c r="BV2551" s="18"/>
      <c r="BW2551" s="20"/>
      <c r="BX2551" s="154"/>
      <c r="BY2551" s="18"/>
      <c r="BZ2551" s="146"/>
      <c r="CA2551" s="18"/>
      <c r="CB2551" s="18"/>
      <c r="CC2551" s="20"/>
      <c r="CD2551" s="154"/>
    </row>
    <row r="2552" spans="35:82">
      <c r="AI2552" s="19"/>
      <c r="AO2552" s="19"/>
      <c r="AY2552" s="145"/>
      <c r="AZ2552" s="16"/>
      <c r="BC2552" s="16"/>
      <c r="BD2552" s="20"/>
      <c r="BE2552" s="17"/>
      <c r="BF2552" s="20"/>
      <c r="BG2552" s="146"/>
      <c r="BH2552" s="146"/>
      <c r="BI2552" s="146"/>
      <c r="BJ2552" s="20"/>
      <c r="BK2552" s="20"/>
      <c r="BL2552" s="154"/>
      <c r="BP2552" s="20"/>
      <c r="BQ2552" s="154"/>
      <c r="BR2552" s="18"/>
      <c r="BS2552" s="16"/>
      <c r="BT2552" s="18"/>
      <c r="BU2552" s="18"/>
      <c r="BV2552" s="18"/>
      <c r="BW2552" s="20"/>
      <c r="BX2552" s="154"/>
      <c r="BY2552" s="18"/>
      <c r="BZ2552" s="146"/>
      <c r="CA2552" s="18"/>
      <c r="CB2552" s="18"/>
      <c r="CC2552" s="20"/>
      <c r="CD2552" s="154"/>
    </row>
    <row r="2553" spans="35:82">
      <c r="AI2553" s="19"/>
      <c r="AO2553" s="19"/>
      <c r="AY2553" s="145"/>
      <c r="AZ2553" s="16"/>
      <c r="BC2553" s="16"/>
      <c r="BD2553" s="20"/>
      <c r="BE2553" s="17"/>
      <c r="BF2553" s="20"/>
      <c r="BG2553" s="146"/>
      <c r="BH2553" s="146"/>
      <c r="BI2553" s="146"/>
      <c r="BJ2553" s="20"/>
      <c r="BK2553" s="20"/>
      <c r="BL2553" s="154"/>
      <c r="BP2553" s="20"/>
      <c r="BQ2553" s="154"/>
      <c r="BR2553" s="18"/>
      <c r="BS2553" s="16"/>
      <c r="BT2553" s="18"/>
      <c r="BU2553" s="18"/>
      <c r="BV2553" s="18"/>
      <c r="BW2553" s="20"/>
      <c r="BX2553" s="154"/>
      <c r="BY2553" s="18"/>
      <c r="BZ2553" s="146"/>
      <c r="CA2553" s="18"/>
      <c r="CB2553" s="18"/>
      <c r="CC2553" s="20"/>
      <c r="CD2553" s="154"/>
    </row>
    <row r="2554" spans="35:82">
      <c r="AI2554" s="19"/>
      <c r="AO2554" s="19"/>
      <c r="AY2554" s="145"/>
      <c r="AZ2554" s="16"/>
      <c r="BC2554" s="16"/>
      <c r="BD2554" s="20"/>
      <c r="BE2554" s="17"/>
      <c r="BF2554" s="20"/>
      <c r="BG2554" s="146"/>
      <c r="BH2554" s="146"/>
      <c r="BI2554" s="146"/>
      <c r="BJ2554" s="20"/>
      <c r="BK2554" s="20"/>
      <c r="BL2554" s="154"/>
      <c r="BP2554" s="20"/>
      <c r="BQ2554" s="154"/>
      <c r="BR2554" s="18"/>
      <c r="BS2554" s="16"/>
      <c r="BT2554" s="18"/>
      <c r="BU2554" s="18"/>
      <c r="BV2554" s="18"/>
      <c r="BW2554" s="20"/>
      <c r="BX2554" s="154"/>
      <c r="BY2554" s="18"/>
      <c r="BZ2554" s="146"/>
      <c r="CA2554" s="18"/>
      <c r="CB2554" s="18"/>
      <c r="CC2554" s="20"/>
      <c r="CD2554" s="154"/>
    </row>
    <row r="2555" spans="35:82">
      <c r="AI2555" s="19"/>
      <c r="AO2555" s="19"/>
      <c r="AY2555" s="145"/>
      <c r="AZ2555" s="16"/>
      <c r="BC2555" s="16"/>
      <c r="BD2555" s="20"/>
      <c r="BE2555" s="17"/>
      <c r="BF2555" s="20"/>
      <c r="BG2555" s="146"/>
      <c r="BH2555" s="146"/>
      <c r="BI2555" s="146"/>
      <c r="BJ2555" s="20"/>
      <c r="BK2555" s="20"/>
      <c r="BL2555" s="154"/>
      <c r="BP2555" s="20"/>
      <c r="BQ2555" s="154"/>
      <c r="BR2555" s="18"/>
      <c r="BS2555" s="16"/>
      <c r="BT2555" s="18"/>
      <c r="BU2555" s="18"/>
      <c r="BV2555" s="18"/>
      <c r="BW2555" s="20"/>
      <c r="BX2555" s="154"/>
      <c r="BY2555" s="18"/>
      <c r="BZ2555" s="146"/>
      <c r="CA2555" s="18"/>
      <c r="CB2555" s="18"/>
      <c r="CC2555" s="20"/>
      <c r="CD2555" s="154"/>
    </row>
    <row r="2556" spans="35:82">
      <c r="AI2556" s="19"/>
      <c r="AO2556" s="19"/>
      <c r="AY2556" s="145"/>
      <c r="AZ2556" s="16"/>
      <c r="BC2556" s="16"/>
      <c r="BD2556" s="20"/>
      <c r="BE2556" s="17"/>
      <c r="BF2556" s="20"/>
      <c r="BG2556" s="146"/>
      <c r="BH2556" s="146"/>
      <c r="BI2556" s="146"/>
      <c r="BJ2556" s="20"/>
      <c r="BK2556" s="20"/>
      <c r="BL2556" s="154"/>
      <c r="BP2556" s="20"/>
      <c r="BQ2556" s="154"/>
      <c r="BR2556" s="18"/>
      <c r="BS2556" s="16"/>
      <c r="BT2556" s="18"/>
      <c r="BU2556" s="18"/>
      <c r="BV2556" s="18"/>
      <c r="BW2556" s="20"/>
      <c r="BX2556" s="154"/>
      <c r="BY2556" s="18"/>
      <c r="BZ2556" s="146"/>
      <c r="CA2556" s="18"/>
      <c r="CB2556" s="18"/>
      <c r="CC2556" s="20"/>
      <c r="CD2556" s="154"/>
    </row>
    <row r="2557" spans="35:82">
      <c r="AI2557" s="19"/>
      <c r="AO2557" s="19"/>
      <c r="AY2557" s="145"/>
      <c r="AZ2557" s="16"/>
      <c r="BC2557" s="16"/>
      <c r="BD2557" s="20"/>
      <c r="BE2557" s="17"/>
      <c r="BF2557" s="20"/>
      <c r="BG2557" s="146"/>
      <c r="BH2557" s="146"/>
      <c r="BI2557" s="146"/>
      <c r="BJ2557" s="20"/>
      <c r="BK2557" s="20"/>
      <c r="BL2557" s="154"/>
      <c r="BP2557" s="20"/>
      <c r="BQ2557" s="154"/>
      <c r="BR2557" s="18"/>
      <c r="BS2557" s="16"/>
      <c r="BT2557" s="18"/>
      <c r="BU2557" s="18"/>
      <c r="BV2557" s="18"/>
      <c r="BW2557" s="20"/>
      <c r="BX2557" s="154"/>
      <c r="BY2557" s="18"/>
      <c r="BZ2557" s="146"/>
      <c r="CA2557" s="18"/>
      <c r="CB2557" s="18"/>
      <c r="CC2557" s="20"/>
      <c r="CD2557" s="154"/>
    </row>
    <row r="2558" spans="35:82">
      <c r="AI2558" s="19"/>
      <c r="AO2558" s="19"/>
      <c r="AY2558" s="145"/>
      <c r="AZ2558" s="16"/>
      <c r="BC2558" s="16"/>
      <c r="BD2558" s="20"/>
      <c r="BE2558" s="17"/>
      <c r="BF2558" s="20"/>
      <c r="BG2558" s="146"/>
      <c r="BH2558" s="146"/>
      <c r="BI2558" s="146"/>
      <c r="BJ2558" s="20"/>
      <c r="BK2558" s="20"/>
      <c r="BL2558" s="154"/>
      <c r="BP2558" s="20"/>
      <c r="BQ2558" s="154"/>
      <c r="BR2558" s="18"/>
      <c r="BS2558" s="16"/>
      <c r="BT2558" s="18"/>
      <c r="BU2558" s="18"/>
      <c r="BV2558" s="18"/>
      <c r="BW2558" s="20"/>
      <c r="BX2558" s="154"/>
      <c r="BY2558" s="18"/>
      <c r="BZ2558" s="146"/>
      <c r="CA2558" s="18"/>
      <c r="CB2558" s="18"/>
      <c r="CC2558" s="20"/>
      <c r="CD2558" s="154"/>
    </row>
    <row r="2559" spans="35:82">
      <c r="AI2559" s="19"/>
      <c r="AO2559" s="19"/>
      <c r="AY2559" s="145"/>
      <c r="AZ2559" s="16"/>
      <c r="BC2559" s="16"/>
      <c r="BD2559" s="20"/>
      <c r="BE2559" s="17"/>
      <c r="BF2559" s="20"/>
      <c r="BG2559" s="146"/>
      <c r="BH2559" s="146"/>
      <c r="BI2559" s="146"/>
      <c r="BJ2559" s="20"/>
      <c r="BK2559" s="20"/>
      <c r="BL2559" s="154"/>
      <c r="BP2559" s="20"/>
      <c r="BQ2559" s="154"/>
      <c r="BR2559" s="18"/>
      <c r="BS2559" s="16"/>
      <c r="BT2559" s="18"/>
      <c r="BU2559" s="18"/>
      <c r="BV2559" s="18"/>
      <c r="BW2559" s="20"/>
      <c r="BX2559" s="154"/>
      <c r="BY2559" s="18"/>
      <c r="BZ2559" s="146"/>
      <c r="CA2559" s="18"/>
      <c r="CB2559" s="18"/>
      <c r="CC2559" s="20"/>
      <c r="CD2559" s="154"/>
    </row>
    <row r="2560" spans="35:82">
      <c r="AI2560" s="19"/>
      <c r="AO2560" s="19"/>
      <c r="AY2560" s="145"/>
      <c r="AZ2560" s="16"/>
      <c r="BC2560" s="16"/>
      <c r="BD2560" s="20"/>
      <c r="BE2560" s="17"/>
      <c r="BF2560" s="20"/>
      <c r="BG2560" s="146"/>
      <c r="BH2560" s="146"/>
      <c r="BI2560" s="146"/>
      <c r="BJ2560" s="20"/>
      <c r="BK2560" s="20"/>
      <c r="BL2560" s="154"/>
      <c r="BP2560" s="20"/>
      <c r="BQ2560" s="154"/>
      <c r="BR2560" s="18"/>
      <c r="BS2560" s="16"/>
      <c r="BT2560" s="18"/>
      <c r="BU2560" s="18"/>
      <c r="BV2560" s="18"/>
      <c r="BW2560" s="20"/>
      <c r="BX2560" s="154"/>
      <c r="BY2560" s="18"/>
      <c r="BZ2560" s="146"/>
      <c r="CA2560" s="18"/>
      <c r="CB2560" s="18"/>
      <c r="CC2560" s="20"/>
      <c r="CD2560" s="154"/>
    </row>
    <row r="2561" spans="35:82">
      <c r="AI2561" s="19"/>
      <c r="AO2561" s="19"/>
      <c r="AY2561" s="145"/>
      <c r="AZ2561" s="16"/>
      <c r="BC2561" s="16"/>
      <c r="BD2561" s="20"/>
      <c r="BE2561" s="17"/>
      <c r="BF2561" s="20"/>
      <c r="BG2561" s="146"/>
      <c r="BH2561" s="146"/>
      <c r="BI2561" s="146"/>
      <c r="BJ2561" s="20"/>
      <c r="BK2561" s="20"/>
      <c r="BL2561" s="154"/>
      <c r="BP2561" s="20"/>
      <c r="BQ2561" s="154"/>
      <c r="BR2561" s="18"/>
      <c r="BS2561" s="16"/>
      <c r="BT2561" s="18"/>
      <c r="BU2561" s="18"/>
      <c r="BV2561" s="18"/>
      <c r="BW2561" s="20"/>
      <c r="BX2561" s="154"/>
      <c r="BY2561" s="18"/>
      <c r="BZ2561" s="146"/>
      <c r="CA2561" s="18"/>
      <c r="CB2561" s="18"/>
      <c r="CC2561" s="20"/>
      <c r="CD2561" s="154"/>
    </row>
    <row r="2562" spans="35:82">
      <c r="AI2562" s="19"/>
      <c r="AO2562" s="19"/>
      <c r="AY2562" s="145"/>
      <c r="AZ2562" s="16"/>
      <c r="BC2562" s="16"/>
      <c r="BD2562" s="20"/>
      <c r="BE2562" s="17"/>
      <c r="BF2562" s="20"/>
      <c r="BG2562" s="146"/>
      <c r="BH2562" s="146"/>
      <c r="BI2562" s="146"/>
      <c r="BJ2562" s="20"/>
      <c r="BK2562" s="20"/>
      <c r="BL2562" s="154"/>
      <c r="BP2562" s="20"/>
      <c r="BQ2562" s="154"/>
      <c r="BR2562" s="18"/>
      <c r="BS2562" s="16"/>
      <c r="BT2562" s="18"/>
      <c r="BU2562" s="18"/>
      <c r="BV2562" s="18"/>
      <c r="BW2562" s="20"/>
      <c r="BX2562" s="154"/>
      <c r="BY2562" s="18"/>
      <c r="BZ2562" s="146"/>
      <c r="CA2562" s="18"/>
      <c r="CB2562" s="18"/>
      <c r="CC2562" s="20"/>
      <c r="CD2562" s="154"/>
    </row>
    <row r="2563" spans="35:82">
      <c r="AI2563" s="19"/>
      <c r="AO2563" s="19"/>
      <c r="AY2563" s="145"/>
      <c r="AZ2563" s="16"/>
      <c r="BC2563" s="16"/>
      <c r="BD2563" s="20"/>
      <c r="BE2563" s="17"/>
      <c r="BF2563" s="20"/>
      <c r="BG2563" s="146"/>
      <c r="BH2563" s="146"/>
      <c r="BI2563" s="146"/>
      <c r="BJ2563" s="20"/>
      <c r="BK2563" s="20"/>
      <c r="BL2563" s="154"/>
      <c r="BP2563" s="20"/>
      <c r="BQ2563" s="154"/>
      <c r="BR2563" s="18"/>
      <c r="BS2563" s="16"/>
      <c r="BT2563" s="18"/>
      <c r="BU2563" s="18"/>
      <c r="BV2563" s="18"/>
      <c r="BW2563" s="20"/>
      <c r="BX2563" s="154"/>
      <c r="BY2563" s="18"/>
      <c r="BZ2563" s="146"/>
      <c r="CA2563" s="18"/>
      <c r="CB2563" s="18"/>
      <c r="CC2563" s="20"/>
      <c r="CD2563" s="154"/>
    </row>
    <row r="2564" spans="35:82">
      <c r="AI2564" s="19"/>
      <c r="AO2564" s="19"/>
      <c r="AY2564" s="145"/>
      <c r="AZ2564" s="16"/>
      <c r="BC2564" s="16"/>
      <c r="BD2564" s="20"/>
      <c r="BE2564" s="17"/>
      <c r="BF2564" s="20"/>
      <c r="BG2564" s="146"/>
      <c r="BH2564" s="146"/>
      <c r="BI2564" s="146"/>
      <c r="BJ2564" s="20"/>
      <c r="BK2564" s="20"/>
      <c r="BL2564" s="154"/>
      <c r="BP2564" s="20"/>
      <c r="BQ2564" s="154"/>
      <c r="BR2564" s="18"/>
      <c r="BS2564" s="16"/>
      <c r="BT2564" s="18"/>
      <c r="BU2564" s="18"/>
      <c r="BV2564" s="18"/>
      <c r="BW2564" s="20"/>
      <c r="BX2564" s="154"/>
      <c r="BY2564" s="18"/>
      <c r="BZ2564" s="146"/>
      <c r="CA2564" s="18"/>
      <c r="CB2564" s="18"/>
      <c r="CC2564" s="20"/>
      <c r="CD2564" s="154"/>
    </row>
    <row r="2565" spans="35:82">
      <c r="AI2565" s="19"/>
      <c r="AO2565" s="19"/>
      <c r="AY2565" s="145"/>
      <c r="AZ2565" s="16"/>
      <c r="BC2565" s="16"/>
      <c r="BD2565" s="20"/>
      <c r="BE2565" s="17"/>
      <c r="BF2565" s="20"/>
      <c r="BG2565" s="146"/>
      <c r="BH2565" s="146"/>
      <c r="BI2565" s="146"/>
      <c r="BJ2565" s="20"/>
      <c r="BK2565" s="20"/>
      <c r="BL2565" s="154"/>
      <c r="BP2565" s="20"/>
      <c r="BQ2565" s="154"/>
      <c r="BR2565" s="18"/>
      <c r="BS2565" s="16"/>
      <c r="BT2565" s="18"/>
      <c r="BU2565" s="18"/>
      <c r="BV2565" s="18"/>
      <c r="BW2565" s="20"/>
      <c r="BX2565" s="154"/>
      <c r="BY2565" s="18"/>
      <c r="BZ2565" s="146"/>
      <c r="CA2565" s="18"/>
      <c r="CB2565" s="18"/>
      <c r="CC2565" s="20"/>
      <c r="CD2565" s="154"/>
    </row>
    <row r="2566" spans="35:82">
      <c r="AI2566" s="19"/>
      <c r="AO2566" s="19"/>
      <c r="AY2566" s="145"/>
      <c r="AZ2566" s="16"/>
      <c r="BC2566" s="16"/>
      <c r="BD2566" s="20"/>
      <c r="BE2566" s="17"/>
      <c r="BF2566" s="20"/>
      <c r="BG2566" s="146"/>
      <c r="BH2566" s="146"/>
      <c r="BI2566" s="146"/>
      <c r="BJ2566" s="20"/>
      <c r="BK2566" s="20"/>
      <c r="BL2566" s="154"/>
      <c r="BP2566" s="20"/>
      <c r="BQ2566" s="154"/>
      <c r="BR2566" s="18"/>
      <c r="BS2566" s="16"/>
      <c r="BT2566" s="18"/>
      <c r="BU2566" s="18"/>
      <c r="BV2566" s="18"/>
      <c r="BW2566" s="20"/>
      <c r="BX2566" s="154"/>
      <c r="BY2566" s="18"/>
      <c r="BZ2566" s="146"/>
      <c r="CA2566" s="18"/>
      <c r="CB2566" s="18"/>
      <c r="CC2566" s="20"/>
      <c r="CD2566" s="154"/>
    </row>
    <row r="2567" spans="35:82">
      <c r="AI2567" s="19"/>
      <c r="AO2567" s="19"/>
      <c r="AY2567" s="145"/>
      <c r="AZ2567" s="16"/>
      <c r="BC2567" s="16"/>
      <c r="BD2567" s="20"/>
      <c r="BE2567" s="17"/>
      <c r="BF2567" s="20"/>
      <c r="BG2567" s="146"/>
      <c r="BH2567" s="146"/>
      <c r="BI2567" s="146"/>
      <c r="BJ2567" s="20"/>
      <c r="BK2567" s="20"/>
      <c r="BL2567" s="154"/>
      <c r="BP2567" s="20"/>
      <c r="BQ2567" s="154"/>
      <c r="BR2567" s="18"/>
      <c r="BS2567" s="16"/>
      <c r="BT2567" s="18"/>
      <c r="BU2567" s="18"/>
      <c r="BV2567" s="18"/>
      <c r="BW2567" s="20"/>
      <c r="BX2567" s="154"/>
      <c r="BY2567" s="18"/>
      <c r="BZ2567" s="146"/>
      <c r="CA2567" s="18"/>
      <c r="CB2567" s="18"/>
      <c r="CC2567" s="20"/>
      <c r="CD2567" s="154"/>
    </row>
    <row r="2568" spans="35:82">
      <c r="AI2568" s="19"/>
      <c r="AO2568" s="19"/>
      <c r="AY2568" s="145"/>
      <c r="AZ2568" s="16"/>
      <c r="BC2568" s="16"/>
      <c r="BD2568" s="20"/>
      <c r="BE2568" s="17"/>
      <c r="BF2568" s="20"/>
      <c r="BG2568" s="146"/>
      <c r="BH2568" s="146"/>
      <c r="BI2568" s="146"/>
      <c r="BJ2568" s="20"/>
      <c r="BK2568" s="20"/>
      <c r="BL2568" s="154"/>
      <c r="BP2568" s="20"/>
      <c r="BQ2568" s="154"/>
      <c r="BR2568" s="18"/>
      <c r="BS2568" s="16"/>
      <c r="BT2568" s="18"/>
      <c r="BU2568" s="18"/>
      <c r="BV2568" s="18"/>
      <c r="BW2568" s="20"/>
      <c r="BX2568" s="154"/>
      <c r="BY2568" s="18"/>
      <c r="BZ2568" s="146"/>
      <c r="CA2568" s="18"/>
      <c r="CB2568" s="18"/>
      <c r="CC2568" s="20"/>
      <c r="CD2568" s="154"/>
    </row>
    <row r="2569" spans="35:82">
      <c r="AI2569" s="19"/>
      <c r="AO2569" s="19"/>
      <c r="AY2569" s="145"/>
      <c r="AZ2569" s="16"/>
      <c r="BC2569" s="16"/>
      <c r="BD2569" s="20"/>
      <c r="BE2569" s="17"/>
      <c r="BF2569" s="20"/>
      <c r="BG2569" s="146"/>
      <c r="BH2569" s="146"/>
      <c r="BI2569" s="146"/>
      <c r="BJ2569" s="20"/>
      <c r="BK2569" s="20"/>
      <c r="BL2569" s="154"/>
      <c r="BP2569" s="20"/>
      <c r="BQ2569" s="154"/>
      <c r="BR2569" s="18"/>
      <c r="BS2569" s="16"/>
      <c r="BT2569" s="18"/>
      <c r="BU2569" s="18"/>
      <c r="BV2569" s="18"/>
      <c r="BW2569" s="20"/>
      <c r="BX2569" s="154"/>
      <c r="BY2569" s="18"/>
      <c r="BZ2569" s="146"/>
      <c r="CA2569" s="18"/>
      <c r="CB2569" s="18"/>
      <c r="CC2569" s="20"/>
      <c r="CD2569" s="154"/>
    </row>
    <row r="2570" spans="35:82">
      <c r="AI2570" s="19"/>
      <c r="AO2570" s="19"/>
      <c r="AY2570" s="145"/>
      <c r="AZ2570" s="16"/>
      <c r="BC2570" s="16"/>
      <c r="BD2570" s="20"/>
      <c r="BE2570" s="17"/>
      <c r="BF2570" s="20"/>
      <c r="BG2570" s="146"/>
      <c r="BH2570" s="146"/>
      <c r="BI2570" s="146"/>
      <c r="BJ2570" s="20"/>
      <c r="BK2570" s="20"/>
      <c r="BL2570" s="154"/>
      <c r="BP2570" s="20"/>
      <c r="BQ2570" s="154"/>
      <c r="BR2570" s="18"/>
      <c r="BS2570" s="16"/>
      <c r="BT2570" s="18"/>
      <c r="BU2570" s="18"/>
      <c r="BV2570" s="18"/>
      <c r="BW2570" s="20"/>
      <c r="BX2570" s="154"/>
      <c r="BY2570" s="18"/>
      <c r="BZ2570" s="146"/>
      <c r="CA2570" s="18"/>
      <c r="CB2570" s="18"/>
      <c r="CC2570" s="20"/>
      <c r="CD2570" s="154"/>
    </row>
    <row r="2571" spans="35:82">
      <c r="AI2571" s="19"/>
      <c r="AO2571" s="19"/>
      <c r="AY2571" s="145"/>
      <c r="AZ2571" s="16"/>
      <c r="BC2571" s="16"/>
      <c r="BD2571" s="20"/>
      <c r="BE2571" s="17"/>
      <c r="BF2571" s="20"/>
      <c r="BG2571" s="146"/>
      <c r="BH2571" s="146"/>
      <c r="BI2571" s="146"/>
      <c r="BJ2571" s="20"/>
      <c r="BK2571" s="20"/>
      <c r="BL2571" s="154"/>
      <c r="BP2571" s="20"/>
      <c r="BQ2571" s="154"/>
      <c r="BR2571" s="18"/>
      <c r="BS2571" s="16"/>
      <c r="BT2571" s="18"/>
      <c r="BU2571" s="18"/>
      <c r="BV2571" s="18"/>
      <c r="BW2571" s="20"/>
      <c r="BX2571" s="154"/>
      <c r="BY2571" s="18"/>
      <c r="BZ2571" s="146"/>
      <c r="CA2571" s="18"/>
      <c r="CB2571" s="18"/>
      <c r="CC2571" s="20"/>
      <c r="CD2571" s="154"/>
    </row>
    <row r="2572" spans="35:82">
      <c r="AI2572" s="19"/>
      <c r="AO2572" s="19"/>
      <c r="AY2572" s="145"/>
      <c r="AZ2572" s="16"/>
      <c r="BC2572" s="16"/>
      <c r="BD2572" s="20"/>
      <c r="BE2572" s="17"/>
      <c r="BF2572" s="20"/>
      <c r="BG2572" s="146"/>
      <c r="BH2572" s="146"/>
      <c r="BI2572" s="146"/>
      <c r="BJ2572" s="20"/>
      <c r="BK2572" s="20"/>
      <c r="BL2572" s="154"/>
      <c r="BP2572" s="20"/>
      <c r="BQ2572" s="154"/>
      <c r="BR2572" s="18"/>
      <c r="BS2572" s="16"/>
      <c r="BT2572" s="18"/>
      <c r="BU2572" s="18"/>
      <c r="BV2572" s="18"/>
      <c r="BW2572" s="20"/>
      <c r="BX2572" s="154"/>
      <c r="BY2572" s="18"/>
      <c r="BZ2572" s="146"/>
      <c r="CA2572" s="18"/>
      <c r="CB2572" s="18"/>
      <c r="CC2572" s="20"/>
      <c r="CD2572" s="154"/>
    </row>
    <row r="2573" spans="35:82">
      <c r="AI2573" s="19"/>
      <c r="AO2573" s="19"/>
      <c r="AY2573" s="145"/>
      <c r="AZ2573" s="16"/>
      <c r="BC2573" s="16"/>
      <c r="BD2573" s="20"/>
      <c r="BE2573" s="17"/>
      <c r="BF2573" s="20"/>
      <c r="BG2573" s="146"/>
      <c r="BH2573" s="146"/>
      <c r="BI2573" s="146"/>
      <c r="BJ2573" s="20"/>
      <c r="BK2573" s="20"/>
      <c r="BL2573" s="154"/>
      <c r="BP2573" s="20"/>
      <c r="BQ2573" s="154"/>
      <c r="BR2573" s="18"/>
      <c r="BS2573" s="16"/>
      <c r="BT2573" s="18"/>
      <c r="BU2573" s="18"/>
      <c r="BV2573" s="18"/>
      <c r="BW2573" s="20"/>
      <c r="BX2573" s="154"/>
      <c r="BY2573" s="18"/>
      <c r="BZ2573" s="146"/>
      <c r="CA2573" s="18"/>
      <c r="CB2573" s="18"/>
      <c r="CC2573" s="20"/>
      <c r="CD2573" s="154"/>
    </row>
    <row r="2574" spans="35:82">
      <c r="AI2574" s="19"/>
      <c r="AO2574" s="19"/>
      <c r="AY2574" s="145"/>
      <c r="AZ2574" s="16"/>
      <c r="BC2574" s="16"/>
      <c r="BD2574" s="20"/>
      <c r="BE2574" s="17"/>
      <c r="BF2574" s="20"/>
      <c r="BG2574" s="146"/>
      <c r="BH2574" s="146"/>
      <c r="BI2574" s="146"/>
      <c r="BJ2574" s="20"/>
      <c r="BK2574" s="20"/>
      <c r="BL2574" s="154"/>
      <c r="BP2574" s="20"/>
      <c r="BQ2574" s="154"/>
      <c r="BR2574" s="18"/>
      <c r="BS2574" s="16"/>
      <c r="BT2574" s="18"/>
      <c r="BU2574" s="18"/>
      <c r="BV2574" s="18"/>
      <c r="BW2574" s="20"/>
      <c r="BX2574" s="154"/>
      <c r="BY2574" s="18"/>
      <c r="BZ2574" s="146"/>
      <c r="CA2574" s="18"/>
      <c r="CB2574" s="18"/>
      <c r="CC2574" s="20"/>
      <c r="CD2574" s="154"/>
    </row>
    <row r="2575" spans="35:82">
      <c r="AI2575" s="19"/>
      <c r="AO2575" s="19"/>
      <c r="AY2575" s="145"/>
      <c r="AZ2575" s="16"/>
      <c r="BC2575" s="16"/>
      <c r="BD2575" s="20"/>
      <c r="BE2575" s="17"/>
      <c r="BF2575" s="20"/>
      <c r="BG2575" s="146"/>
      <c r="BH2575" s="146"/>
      <c r="BI2575" s="146"/>
      <c r="BJ2575" s="20"/>
      <c r="BK2575" s="20"/>
      <c r="BL2575" s="154"/>
      <c r="BP2575" s="20"/>
      <c r="BQ2575" s="154"/>
      <c r="BR2575" s="18"/>
      <c r="BS2575" s="16"/>
      <c r="BT2575" s="18"/>
      <c r="BU2575" s="18"/>
      <c r="BV2575" s="18"/>
      <c r="BW2575" s="20"/>
      <c r="BX2575" s="154"/>
      <c r="BY2575" s="18"/>
      <c r="BZ2575" s="146"/>
      <c r="CA2575" s="18"/>
      <c r="CB2575" s="18"/>
      <c r="CC2575" s="20"/>
      <c r="CD2575" s="154"/>
    </row>
    <row r="2576" spans="35:82">
      <c r="AI2576" s="19"/>
      <c r="AO2576" s="19"/>
      <c r="AY2576" s="145"/>
      <c r="AZ2576" s="16"/>
      <c r="BC2576" s="16"/>
      <c r="BD2576" s="20"/>
      <c r="BE2576" s="17"/>
      <c r="BF2576" s="20"/>
      <c r="BG2576" s="146"/>
      <c r="BH2576" s="146"/>
      <c r="BI2576" s="146"/>
      <c r="BJ2576" s="20"/>
      <c r="BK2576" s="20"/>
      <c r="BL2576" s="154"/>
      <c r="BP2576" s="20"/>
      <c r="BQ2576" s="154"/>
      <c r="BR2576" s="18"/>
      <c r="BS2576" s="16"/>
      <c r="BT2576" s="18"/>
      <c r="BU2576" s="18"/>
      <c r="BV2576" s="18"/>
      <c r="BW2576" s="20"/>
      <c r="BX2576" s="154"/>
      <c r="BY2576" s="18"/>
      <c r="BZ2576" s="146"/>
      <c r="CA2576" s="18"/>
      <c r="CB2576" s="18"/>
      <c r="CC2576" s="20"/>
      <c r="CD2576" s="154"/>
    </row>
    <row r="2577" spans="35:82">
      <c r="AI2577" s="19"/>
      <c r="AO2577" s="19"/>
      <c r="AY2577" s="145"/>
      <c r="AZ2577" s="16"/>
      <c r="BC2577" s="16"/>
      <c r="BD2577" s="20"/>
      <c r="BE2577" s="17"/>
      <c r="BF2577" s="20"/>
      <c r="BG2577" s="146"/>
      <c r="BH2577" s="146"/>
      <c r="BI2577" s="146"/>
      <c r="BJ2577" s="20"/>
      <c r="BK2577" s="20"/>
      <c r="BL2577" s="154"/>
      <c r="BP2577" s="20"/>
      <c r="BQ2577" s="154"/>
      <c r="BR2577" s="18"/>
      <c r="BS2577" s="16"/>
      <c r="BT2577" s="18"/>
      <c r="BU2577" s="18"/>
      <c r="BV2577" s="18"/>
      <c r="BW2577" s="20"/>
      <c r="BX2577" s="154"/>
      <c r="BY2577" s="18"/>
      <c r="BZ2577" s="146"/>
      <c r="CA2577" s="18"/>
      <c r="CB2577" s="18"/>
      <c r="CC2577" s="20"/>
      <c r="CD2577" s="154"/>
    </row>
    <row r="2578" spans="35:82">
      <c r="AI2578" s="19"/>
      <c r="AO2578" s="19"/>
      <c r="AY2578" s="145"/>
      <c r="AZ2578" s="16"/>
      <c r="BC2578" s="16"/>
      <c r="BD2578" s="20"/>
      <c r="BE2578" s="17"/>
      <c r="BF2578" s="20"/>
      <c r="BG2578" s="146"/>
      <c r="BH2578" s="146"/>
      <c r="BI2578" s="146"/>
      <c r="BJ2578" s="20"/>
      <c r="BK2578" s="20"/>
      <c r="BL2578" s="154"/>
      <c r="BP2578" s="20"/>
      <c r="BQ2578" s="154"/>
      <c r="BR2578" s="18"/>
      <c r="BS2578" s="16"/>
      <c r="BT2578" s="18"/>
      <c r="BU2578" s="18"/>
      <c r="BV2578" s="18"/>
      <c r="BW2578" s="20"/>
      <c r="BX2578" s="154"/>
      <c r="BY2578" s="18"/>
      <c r="BZ2578" s="146"/>
      <c r="CA2578" s="18"/>
      <c r="CB2578" s="18"/>
      <c r="CC2578" s="20"/>
      <c r="CD2578" s="154"/>
    </row>
    <row r="2579" spans="35:82">
      <c r="AI2579" s="19"/>
      <c r="AO2579" s="19"/>
      <c r="AY2579" s="145"/>
      <c r="AZ2579" s="16"/>
      <c r="BC2579" s="16"/>
      <c r="BD2579" s="20"/>
      <c r="BE2579" s="17"/>
      <c r="BF2579" s="20"/>
      <c r="BG2579" s="146"/>
      <c r="BH2579" s="146"/>
      <c r="BI2579" s="146"/>
      <c r="BJ2579" s="20"/>
      <c r="BK2579" s="20"/>
      <c r="BL2579" s="154"/>
      <c r="BP2579" s="20"/>
      <c r="BQ2579" s="154"/>
      <c r="BR2579" s="18"/>
      <c r="BS2579" s="16"/>
      <c r="BT2579" s="18"/>
      <c r="BU2579" s="18"/>
      <c r="BV2579" s="18"/>
      <c r="BW2579" s="20"/>
      <c r="BX2579" s="154"/>
      <c r="BY2579" s="18"/>
      <c r="BZ2579" s="146"/>
      <c r="CA2579" s="18"/>
      <c r="CB2579" s="18"/>
      <c r="CC2579" s="20"/>
      <c r="CD2579" s="154"/>
    </row>
    <row r="2580" spans="35:82">
      <c r="AI2580" s="19"/>
      <c r="AO2580" s="19"/>
      <c r="AY2580" s="145"/>
      <c r="AZ2580" s="16"/>
      <c r="BC2580" s="16"/>
      <c r="BD2580" s="20"/>
      <c r="BE2580" s="17"/>
      <c r="BF2580" s="20"/>
      <c r="BG2580" s="146"/>
      <c r="BH2580" s="146"/>
      <c r="BI2580" s="146"/>
      <c r="BJ2580" s="20"/>
      <c r="BK2580" s="20"/>
      <c r="BL2580" s="154"/>
      <c r="BP2580" s="20"/>
      <c r="BQ2580" s="154"/>
      <c r="BR2580" s="18"/>
      <c r="BS2580" s="16"/>
      <c r="BT2580" s="18"/>
      <c r="BU2580" s="18"/>
      <c r="BV2580" s="18"/>
      <c r="BW2580" s="20"/>
      <c r="BX2580" s="154"/>
      <c r="BY2580" s="18"/>
      <c r="BZ2580" s="146"/>
      <c r="CA2580" s="18"/>
      <c r="CB2580" s="18"/>
      <c r="CC2580" s="20"/>
      <c r="CD2580" s="154"/>
    </row>
    <row r="2581" spans="35:82">
      <c r="AI2581" s="19"/>
      <c r="AO2581" s="19"/>
      <c r="AY2581" s="145"/>
      <c r="AZ2581" s="16"/>
      <c r="BC2581" s="16"/>
      <c r="BD2581" s="20"/>
      <c r="BE2581" s="17"/>
      <c r="BF2581" s="20"/>
      <c r="BG2581" s="146"/>
      <c r="BH2581" s="146"/>
      <c r="BI2581" s="146"/>
      <c r="BJ2581" s="20"/>
      <c r="BK2581" s="20"/>
      <c r="BL2581" s="154"/>
      <c r="BP2581" s="20"/>
      <c r="BQ2581" s="154"/>
      <c r="BR2581" s="18"/>
      <c r="BS2581" s="16"/>
      <c r="BT2581" s="18"/>
      <c r="BU2581" s="18"/>
      <c r="BV2581" s="18"/>
      <c r="BW2581" s="20"/>
      <c r="BX2581" s="154"/>
      <c r="BY2581" s="18"/>
      <c r="BZ2581" s="146"/>
      <c r="CA2581" s="18"/>
      <c r="CB2581" s="18"/>
      <c r="CC2581" s="20"/>
      <c r="CD2581" s="154"/>
    </row>
    <row r="2582" spans="35:82">
      <c r="AI2582" s="19"/>
      <c r="AO2582" s="19"/>
      <c r="AY2582" s="145"/>
      <c r="AZ2582" s="16"/>
      <c r="BC2582" s="16"/>
      <c r="BD2582" s="20"/>
      <c r="BE2582" s="17"/>
      <c r="BF2582" s="20"/>
      <c r="BG2582" s="146"/>
      <c r="BH2582" s="146"/>
      <c r="BI2582" s="146"/>
      <c r="BJ2582" s="20"/>
      <c r="BK2582" s="20"/>
      <c r="BL2582" s="154"/>
      <c r="BP2582" s="20"/>
      <c r="BQ2582" s="154"/>
      <c r="BR2582" s="18"/>
      <c r="BS2582" s="16"/>
      <c r="BT2582" s="18"/>
      <c r="BU2582" s="18"/>
      <c r="BV2582" s="18"/>
      <c r="BW2582" s="20"/>
      <c r="BX2582" s="154"/>
      <c r="BY2582" s="18"/>
      <c r="BZ2582" s="146"/>
      <c r="CA2582" s="18"/>
      <c r="CB2582" s="18"/>
      <c r="CC2582" s="20"/>
      <c r="CD2582" s="154"/>
    </row>
    <row r="2583" spans="35:82">
      <c r="AI2583" s="19"/>
      <c r="AO2583" s="19"/>
      <c r="AY2583" s="145"/>
      <c r="AZ2583" s="16"/>
      <c r="BC2583" s="16"/>
      <c r="BD2583" s="20"/>
      <c r="BE2583" s="17"/>
      <c r="BF2583" s="20"/>
      <c r="BG2583" s="146"/>
      <c r="BH2583" s="146"/>
      <c r="BI2583" s="146"/>
      <c r="BJ2583" s="20"/>
      <c r="BK2583" s="20"/>
      <c r="BL2583" s="154"/>
      <c r="BP2583" s="20"/>
      <c r="BQ2583" s="154"/>
      <c r="BR2583" s="18"/>
      <c r="BS2583" s="16"/>
      <c r="BT2583" s="18"/>
      <c r="BU2583" s="18"/>
      <c r="BV2583" s="18"/>
      <c r="BW2583" s="20"/>
      <c r="BX2583" s="154"/>
      <c r="BY2583" s="18"/>
      <c r="BZ2583" s="146"/>
      <c r="CA2583" s="18"/>
      <c r="CB2583" s="18"/>
      <c r="CC2583" s="20"/>
      <c r="CD2583" s="154"/>
    </row>
    <row r="2584" spans="35:82">
      <c r="AI2584" s="19"/>
      <c r="AO2584" s="19"/>
      <c r="AY2584" s="145"/>
      <c r="AZ2584" s="16"/>
      <c r="BC2584" s="16"/>
      <c r="BD2584" s="20"/>
      <c r="BE2584" s="17"/>
      <c r="BF2584" s="20"/>
      <c r="BG2584" s="146"/>
      <c r="BH2584" s="146"/>
      <c r="BI2584" s="146"/>
      <c r="BJ2584" s="20"/>
      <c r="BK2584" s="20"/>
      <c r="BL2584" s="154"/>
      <c r="BP2584" s="20"/>
      <c r="BQ2584" s="154"/>
      <c r="BR2584" s="18"/>
      <c r="BS2584" s="16"/>
      <c r="BT2584" s="18"/>
      <c r="BU2584" s="18"/>
      <c r="BV2584" s="18"/>
      <c r="BW2584" s="20"/>
      <c r="BX2584" s="154"/>
      <c r="BY2584" s="18"/>
      <c r="BZ2584" s="146"/>
      <c r="CA2584" s="18"/>
      <c r="CB2584" s="18"/>
      <c r="CC2584" s="20"/>
      <c r="CD2584" s="154"/>
    </row>
    <row r="2585" spans="35:82">
      <c r="AI2585" s="19"/>
      <c r="AO2585" s="19"/>
      <c r="AY2585" s="145"/>
      <c r="AZ2585" s="16"/>
      <c r="BC2585" s="16"/>
      <c r="BD2585" s="20"/>
      <c r="BE2585" s="17"/>
      <c r="BF2585" s="20"/>
      <c r="BG2585" s="146"/>
      <c r="BH2585" s="146"/>
      <c r="BI2585" s="146"/>
      <c r="BJ2585" s="20"/>
      <c r="BK2585" s="20"/>
      <c r="BL2585" s="154"/>
      <c r="BP2585" s="20"/>
      <c r="BQ2585" s="154"/>
      <c r="BR2585" s="18"/>
      <c r="BS2585" s="16"/>
      <c r="BT2585" s="18"/>
      <c r="BU2585" s="18"/>
      <c r="BV2585" s="18"/>
      <c r="BW2585" s="20"/>
      <c r="BX2585" s="154"/>
      <c r="BY2585" s="18"/>
      <c r="BZ2585" s="146"/>
      <c r="CA2585" s="18"/>
      <c r="CB2585" s="18"/>
      <c r="CC2585" s="20"/>
      <c r="CD2585" s="154"/>
    </row>
    <row r="2586" spans="35:82">
      <c r="AI2586" s="19"/>
      <c r="AO2586" s="19"/>
      <c r="AY2586" s="145"/>
      <c r="AZ2586" s="16"/>
      <c r="BC2586" s="16"/>
      <c r="BD2586" s="20"/>
      <c r="BE2586" s="17"/>
      <c r="BF2586" s="20"/>
      <c r="BG2586" s="146"/>
      <c r="BH2586" s="146"/>
      <c r="BI2586" s="146"/>
      <c r="BJ2586" s="20"/>
      <c r="BK2586" s="20"/>
      <c r="BL2586" s="154"/>
      <c r="BP2586" s="20"/>
      <c r="BQ2586" s="154"/>
      <c r="BR2586" s="18"/>
      <c r="BS2586" s="16"/>
      <c r="BT2586" s="18"/>
      <c r="BU2586" s="18"/>
      <c r="BV2586" s="18"/>
      <c r="BW2586" s="20"/>
      <c r="BX2586" s="154"/>
      <c r="BY2586" s="18"/>
      <c r="BZ2586" s="146"/>
      <c r="CA2586" s="18"/>
      <c r="CB2586" s="18"/>
      <c r="CC2586" s="20"/>
      <c r="CD2586" s="154"/>
    </row>
    <row r="2587" spans="35:82">
      <c r="AI2587" s="19"/>
      <c r="AO2587" s="19"/>
      <c r="AY2587" s="145"/>
      <c r="AZ2587" s="16"/>
      <c r="BC2587" s="16"/>
      <c r="BD2587" s="20"/>
      <c r="BE2587" s="17"/>
      <c r="BF2587" s="20"/>
      <c r="BG2587" s="146"/>
      <c r="BH2587" s="146"/>
      <c r="BI2587" s="146"/>
      <c r="BJ2587" s="20"/>
      <c r="BK2587" s="20"/>
      <c r="BL2587" s="154"/>
      <c r="BP2587" s="20"/>
      <c r="BQ2587" s="154"/>
      <c r="BR2587" s="18"/>
      <c r="BS2587" s="16"/>
      <c r="BT2587" s="18"/>
      <c r="BU2587" s="18"/>
      <c r="BV2587" s="18"/>
      <c r="BW2587" s="20"/>
      <c r="BX2587" s="154"/>
      <c r="BY2587" s="18"/>
      <c r="BZ2587" s="146"/>
      <c r="CA2587" s="18"/>
      <c r="CB2587" s="18"/>
      <c r="CC2587" s="20"/>
      <c r="CD2587" s="154"/>
    </row>
    <row r="2588" spans="35:82">
      <c r="AI2588" s="19"/>
      <c r="AO2588" s="19"/>
      <c r="AY2588" s="145"/>
      <c r="AZ2588" s="16"/>
      <c r="BC2588" s="16"/>
      <c r="BD2588" s="20"/>
      <c r="BE2588" s="17"/>
      <c r="BF2588" s="20"/>
      <c r="BG2588" s="146"/>
      <c r="BH2588" s="146"/>
      <c r="BI2588" s="146"/>
      <c r="BJ2588" s="20"/>
      <c r="BK2588" s="20"/>
      <c r="BL2588" s="154"/>
      <c r="BP2588" s="20"/>
      <c r="BQ2588" s="154"/>
      <c r="BR2588" s="18"/>
      <c r="BS2588" s="16"/>
      <c r="BT2588" s="18"/>
      <c r="BU2588" s="18"/>
      <c r="BV2588" s="18"/>
      <c r="BW2588" s="20"/>
      <c r="BX2588" s="154"/>
      <c r="BY2588" s="18"/>
      <c r="BZ2588" s="146"/>
      <c r="CA2588" s="18"/>
      <c r="CB2588" s="18"/>
      <c r="CC2588" s="20"/>
      <c r="CD2588" s="154"/>
    </row>
    <row r="2589" spans="35:82">
      <c r="AI2589" s="19"/>
      <c r="AO2589" s="19"/>
      <c r="AY2589" s="145"/>
      <c r="AZ2589" s="16"/>
      <c r="BC2589" s="16"/>
      <c r="BD2589" s="20"/>
      <c r="BE2589" s="17"/>
      <c r="BF2589" s="20"/>
      <c r="BG2589" s="146"/>
      <c r="BH2589" s="146"/>
      <c r="BI2589" s="146"/>
      <c r="BJ2589" s="20"/>
      <c r="BK2589" s="20"/>
      <c r="BL2589" s="154"/>
      <c r="BP2589" s="20"/>
      <c r="BQ2589" s="154"/>
      <c r="BR2589" s="18"/>
      <c r="BS2589" s="16"/>
      <c r="BT2589" s="18"/>
      <c r="BU2589" s="18"/>
      <c r="BV2589" s="18"/>
      <c r="BW2589" s="20"/>
      <c r="BX2589" s="154"/>
      <c r="BY2589" s="18"/>
      <c r="BZ2589" s="146"/>
      <c r="CA2589" s="18"/>
      <c r="CB2589" s="18"/>
      <c r="CC2589" s="20"/>
      <c r="CD2589" s="154"/>
    </row>
    <row r="2590" spans="35:82">
      <c r="AI2590" s="19"/>
      <c r="AO2590" s="19"/>
      <c r="AY2590" s="145"/>
      <c r="AZ2590" s="16"/>
      <c r="BC2590" s="16"/>
      <c r="BD2590" s="20"/>
      <c r="BE2590" s="17"/>
      <c r="BF2590" s="20"/>
      <c r="BG2590" s="146"/>
      <c r="BH2590" s="146"/>
      <c r="BI2590" s="146"/>
      <c r="BJ2590" s="20"/>
      <c r="BK2590" s="20"/>
      <c r="BL2590" s="154"/>
      <c r="BP2590" s="20"/>
      <c r="BQ2590" s="154"/>
      <c r="BR2590" s="18"/>
      <c r="BS2590" s="16"/>
      <c r="BT2590" s="18"/>
      <c r="BU2590" s="18"/>
      <c r="BV2590" s="18"/>
      <c r="BW2590" s="20"/>
      <c r="BX2590" s="154"/>
      <c r="BY2590" s="18"/>
      <c r="BZ2590" s="146"/>
      <c r="CA2590" s="18"/>
      <c r="CB2590" s="18"/>
      <c r="CC2590" s="20"/>
      <c r="CD2590" s="154"/>
    </row>
    <row r="2591" spans="35:82">
      <c r="AI2591" s="19"/>
      <c r="AO2591" s="19"/>
      <c r="AY2591" s="145"/>
      <c r="AZ2591" s="16"/>
      <c r="BC2591" s="16"/>
      <c r="BD2591" s="20"/>
      <c r="BE2591" s="17"/>
      <c r="BF2591" s="20"/>
      <c r="BG2591" s="146"/>
      <c r="BH2591" s="146"/>
      <c r="BI2591" s="146"/>
      <c r="BJ2591" s="20"/>
      <c r="BK2591" s="20"/>
      <c r="BL2591" s="154"/>
      <c r="BP2591" s="20"/>
      <c r="BQ2591" s="154"/>
      <c r="BR2591" s="18"/>
      <c r="BS2591" s="16"/>
      <c r="BT2591" s="18"/>
      <c r="BU2591" s="18"/>
      <c r="BV2591" s="18"/>
      <c r="BW2591" s="20"/>
      <c r="BX2591" s="154"/>
      <c r="BY2591" s="18"/>
      <c r="BZ2591" s="146"/>
      <c r="CA2591" s="18"/>
      <c r="CB2591" s="18"/>
      <c r="CC2591" s="20"/>
      <c r="CD2591" s="154"/>
    </row>
    <row r="2592" spans="35:82">
      <c r="AI2592" s="19"/>
      <c r="AO2592" s="19"/>
      <c r="AY2592" s="145"/>
      <c r="AZ2592" s="16"/>
      <c r="BC2592" s="16"/>
      <c r="BD2592" s="20"/>
      <c r="BE2592" s="17"/>
      <c r="BF2592" s="20"/>
      <c r="BG2592" s="146"/>
      <c r="BH2592" s="146"/>
      <c r="BI2592" s="146"/>
      <c r="BJ2592" s="20"/>
      <c r="BK2592" s="20"/>
      <c r="BL2592" s="154"/>
      <c r="BP2592" s="20"/>
      <c r="BQ2592" s="154"/>
      <c r="BR2592" s="18"/>
      <c r="BS2592" s="16"/>
      <c r="BT2592" s="18"/>
      <c r="BU2592" s="18"/>
      <c r="BV2592" s="18"/>
      <c r="BW2592" s="20"/>
      <c r="BX2592" s="154"/>
      <c r="BY2592" s="18"/>
      <c r="BZ2592" s="146"/>
      <c r="CA2592" s="18"/>
      <c r="CB2592" s="18"/>
      <c r="CC2592" s="20"/>
      <c r="CD2592" s="154"/>
    </row>
    <row r="2593" spans="35:82">
      <c r="AI2593" s="19"/>
      <c r="AO2593" s="19"/>
      <c r="AY2593" s="145"/>
      <c r="AZ2593" s="16"/>
      <c r="BC2593" s="16"/>
      <c r="BD2593" s="20"/>
      <c r="BE2593" s="17"/>
      <c r="BF2593" s="20"/>
      <c r="BG2593" s="146"/>
      <c r="BH2593" s="146"/>
      <c r="BI2593" s="146"/>
      <c r="BJ2593" s="20"/>
      <c r="BK2593" s="20"/>
      <c r="BL2593" s="154"/>
      <c r="BP2593" s="20"/>
      <c r="BQ2593" s="154"/>
      <c r="BR2593" s="18"/>
      <c r="BS2593" s="16"/>
      <c r="BT2593" s="18"/>
      <c r="BU2593" s="18"/>
      <c r="BV2593" s="18"/>
      <c r="BW2593" s="20"/>
      <c r="BX2593" s="154"/>
      <c r="BY2593" s="18"/>
      <c r="BZ2593" s="146"/>
      <c r="CA2593" s="18"/>
      <c r="CB2593" s="18"/>
      <c r="CC2593" s="20"/>
      <c r="CD2593" s="154"/>
    </row>
    <row r="2594" spans="35:82">
      <c r="AI2594" s="19"/>
      <c r="AO2594" s="19"/>
      <c r="AY2594" s="145"/>
      <c r="AZ2594" s="16"/>
      <c r="BC2594" s="16"/>
      <c r="BD2594" s="20"/>
      <c r="BE2594" s="17"/>
      <c r="BF2594" s="20"/>
      <c r="BG2594" s="146"/>
      <c r="BH2594" s="146"/>
      <c r="BI2594" s="146"/>
      <c r="BJ2594" s="20"/>
      <c r="BK2594" s="20"/>
      <c r="BL2594" s="154"/>
      <c r="BP2594" s="20"/>
      <c r="BQ2594" s="154"/>
      <c r="BR2594" s="18"/>
      <c r="BS2594" s="16"/>
      <c r="BT2594" s="18"/>
      <c r="BU2594" s="18"/>
      <c r="BV2594" s="18"/>
      <c r="BW2594" s="20"/>
      <c r="BX2594" s="154"/>
      <c r="BY2594" s="18"/>
      <c r="BZ2594" s="146"/>
      <c r="CA2594" s="18"/>
      <c r="CB2594" s="18"/>
      <c r="CC2594" s="20"/>
      <c r="CD2594" s="154"/>
    </row>
    <row r="2595" spans="35:82">
      <c r="AI2595" s="19"/>
      <c r="AO2595" s="19"/>
      <c r="AY2595" s="145"/>
      <c r="AZ2595" s="16"/>
      <c r="BC2595" s="16"/>
      <c r="BD2595" s="20"/>
      <c r="BE2595" s="17"/>
      <c r="BF2595" s="20"/>
      <c r="BG2595" s="146"/>
      <c r="BH2595" s="146"/>
      <c r="BI2595" s="146"/>
      <c r="BJ2595" s="20"/>
      <c r="BK2595" s="20"/>
      <c r="BL2595" s="154"/>
      <c r="BP2595" s="20"/>
      <c r="BQ2595" s="154"/>
      <c r="BR2595" s="18"/>
      <c r="BS2595" s="16"/>
      <c r="BT2595" s="18"/>
      <c r="BU2595" s="18"/>
      <c r="BV2595" s="18"/>
      <c r="BW2595" s="20"/>
      <c r="BX2595" s="154"/>
      <c r="BY2595" s="18"/>
      <c r="BZ2595" s="146"/>
      <c r="CA2595" s="18"/>
      <c r="CB2595" s="18"/>
      <c r="CC2595" s="20"/>
      <c r="CD2595" s="154"/>
    </row>
    <row r="2596" spans="35:82">
      <c r="AI2596" s="19"/>
      <c r="AO2596" s="19"/>
      <c r="AY2596" s="145"/>
      <c r="AZ2596" s="16"/>
      <c r="BC2596" s="16"/>
      <c r="BD2596" s="20"/>
      <c r="BE2596" s="17"/>
      <c r="BF2596" s="20"/>
      <c r="BG2596" s="146"/>
      <c r="BH2596" s="146"/>
      <c r="BI2596" s="146"/>
      <c r="BJ2596" s="20"/>
      <c r="BK2596" s="20"/>
      <c r="BL2596" s="154"/>
      <c r="BP2596" s="20"/>
      <c r="BQ2596" s="154"/>
      <c r="BR2596" s="18"/>
      <c r="BS2596" s="16"/>
      <c r="BT2596" s="18"/>
      <c r="BU2596" s="18"/>
      <c r="BV2596" s="18"/>
      <c r="BW2596" s="20"/>
      <c r="BX2596" s="154"/>
      <c r="BY2596" s="18"/>
      <c r="BZ2596" s="146"/>
      <c r="CA2596" s="18"/>
      <c r="CB2596" s="18"/>
      <c r="CC2596" s="20"/>
      <c r="CD2596" s="154"/>
    </row>
    <row r="2597" spans="35:82">
      <c r="AI2597" s="19"/>
      <c r="AO2597" s="19"/>
      <c r="AY2597" s="145"/>
      <c r="AZ2597" s="16"/>
      <c r="BC2597" s="16"/>
      <c r="BD2597" s="20"/>
      <c r="BE2597" s="17"/>
      <c r="BF2597" s="20"/>
      <c r="BG2597" s="146"/>
      <c r="BH2597" s="146"/>
      <c r="BI2597" s="146"/>
      <c r="BJ2597" s="20"/>
      <c r="BK2597" s="20"/>
      <c r="BL2597" s="154"/>
      <c r="BP2597" s="20"/>
      <c r="BQ2597" s="154"/>
      <c r="BR2597" s="18"/>
      <c r="BS2597" s="16"/>
      <c r="BT2597" s="18"/>
      <c r="BU2597" s="18"/>
      <c r="BV2597" s="18"/>
      <c r="BW2597" s="20"/>
      <c r="BX2597" s="154"/>
      <c r="BY2597" s="18"/>
      <c r="BZ2597" s="146"/>
      <c r="CA2597" s="18"/>
      <c r="CB2597" s="18"/>
      <c r="CC2597" s="20"/>
      <c r="CD2597" s="154"/>
    </row>
    <row r="2598" spans="35:82">
      <c r="AI2598" s="19"/>
      <c r="AO2598" s="19"/>
      <c r="AY2598" s="145"/>
      <c r="AZ2598" s="16"/>
      <c r="BC2598" s="16"/>
      <c r="BD2598" s="20"/>
      <c r="BE2598" s="17"/>
      <c r="BF2598" s="20"/>
      <c r="BG2598" s="146"/>
      <c r="BH2598" s="146"/>
      <c r="BI2598" s="146"/>
      <c r="BJ2598" s="20"/>
      <c r="BK2598" s="20"/>
      <c r="BL2598" s="154"/>
      <c r="BP2598" s="20"/>
      <c r="BQ2598" s="154"/>
      <c r="BR2598" s="18"/>
      <c r="BS2598" s="16"/>
      <c r="BT2598" s="18"/>
      <c r="BU2598" s="18"/>
      <c r="BV2598" s="18"/>
      <c r="BW2598" s="20"/>
      <c r="BX2598" s="154"/>
      <c r="BY2598" s="18"/>
      <c r="BZ2598" s="146"/>
      <c r="CA2598" s="18"/>
      <c r="CB2598" s="18"/>
      <c r="CC2598" s="20"/>
      <c r="CD2598" s="154"/>
    </row>
    <row r="2599" spans="35:82">
      <c r="AI2599" s="19"/>
      <c r="AO2599" s="19"/>
      <c r="AY2599" s="145"/>
      <c r="AZ2599" s="16"/>
      <c r="BC2599" s="16"/>
      <c r="BD2599" s="20"/>
      <c r="BE2599" s="17"/>
      <c r="BF2599" s="20"/>
      <c r="BG2599" s="146"/>
      <c r="BH2599" s="146"/>
      <c r="BI2599" s="146"/>
      <c r="BJ2599" s="20"/>
      <c r="BK2599" s="20"/>
      <c r="BL2599" s="154"/>
      <c r="BP2599" s="20"/>
      <c r="BQ2599" s="154"/>
      <c r="BR2599" s="18"/>
      <c r="BS2599" s="16"/>
      <c r="BT2599" s="18"/>
      <c r="BU2599" s="18"/>
      <c r="BV2599" s="18"/>
      <c r="BW2599" s="20"/>
      <c r="BX2599" s="154"/>
      <c r="BY2599" s="18"/>
      <c r="BZ2599" s="146"/>
      <c r="CA2599" s="18"/>
      <c r="CB2599" s="18"/>
      <c r="CC2599" s="20"/>
      <c r="CD2599" s="154"/>
    </row>
    <row r="2600" spans="35:82">
      <c r="AI2600" s="19"/>
      <c r="AO2600" s="19"/>
      <c r="AY2600" s="145"/>
      <c r="AZ2600" s="16"/>
      <c r="BC2600" s="16"/>
      <c r="BD2600" s="20"/>
      <c r="BE2600" s="17"/>
      <c r="BF2600" s="20"/>
      <c r="BG2600" s="146"/>
      <c r="BH2600" s="146"/>
      <c r="BI2600" s="146"/>
      <c r="BJ2600" s="20"/>
      <c r="BK2600" s="20"/>
      <c r="BL2600" s="154"/>
      <c r="BP2600" s="20"/>
      <c r="BQ2600" s="154"/>
      <c r="BR2600" s="18"/>
      <c r="BS2600" s="16"/>
      <c r="BT2600" s="18"/>
      <c r="BU2600" s="18"/>
      <c r="BV2600" s="18"/>
      <c r="BW2600" s="20"/>
      <c r="BX2600" s="154"/>
      <c r="BY2600" s="18"/>
      <c r="BZ2600" s="146"/>
      <c r="CA2600" s="18"/>
      <c r="CB2600" s="18"/>
      <c r="CC2600" s="20"/>
      <c r="CD2600" s="154"/>
    </row>
    <row r="2601" spans="35:82">
      <c r="AI2601" s="19"/>
      <c r="AO2601" s="19"/>
      <c r="AY2601" s="145"/>
      <c r="AZ2601" s="16"/>
      <c r="BC2601" s="16"/>
      <c r="BD2601" s="20"/>
      <c r="BE2601" s="17"/>
      <c r="BF2601" s="20"/>
      <c r="BG2601" s="146"/>
      <c r="BH2601" s="146"/>
      <c r="BI2601" s="146"/>
      <c r="BJ2601" s="20"/>
      <c r="BK2601" s="20"/>
      <c r="BL2601" s="154"/>
      <c r="BP2601" s="20"/>
      <c r="BQ2601" s="154"/>
      <c r="BR2601" s="18"/>
      <c r="BS2601" s="16"/>
      <c r="BT2601" s="18"/>
      <c r="BU2601" s="18"/>
      <c r="BV2601" s="18"/>
      <c r="BW2601" s="20"/>
      <c r="BX2601" s="154"/>
      <c r="BY2601" s="18"/>
      <c r="BZ2601" s="146"/>
      <c r="CA2601" s="18"/>
      <c r="CB2601" s="18"/>
      <c r="CC2601" s="20"/>
      <c r="CD2601" s="154"/>
    </row>
    <row r="2602" spans="35:82">
      <c r="AI2602" s="19"/>
      <c r="AO2602" s="19"/>
      <c r="AY2602" s="145"/>
      <c r="AZ2602" s="16"/>
      <c r="BC2602" s="16"/>
      <c r="BD2602" s="20"/>
      <c r="BE2602" s="17"/>
      <c r="BF2602" s="20"/>
      <c r="BG2602" s="146"/>
      <c r="BH2602" s="146"/>
      <c r="BI2602" s="146"/>
      <c r="BJ2602" s="20"/>
      <c r="BK2602" s="20"/>
      <c r="BL2602" s="154"/>
      <c r="BP2602" s="20"/>
      <c r="BQ2602" s="154"/>
      <c r="BR2602" s="18"/>
      <c r="BS2602" s="16"/>
      <c r="BT2602" s="18"/>
      <c r="BU2602" s="18"/>
      <c r="BV2602" s="18"/>
      <c r="BW2602" s="20"/>
      <c r="BX2602" s="154"/>
      <c r="BY2602" s="18"/>
      <c r="BZ2602" s="146"/>
      <c r="CA2602" s="18"/>
      <c r="CB2602" s="18"/>
      <c r="CC2602" s="20"/>
      <c r="CD2602" s="154"/>
    </row>
    <row r="2603" spans="35:82">
      <c r="AI2603" s="19"/>
      <c r="AO2603" s="19"/>
      <c r="AY2603" s="145"/>
      <c r="AZ2603" s="16"/>
      <c r="BC2603" s="16"/>
      <c r="BD2603" s="20"/>
      <c r="BE2603" s="17"/>
      <c r="BF2603" s="20"/>
      <c r="BG2603" s="146"/>
      <c r="BH2603" s="146"/>
      <c r="BI2603" s="146"/>
      <c r="BJ2603" s="20"/>
      <c r="BK2603" s="20"/>
      <c r="BL2603" s="154"/>
      <c r="BP2603" s="20"/>
      <c r="BQ2603" s="154"/>
      <c r="BR2603" s="18"/>
      <c r="BS2603" s="16"/>
      <c r="BT2603" s="18"/>
      <c r="BU2603" s="18"/>
      <c r="BV2603" s="18"/>
      <c r="BW2603" s="20"/>
      <c r="BX2603" s="154"/>
      <c r="BY2603" s="18"/>
      <c r="BZ2603" s="146"/>
      <c r="CA2603" s="18"/>
      <c r="CB2603" s="18"/>
      <c r="CC2603" s="20"/>
      <c r="CD2603" s="154"/>
    </row>
    <row r="2604" spans="35:82">
      <c r="AI2604" s="19"/>
      <c r="AO2604" s="19"/>
      <c r="AY2604" s="145"/>
      <c r="AZ2604" s="16"/>
      <c r="BC2604" s="16"/>
      <c r="BD2604" s="20"/>
      <c r="BE2604" s="17"/>
      <c r="BF2604" s="20"/>
      <c r="BG2604" s="146"/>
      <c r="BH2604" s="146"/>
      <c r="BI2604" s="146"/>
      <c r="BJ2604" s="20"/>
      <c r="BK2604" s="20"/>
      <c r="BL2604" s="154"/>
      <c r="BP2604" s="20"/>
      <c r="BQ2604" s="154"/>
      <c r="BR2604" s="18"/>
      <c r="BS2604" s="16"/>
      <c r="BT2604" s="18"/>
      <c r="BU2604" s="18"/>
      <c r="BV2604" s="18"/>
      <c r="BW2604" s="20"/>
      <c r="BX2604" s="154"/>
      <c r="BY2604" s="18"/>
      <c r="BZ2604" s="146"/>
      <c r="CA2604" s="18"/>
      <c r="CB2604" s="18"/>
      <c r="CC2604" s="20"/>
      <c r="CD2604" s="154"/>
    </row>
    <row r="2605" spans="35:82">
      <c r="AI2605" s="19"/>
      <c r="AO2605" s="19"/>
      <c r="AY2605" s="145"/>
      <c r="AZ2605" s="16"/>
      <c r="BC2605" s="16"/>
      <c r="BD2605" s="20"/>
      <c r="BE2605" s="17"/>
      <c r="BF2605" s="20"/>
      <c r="BG2605" s="146"/>
      <c r="BH2605" s="146"/>
      <c r="BI2605" s="146"/>
      <c r="BJ2605" s="20"/>
      <c r="BK2605" s="20"/>
      <c r="BL2605" s="154"/>
      <c r="BP2605" s="20"/>
      <c r="BQ2605" s="154"/>
      <c r="BR2605" s="18"/>
      <c r="BS2605" s="16"/>
      <c r="BT2605" s="18"/>
      <c r="BU2605" s="18"/>
      <c r="BV2605" s="18"/>
      <c r="BW2605" s="20"/>
      <c r="BX2605" s="154"/>
      <c r="BY2605" s="18"/>
      <c r="BZ2605" s="146"/>
      <c r="CA2605" s="18"/>
      <c r="CB2605" s="18"/>
      <c r="CC2605" s="20"/>
      <c r="CD2605" s="154"/>
    </row>
    <row r="2606" spans="35:82">
      <c r="AI2606" s="19"/>
      <c r="AO2606" s="19"/>
      <c r="AY2606" s="145"/>
      <c r="AZ2606" s="16"/>
      <c r="BC2606" s="16"/>
      <c r="BD2606" s="20"/>
      <c r="BE2606" s="17"/>
      <c r="BF2606" s="20"/>
      <c r="BG2606" s="146"/>
      <c r="BH2606" s="146"/>
      <c r="BI2606" s="146"/>
      <c r="BJ2606" s="20"/>
      <c r="BK2606" s="20"/>
      <c r="BL2606" s="154"/>
      <c r="BP2606" s="20"/>
      <c r="BQ2606" s="154"/>
      <c r="BR2606" s="18"/>
      <c r="BS2606" s="16"/>
      <c r="BT2606" s="18"/>
      <c r="BU2606" s="18"/>
      <c r="BV2606" s="18"/>
      <c r="BW2606" s="20"/>
      <c r="BX2606" s="154"/>
      <c r="BY2606" s="18"/>
      <c r="BZ2606" s="146"/>
      <c r="CA2606" s="18"/>
      <c r="CB2606" s="18"/>
      <c r="CC2606" s="20"/>
      <c r="CD2606" s="154"/>
    </row>
    <row r="2607" spans="35:82">
      <c r="AI2607" s="19"/>
      <c r="AO2607" s="19"/>
      <c r="AY2607" s="145"/>
      <c r="AZ2607" s="16"/>
      <c r="BC2607" s="16"/>
      <c r="BD2607" s="20"/>
      <c r="BE2607" s="17"/>
      <c r="BF2607" s="20"/>
      <c r="BG2607" s="146"/>
      <c r="BH2607" s="146"/>
      <c r="BI2607" s="146"/>
      <c r="BJ2607" s="20"/>
      <c r="BK2607" s="20"/>
      <c r="BL2607" s="154"/>
      <c r="BP2607" s="20"/>
      <c r="BQ2607" s="154"/>
      <c r="BR2607" s="18"/>
      <c r="BS2607" s="16"/>
      <c r="BT2607" s="18"/>
      <c r="BU2607" s="18"/>
      <c r="BV2607" s="18"/>
      <c r="BW2607" s="20"/>
      <c r="BX2607" s="154"/>
      <c r="BY2607" s="18"/>
      <c r="BZ2607" s="146"/>
      <c r="CA2607" s="18"/>
      <c r="CB2607" s="18"/>
      <c r="CC2607" s="20"/>
      <c r="CD2607" s="154"/>
    </row>
    <row r="2608" spans="35:82">
      <c r="AI2608" s="19"/>
      <c r="AO2608" s="19"/>
      <c r="AY2608" s="145"/>
      <c r="AZ2608" s="16"/>
      <c r="BC2608" s="16"/>
      <c r="BD2608" s="20"/>
      <c r="BE2608" s="17"/>
      <c r="BF2608" s="20"/>
      <c r="BG2608" s="146"/>
      <c r="BH2608" s="146"/>
      <c r="BI2608" s="146"/>
      <c r="BJ2608" s="20"/>
      <c r="BK2608" s="20"/>
      <c r="BL2608" s="154"/>
      <c r="BP2608" s="20"/>
      <c r="BQ2608" s="154"/>
      <c r="BR2608" s="18"/>
      <c r="BS2608" s="16"/>
      <c r="BT2608" s="18"/>
      <c r="BU2608" s="18"/>
      <c r="BV2608" s="18"/>
      <c r="BW2608" s="20"/>
      <c r="BX2608" s="154"/>
      <c r="BY2608" s="18"/>
      <c r="BZ2608" s="146"/>
      <c r="CA2608" s="18"/>
      <c r="CB2608" s="18"/>
      <c r="CC2608" s="20"/>
      <c r="CD2608" s="154"/>
    </row>
    <row r="2609" spans="27:82">
      <c r="AI2609" s="19"/>
      <c r="AO2609" s="19"/>
      <c r="AY2609" s="145"/>
      <c r="AZ2609" s="16"/>
      <c r="BC2609" s="16"/>
      <c r="BD2609" s="20"/>
      <c r="BE2609" s="17"/>
      <c r="BF2609" s="20"/>
      <c r="BG2609" s="146"/>
      <c r="BH2609" s="146"/>
      <c r="BI2609" s="146"/>
      <c r="BJ2609" s="20"/>
      <c r="BK2609" s="20"/>
      <c r="BL2609" s="154"/>
      <c r="BP2609" s="20"/>
      <c r="BQ2609" s="154"/>
      <c r="BR2609" s="18"/>
      <c r="BS2609" s="16"/>
      <c r="BT2609" s="18"/>
      <c r="BU2609" s="18"/>
      <c r="BV2609" s="18"/>
      <c r="BW2609" s="20"/>
      <c r="BX2609" s="154"/>
      <c r="BY2609" s="18"/>
      <c r="BZ2609" s="146"/>
      <c r="CA2609" s="18"/>
      <c r="CB2609" s="18"/>
      <c r="CC2609" s="20"/>
      <c r="CD2609" s="154"/>
    </row>
    <row r="2610" spans="27:82">
      <c r="AI2610" s="19"/>
      <c r="AO2610" s="19"/>
      <c r="AY2610" s="145"/>
      <c r="AZ2610" s="16"/>
      <c r="BC2610" s="16"/>
      <c r="BD2610" s="20"/>
      <c r="BE2610" s="17"/>
      <c r="BF2610" s="20"/>
      <c r="BG2610" s="146"/>
      <c r="BH2610" s="146"/>
      <c r="BI2610" s="146"/>
      <c r="BJ2610" s="20"/>
      <c r="BK2610" s="20"/>
      <c r="BL2610" s="154"/>
      <c r="BP2610" s="20"/>
      <c r="BQ2610" s="154"/>
      <c r="BR2610" s="18"/>
      <c r="BS2610" s="16"/>
      <c r="BT2610" s="18"/>
      <c r="BU2610" s="18"/>
      <c r="BV2610" s="18"/>
      <c r="BW2610" s="20"/>
      <c r="BX2610" s="154"/>
      <c r="BY2610" s="18"/>
      <c r="BZ2610" s="146"/>
      <c r="CA2610" s="18"/>
      <c r="CB2610" s="18"/>
      <c r="CC2610" s="20"/>
      <c r="CD2610" s="154"/>
    </row>
    <row r="2611" spans="27:82">
      <c r="AI2611" s="19"/>
      <c r="AO2611" s="19"/>
      <c r="AY2611" s="145"/>
      <c r="AZ2611" s="16"/>
      <c r="BC2611" s="16"/>
      <c r="BD2611" s="20"/>
      <c r="BE2611" s="17"/>
      <c r="BF2611" s="20"/>
      <c r="BG2611" s="146"/>
      <c r="BH2611" s="146"/>
      <c r="BI2611" s="146"/>
      <c r="BJ2611" s="20"/>
      <c r="BK2611" s="20"/>
      <c r="BL2611" s="154"/>
      <c r="BP2611" s="20"/>
      <c r="BQ2611" s="154"/>
      <c r="BR2611" s="18"/>
      <c r="BS2611" s="16"/>
      <c r="BT2611" s="18"/>
      <c r="BU2611" s="18"/>
      <c r="BV2611" s="18"/>
      <c r="BW2611" s="20"/>
      <c r="BX2611" s="154"/>
      <c r="BY2611" s="18"/>
      <c r="BZ2611" s="146"/>
      <c r="CA2611" s="18"/>
      <c r="CB2611" s="18"/>
      <c r="CC2611" s="20"/>
      <c r="CD2611" s="154"/>
    </row>
    <row r="2612" spans="27:82">
      <c r="AI2612" s="19"/>
      <c r="AO2612" s="19"/>
      <c r="AY2612" s="145"/>
      <c r="AZ2612" s="16"/>
      <c r="BC2612" s="16"/>
      <c r="BD2612" s="20"/>
      <c r="BE2612" s="17"/>
      <c r="BF2612" s="20"/>
      <c r="BG2612" s="146"/>
      <c r="BH2612" s="146"/>
      <c r="BI2612" s="146"/>
      <c r="BJ2612" s="20"/>
      <c r="BK2612" s="20"/>
      <c r="BL2612" s="154"/>
      <c r="BP2612" s="20"/>
      <c r="BQ2612" s="154"/>
      <c r="BR2612" s="18"/>
      <c r="BS2612" s="16"/>
      <c r="BT2612" s="18"/>
      <c r="BU2612" s="18"/>
      <c r="BV2612" s="18"/>
      <c r="BW2612" s="20"/>
      <c r="BX2612" s="154"/>
      <c r="BY2612" s="18"/>
      <c r="BZ2612" s="146"/>
      <c r="CA2612" s="18"/>
      <c r="CB2612" s="18"/>
      <c r="CC2612" s="20"/>
      <c r="CD2612" s="154"/>
    </row>
    <row r="2613" spans="27:82">
      <c r="AI2613" s="19"/>
      <c r="AO2613" s="19"/>
      <c r="AY2613" s="145"/>
      <c r="AZ2613" s="16"/>
      <c r="BC2613" s="16"/>
      <c r="BD2613" s="20"/>
      <c r="BE2613" s="17"/>
      <c r="BF2613" s="20"/>
      <c r="BG2613" s="146"/>
      <c r="BH2613" s="146"/>
      <c r="BI2613" s="146"/>
      <c r="BJ2613" s="20"/>
      <c r="BK2613" s="20"/>
      <c r="BL2613" s="154"/>
      <c r="BP2613" s="20"/>
      <c r="BQ2613" s="154"/>
      <c r="BR2613" s="18"/>
      <c r="BS2613" s="16"/>
      <c r="BT2613" s="18"/>
      <c r="BU2613" s="18"/>
      <c r="BV2613" s="18"/>
      <c r="BW2613" s="20"/>
      <c r="BX2613" s="154"/>
      <c r="BY2613" s="18"/>
      <c r="BZ2613" s="146"/>
      <c r="CA2613" s="18"/>
      <c r="CB2613" s="18"/>
      <c r="CC2613" s="20"/>
      <c r="CD2613" s="154"/>
    </row>
    <row r="2614" spans="27:82">
      <c r="AI2614" s="19"/>
      <c r="AO2614" s="19"/>
      <c r="AY2614" s="145"/>
      <c r="AZ2614" s="16"/>
      <c r="BC2614" s="16"/>
      <c r="BD2614" s="20"/>
      <c r="BE2614" s="17"/>
      <c r="BF2614" s="20"/>
      <c r="BG2614" s="146"/>
      <c r="BH2614" s="146"/>
      <c r="BI2614" s="146"/>
      <c r="BJ2614" s="20"/>
      <c r="BK2614" s="20"/>
      <c r="BL2614" s="154"/>
      <c r="BP2614" s="20"/>
      <c r="BQ2614" s="154"/>
      <c r="BR2614" s="18"/>
      <c r="BS2614" s="16"/>
      <c r="BT2614" s="18"/>
      <c r="BU2614" s="18"/>
      <c r="BV2614" s="18"/>
      <c r="BW2614" s="20"/>
      <c r="BX2614" s="154"/>
      <c r="BY2614" s="18"/>
      <c r="BZ2614" s="146"/>
      <c r="CA2614" s="18"/>
      <c r="CB2614" s="18"/>
      <c r="CC2614" s="20"/>
      <c r="CD2614" s="154"/>
    </row>
    <row r="2615" spans="27:82">
      <c r="AI2615" s="19"/>
      <c r="AO2615" s="19"/>
      <c r="AY2615" s="145"/>
      <c r="AZ2615" s="16"/>
      <c r="BC2615" s="16"/>
      <c r="BD2615" s="20"/>
      <c r="BE2615" s="17"/>
      <c r="BF2615" s="20"/>
      <c r="BG2615" s="146"/>
      <c r="BH2615" s="146"/>
      <c r="BI2615" s="146"/>
      <c r="BJ2615" s="20"/>
      <c r="BK2615" s="20"/>
      <c r="BL2615" s="154"/>
      <c r="BP2615" s="20"/>
      <c r="BQ2615" s="154"/>
      <c r="BR2615" s="18"/>
      <c r="BS2615" s="16"/>
      <c r="BT2615" s="18"/>
      <c r="BU2615" s="18"/>
      <c r="BV2615" s="18"/>
      <c r="BW2615" s="20"/>
      <c r="BX2615" s="154"/>
      <c r="BY2615" s="18"/>
      <c r="BZ2615" s="146"/>
      <c r="CA2615" s="18"/>
      <c r="CB2615" s="18"/>
      <c r="CC2615" s="20"/>
      <c r="CD2615" s="154"/>
    </row>
    <row r="2616" spans="27:82">
      <c r="AI2616" s="19"/>
      <c r="AO2616" s="19"/>
      <c r="AY2616" s="145"/>
      <c r="AZ2616" s="16"/>
      <c r="BC2616" s="16"/>
      <c r="BD2616" s="20"/>
      <c r="BE2616" s="17"/>
      <c r="BF2616" s="20"/>
      <c r="BG2616" s="146"/>
      <c r="BH2616" s="146"/>
      <c r="BI2616" s="146"/>
      <c r="BJ2616" s="20"/>
      <c r="BK2616" s="20"/>
      <c r="BL2616" s="154"/>
      <c r="BP2616" s="20"/>
      <c r="BQ2616" s="154"/>
      <c r="BR2616" s="18"/>
      <c r="BS2616" s="16"/>
      <c r="BT2616" s="18"/>
      <c r="BU2616" s="18"/>
      <c r="BV2616" s="18"/>
      <c r="BW2616" s="20"/>
      <c r="BX2616" s="154"/>
      <c r="BY2616" s="18"/>
      <c r="BZ2616" s="146"/>
      <c r="CA2616" s="18"/>
      <c r="CB2616" s="18"/>
      <c r="CC2616" s="20"/>
      <c r="CD2616" s="154"/>
    </row>
    <row r="2617" spans="27:82">
      <c r="AI2617" s="19"/>
      <c r="AO2617" s="19"/>
      <c r="AY2617" s="145"/>
      <c r="AZ2617" s="16"/>
      <c r="BC2617" s="16"/>
      <c r="BD2617" s="20"/>
      <c r="BE2617" s="17"/>
      <c r="BF2617" s="20"/>
      <c r="BG2617" s="146"/>
      <c r="BH2617" s="146"/>
      <c r="BI2617" s="146"/>
      <c r="BJ2617" s="20"/>
      <c r="BK2617" s="20"/>
      <c r="BL2617" s="154"/>
      <c r="BP2617" s="20"/>
      <c r="BQ2617" s="154"/>
      <c r="BR2617" s="18"/>
      <c r="BS2617" s="16"/>
      <c r="BT2617" s="18"/>
      <c r="BU2617" s="18"/>
      <c r="BV2617" s="18"/>
      <c r="BW2617" s="20"/>
      <c r="BX2617" s="154"/>
      <c r="BY2617" s="18"/>
      <c r="BZ2617" s="146"/>
      <c r="CA2617" s="18"/>
      <c r="CB2617" s="18"/>
      <c r="CC2617" s="20"/>
      <c r="CD2617" s="154"/>
    </row>
    <row r="2618" spans="27:82">
      <c r="AA2618" s="160"/>
      <c r="AB2618" s="161"/>
      <c r="AC2618" s="162"/>
      <c r="AD2618" s="162"/>
      <c r="AE2618" s="163"/>
      <c r="AF2618" s="163"/>
      <c r="AG2618" s="163"/>
      <c r="AH2618" s="163"/>
      <c r="AI2618" s="164"/>
      <c r="AJ2618" s="165"/>
      <c r="AK2618" s="165"/>
      <c r="AL2618" s="165"/>
      <c r="AM2618" s="165"/>
      <c r="AN2618" s="165"/>
      <c r="AO2618" s="164"/>
      <c r="AP2618" s="165"/>
      <c r="AQ2618" s="165"/>
      <c r="AR2618" s="161"/>
      <c r="AS2618" s="156"/>
      <c r="AT2618" s="156"/>
      <c r="AU2618" s="156"/>
      <c r="AV2618" s="156"/>
      <c r="AW2618" s="156"/>
      <c r="AX2618" s="156"/>
      <c r="AY2618" s="166"/>
      <c r="AZ2618" s="157"/>
      <c r="BA2618" s="157"/>
      <c r="BB2618" s="157"/>
      <c r="BC2618" s="157"/>
      <c r="BD2618" s="155"/>
      <c r="BE2618" s="167"/>
      <c r="BF2618" s="155"/>
      <c r="BG2618" s="159"/>
      <c r="BH2618" s="159"/>
      <c r="BI2618" s="159"/>
      <c r="BJ2618" s="155"/>
      <c r="BK2618" s="155"/>
      <c r="BL2618" s="13"/>
      <c r="BM2618" s="156"/>
      <c r="BN2618" s="157"/>
      <c r="BO2618" s="157"/>
      <c r="BP2618" s="155"/>
      <c r="BQ2618" s="13"/>
      <c r="BR2618" s="158"/>
      <c r="BS2618" s="157"/>
      <c r="BT2618" s="158"/>
      <c r="BU2618" s="158"/>
      <c r="BV2618" s="158"/>
      <c r="BW2618" s="155"/>
      <c r="BX2618" s="13"/>
      <c r="BY2618" s="158"/>
      <c r="BZ2618" s="159"/>
      <c r="CA2618" s="158"/>
      <c r="CB2618" s="158"/>
      <c r="CC2618" s="155"/>
      <c r="CD2618" s="13"/>
    </row>
    <row r="2619" spans="27:82">
      <c r="AI2619" s="19"/>
      <c r="AO2619" s="19"/>
      <c r="AY2619" s="145"/>
      <c r="AZ2619" s="16"/>
      <c r="BC2619" s="16"/>
      <c r="BD2619" s="20"/>
      <c r="BE2619" s="17"/>
      <c r="BF2619" s="20"/>
      <c r="BG2619" s="146"/>
      <c r="BH2619" s="146"/>
      <c r="BI2619" s="146"/>
      <c r="BJ2619" s="20"/>
      <c r="BK2619" s="20"/>
      <c r="BL2619" s="13"/>
      <c r="BP2619" s="20"/>
      <c r="BQ2619" s="13"/>
      <c r="BR2619" s="18"/>
      <c r="BS2619" s="16"/>
      <c r="BT2619" s="18"/>
      <c r="BU2619" s="18"/>
      <c r="BV2619" s="18"/>
      <c r="BW2619" s="20"/>
      <c r="BX2619" s="13"/>
      <c r="BY2619" s="18"/>
      <c r="BZ2619" s="146"/>
      <c r="CA2619" s="18"/>
      <c r="CB2619" s="18"/>
      <c r="CC2619" s="20"/>
      <c r="CD2619" s="13"/>
    </row>
    <row r="2620" spans="27:82">
      <c r="AI2620" s="19"/>
      <c r="AO2620" s="19"/>
      <c r="AY2620" s="145"/>
      <c r="AZ2620" s="16"/>
      <c r="BC2620" s="16"/>
      <c r="BD2620" s="20"/>
      <c r="BE2620" s="17"/>
      <c r="BF2620" s="20"/>
      <c r="BG2620" s="146"/>
      <c r="BH2620" s="146"/>
      <c r="BI2620" s="146"/>
      <c r="BJ2620" s="20"/>
      <c r="BK2620" s="20"/>
      <c r="BL2620" s="13"/>
      <c r="BP2620" s="20"/>
      <c r="BQ2620" s="13"/>
      <c r="BR2620" s="18"/>
      <c r="BS2620" s="16"/>
      <c r="BT2620" s="18"/>
      <c r="BU2620" s="18"/>
      <c r="BV2620" s="18"/>
      <c r="BW2620" s="20"/>
      <c r="BX2620" s="13"/>
      <c r="BY2620" s="18"/>
      <c r="BZ2620" s="146"/>
      <c r="CA2620" s="18"/>
      <c r="CB2620" s="18"/>
      <c r="CC2620" s="20"/>
      <c r="CD2620" s="13"/>
    </row>
    <row r="2621" spans="27:82">
      <c r="AI2621" s="19"/>
      <c r="AO2621" s="19"/>
      <c r="AY2621" s="145"/>
      <c r="AZ2621" s="16"/>
      <c r="BC2621" s="16"/>
      <c r="BD2621" s="20"/>
      <c r="BE2621" s="17"/>
      <c r="BF2621" s="20"/>
      <c r="BG2621" s="146"/>
      <c r="BH2621" s="146"/>
      <c r="BI2621" s="146"/>
      <c r="BJ2621" s="20"/>
      <c r="BK2621" s="20"/>
      <c r="BL2621" s="13"/>
      <c r="BP2621" s="20"/>
      <c r="BQ2621" s="13"/>
      <c r="BR2621" s="18"/>
      <c r="BS2621" s="16"/>
      <c r="BT2621" s="18"/>
      <c r="BU2621" s="18"/>
      <c r="BV2621" s="18"/>
      <c r="BW2621" s="20"/>
      <c r="BX2621" s="13"/>
      <c r="BY2621" s="18"/>
      <c r="BZ2621" s="146"/>
      <c r="CA2621" s="18"/>
      <c r="CB2621" s="18"/>
      <c r="CC2621" s="20"/>
      <c r="CD2621" s="13"/>
    </row>
    <row r="2622" spans="27:82">
      <c r="AI2622" s="19"/>
      <c r="AO2622" s="19"/>
      <c r="AY2622" s="145"/>
      <c r="AZ2622" s="16"/>
      <c r="BC2622" s="16"/>
      <c r="BD2622" s="20"/>
      <c r="BE2622" s="17"/>
      <c r="BF2622" s="20"/>
      <c r="BG2622" s="146"/>
      <c r="BH2622" s="146"/>
      <c r="BI2622" s="146"/>
      <c r="BJ2622" s="20"/>
      <c r="BK2622" s="20"/>
      <c r="BL2622" s="13"/>
      <c r="BP2622" s="20"/>
      <c r="BQ2622" s="13"/>
      <c r="BR2622" s="18"/>
      <c r="BS2622" s="16"/>
      <c r="BT2622" s="18"/>
      <c r="BU2622" s="18"/>
      <c r="BV2622" s="18"/>
      <c r="BW2622" s="20"/>
      <c r="BX2622" s="13"/>
      <c r="BY2622" s="18"/>
      <c r="BZ2622" s="146"/>
      <c r="CA2622" s="18"/>
      <c r="CB2622" s="18"/>
      <c r="CC2622" s="20"/>
      <c r="CD2622" s="13"/>
    </row>
    <row r="2623" spans="27:82">
      <c r="AI2623" s="19"/>
      <c r="AO2623" s="19"/>
      <c r="AY2623" s="145"/>
      <c r="AZ2623" s="16"/>
      <c r="BC2623" s="16"/>
      <c r="BD2623" s="20"/>
      <c r="BE2623" s="17"/>
      <c r="BF2623" s="20"/>
      <c r="BG2623" s="146"/>
      <c r="BH2623" s="146"/>
      <c r="BI2623" s="146"/>
      <c r="BJ2623" s="20"/>
      <c r="BK2623" s="20"/>
      <c r="BL2623" s="13"/>
      <c r="BP2623" s="20"/>
      <c r="BQ2623" s="13"/>
      <c r="BR2623" s="18"/>
      <c r="BS2623" s="16"/>
      <c r="BT2623" s="18"/>
      <c r="BU2623" s="18"/>
      <c r="BV2623" s="18"/>
      <c r="BW2623" s="20"/>
      <c r="BX2623" s="13"/>
      <c r="BY2623" s="18"/>
      <c r="BZ2623" s="146"/>
      <c r="CA2623" s="18"/>
      <c r="CB2623" s="18"/>
      <c r="CC2623" s="20"/>
      <c r="CD2623" s="13"/>
    </row>
    <row r="2624" spans="27:82">
      <c r="AI2624" s="19"/>
      <c r="AO2624" s="19"/>
      <c r="AY2624" s="145"/>
      <c r="AZ2624" s="16"/>
      <c r="BC2624" s="16"/>
      <c r="BD2624" s="20"/>
      <c r="BE2624" s="17"/>
      <c r="BF2624" s="20"/>
      <c r="BG2624" s="146"/>
      <c r="BH2624" s="146"/>
      <c r="BI2624" s="146"/>
      <c r="BJ2624" s="20"/>
      <c r="BK2624" s="20"/>
      <c r="BL2624" s="13"/>
      <c r="BP2624" s="20"/>
      <c r="BQ2624" s="13"/>
      <c r="BR2624" s="18"/>
      <c r="BS2624" s="16"/>
      <c r="BT2624" s="18"/>
      <c r="BU2624" s="18"/>
      <c r="BV2624" s="18"/>
      <c r="BW2624" s="20"/>
      <c r="BX2624" s="13"/>
      <c r="BY2624" s="18"/>
      <c r="BZ2624" s="146"/>
      <c r="CA2624" s="18"/>
      <c r="CB2624" s="18"/>
      <c r="CC2624" s="20"/>
      <c r="CD2624" s="13"/>
    </row>
    <row r="2625" spans="35:82">
      <c r="AI2625" s="19"/>
      <c r="AO2625" s="19"/>
      <c r="AY2625" s="145"/>
      <c r="AZ2625" s="16"/>
      <c r="BC2625" s="16"/>
      <c r="BD2625" s="20"/>
      <c r="BE2625" s="17"/>
      <c r="BF2625" s="20"/>
      <c r="BG2625" s="146"/>
      <c r="BH2625" s="146"/>
      <c r="BI2625" s="146"/>
      <c r="BJ2625" s="20"/>
      <c r="BK2625" s="20"/>
      <c r="BL2625" s="13"/>
      <c r="BP2625" s="20"/>
      <c r="BQ2625" s="13"/>
      <c r="BR2625" s="18"/>
      <c r="BS2625" s="16"/>
      <c r="BT2625" s="18"/>
      <c r="BU2625" s="18"/>
      <c r="BV2625" s="18"/>
      <c r="BW2625" s="20"/>
      <c r="BX2625" s="13"/>
      <c r="BY2625" s="18"/>
      <c r="BZ2625" s="146"/>
      <c r="CA2625" s="18"/>
      <c r="CB2625" s="18"/>
      <c r="CC2625" s="20"/>
      <c r="CD2625" s="13"/>
    </row>
    <row r="2626" spans="35:82">
      <c r="AI2626" s="19"/>
      <c r="AO2626" s="19"/>
      <c r="AY2626" s="145"/>
      <c r="AZ2626" s="16"/>
      <c r="BC2626" s="16"/>
      <c r="BD2626" s="20"/>
      <c r="BE2626" s="17"/>
      <c r="BF2626" s="20"/>
      <c r="BG2626" s="146"/>
      <c r="BH2626" s="146"/>
      <c r="BI2626" s="146"/>
      <c r="BJ2626" s="20"/>
      <c r="BK2626" s="20"/>
      <c r="BL2626" s="13"/>
      <c r="BP2626" s="20"/>
      <c r="BQ2626" s="13"/>
      <c r="BR2626" s="18"/>
      <c r="BS2626" s="16"/>
      <c r="BT2626" s="18"/>
      <c r="BU2626" s="18"/>
      <c r="BV2626" s="18"/>
      <c r="BW2626" s="20"/>
      <c r="BX2626" s="13"/>
      <c r="BY2626" s="18"/>
      <c r="BZ2626" s="146"/>
      <c r="CA2626" s="18"/>
      <c r="CB2626" s="18"/>
      <c r="CC2626" s="20"/>
      <c r="CD2626" s="13"/>
    </row>
    <row r="2627" spans="35:82">
      <c r="AI2627" s="19"/>
      <c r="AO2627" s="19"/>
      <c r="AY2627" s="145"/>
      <c r="AZ2627" s="16"/>
      <c r="BC2627" s="16"/>
      <c r="BD2627" s="20"/>
      <c r="BE2627" s="17"/>
      <c r="BF2627" s="20"/>
      <c r="BG2627" s="146"/>
      <c r="BH2627" s="146"/>
      <c r="BI2627" s="146"/>
      <c r="BJ2627" s="20"/>
      <c r="BK2627" s="20"/>
      <c r="BL2627" s="13"/>
      <c r="BP2627" s="20"/>
      <c r="BQ2627" s="13"/>
      <c r="BR2627" s="18"/>
      <c r="BS2627" s="16"/>
      <c r="BT2627" s="18"/>
      <c r="BU2627" s="18"/>
      <c r="BV2627" s="18"/>
      <c r="BW2627" s="20"/>
      <c r="BX2627" s="13"/>
      <c r="BY2627" s="18"/>
      <c r="BZ2627" s="146"/>
      <c r="CA2627" s="18"/>
      <c r="CB2627" s="18"/>
      <c r="CC2627" s="20"/>
      <c r="CD2627" s="13"/>
    </row>
    <row r="2628" spans="35:82">
      <c r="AI2628" s="19"/>
      <c r="AO2628" s="19"/>
      <c r="AY2628" s="145"/>
      <c r="AZ2628" s="16"/>
      <c r="BC2628" s="16"/>
      <c r="BD2628" s="20"/>
      <c r="BE2628" s="17"/>
      <c r="BF2628" s="20"/>
      <c r="BG2628" s="146"/>
      <c r="BH2628" s="146"/>
      <c r="BI2628" s="146"/>
      <c r="BJ2628" s="20"/>
      <c r="BK2628" s="20"/>
      <c r="BL2628" s="13"/>
      <c r="BP2628" s="20"/>
      <c r="BQ2628" s="13"/>
      <c r="BR2628" s="18"/>
      <c r="BS2628" s="16"/>
      <c r="BT2628" s="18"/>
      <c r="BU2628" s="18"/>
      <c r="BV2628" s="18"/>
      <c r="BW2628" s="20"/>
      <c r="BX2628" s="13"/>
      <c r="BY2628" s="18"/>
      <c r="BZ2628" s="146"/>
      <c r="CA2628" s="18"/>
      <c r="CB2628" s="18"/>
      <c r="CC2628" s="20"/>
      <c r="CD2628" s="13"/>
    </row>
    <row r="2629" spans="35:82">
      <c r="AI2629" s="19"/>
      <c r="AO2629" s="19"/>
      <c r="AY2629" s="145"/>
      <c r="AZ2629" s="16"/>
      <c r="BC2629" s="16"/>
      <c r="BD2629" s="20"/>
      <c r="BE2629" s="17"/>
      <c r="BF2629" s="20"/>
      <c r="BG2629" s="146"/>
      <c r="BH2629" s="146"/>
      <c r="BI2629" s="146"/>
      <c r="BJ2629" s="20"/>
      <c r="BK2629" s="20"/>
      <c r="BL2629" s="13"/>
      <c r="BP2629" s="20"/>
      <c r="BQ2629" s="13"/>
      <c r="BR2629" s="18"/>
      <c r="BS2629" s="16"/>
      <c r="BT2629" s="18"/>
      <c r="BU2629" s="18"/>
      <c r="BV2629" s="18"/>
      <c r="BW2629" s="20"/>
      <c r="BX2629" s="13"/>
      <c r="BY2629" s="18"/>
      <c r="BZ2629" s="146"/>
      <c r="CA2629" s="18"/>
      <c r="CB2629" s="18"/>
      <c r="CC2629" s="20"/>
      <c r="CD2629" s="13"/>
    </row>
    <row r="2630" spans="35:82">
      <c r="AI2630" s="19"/>
      <c r="AO2630" s="19"/>
      <c r="AY2630" s="145"/>
      <c r="AZ2630" s="16"/>
      <c r="BC2630" s="16"/>
      <c r="BD2630" s="20"/>
      <c r="BE2630" s="17"/>
      <c r="BF2630" s="20"/>
      <c r="BG2630" s="146"/>
      <c r="BH2630" s="146"/>
      <c r="BI2630" s="146"/>
      <c r="BJ2630" s="20"/>
      <c r="BK2630" s="20"/>
      <c r="BL2630" s="13"/>
      <c r="BP2630" s="20"/>
      <c r="BQ2630" s="13"/>
      <c r="BR2630" s="18"/>
      <c r="BS2630" s="16"/>
      <c r="BT2630" s="18"/>
      <c r="BU2630" s="18"/>
      <c r="BV2630" s="18"/>
      <c r="BW2630" s="20"/>
      <c r="BX2630" s="13"/>
      <c r="BY2630" s="18"/>
      <c r="BZ2630" s="146"/>
      <c r="CA2630" s="18"/>
      <c r="CB2630" s="18"/>
      <c r="CC2630" s="20"/>
      <c r="CD2630" s="13"/>
    </row>
    <row r="2631" spans="35:82">
      <c r="AI2631" s="19"/>
      <c r="AO2631" s="19"/>
      <c r="AY2631" s="145"/>
      <c r="AZ2631" s="16"/>
      <c r="BC2631" s="16"/>
      <c r="BD2631" s="20"/>
      <c r="BE2631" s="17"/>
      <c r="BF2631" s="20"/>
      <c r="BG2631" s="146"/>
      <c r="BH2631" s="146"/>
      <c r="BI2631" s="146"/>
      <c r="BJ2631" s="20"/>
      <c r="BK2631" s="20"/>
      <c r="BL2631" s="13"/>
      <c r="BP2631" s="20"/>
      <c r="BQ2631" s="13"/>
      <c r="BR2631" s="18"/>
      <c r="BS2631" s="16"/>
      <c r="BT2631" s="18"/>
      <c r="BU2631" s="18"/>
      <c r="BV2631" s="18"/>
      <c r="BW2631" s="20"/>
      <c r="BX2631" s="13"/>
      <c r="BY2631" s="18"/>
      <c r="BZ2631" s="146"/>
      <c r="CA2631" s="18"/>
      <c r="CB2631" s="18"/>
      <c r="CC2631" s="20"/>
      <c r="CD2631" s="13"/>
    </row>
    <row r="2632" spans="35:82">
      <c r="AI2632" s="19"/>
      <c r="AO2632" s="19"/>
      <c r="AY2632" s="145"/>
      <c r="AZ2632" s="16"/>
      <c r="BC2632" s="16"/>
      <c r="BD2632" s="20"/>
      <c r="BE2632" s="17"/>
      <c r="BF2632" s="20"/>
      <c r="BG2632" s="146"/>
      <c r="BH2632" s="146"/>
      <c r="BI2632" s="146"/>
      <c r="BJ2632" s="20"/>
      <c r="BK2632" s="20"/>
      <c r="BL2632" s="13"/>
      <c r="BP2632" s="20"/>
      <c r="BQ2632" s="13"/>
      <c r="BR2632" s="18"/>
      <c r="BS2632" s="16"/>
      <c r="BT2632" s="18"/>
      <c r="BU2632" s="18"/>
      <c r="BV2632" s="18"/>
      <c r="BW2632" s="20"/>
      <c r="BX2632" s="13"/>
      <c r="BY2632" s="18"/>
      <c r="BZ2632" s="146"/>
      <c r="CA2632" s="18"/>
      <c r="CB2632" s="18"/>
      <c r="CC2632" s="20"/>
      <c r="CD2632" s="13"/>
    </row>
    <row r="2633" spans="35:82">
      <c r="AI2633" s="19"/>
      <c r="AO2633" s="19"/>
      <c r="AY2633" s="145"/>
      <c r="AZ2633" s="16"/>
      <c r="BC2633" s="16"/>
      <c r="BD2633" s="20"/>
      <c r="BE2633" s="17"/>
      <c r="BF2633" s="20"/>
      <c r="BG2633" s="146"/>
      <c r="BH2633" s="146"/>
      <c r="BI2633" s="146"/>
      <c r="BJ2633" s="20"/>
      <c r="BK2633" s="20"/>
      <c r="BL2633" s="13"/>
      <c r="BP2633" s="20"/>
      <c r="BQ2633" s="13"/>
      <c r="BR2633" s="18"/>
      <c r="BS2633" s="16"/>
      <c r="BT2633" s="18"/>
      <c r="BU2633" s="18"/>
      <c r="BV2633" s="18"/>
      <c r="BW2633" s="20"/>
      <c r="BX2633" s="13"/>
      <c r="BY2633" s="18"/>
      <c r="BZ2633" s="146"/>
      <c r="CA2633" s="18"/>
      <c r="CB2633" s="18"/>
      <c r="CC2633" s="20"/>
      <c r="CD2633" s="13"/>
    </row>
    <row r="2634" spans="35:82">
      <c r="AI2634" s="19"/>
      <c r="AO2634" s="19"/>
      <c r="AY2634" s="145"/>
      <c r="AZ2634" s="16"/>
      <c r="BC2634" s="16"/>
      <c r="BD2634" s="20"/>
      <c r="BE2634" s="17"/>
      <c r="BF2634" s="20"/>
      <c r="BG2634" s="146"/>
      <c r="BH2634" s="146"/>
      <c r="BI2634" s="146"/>
      <c r="BJ2634" s="20"/>
      <c r="BK2634" s="20"/>
      <c r="BL2634" s="13"/>
      <c r="BP2634" s="20"/>
      <c r="BQ2634" s="13"/>
      <c r="BR2634" s="18"/>
      <c r="BS2634" s="16"/>
      <c r="BT2634" s="18"/>
      <c r="BU2634" s="18"/>
      <c r="BV2634" s="18"/>
      <c r="BW2634" s="20"/>
      <c r="BX2634" s="13"/>
      <c r="BY2634" s="18"/>
      <c r="BZ2634" s="146"/>
      <c r="CA2634" s="18"/>
      <c r="CB2634" s="18"/>
      <c r="CC2634" s="20"/>
      <c r="CD2634" s="13"/>
    </row>
    <row r="2635" spans="35:82">
      <c r="AI2635" s="19"/>
      <c r="AO2635" s="19"/>
      <c r="AY2635" s="145"/>
      <c r="AZ2635" s="16"/>
      <c r="BC2635" s="16"/>
      <c r="BD2635" s="20"/>
      <c r="BE2635" s="17"/>
      <c r="BF2635" s="20"/>
      <c r="BG2635" s="146"/>
      <c r="BH2635" s="146"/>
      <c r="BI2635" s="146"/>
      <c r="BJ2635" s="20"/>
      <c r="BK2635" s="20"/>
      <c r="BL2635" s="13"/>
      <c r="BP2635" s="20"/>
      <c r="BQ2635" s="13"/>
      <c r="BR2635" s="18"/>
      <c r="BS2635" s="16"/>
      <c r="BT2635" s="18"/>
      <c r="BU2635" s="18"/>
      <c r="BV2635" s="18"/>
      <c r="BW2635" s="20"/>
      <c r="BX2635" s="13"/>
      <c r="BY2635" s="18"/>
      <c r="BZ2635" s="146"/>
      <c r="CA2635" s="18"/>
      <c r="CB2635" s="18"/>
      <c r="CC2635" s="20"/>
      <c r="CD2635" s="13"/>
    </row>
    <row r="2636" spans="35:82">
      <c r="AI2636" s="19"/>
      <c r="AO2636" s="19"/>
      <c r="AY2636" s="145"/>
      <c r="AZ2636" s="16"/>
      <c r="BC2636" s="16"/>
      <c r="BD2636" s="20"/>
      <c r="BE2636" s="17"/>
      <c r="BF2636" s="20"/>
      <c r="BG2636" s="146"/>
      <c r="BH2636" s="146"/>
      <c r="BI2636" s="146"/>
      <c r="BJ2636" s="20"/>
      <c r="BK2636" s="20"/>
      <c r="BL2636" s="13"/>
      <c r="BP2636" s="20"/>
      <c r="BQ2636" s="13"/>
      <c r="BR2636" s="18"/>
      <c r="BS2636" s="16"/>
      <c r="BT2636" s="18"/>
      <c r="BU2636" s="18"/>
      <c r="BV2636" s="18"/>
      <c r="BW2636" s="20"/>
      <c r="BX2636" s="13"/>
      <c r="BY2636" s="18"/>
      <c r="BZ2636" s="146"/>
      <c r="CA2636" s="18"/>
      <c r="CB2636" s="18"/>
      <c r="CC2636" s="20"/>
      <c r="CD2636" s="13"/>
    </row>
    <row r="2637" spans="35:82">
      <c r="AI2637" s="19"/>
      <c r="AO2637" s="19"/>
      <c r="AY2637" s="145"/>
      <c r="AZ2637" s="16"/>
      <c r="BC2637" s="16"/>
      <c r="BD2637" s="20"/>
      <c r="BE2637" s="17"/>
      <c r="BF2637" s="20"/>
      <c r="BG2637" s="146"/>
      <c r="BH2637" s="146"/>
      <c r="BI2637" s="146"/>
      <c r="BJ2637" s="20"/>
      <c r="BK2637" s="20"/>
      <c r="BL2637" s="13"/>
      <c r="BP2637" s="20"/>
      <c r="BQ2637" s="13"/>
      <c r="BR2637" s="18"/>
      <c r="BS2637" s="16"/>
      <c r="BT2637" s="18"/>
      <c r="BU2637" s="18"/>
      <c r="BV2637" s="18"/>
      <c r="BW2637" s="20"/>
      <c r="BX2637" s="13"/>
      <c r="BY2637" s="18"/>
      <c r="BZ2637" s="146"/>
      <c r="CA2637" s="18"/>
      <c r="CB2637" s="18"/>
      <c r="CC2637" s="20"/>
      <c r="CD2637" s="13"/>
    </row>
    <row r="2638" spans="35:82">
      <c r="AI2638" s="19"/>
      <c r="AO2638" s="19"/>
      <c r="AY2638" s="145"/>
      <c r="AZ2638" s="16"/>
      <c r="BC2638" s="16"/>
      <c r="BD2638" s="20"/>
      <c r="BE2638" s="17"/>
      <c r="BF2638" s="20"/>
      <c r="BG2638" s="146"/>
      <c r="BH2638" s="146"/>
      <c r="BI2638" s="146"/>
      <c r="BJ2638" s="20"/>
      <c r="BK2638" s="20"/>
      <c r="BL2638" s="13"/>
      <c r="BP2638" s="20"/>
      <c r="BQ2638" s="13"/>
      <c r="BR2638" s="18"/>
      <c r="BS2638" s="16"/>
      <c r="BT2638" s="18"/>
      <c r="BU2638" s="18"/>
      <c r="BV2638" s="18"/>
      <c r="BW2638" s="20"/>
      <c r="BX2638" s="13"/>
      <c r="BY2638" s="18"/>
      <c r="BZ2638" s="146"/>
      <c r="CA2638" s="18"/>
      <c r="CB2638" s="18"/>
      <c r="CC2638" s="20"/>
      <c r="CD2638" s="13"/>
    </row>
    <row r="2639" spans="35:82">
      <c r="AI2639" s="19"/>
      <c r="AO2639" s="19"/>
      <c r="AY2639" s="145"/>
      <c r="AZ2639" s="16"/>
      <c r="BC2639" s="16"/>
      <c r="BD2639" s="20"/>
      <c r="BE2639" s="17"/>
      <c r="BF2639" s="20"/>
      <c r="BG2639" s="146"/>
      <c r="BH2639" s="146"/>
      <c r="BI2639" s="146"/>
      <c r="BJ2639" s="20"/>
      <c r="BK2639" s="20"/>
      <c r="BL2639" s="13"/>
      <c r="BP2639" s="20"/>
      <c r="BQ2639" s="13"/>
      <c r="BR2639" s="18"/>
      <c r="BS2639" s="16"/>
      <c r="BT2639" s="18"/>
      <c r="BU2639" s="18"/>
      <c r="BV2639" s="18"/>
      <c r="BW2639" s="20"/>
      <c r="BX2639" s="13"/>
      <c r="BY2639" s="18"/>
      <c r="BZ2639" s="146"/>
      <c r="CA2639" s="18"/>
      <c r="CB2639" s="18"/>
      <c r="CC2639" s="20"/>
      <c r="CD2639" s="13"/>
    </row>
    <row r="2640" spans="35:82">
      <c r="AI2640" s="19"/>
      <c r="AO2640" s="19"/>
      <c r="AY2640" s="145"/>
      <c r="AZ2640" s="16"/>
      <c r="BC2640" s="16"/>
      <c r="BD2640" s="20"/>
      <c r="BE2640" s="17"/>
      <c r="BF2640" s="20"/>
      <c r="BG2640" s="146"/>
      <c r="BH2640" s="146"/>
      <c r="BI2640" s="146"/>
      <c r="BJ2640" s="20"/>
      <c r="BK2640" s="20"/>
      <c r="BL2640" s="13"/>
      <c r="BP2640" s="20"/>
      <c r="BQ2640" s="13"/>
      <c r="BR2640" s="18"/>
      <c r="BS2640" s="16"/>
      <c r="BT2640" s="18"/>
      <c r="BU2640" s="18"/>
      <c r="BV2640" s="18"/>
      <c r="BW2640" s="20"/>
      <c r="BX2640" s="13"/>
      <c r="BY2640" s="18"/>
      <c r="BZ2640" s="146"/>
      <c r="CA2640" s="18"/>
      <c r="CB2640" s="18"/>
      <c r="CC2640" s="20"/>
      <c r="CD2640" s="13"/>
    </row>
    <row r="2641" spans="35:82">
      <c r="AI2641" s="19"/>
      <c r="AO2641" s="19"/>
      <c r="AY2641" s="145"/>
      <c r="AZ2641" s="16"/>
      <c r="BC2641" s="16"/>
      <c r="BD2641" s="20"/>
      <c r="BE2641" s="17"/>
      <c r="BF2641" s="20"/>
      <c r="BG2641" s="146"/>
      <c r="BH2641" s="146"/>
      <c r="BI2641" s="146"/>
      <c r="BJ2641" s="20"/>
      <c r="BK2641" s="20"/>
      <c r="BL2641" s="13"/>
      <c r="BP2641" s="20"/>
      <c r="BQ2641" s="13"/>
      <c r="BR2641" s="18"/>
      <c r="BS2641" s="16"/>
      <c r="BT2641" s="18"/>
      <c r="BU2641" s="18"/>
      <c r="BV2641" s="18"/>
      <c r="BW2641" s="20"/>
      <c r="BX2641" s="13"/>
      <c r="BY2641" s="18"/>
      <c r="BZ2641" s="146"/>
      <c r="CA2641" s="18"/>
      <c r="CB2641" s="18"/>
      <c r="CC2641" s="20"/>
      <c r="CD2641" s="13"/>
    </row>
    <row r="2642" spans="35:82">
      <c r="AI2642" s="19"/>
      <c r="AO2642" s="19"/>
      <c r="AY2642" s="145"/>
      <c r="AZ2642" s="16"/>
      <c r="BC2642" s="16"/>
      <c r="BD2642" s="20"/>
      <c r="BE2642" s="17"/>
      <c r="BF2642" s="20"/>
      <c r="BG2642" s="146"/>
      <c r="BH2642" s="146"/>
      <c r="BI2642" s="146"/>
      <c r="BJ2642" s="20"/>
      <c r="BK2642" s="20"/>
      <c r="BL2642" s="13"/>
      <c r="BP2642" s="20"/>
      <c r="BQ2642" s="13"/>
      <c r="BR2642" s="18"/>
      <c r="BS2642" s="16"/>
      <c r="BT2642" s="18"/>
      <c r="BU2642" s="18"/>
      <c r="BV2642" s="18"/>
      <c r="BW2642" s="20"/>
      <c r="BX2642" s="13"/>
      <c r="BY2642" s="18"/>
      <c r="BZ2642" s="146"/>
      <c r="CA2642" s="18"/>
      <c r="CB2642" s="18"/>
      <c r="CC2642" s="20"/>
      <c r="CD2642" s="13"/>
    </row>
    <row r="2643" spans="35:82">
      <c r="AI2643" s="19"/>
      <c r="AO2643" s="19"/>
      <c r="AY2643" s="145"/>
      <c r="AZ2643" s="16"/>
      <c r="BC2643" s="16"/>
      <c r="BD2643" s="20"/>
      <c r="BE2643" s="17"/>
      <c r="BF2643" s="20"/>
      <c r="BG2643" s="146"/>
      <c r="BH2643" s="146"/>
      <c r="BI2643" s="146"/>
      <c r="BJ2643" s="20"/>
      <c r="BK2643" s="20"/>
      <c r="BL2643" s="13"/>
      <c r="BP2643" s="20"/>
      <c r="BQ2643" s="13"/>
      <c r="BR2643" s="18"/>
      <c r="BS2643" s="16"/>
      <c r="BT2643" s="18"/>
      <c r="BU2643" s="18"/>
      <c r="BV2643" s="18"/>
      <c r="BW2643" s="20"/>
      <c r="BX2643" s="13"/>
      <c r="BY2643" s="18"/>
      <c r="BZ2643" s="146"/>
      <c r="CA2643" s="18"/>
      <c r="CB2643" s="18"/>
      <c r="CC2643" s="20"/>
      <c r="CD2643" s="13"/>
    </row>
    <row r="2644" spans="35:82">
      <c r="AI2644" s="19"/>
      <c r="AO2644" s="19"/>
      <c r="AY2644" s="145"/>
      <c r="AZ2644" s="16"/>
      <c r="BC2644" s="16"/>
      <c r="BD2644" s="20"/>
      <c r="BE2644" s="17"/>
      <c r="BF2644" s="20"/>
      <c r="BG2644" s="146"/>
      <c r="BH2644" s="146"/>
      <c r="BI2644" s="146"/>
      <c r="BJ2644" s="20"/>
      <c r="BK2644" s="20"/>
      <c r="BL2644" s="13"/>
      <c r="BP2644" s="20"/>
      <c r="BQ2644" s="13"/>
      <c r="BR2644" s="18"/>
      <c r="BS2644" s="16"/>
      <c r="BT2644" s="18"/>
      <c r="BU2644" s="18"/>
      <c r="BV2644" s="18"/>
      <c r="BW2644" s="20"/>
      <c r="BX2644" s="13"/>
      <c r="BY2644" s="18"/>
      <c r="BZ2644" s="146"/>
      <c r="CA2644" s="18"/>
      <c r="CB2644" s="18"/>
      <c r="CC2644" s="20"/>
      <c r="CD2644" s="13"/>
    </row>
    <row r="2645" spans="35:82">
      <c r="AI2645" s="19"/>
      <c r="AO2645" s="19"/>
      <c r="AY2645" s="145"/>
      <c r="AZ2645" s="16"/>
      <c r="BC2645" s="16"/>
      <c r="BD2645" s="20"/>
      <c r="BE2645" s="17"/>
      <c r="BF2645" s="20"/>
      <c r="BG2645" s="146"/>
      <c r="BH2645" s="146"/>
      <c r="BI2645" s="146"/>
      <c r="BJ2645" s="20"/>
      <c r="BK2645" s="20"/>
      <c r="BL2645" s="13"/>
      <c r="BP2645" s="20"/>
      <c r="BQ2645" s="13"/>
      <c r="BR2645" s="18"/>
      <c r="BS2645" s="16"/>
      <c r="BT2645" s="18"/>
      <c r="BU2645" s="18"/>
      <c r="BV2645" s="18"/>
      <c r="BW2645" s="20"/>
      <c r="BX2645" s="13"/>
      <c r="BY2645" s="18"/>
      <c r="BZ2645" s="146"/>
      <c r="CA2645" s="18"/>
      <c r="CB2645" s="18"/>
      <c r="CC2645" s="20"/>
      <c r="CD2645" s="13"/>
    </row>
    <row r="2646" spans="35:82">
      <c r="AI2646" s="19"/>
      <c r="AO2646" s="19"/>
      <c r="AY2646" s="145"/>
      <c r="AZ2646" s="16"/>
      <c r="BC2646" s="16"/>
      <c r="BD2646" s="20"/>
      <c r="BE2646" s="17"/>
      <c r="BF2646" s="20"/>
      <c r="BG2646" s="146"/>
      <c r="BH2646" s="146"/>
      <c r="BI2646" s="146"/>
      <c r="BJ2646" s="20"/>
      <c r="BK2646" s="20"/>
      <c r="BL2646" s="13"/>
      <c r="BP2646" s="20"/>
      <c r="BQ2646" s="13"/>
      <c r="BR2646" s="18"/>
      <c r="BS2646" s="16"/>
      <c r="BT2646" s="18"/>
      <c r="BU2646" s="18"/>
      <c r="BV2646" s="18"/>
      <c r="BW2646" s="20"/>
      <c r="BX2646" s="13"/>
      <c r="BY2646" s="18"/>
      <c r="BZ2646" s="146"/>
      <c r="CA2646" s="18"/>
      <c r="CB2646" s="18"/>
      <c r="CC2646" s="20"/>
      <c r="CD2646" s="13"/>
    </row>
    <row r="2647" spans="35:82">
      <c r="AI2647" s="19"/>
      <c r="AO2647" s="19"/>
      <c r="AY2647" s="145"/>
      <c r="AZ2647" s="16"/>
      <c r="BC2647" s="16"/>
      <c r="BD2647" s="20"/>
      <c r="BE2647" s="17"/>
      <c r="BF2647" s="20"/>
      <c r="BG2647" s="146"/>
      <c r="BH2647" s="146"/>
      <c r="BI2647" s="146"/>
      <c r="BJ2647" s="20"/>
      <c r="BK2647" s="20"/>
      <c r="BL2647" s="13"/>
      <c r="BP2647" s="20"/>
      <c r="BQ2647" s="13"/>
      <c r="BR2647" s="18"/>
      <c r="BS2647" s="16"/>
      <c r="BT2647" s="18"/>
      <c r="BU2647" s="18"/>
      <c r="BV2647" s="18"/>
      <c r="BW2647" s="20"/>
      <c r="BX2647" s="13"/>
      <c r="BY2647" s="18"/>
      <c r="BZ2647" s="146"/>
      <c r="CA2647" s="18"/>
      <c r="CB2647" s="18"/>
      <c r="CC2647" s="20"/>
      <c r="CD2647" s="13"/>
    </row>
    <row r="2648" spans="35:82">
      <c r="AI2648" s="19"/>
      <c r="AO2648" s="19"/>
      <c r="AY2648" s="145"/>
      <c r="AZ2648" s="16"/>
      <c r="BC2648" s="16"/>
      <c r="BD2648" s="20"/>
      <c r="BE2648" s="17"/>
      <c r="BF2648" s="20"/>
      <c r="BG2648" s="146"/>
      <c r="BH2648" s="146"/>
      <c r="BI2648" s="146"/>
      <c r="BJ2648" s="20"/>
      <c r="BK2648" s="20"/>
      <c r="BL2648" s="13"/>
      <c r="BP2648" s="20"/>
      <c r="BQ2648" s="13"/>
      <c r="BR2648" s="18"/>
      <c r="BS2648" s="16"/>
      <c r="BT2648" s="18"/>
      <c r="BU2648" s="18"/>
      <c r="BV2648" s="18"/>
      <c r="BW2648" s="20"/>
      <c r="BX2648" s="13"/>
      <c r="BY2648" s="18"/>
      <c r="BZ2648" s="146"/>
      <c r="CA2648" s="18"/>
      <c r="CB2648" s="18"/>
      <c r="CC2648" s="20"/>
      <c r="CD2648" s="13"/>
    </row>
    <row r="2649" spans="35:82">
      <c r="AI2649" s="19"/>
      <c r="AO2649" s="19"/>
      <c r="AY2649" s="145"/>
      <c r="AZ2649" s="16"/>
      <c r="BC2649" s="16"/>
      <c r="BD2649" s="20"/>
      <c r="BE2649" s="17"/>
      <c r="BF2649" s="20"/>
      <c r="BG2649" s="146"/>
      <c r="BH2649" s="146"/>
      <c r="BI2649" s="146"/>
      <c r="BJ2649" s="20"/>
      <c r="BK2649" s="20"/>
      <c r="BL2649" s="13"/>
      <c r="BP2649" s="20"/>
      <c r="BQ2649" s="13"/>
      <c r="BR2649" s="18"/>
      <c r="BS2649" s="16"/>
      <c r="BT2649" s="18"/>
      <c r="BU2649" s="18"/>
      <c r="BV2649" s="18"/>
      <c r="BW2649" s="20"/>
      <c r="BX2649" s="13"/>
      <c r="BY2649" s="18"/>
      <c r="BZ2649" s="146"/>
      <c r="CA2649" s="18"/>
      <c r="CB2649" s="18"/>
      <c r="CC2649" s="20"/>
      <c r="CD2649" s="13"/>
    </row>
    <row r="2650" spans="35:82">
      <c r="AI2650" s="19"/>
      <c r="AO2650" s="19"/>
      <c r="AY2650" s="145"/>
      <c r="AZ2650" s="16"/>
      <c r="BC2650" s="16"/>
      <c r="BD2650" s="20"/>
      <c r="BE2650" s="17"/>
      <c r="BF2650" s="20"/>
      <c r="BG2650" s="146"/>
      <c r="BH2650" s="146"/>
      <c r="BI2650" s="146"/>
      <c r="BJ2650" s="20"/>
      <c r="BK2650" s="20"/>
      <c r="BL2650" s="13"/>
      <c r="BP2650" s="20"/>
      <c r="BQ2650" s="13"/>
      <c r="BR2650" s="18"/>
      <c r="BS2650" s="16"/>
      <c r="BT2650" s="18"/>
      <c r="BU2650" s="18"/>
      <c r="BV2650" s="18"/>
      <c r="BW2650" s="20"/>
      <c r="BX2650" s="13"/>
      <c r="BY2650" s="18"/>
      <c r="BZ2650" s="146"/>
      <c r="CA2650" s="18"/>
      <c r="CB2650" s="18"/>
      <c r="CC2650" s="20"/>
      <c r="CD2650" s="13"/>
    </row>
    <row r="2651" spans="35:82">
      <c r="AI2651" s="19"/>
      <c r="AO2651" s="19"/>
      <c r="AY2651" s="145"/>
      <c r="AZ2651" s="16"/>
      <c r="BC2651" s="16"/>
      <c r="BD2651" s="20"/>
      <c r="BE2651" s="17"/>
      <c r="BF2651" s="20"/>
      <c r="BG2651" s="146"/>
      <c r="BH2651" s="146"/>
      <c r="BI2651" s="146"/>
      <c r="BJ2651" s="20"/>
      <c r="BK2651" s="20"/>
      <c r="BL2651" s="13"/>
      <c r="BP2651" s="20"/>
      <c r="BQ2651" s="13"/>
      <c r="BR2651" s="18"/>
      <c r="BS2651" s="16"/>
      <c r="BT2651" s="18"/>
      <c r="BU2651" s="18"/>
      <c r="BV2651" s="18"/>
      <c r="BW2651" s="20"/>
      <c r="BX2651" s="13"/>
      <c r="BY2651" s="18"/>
      <c r="BZ2651" s="146"/>
      <c r="CA2651" s="18"/>
      <c r="CB2651" s="18"/>
      <c r="CC2651" s="20"/>
      <c r="CD2651" s="13"/>
    </row>
    <row r="2652" spans="35:82">
      <c r="AI2652" s="19"/>
      <c r="AO2652" s="19"/>
      <c r="AY2652" s="145"/>
      <c r="AZ2652" s="16"/>
      <c r="BC2652" s="16"/>
      <c r="BD2652" s="20"/>
      <c r="BE2652" s="17"/>
      <c r="BF2652" s="20"/>
      <c r="BG2652" s="146"/>
      <c r="BH2652" s="146"/>
      <c r="BI2652" s="146"/>
      <c r="BJ2652" s="20"/>
      <c r="BK2652" s="20"/>
      <c r="BL2652" s="13"/>
      <c r="BP2652" s="20"/>
      <c r="BQ2652" s="13"/>
      <c r="BR2652" s="18"/>
      <c r="BS2652" s="16"/>
      <c r="BT2652" s="18"/>
      <c r="BU2652" s="18"/>
      <c r="BV2652" s="18"/>
      <c r="BW2652" s="20"/>
      <c r="BX2652" s="13"/>
      <c r="BY2652" s="18"/>
      <c r="BZ2652" s="146"/>
      <c r="CA2652" s="18"/>
      <c r="CB2652" s="18"/>
      <c r="CC2652" s="20"/>
      <c r="CD2652" s="13"/>
    </row>
    <row r="2653" spans="35:82">
      <c r="AI2653" s="19"/>
      <c r="AO2653" s="19"/>
      <c r="AY2653" s="145"/>
      <c r="AZ2653" s="16"/>
      <c r="BC2653" s="16"/>
      <c r="BD2653" s="20"/>
      <c r="BE2653" s="17"/>
      <c r="BF2653" s="20"/>
      <c r="BG2653" s="146"/>
      <c r="BH2653" s="146"/>
      <c r="BI2653" s="146"/>
      <c r="BJ2653" s="20"/>
      <c r="BK2653" s="20"/>
      <c r="BL2653" s="13"/>
      <c r="BP2653" s="20"/>
      <c r="BQ2653" s="13"/>
      <c r="BR2653" s="18"/>
      <c r="BS2653" s="16"/>
      <c r="BT2653" s="18"/>
      <c r="BU2653" s="18"/>
      <c r="BV2653" s="18"/>
      <c r="BW2653" s="20"/>
      <c r="BX2653" s="13"/>
      <c r="BY2653" s="18"/>
      <c r="BZ2653" s="146"/>
      <c r="CA2653" s="18"/>
      <c r="CB2653" s="18"/>
      <c r="CC2653" s="20"/>
      <c r="CD2653" s="13"/>
    </row>
    <row r="2654" spans="35:82">
      <c r="AI2654" s="19"/>
      <c r="AO2654" s="19"/>
      <c r="AY2654" s="145"/>
      <c r="AZ2654" s="16"/>
      <c r="BC2654" s="16"/>
      <c r="BD2654" s="20"/>
      <c r="BE2654" s="17"/>
      <c r="BF2654" s="20"/>
      <c r="BG2654" s="146"/>
      <c r="BH2654" s="146"/>
      <c r="BI2654" s="146"/>
      <c r="BJ2654" s="20"/>
      <c r="BK2654" s="20"/>
      <c r="BL2654" s="13"/>
      <c r="BP2654" s="20"/>
      <c r="BQ2654" s="13"/>
      <c r="BR2654" s="18"/>
      <c r="BS2654" s="16"/>
      <c r="BT2654" s="18"/>
      <c r="BU2654" s="18"/>
      <c r="BV2654" s="18"/>
      <c r="BW2654" s="20"/>
      <c r="BX2654" s="13"/>
      <c r="BY2654" s="18"/>
      <c r="BZ2654" s="146"/>
      <c r="CA2654" s="18"/>
      <c r="CB2654" s="18"/>
      <c r="CC2654" s="20"/>
      <c r="CD2654" s="13"/>
    </row>
    <row r="2655" spans="35:82">
      <c r="AI2655" s="19"/>
      <c r="AO2655" s="19"/>
      <c r="AY2655" s="145"/>
      <c r="AZ2655" s="16"/>
      <c r="BC2655" s="16"/>
      <c r="BD2655" s="20"/>
      <c r="BE2655" s="17"/>
      <c r="BF2655" s="20"/>
      <c r="BG2655" s="146"/>
      <c r="BH2655" s="146"/>
      <c r="BI2655" s="146"/>
      <c r="BJ2655" s="20"/>
      <c r="BK2655" s="20"/>
      <c r="BL2655" s="13"/>
      <c r="BP2655" s="20"/>
      <c r="BQ2655" s="13"/>
      <c r="BR2655" s="18"/>
      <c r="BS2655" s="16"/>
      <c r="BT2655" s="18"/>
      <c r="BU2655" s="18"/>
      <c r="BV2655" s="18"/>
      <c r="BW2655" s="20"/>
      <c r="BX2655" s="13"/>
      <c r="BY2655" s="18"/>
      <c r="BZ2655" s="146"/>
      <c r="CA2655" s="18"/>
      <c r="CB2655" s="18"/>
      <c r="CC2655" s="20"/>
      <c r="CD2655" s="13"/>
    </row>
    <row r="2656" spans="35:82">
      <c r="AI2656" s="19"/>
      <c r="AO2656" s="19"/>
      <c r="AY2656" s="145"/>
      <c r="AZ2656" s="16"/>
      <c r="BC2656" s="16"/>
      <c r="BD2656" s="20"/>
      <c r="BE2656" s="17"/>
      <c r="BF2656" s="20"/>
      <c r="BG2656" s="146"/>
      <c r="BH2656" s="146"/>
      <c r="BI2656" s="146"/>
      <c r="BJ2656" s="20"/>
      <c r="BK2656" s="20"/>
      <c r="BL2656" s="13"/>
      <c r="BP2656" s="20"/>
      <c r="BQ2656" s="13"/>
      <c r="BR2656" s="18"/>
      <c r="BS2656" s="16"/>
      <c r="BT2656" s="18"/>
      <c r="BU2656" s="18"/>
      <c r="BV2656" s="18"/>
      <c r="BW2656" s="20"/>
      <c r="BX2656" s="13"/>
      <c r="BY2656" s="18"/>
      <c r="BZ2656" s="146"/>
      <c r="CA2656" s="18"/>
      <c r="CB2656" s="18"/>
      <c r="CC2656" s="20"/>
      <c r="CD2656" s="13"/>
    </row>
    <row r="2657" spans="35:82">
      <c r="AI2657" s="19"/>
      <c r="AO2657" s="19"/>
      <c r="AY2657" s="145"/>
      <c r="AZ2657" s="16"/>
      <c r="BC2657" s="16"/>
      <c r="BD2657" s="20"/>
      <c r="BE2657" s="17"/>
      <c r="BF2657" s="20"/>
      <c r="BG2657" s="146"/>
      <c r="BH2657" s="146"/>
      <c r="BI2657" s="146"/>
      <c r="BJ2657" s="20"/>
      <c r="BK2657" s="20"/>
      <c r="BL2657" s="13"/>
      <c r="BP2657" s="20"/>
      <c r="BQ2657" s="13"/>
      <c r="BR2657" s="18"/>
      <c r="BS2657" s="16"/>
      <c r="BT2657" s="18"/>
      <c r="BU2657" s="18"/>
      <c r="BV2657" s="18"/>
      <c r="BW2657" s="20"/>
      <c r="BX2657" s="13"/>
      <c r="BY2657" s="18"/>
      <c r="BZ2657" s="146"/>
      <c r="CA2657" s="18"/>
      <c r="CB2657" s="18"/>
      <c r="CC2657" s="20"/>
      <c r="CD2657" s="13"/>
    </row>
    <row r="2658" spans="35:82">
      <c r="AI2658" s="19"/>
      <c r="AO2658" s="19"/>
      <c r="AY2658" s="145"/>
      <c r="AZ2658" s="16"/>
      <c r="BC2658" s="16"/>
      <c r="BD2658" s="20"/>
      <c r="BE2658" s="17"/>
      <c r="BF2658" s="20"/>
      <c r="BG2658" s="146"/>
      <c r="BH2658" s="146"/>
      <c r="BI2658" s="146"/>
      <c r="BJ2658" s="20"/>
      <c r="BK2658" s="20"/>
      <c r="BL2658" s="13"/>
      <c r="BP2658" s="20"/>
      <c r="BQ2658" s="13"/>
      <c r="BR2658" s="18"/>
      <c r="BS2658" s="16"/>
      <c r="BT2658" s="18"/>
      <c r="BU2658" s="18"/>
      <c r="BV2658" s="18"/>
      <c r="BW2658" s="20"/>
      <c r="BX2658" s="13"/>
      <c r="BY2658" s="18"/>
      <c r="BZ2658" s="146"/>
      <c r="CA2658" s="18"/>
      <c r="CB2658" s="18"/>
      <c r="CC2658" s="20"/>
      <c r="CD2658" s="13"/>
    </row>
    <row r="2659" spans="35:82">
      <c r="AI2659" s="19"/>
      <c r="AO2659" s="19"/>
      <c r="AY2659" s="145"/>
      <c r="AZ2659" s="16"/>
      <c r="BC2659" s="16"/>
      <c r="BD2659" s="20"/>
      <c r="BE2659" s="17"/>
      <c r="BF2659" s="20"/>
      <c r="BG2659" s="146"/>
      <c r="BH2659" s="146"/>
      <c r="BI2659" s="146"/>
      <c r="BJ2659" s="20"/>
      <c r="BK2659" s="20"/>
      <c r="BL2659" s="13"/>
      <c r="BP2659" s="20"/>
      <c r="BQ2659" s="13"/>
      <c r="BR2659" s="18"/>
      <c r="BS2659" s="16"/>
      <c r="BT2659" s="18"/>
      <c r="BU2659" s="18"/>
      <c r="BV2659" s="18"/>
      <c r="BW2659" s="20"/>
      <c r="BX2659" s="13"/>
      <c r="BY2659" s="18"/>
      <c r="BZ2659" s="146"/>
      <c r="CA2659" s="18"/>
      <c r="CB2659" s="18"/>
      <c r="CC2659" s="20"/>
      <c r="CD2659" s="13"/>
    </row>
    <row r="2660" spans="35:82">
      <c r="AI2660" s="19"/>
      <c r="AO2660" s="19"/>
      <c r="AY2660" s="145"/>
      <c r="AZ2660" s="16"/>
      <c r="BC2660" s="16"/>
      <c r="BD2660" s="20"/>
      <c r="BE2660" s="17"/>
      <c r="BF2660" s="20"/>
      <c r="BG2660" s="146"/>
      <c r="BH2660" s="146"/>
      <c r="BI2660" s="146"/>
      <c r="BJ2660" s="20"/>
      <c r="BK2660" s="20"/>
      <c r="BL2660" s="13"/>
      <c r="BP2660" s="20"/>
      <c r="BQ2660" s="13"/>
      <c r="BR2660" s="18"/>
      <c r="BS2660" s="16"/>
      <c r="BT2660" s="18"/>
      <c r="BU2660" s="18"/>
      <c r="BV2660" s="18"/>
      <c r="BW2660" s="20"/>
      <c r="BX2660" s="13"/>
      <c r="BY2660" s="18"/>
      <c r="BZ2660" s="146"/>
      <c r="CA2660" s="18"/>
      <c r="CB2660" s="18"/>
      <c r="CC2660" s="20"/>
      <c r="CD2660" s="13"/>
    </row>
    <row r="2661" spans="35:82">
      <c r="AI2661" s="19"/>
      <c r="AO2661" s="19"/>
      <c r="AY2661" s="145"/>
      <c r="AZ2661" s="16"/>
      <c r="BC2661" s="16"/>
      <c r="BD2661" s="20"/>
      <c r="BE2661" s="17"/>
      <c r="BF2661" s="20"/>
      <c r="BG2661" s="146"/>
      <c r="BH2661" s="146"/>
      <c r="BI2661" s="146"/>
      <c r="BJ2661" s="20"/>
      <c r="BK2661" s="20"/>
      <c r="BL2661" s="13"/>
      <c r="BP2661" s="20"/>
      <c r="BQ2661" s="13"/>
      <c r="BR2661" s="18"/>
      <c r="BS2661" s="16"/>
      <c r="BT2661" s="18"/>
      <c r="BU2661" s="18"/>
      <c r="BV2661" s="18"/>
      <c r="BW2661" s="20"/>
      <c r="BX2661" s="13"/>
      <c r="BY2661" s="18"/>
      <c r="BZ2661" s="146"/>
      <c r="CA2661" s="18"/>
      <c r="CB2661" s="18"/>
      <c r="CC2661" s="20"/>
      <c r="CD2661" s="13"/>
    </row>
    <row r="2662" spans="35:82">
      <c r="AI2662" s="19"/>
      <c r="AO2662" s="19"/>
      <c r="AY2662" s="145"/>
      <c r="AZ2662" s="16"/>
      <c r="BC2662" s="16"/>
      <c r="BD2662" s="20"/>
      <c r="BE2662" s="17"/>
      <c r="BF2662" s="20"/>
      <c r="BG2662" s="146"/>
      <c r="BH2662" s="146"/>
      <c r="BI2662" s="146"/>
      <c r="BJ2662" s="20"/>
      <c r="BK2662" s="20"/>
      <c r="BL2662" s="13"/>
      <c r="BP2662" s="20"/>
      <c r="BQ2662" s="13"/>
      <c r="BR2662" s="18"/>
      <c r="BS2662" s="16"/>
      <c r="BT2662" s="18"/>
      <c r="BU2662" s="18"/>
      <c r="BV2662" s="18"/>
      <c r="BW2662" s="20"/>
      <c r="BX2662" s="13"/>
      <c r="BY2662" s="18"/>
      <c r="BZ2662" s="146"/>
      <c r="CA2662" s="18"/>
      <c r="CB2662" s="18"/>
      <c r="CC2662" s="20"/>
      <c r="CD2662" s="13"/>
    </row>
    <row r="2663" spans="35:82">
      <c r="AI2663" s="19"/>
      <c r="AO2663" s="19"/>
      <c r="AY2663" s="145"/>
      <c r="AZ2663" s="16"/>
      <c r="BC2663" s="16"/>
      <c r="BD2663" s="20"/>
      <c r="BE2663" s="17"/>
      <c r="BF2663" s="20"/>
      <c r="BG2663" s="146"/>
      <c r="BH2663" s="146"/>
      <c r="BI2663" s="146"/>
      <c r="BJ2663" s="20"/>
      <c r="BK2663" s="20"/>
      <c r="BL2663" s="13"/>
      <c r="BP2663" s="20"/>
      <c r="BQ2663" s="13"/>
      <c r="BR2663" s="18"/>
      <c r="BS2663" s="16"/>
      <c r="BT2663" s="18"/>
      <c r="BU2663" s="18"/>
      <c r="BV2663" s="18"/>
      <c r="BW2663" s="20"/>
      <c r="BX2663" s="13"/>
      <c r="BY2663" s="18"/>
      <c r="BZ2663" s="146"/>
      <c r="CA2663" s="18"/>
      <c r="CB2663" s="18"/>
      <c r="CC2663" s="20"/>
      <c r="CD2663" s="13"/>
    </row>
    <row r="2664" spans="35:82">
      <c r="AI2664" s="19"/>
      <c r="AO2664" s="19"/>
      <c r="AY2664" s="145"/>
      <c r="AZ2664" s="16"/>
      <c r="BC2664" s="16"/>
      <c r="BD2664" s="20"/>
      <c r="BE2664" s="17"/>
      <c r="BF2664" s="20"/>
      <c r="BG2664" s="146"/>
      <c r="BH2664" s="146"/>
      <c r="BI2664" s="146"/>
      <c r="BJ2664" s="20"/>
      <c r="BK2664" s="20"/>
      <c r="BL2664" s="13"/>
      <c r="BP2664" s="20"/>
      <c r="BQ2664" s="13"/>
      <c r="BR2664" s="18"/>
      <c r="BS2664" s="16"/>
      <c r="BT2664" s="18"/>
      <c r="BU2664" s="18"/>
      <c r="BV2664" s="18"/>
      <c r="BW2664" s="20"/>
      <c r="BX2664" s="13"/>
      <c r="BY2664" s="18"/>
      <c r="BZ2664" s="146"/>
      <c r="CA2664" s="18"/>
      <c r="CB2664" s="18"/>
      <c r="CC2664" s="20"/>
      <c r="CD2664" s="13"/>
    </row>
    <row r="2665" spans="35:82">
      <c r="AI2665" s="19"/>
      <c r="AO2665" s="19"/>
      <c r="AY2665" s="145"/>
      <c r="AZ2665" s="16"/>
      <c r="BC2665" s="16"/>
      <c r="BD2665" s="20"/>
      <c r="BE2665" s="17"/>
      <c r="BF2665" s="20"/>
      <c r="BG2665" s="146"/>
      <c r="BH2665" s="146"/>
      <c r="BI2665" s="146"/>
      <c r="BJ2665" s="20"/>
      <c r="BK2665" s="20"/>
      <c r="BL2665" s="13"/>
      <c r="BP2665" s="20"/>
      <c r="BQ2665" s="13"/>
      <c r="BR2665" s="18"/>
      <c r="BS2665" s="16"/>
      <c r="BT2665" s="18"/>
      <c r="BU2665" s="18"/>
      <c r="BV2665" s="18"/>
      <c r="BW2665" s="20"/>
      <c r="BX2665" s="13"/>
      <c r="BY2665" s="18"/>
      <c r="BZ2665" s="146"/>
      <c r="CA2665" s="18"/>
      <c r="CB2665" s="18"/>
      <c r="CC2665" s="20"/>
      <c r="CD2665" s="13"/>
    </row>
    <row r="2666" spans="35:82">
      <c r="AI2666" s="19"/>
      <c r="AO2666" s="19"/>
      <c r="AY2666" s="145"/>
      <c r="AZ2666" s="16"/>
      <c r="BC2666" s="16"/>
      <c r="BD2666" s="20"/>
      <c r="BE2666" s="17"/>
      <c r="BF2666" s="20"/>
      <c r="BG2666" s="146"/>
      <c r="BH2666" s="146"/>
      <c r="BI2666" s="146"/>
      <c r="BJ2666" s="20"/>
      <c r="BK2666" s="20"/>
      <c r="BL2666" s="13"/>
      <c r="BP2666" s="20"/>
      <c r="BQ2666" s="13"/>
      <c r="BR2666" s="18"/>
      <c r="BS2666" s="16"/>
      <c r="BT2666" s="18"/>
      <c r="BU2666" s="18"/>
      <c r="BV2666" s="18"/>
      <c r="BW2666" s="20"/>
      <c r="BX2666" s="13"/>
      <c r="BY2666" s="18"/>
      <c r="BZ2666" s="146"/>
      <c r="CA2666" s="18"/>
      <c r="CB2666" s="18"/>
      <c r="CC2666" s="20"/>
      <c r="CD2666" s="13"/>
    </row>
    <row r="2667" spans="35:82">
      <c r="AI2667" s="19"/>
      <c r="AO2667" s="19"/>
      <c r="AY2667" s="145"/>
      <c r="AZ2667" s="16"/>
      <c r="BC2667" s="16"/>
      <c r="BD2667" s="20"/>
      <c r="BE2667" s="17"/>
      <c r="BF2667" s="20"/>
      <c r="BG2667" s="146"/>
      <c r="BH2667" s="146"/>
      <c r="BI2667" s="146"/>
      <c r="BJ2667" s="20"/>
      <c r="BK2667" s="20"/>
      <c r="BL2667" s="13"/>
      <c r="BP2667" s="20"/>
      <c r="BQ2667" s="13"/>
      <c r="BR2667" s="18"/>
      <c r="BS2667" s="16"/>
      <c r="BT2667" s="18"/>
      <c r="BU2667" s="18"/>
      <c r="BV2667" s="18"/>
      <c r="BW2667" s="20"/>
      <c r="BX2667" s="13"/>
      <c r="BY2667" s="18"/>
      <c r="BZ2667" s="146"/>
      <c r="CA2667" s="18"/>
      <c r="CB2667" s="18"/>
      <c r="CC2667" s="20"/>
      <c r="CD2667" s="13"/>
    </row>
    <row r="2668" spans="35:82">
      <c r="AI2668" s="19"/>
      <c r="AO2668" s="19"/>
      <c r="AY2668" s="145"/>
      <c r="AZ2668" s="16"/>
      <c r="BC2668" s="16"/>
      <c r="BD2668" s="20"/>
      <c r="BE2668" s="17"/>
      <c r="BF2668" s="20"/>
      <c r="BG2668" s="146"/>
      <c r="BH2668" s="146"/>
      <c r="BI2668" s="146"/>
      <c r="BJ2668" s="20"/>
      <c r="BK2668" s="20"/>
      <c r="BL2668" s="13"/>
      <c r="BP2668" s="20"/>
      <c r="BQ2668" s="13"/>
      <c r="BR2668" s="18"/>
      <c r="BS2668" s="16"/>
      <c r="BT2668" s="18"/>
      <c r="BU2668" s="18"/>
      <c r="BV2668" s="18"/>
      <c r="BW2668" s="20"/>
      <c r="BX2668" s="13"/>
      <c r="BY2668" s="18"/>
      <c r="BZ2668" s="146"/>
      <c r="CA2668" s="18"/>
      <c r="CB2668" s="18"/>
      <c r="CC2668" s="20"/>
      <c r="CD2668" s="13"/>
    </row>
    <row r="2669" spans="35:82">
      <c r="AI2669" s="19"/>
      <c r="AO2669" s="19"/>
      <c r="AY2669" s="145"/>
      <c r="AZ2669" s="16"/>
      <c r="BC2669" s="16"/>
      <c r="BD2669" s="20"/>
      <c r="BE2669" s="17"/>
      <c r="BF2669" s="20"/>
      <c r="BG2669" s="146"/>
      <c r="BH2669" s="146"/>
      <c r="BI2669" s="146"/>
      <c r="BJ2669" s="20"/>
      <c r="BK2669" s="20"/>
      <c r="BL2669" s="13"/>
      <c r="BP2669" s="20"/>
      <c r="BQ2669" s="13"/>
      <c r="BR2669" s="18"/>
      <c r="BS2669" s="16"/>
      <c r="BT2669" s="18"/>
      <c r="BU2669" s="18"/>
      <c r="BV2669" s="18"/>
      <c r="BW2669" s="20"/>
      <c r="BX2669" s="13"/>
      <c r="BY2669" s="18"/>
      <c r="BZ2669" s="146"/>
      <c r="CA2669" s="18"/>
      <c r="CB2669" s="18"/>
      <c r="CC2669" s="20"/>
      <c r="CD2669" s="13"/>
    </row>
    <row r="2670" spans="35:82">
      <c r="AI2670" s="19"/>
      <c r="AO2670" s="19"/>
      <c r="AY2670" s="145"/>
      <c r="AZ2670" s="16"/>
      <c r="BC2670" s="16"/>
      <c r="BD2670" s="20"/>
      <c r="BE2670" s="17"/>
      <c r="BF2670" s="20"/>
      <c r="BG2670" s="146"/>
      <c r="BH2670" s="146"/>
      <c r="BI2670" s="146"/>
      <c r="BJ2670" s="20"/>
      <c r="BK2670" s="20"/>
      <c r="BL2670" s="13"/>
      <c r="BP2670" s="20"/>
      <c r="BQ2670" s="13"/>
      <c r="BR2670" s="18"/>
      <c r="BS2670" s="16"/>
      <c r="BT2670" s="18"/>
      <c r="BU2670" s="18"/>
      <c r="BV2670" s="18"/>
      <c r="BW2670" s="20"/>
      <c r="BX2670" s="13"/>
      <c r="BY2670" s="18"/>
      <c r="BZ2670" s="146"/>
      <c r="CA2670" s="18"/>
      <c r="CB2670" s="18"/>
      <c r="CC2670" s="20"/>
      <c r="CD2670" s="13"/>
    </row>
    <row r="2671" spans="35:82">
      <c r="AI2671" s="19"/>
      <c r="AO2671" s="19"/>
      <c r="AY2671" s="145"/>
      <c r="AZ2671" s="16"/>
      <c r="BC2671" s="16"/>
      <c r="BD2671" s="20"/>
      <c r="BE2671" s="17"/>
      <c r="BF2671" s="20"/>
      <c r="BG2671" s="146"/>
      <c r="BH2671" s="146"/>
      <c r="BI2671" s="146"/>
      <c r="BJ2671" s="20"/>
      <c r="BK2671" s="20"/>
      <c r="BL2671" s="13"/>
      <c r="BP2671" s="20"/>
      <c r="BQ2671" s="13"/>
      <c r="BR2671" s="18"/>
      <c r="BS2671" s="16"/>
      <c r="BT2671" s="18"/>
      <c r="BU2671" s="18"/>
      <c r="BV2671" s="18"/>
      <c r="BW2671" s="20"/>
      <c r="BX2671" s="13"/>
      <c r="BY2671" s="18"/>
      <c r="BZ2671" s="146"/>
      <c r="CA2671" s="18"/>
      <c r="CB2671" s="18"/>
      <c r="CC2671" s="20"/>
      <c r="CD2671" s="13"/>
    </row>
    <row r="2672" spans="35:82">
      <c r="AI2672" s="19"/>
      <c r="AO2672" s="19"/>
      <c r="AY2672" s="145"/>
      <c r="AZ2672" s="16"/>
      <c r="BC2672" s="16"/>
      <c r="BD2672" s="20"/>
      <c r="BE2672" s="17"/>
      <c r="BF2672" s="20"/>
      <c r="BG2672" s="146"/>
      <c r="BH2672" s="146"/>
      <c r="BI2672" s="146"/>
      <c r="BJ2672" s="20"/>
      <c r="BK2672" s="20"/>
      <c r="BL2672" s="13"/>
      <c r="BP2672" s="20"/>
      <c r="BQ2672" s="13"/>
      <c r="BR2672" s="18"/>
      <c r="BS2672" s="16"/>
      <c r="BT2672" s="18"/>
      <c r="BU2672" s="18"/>
      <c r="BV2672" s="18"/>
      <c r="BW2672" s="20"/>
      <c r="BX2672" s="13"/>
      <c r="BY2672" s="18"/>
      <c r="BZ2672" s="146"/>
      <c r="CA2672" s="18"/>
      <c r="CB2672" s="18"/>
      <c r="CC2672" s="20"/>
      <c r="CD2672" s="13"/>
    </row>
    <row r="2673" spans="35:82">
      <c r="AI2673" s="19"/>
      <c r="AO2673" s="19"/>
      <c r="AY2673" s="145"/>
      <c r="AZ2673" s="16"/>
      <c r="BC2673" s="16"/>
      <c r="BD2673" s="20"/>
      <c r="BE2673" s="17"/>
      <c r="BF2673" s="20"/>
      <c r="BG2673" s="146"/>
      <c r="BH2673" s="146"/>
      <c r="BI2673" s="146"/>
      <c r="BJ2673" s="20"/>
      <c r="BK2673" s="20"/>
      <c r="BL2673" s="13"/>
      <c r="BP2673" s="20"/>
      <c r="BQ2673" s="13"/>
      <c r="BR2673" s="18"/>
      <c r="BS2673" s="16"/>
      <c r="BT2673" s="18"/>
      <c r="BU2673" s="18"/>
      <c r="BV2673" s="18"/>
      <c r="BW2673" s="20"/>
      <c r="BX2673" s="13"/>
      <c r="BY2673" s="18"/>
      <c r="BZ2673" s="146"/>
      <c r="CA2673" s="18"/>
      <c r="CB2673" s="18"/>
      <c r="CC2673" s="20"/>
      <c r="CD2673" s="13"/>
    </row>
    <row r="2674" spans="35:82">
      <c r="AI2674" s="19"/>
      <c r="AO2674" s="19"/>
      <c r="AY2674" s="145"/>
      <c r="AZ2674" s="16"/>
      <c r="BC2674" s="16"/>
      <c r="BD2674" s="20"/>
      <c r="BE2674" s="17"/>
      <c r="BF2674" s="20"/>
      <c r="BG2674" s="146"/>
      <c r="BH2674" s="146"/>
      <c r="BI2674" s="146"/>
      <c r="BJ2674" s="20"/>
      <c r="BK2674" s="20"/>
      <c r="BL2674" s="13"/>
      <c r="BP2674" s="20"/>
      <c r="BQ2674" s="13"/>
      <c r="BR2674" s="18"/>
      <c r="BS2674" s="16"/>
      <c r="BT2674" s="18"/>
      <c r="BU2674" s="18"/>
      <c r="BV2674" s="18"/>
      <c r="BW2674" s="20"/>
      <c r="BX2674" s="13"/>
      <c r="BY2674" s="18"/>
      <c r="BZ2674" s="146"/>
      <c r="CA2674" s="18"/>
      <c r="CB2674" s="18"/>
      <c r="CC2674" s="20"/>
      <c r="CD2674" s="13"/>
    </row>
    <row r="2675" spans="35:82">
      <c r="AI2675" s="19"/>
      <c r="AO2675" s="19"/>
      <c r="AY2675" s="145"/>
      <c r="AZ2675" s="16"/>
      <c r="BC2675" s="16"/>
      <c r="BD2675" s="20"/>
      <c r="BE2675" s="17"/>
      <c r="BF2675" s="20"/>
      <c r="BG2675" s="146"/>
      <c r="BH2675" s="146"/>
      <c r="BI2675" s="146"/>
      <c r="BJ2675" s="20"/>
      <c r="BK2675" s="20"/>
      <c r="BL2675" s="13"/>
      <c r="BP2675" s="20"/>
      <c r="BQ2675" s="13"/>
      <c r="BR2675" s="18"/>
      <c r="BS2675" s="16"/>
      <c r="BT2675" s="18"/>
      <c r="BU2675" s="18"/>
      <c r="BV2675" s="18"/>
      <c r="BW2675" s="20"/>
      <c r="BX2675" s="13"/>
      <c r="BY2675" s="18"/>
      <c r="BZ2675" s="146"/>
      <c r="CA2675" s="18"/>
      <c r="CB2675" s="18"/>
      <c r="CC2675" s="20"/>
      <c r="CD2675" s="13"/>
    </row>
    <row r="2676" spans="35:82">
      <c r="AI2676" s="19"/>
      <c r="AO2676" s="19"/>
      <c r="AY2676" s="145"/>
      <c r="AZ2676" s="16"/>
      <c r="BC2676" s="16"/>
      <c r="BD2676" s="20"/>
      <c r="BE2676" s="17"/>
      <c r="BF2676" s="20"/>
      <c r="BG2676" s="146"/>
      <c r="BH2676" s="146"/>
      <c r="BI2676" s="146"/>
      <c r="BJ2676" s="20"/>
      <c r="BK2676" s="20"/>
      <c r="BL2676" s="13"/>
      <c r="BP2676" s="20"/>
      <c r="BQ2676" s="13"/>
      <c r="BR2676" s="18"/>
      <c r="BS2676" s="16"/>
      <c r="BT2676" s="18"/>
      <c r="BU2676" s="18"/>
      <c r="BV2676" s="18"/>
      <c r="BW2676" s="20"/>
      <c r="BX2676" s="13"/>
      <c r="BY2676" s="18"/>
      <c r="BZ2676" s="146"/>
      <c r="CA2676" s="18"/>
      <c r="CB2676" s="18"/>
      <c r="CC2676" s="20"/>
      <c r="CD2676" s="13"/>
    </row>
    <row r="2677" spans="35:82">
      <c r="AI2677" s="19"/>
      <c r="AO2677" s="19"/>
      <c r="AY2677" s="145"/>
      <c r="AZ2677" s="16"/>
      <c r="BC2677" s="16"/>
      <c r="BD2677" s="20"/>
      <c r="BE2677" s="17"/>
      <c r="BF2677" s="20"/>
      <c r="BG2677" s="146"/>
      <c r="BH2677" s="146"/>
      <c r="BI2677" s="146"/>
      <c r="BJ2677" s="20"/>
      <c r="BK2677" s="20"/>
      <c r="BL2677" s="13"/>
      <c r="BP2677" s="20"/>
      <c r="BQ2677" s="13"/>
      <c r="BR2677" s="18"/>
      <c r="BS2677" s="16"/>
      <c r="BT2677" s="18"/>
      <c r="BU2677" s="18"/>
      <c r="BV2677" s="18"/>
      <c r="BW2677" s="20"/>
      <c r="BX2677" s="13"/>
      <c r="BY2677" s="18"/>
      <c r="BZ2677" s="146"/>
      <c r="CA2677" s="18"/>
      <c r="CB2677" s="18"/>
      <c r="CC2677" s="20"/>
      <c r="CD2677" s="13"/>
    </row>
    <row r="2678" spans="35:82">
      <c r="AI2678" s="19"/>
      <c r="AO2678" s="19"/>
      <c r="AY2678" s="145"/>
      <c r="AZ2678" s="16"/>
      <c r="BC2678" s="16"/>
      <c r="BD2678" s="20"/>
      <c r="BE2678" s="17"/>
      <c r="BF2678" s="20"/>
      <c r="BG2678" s="146"/>
      <c r="BH2678" s="146"/>
      <c r="BI2678" s="146"/>
      <c r="BJ2678" s="20"/>
      <c r="BK2678" s="20"/>
      <c r="BL2678" s="13"/>
      <c r="BP2678" s="20"/>
      <c r="BQ2678" s="13"/>
      <c r="BR2678" s="18"/>
      <c r="BS2678" s="16"/>
      <c r="BT2678" s="18"/>
      <c r="BU2678" s="18"/>
      <c r="BV2678" s="18"/>
      <c r="BW2678" s="20"/>
      <c r="BX2678" s="13"/>
      <c r="BY2678" s="18"/>
      <c r="BZ2678" s="146"/>
      <c r="CA2678" s="18"/>
      <c r="CB2678" s="18"/>
      <c r="CC2678" s="20"/>
      <c r="CD2678" s="13"/>
    </row>
    <row r="2679" spans="35:82">
      <c r="AI2679" s="19"/>
      <c r="AO2679" s="19"/>
      <c r="AY2679" s="145"/>
      <c r="AZ2679" s="16"/>
      <c r="BC2679" s="16"/>
      <c r="BD2679" s="20"/>
      <c r="BE2679" s="17"/>
      <c r="BF2679" s="20"/>
      <c r="BG2679" s="146"/>
      <c r="BH2679" s="146"/>
      <c r="BI2679" s="146"/>
      <c r="BJ2679" s="20"/>
      <c r="BK2679" s="20"/>
      <c r="BL2679" s="13"/>
      <c r="BP2679" s="20"/>
      <c r="BQ2679" s="13"/>
      <c r="BR2679" s="18"/>
      <c r="BS2679" s="16"/>
      <c r="BT2679" s="18"/>
      <c r="BU2679" s="18"/>
      <c r="BV2679" s="18"/>
      <c r="BW2679" s="20"/>
      <c r="BX2679" s="13"/>
      <c r="BY2679" s="18"/>
      <c r="BZ2679" s="146"/>
      <c r="CA2679" s="18"/>
      <c r="CB2679" s="18"/>
      <c r="CC2679" s="20"/>
      <c r="CD2679" s="13"/>
    </row>
    <row r="2680" spans="35:82">
      <c r="AI2680" s="19"/>
      <c r="AO2680" s="19"/>
      <c r="AY2680" s="145"/>
      <c r="AZ2680" s="16"/>
      <c r="BC2680" s="16"/>
      <c r="BD2680" s="20"/>
      <c r="BE2680" s="17"/>
      <c r="BF2680" s="20"/>
      <c r="BG2680" s="146"/>
      <c r="BH2680" s="146"/>
      <c r="BI2680" s="146"/>
      <c r="BJ2680" s="20"/>
      <c r="BK2680" s="20"/>
      <c r="BL2680" s="13"/>
      <c r="BP2680" s="20"/>
      <c r="BQ2680" s="13"/>
      <c r="BR2680" s="18"/>
      <c r="BS2680" s="16"/>
      <c r="BT2680" s="18"/>
      <c r="BU2680" s="18"/>
      <c r="BV2680" s="18"/>
      <c r="BW2680" s="20"/>
      <c r="BX2680" s="13"/>
      <c r="BY2680" s="18"/>
      <c r="BZ2680" s="146"/>
      <c r="CA2680" s="18"/>
      <c r="CB2680" s="18"/>
      <c r="CC2680" s="20"/>
      <c r="CD2680" s="13"/>
    </row>
    <row r="2681" spans="35:82">
      <c r="AI2681" s="19"/>
      <c r="AO2681" s="19"/>
      <c r="AY2681" s="145"/>
      <c r="AZ2681" s="16"/>
      <c r="BC2681" s="16"/>
      <c r="BD2681" s="20"/>
      <c r="BE2681" s="17"/>
      <c r="BF2681" s="20"/>
      <c r="BG2681" s="146"/>
      <c r="BH2681" s="146"/>
      <c r="BI2681" s="146"/>
      <c r="BJ2681" s="20"/>
      <c r="BK2681" s="20"/>
      <c r="BL2681" s="13"/>
      <c r="BP2681" s="20"/>
      <c r="BQ2681" s="13"/>
      <c r="BR2681" s="18"/>
      <c r="BS2681" s="16"/>
      <c r="BT2681" s="18"/>
      <c r="BU2681" s="18"/>
      <c r="BV2681" s="18"/>
      <c r="BW2681" s="20"/>
      <c r="BX2681" s="13"/>
      <c r="BY2681" s="18"/>
      <c r="BZ2681" s="146"/>
      <c r="CA2681" s="18"/>
      <c r="CB2681" s="18"/>
      <c r="CC2681" s="20"/>
      <c r="CD2681" s="13"/>
    </row>
    <row r="2682" spans="35:82">
      <c r="AI2682" s="19"/>
      <c r="AO2682" s="19"/>
      <c r="AY2682" s="145"/>
      <c r="AZ2682" s="16"/>
      <c r="BC2682" s="16"/>
      <c r="BD2682" s="20"/>
      <c r="BE2682" s="17"/>
      <c r="BF2682" s="20"/>
      <c r="BG2682" s="146"/>
      <c r="BH2682" s="146"/>
      <c r="BI2682" s="146"/>
      <c r="BJ2682" s="20"/>
      <c r="BK2682" s="20"/>
      <c r="BL2682" s="13"/>
      <c r="BP2682" s="20"/>
      <c r="BQ2682" s="13"/>
      <c r="BR2682" s="18"/>
      <c r="BS2682" s="16"/>
      <c r="BT2682" s="18"/>
      <c r="BU2682" s="18"/>
      <c r="BV2682" s="18"/>
      <c r="BW2682" s="20"/>
      <c r="BX2682" s="13"/>
      <c r="BY2682" s="18"/>
      <c r="BZ2682" s="146"/>
      <c r="CA2682" s="18"/>
      <c r="CB2682" s="18"/>
      <c r="CC2682" s="20"/>
      <c r="CD2682" s="13"/>
    </row>
    <row r="2683" spans="35:82">
      <c r="AI2683" s="19"/>
      <c r="AO2683" s="19"/>
      <c r="AY2683" s="145"/>
      <c r="AZ2683" s="16"/>
      <c r="BC2683" s="16"/>
      <c r="BD2683" s="20"/>
      <c r="BE2683" s="17"/>
      <c r="BF2683" s="20"/>
      <c r="BG2683" s="146"/>
      <c r="BH2683" s="146"/>
      <c r="BI2683" s="146"/>
      <c r="BJ2683" s="20"/>
      <c r="BK2683" s="20"/>
      <c r="BL2683" s="13"/>
      <c r="BP2683" s="20"/>
      <c r="BQ2683" s="13"/>
      <c r="BR2683" s="18"/>
      <c r="BS2683" s="16"/>
      <c r="BT2683" s="18"/>
      <c r="BU2683" s="18"/>
      <c r="BV2683" s="18"/>
      <c r="BW2683" s="20"/>
      <c r="BX2683" s="13"/>
      <c r="BY2683" s="18"/>
      <c r="BZ2683" s="146"/>
      <c r="CA2683" s="18"/>
      <c r="CB2683" s="18"/>
      <c r="CC2683" s="20"/>
      <c r="CD2683" s="13"/>
    </row>
    <row r="2684" spans="35:82">
      <c r="AI2684" s="19"/>
      <c r="AO2684" s="19"/>
      <c r="AY2684" s="145"/>
      <c r="AZ2684" s="16"/>
      <c r="BC2684" s="16"/>
      <c r="BD2684" s="20"/>
      <c r="BE2684" s="17"/>
      <c r="BF2684" s="20"/>
      <c r="BG2684" s="146"/>
      <c r="BH2684" s="146"/>
      <c r="BI2684" s="146"/>
      <c r="BJ2684" s="20"/>
      <c r="BK2684" s="20"/>
      <c r="BL2684" s="13"/>
      <c r="BP2684" s="20"/>
      <c r="BQ2684" s="13"/>
      <c r="BR2684" s="18"/>
      <c r="BS2684" s="16"/>
      <c r="BT2684" s="18"/>
      <c r="BU2684" s="18"/>
      <c r="BV2684" s="18"/>
      <c r="BW2684" s="20"/>
      <c r="BX2684" s="13"/>
      <c r="BY2684" s="18"/>
      <c r="BZ2684" s="146"/>
      <c r="CA2684" s="18"/>
      <c r="CB2684" s="18"/>
      <c r="CC2684" s="20"/>
      <c r="CD2684" s="13"/>
    </row>
    <row r="2685" spans="35:82">
      <c r="AI2685" s="19"/>
      <c r="AO2685" s="19"/>
      <c r="AY2685" s="145"/>
      <c r="AZ2685" s="16"/>
      <c r="BC2685" s="16"/>
      <c r="BD2685" s="20"/>
      <c r="BE2685" s="17"/>
      <c r="BF2685" s="20"/>
      <c r="BG2685" s="146"/>
      <c r="BH2685" s="146"/>
      <c r="BI2685" s="146"/>
      <c r="BJ2685" s="20"/>
      <c r="BK2685" s="20"/>
      <c r="BL2685" s="13"/>
      <c r="BP2685" s="20"/>
      <c r="BQ2685" s="13"/>
      <c r="BR2685" s="18"/>
      <c r="BS2685" s="16"/>
      <c r="BT2685" s="18"/>
      <c r="BU2685" s="18"/>
      <c r="BV2685" s="18"/>
      <c r="BW2685" s="20"/>
      <c r="BX2685" s="13"/>
      <c r="BY2685" s="18"/>
      <c r="BZ2685" s="146"/>
      <c r="CA2685" s="18"/>
      <c r="CB2685" s="18"/>
      <c r="CC2685" s="20"/>
      <c r="CD2685" s="13"/>
    </row>
    <row r="2686" spans="35:82">
      <c r="AI2686" s="19"/>
      <c r="AO2686" s="19"/>
      <c r="AY2686" s="145"/>
      <c r="AZ2686" s="16"/>
      <c r="BC2686" s="16"/>
      <c r="BD2686" s="20"/>
      <c r="BE2686" s="17"/>
      <c r="BF2686" s="20"/>
      <c r="BG2686" s="146"/>
      <c r="BH2686" s="146"/>
      <c r="BI2686" s="146"/>
      <c r="BJ2686" s="20"/>
      <c r="BK2686" s="20"/>
      <c r="BL2686" s="13"/>
      <c r="BP2686" s="20"/>
      <c r="BQ2686" s="13"/>
      <c r="BR2686" s="18"/>
      <c r="BS2686" s="16"/>
      <c r="BT2686" s="18"/>
      <c r="BU2686" s="18"/>
      <c r="BV2686" s="18"/>
      <c r="BW2686" s="20"/>
      <c r="BX2686" s="13"/>
      <c r="BY2686" s="18"/>
      <c r="BZ2686" s="146"/>
      <c r="CA2686" s="18"/>
      <c r="CB2686" s="18"/>
      <c r="CC2686" s="20"/>
      <c r="CD2686" s="13"/>
    </row>
    <row r="2687" spans="35:82">
      <c r="AI2687" s="19"/>
      <c r="AO2687" s="19"/>
      <c r="AY2687" s="145"/>
      <c r="AZ2687" s="16"/>
      <c r="BC2687" s="16"/>
      <c r="BD2687" s="20"/>
      <c r="BE2687" s="17"/>
      <c r="BF2687" s="20"/>
      <c r="BG2687" s="146"/>
      <c r="BH2687" s="146"/>
      <c r="BI2687" s="146"/>
      <c r="BJ2687" s="20"/>
      <c r="BK2687" s="20"/>
      <c r="BL2687" s="13"/>
      <c r="BP2687" s="20"/>
      <c r="BQ2687" s="13"/>
      <c r="BR2687" s="18"/>
      <c r="BS2687" s="16"/>
      <c r="BT2687" s="18"/>
      <c r="BU2687" s="18"/>
      <c r="BV2687" s="18"/>
      <c r="BW2687" s="20"/>
      <c r="BX2687" s="13"/>
      <c r="BY2687" s="18"/>
      <c r="BZ2687" s="146"/>
      <c r="CA2687" s="18"/>
      <c r="CB2687" s="18"/>
      <c r="CC2687" s="20"/>
      <c r="CD2687" s="13"/>
    </row>
    <row r="2688" spans="35:82">
      <c r="AI2688" s="19"/>
      <c r="AO2688" s="19"/>
      <c r="AY2688" s="145"/>
      <c r="AZ2688" s="16"/>
      <c r="BC2688" s="16"/>
      <c r="BD2688" s="20"/>
      <c r="BE2688" s="17"/>
      <c r="BF2688" s="20"/>
      <c r="BG2688" s="146"/>
      <c r="BH2688" s="146"/>
      <c r="BI2688" s="146"/>
      <c r="BJ2688" s="20"/>
      <c r="BK2688" s="20"/>
      <c r="BL2688" s="13"/>
      <c r="BP2688" s="20"/>
      <c r="BQ2688" s="13"/>
      <c r="BR2688" s="18"/>
      <c r="BS2688" s="16"/>
      <c r="BT2688" s="18"/>
      <c r="BU2688" s="18"/>
      <c r="BV2688" s="18"/>
      <c r="BW2688" s="20"/>
      <c r="BX2688" s="13"/>
      <c r="BY2688" s="18"/>
      <c r="BZ2688" s="146"/>
      <c r="CA2688" s="18"/>
      <c r="CB2688" s="18"/>
      <c r="CC2688" s="20"/>
      <c r="CD2688" s="13"/>
    </row>
    <row r="2689" spans="35:82">
      <c r="AI2689" s="19"/>
      <c r="AO2689" s="19"/>
      <c r="AY2689" s="145"/>
      <c r="AZ2689" s="16"/>
      <c r="BC2689" s="16"/>
      <c r="BD2689" s="20"/>
      <c r="BE2689" s="17"/>
      <c r="BF2689" s="20"/>
      <c r="BG2689" s="146"/>
      <c r="BH2689" s="146"/>
      <c r="BI2689" s="146"/>
      <c r="BJ2689" s="20"/>
      <c r="BK2689" s="20"/>
      <c r="BL2689" s="13"/>
      <c r="BP2689" s="20"/>
      <c r="BQ2689" s="13"/>
      <c r="BR2689" s="18"/>
      <c r="BS2689" s="16"/>
      <c r="BT2689" s="18"/>
      <c r="BU2689" s="18"/>
      <c r="BV2689" s="18"/>
      <c r="BW2689" s="20"/>
      <c r="BX2689" s="13"/>
      <c r="BY2689" s="18"/>
      <c r="BZ2689" s="146"/>
      <c r="CA2689" s="18"/>
      <c r="CB2689" s="18"/>
      <c r="CC2689" s="20"/>
      <c r="CD2689" s="13"/>
    </row>
    <row r="2690" spans="35:82">
      <c r="AI2690" s="19"/>
      <c r="AO2690" s="19"/>
      <c r="AY2690" s="145"/>
      <c r="AZ2690" s="16"/>
      <c r="BC2690" s="16"/>
      <c r="BD2690" s="20"/>
      <c r="BE2690" s="17"/>
      <c r="BF2690" s="20"/>
      <c r="BG2690" s="146"/>
      <c r="BH2690" s="146"/>
      <c r="BI2690" s="146"/>
      <c r="BJ2690" s="20"/>
      <c r="BK2690" s="20"/>
      <c r="BL2690" s="13"/>
      <c r="BP2690" s="20"/>
      <c r="BQ2690" s="13"/>
      <c r="BR2690" s="18"/>
      <c r="BS2690" s="16"/>
      <c r="BT2690" s="18"/>
      <c r="BU2690" s="18"/>
      <c r="BV2690" s="18"/>
      <c r="BW2690" s="20"/>
      <c r="BX2690" s="13"/>
      <c r="BY2690" s="18"/>
      <c r="BZ2690" s="146"/>
      <c r="CA2690" s="18"/>
      <c r="CB2690" s="18"/>
      <c r="CC2690" s="20"/>
      <c r="CD2690" s="13"/>
    </row>
    <row r="2691" spans="35:82">
      <c r="AI2691" s="19"/>
      <c r="AO2691" s="19"/>
      <c r="AY2691" s="145"/>
      <c r="AZ2691" s="16"/>
      <c r="BC2691" s="16"/>
      <c r="BD2691" s="20"/>
      <c r="BE2691" s="17"/>
      <c r="BF2691" s="20"/>
      <c r="BG2691" s="146"/>
      <c r="BH2691" s="146"/>
      <c r="BI2691" s="146"/>
      <c r="BJ2691" s="20"/>
      <c r="BK2691" s="20"/>
      <c r="BL2691" s="13"/>
      <c r="BP2691" s="20"/>
      <c r="BQ2691" s="13"/>
      <c r="BR2691" s="18"/>
      <c r="BS2691" s="16"/>
      <c r="BT2691" s="18"/>
      <c r="BU2691" s="18"/>
      <c r="BV2691" s="18"/>
      <c r="BW2691" s="20"/>
      <c r="BX2691" s="13"/>
      <c r="BY2691" s="18"/>
      <c r="BZ2691" s="146"/>
      <c r="CA2691" s="18"/>
      <c r="CB2691" s="18"/>
      <c r="CC2691" s="20"/>
      <c r="CD2691" s="13"/>
    </row>
    <row r="2692" spans="35:82">
      <c r="AI2692" s="19"/>
      <c r="AO2692" s="19"/>
      <c r="AY2692" s="145"/>
      <c r="AZ2692" s="16"/>
      <c r="BC2692" s="16"/>
      <c r="BD2692" s="20"/>
      <c r="BE2692" s="17"/>
      <c r="BF2692" s="20"/>
      <c r="BG2692" s="146"/>
      <c r="BH2692" s="146"/>
      <c r="BI2692" s="146"/>
      <c r="BJ2692" s="20"/>
      <c r="BK2692" s="20"/>
      <c r="BL2692" s="13"/>
      <c r="BP2692" s="20"/>
      <c r="BQ2692" s="13"/>
      <c r="BR2692" s="18"/>
      <c r="BS2692" s="16"/>
      <c r="BT2692" s="18"/>
      <c r="BU2692" s="18"/>
      <c r="BV2692" s="18"/>
      <c r="BW2692" s="20"/>
      <c r="BX2692" s="13"/>
      <c r="BY2692" s="18"/>
      <c r="BZ2692" s="146"/>
      <c r="CA2692" s="18"/>
      <c r="CB2692" s="18"/>
      <c r="CC2692" s="20"/>
      <c r="CD2692" s="13"/>
    </row>
    <row r="2693" spans="35:82">
      <c r="AI2693" s="19"/>
      <c r="AO2693" s="19"/>
      <c r="AY2693" s="145"/>
      <c r="AZ2693" s="16"/>
      <c r="BC2693" s="16"/>
      <c r="BD2693" s="20"/>
      <c r="BE2693" s="17"/>
      <c r="BF2693" s="20"/>
      <c r="BG2693" s="146"/>
      <c r="BH2693" s="146"/>
      <c r="BI2693" s="146"/>
      <c r="BJ2693" s="20"/>
      <c r="BK2693" s="20"/>
      <c r="BL2693" s="13"/>
      <c r="BP2693" s="20"/>
      <c r="BQ2693" s="13"/>
      <c r="BR2693" s="18"/>
      <c r="BS2693" s="16"/>
      <c r="BT2693" s="18"/>
      <c r="BU2693" s="18"/>
      <c r="BV2693" s="18"/>
      <c r="BW2693" s="20"/>
      <c r="BX2693" s="13"/>
      <c r="BY2693" s="18"/>
      <c r="BZ2693" s="146"/>
      <c r="CA2693" s="18"/>
      <c r="CB2693" s="18"/>
      <c r="CC2693" s="20"/>
      <c r="CD2693" s="13"/>
    </row>
    <row r="2694" spans="35:82">
      <c r="AI2694" s="19"/>
      <c r="AO2694" s="19"/>
      <c r="AY2694" s="145"/>
      <c r="AZ2694" s="16"/>
      <c r="BC2694" s="16"/>
      <c r="BD2694" s="20"/>
      <c r="BE2694" s="17"/>
      <c r="BF2694" s="20"/>
      <c r="BG2694" s="146"/>
      <c r="BH2694" s="146"/>
      <c r="BI2694" s="146"/>
      <c r="BJ2694" s="20"/>
      <c r="BK2694" s="20"/>
      <c r="BL2694" s="13"/>
      <c r="BP2694" s="20"/>
      <c r="BQ2694" s="13"/>
      <c r="BR2694" s="18"/>
      <c r="BS2694" s="16"/>
      <c r="BT2694" s="18"/>
      <c r="BU2694" s="18"/>
      <c r="BV2694" s="18"/>
      <c r="BW2694" s="20"/>
      <c r="BX2694" s="13"/>
      <c r="BY2694" s="18"/>
      <c r="BZ2694" s="146"/>
      <c r="CA2694" s="18"/>
      <c r="CB2694" s="18"/>
      <c r="CC2694" s="20"/>
      <c r="CD2694" s="13"/>
    </row>
    <row r="2695" spans="35:82">
      <c r="AI2695" s="19"/>
      <c r="AO2695" s="19"/>
      <c r="AY2695" s="145"/>
      <c r="AZ2695" s="16"/>
      <c r="BC2695" s="16"/>
      <c r="BD2695" s="20"/>
      <c r="BE2695" s="17"/>
      <c r="BF2695" s="20"/>
      <c r="BG2695" s="146"/>
      <c r="BH2695" s="146"/>
      <c r="BI2695" s="146"/>
      <c r="BJ2695" s="20"/>
      <c r="BK2695" s="20"/>
      <c r="BL2695" s="13"/>
      <c r="BP2695" s="20"/>
      <c r="BQ2695" s="13"/>
      <c r="BR2695" s="18"/>
      <c r="BS2695" s="16"/>
      <c r="BT2695" s="18"/>
      <c r="BU2695" s="18"/>
      <c r="BV2695" s="18"/>
      <c r="BW2695" s="20"/>
      <c r="BX2695" s="13"/>
      <c r="BY2695" s="18"/>
      <c r="BZ2695" s="146"/>
      <c r="CA2695" s="18"/>
      <c r="CB2695" s="18"/>
      <c r="CC2695" s="20"/>
      <c r="CD2695" s="13"/>
    </row>
    <row r="2696" spans="35:82">
      <c r="AI2696" s="19"/>
      <c r="AO2696" s="19"/>
      <c r="AY2696" s="145"/>
      <c r="AZ2696" s="16"/>
      <c r="BC2696" s="16"/>
      <c r="BD2696" s="20"/>
      <c r="BE2696" s="17"/>
      <c r="BF2696" s="20"/>
      <c r="BG2696" s="146"/>
      <c r="BH2696" s="146"/>
      <c r="BI2696" s="146"/>
      <c r="BJ2696" s="20"/>
      <c r="BK2696" s="20"/>
      <c r="BL2696" s="13"/>
      <c r="BP2696" s="20"/>
      <c r="BQ2696" s="13"/>
      <c r="BR2696" s="18"/>
      <c r="BS2696" s="16"/>
      <c r="BT2696" s="18"/>
      <c r="BU2696" s="18"/>
      <c r="BV2696" s="18"/>
      <c r="BW2696" s="20"/>
      <c r="BX2696" s="13"/>
      <c r="BY2696" s="18"/>
      <c r="BZ2696" s="146"/>
      <c r="CA2696" s="18"/>
      <c r="CB2696" s="18"/>
      <c r="CC2696" s="20"/>
      <c r="CD2696" s="13"/>
    </row>
    <row r="2697" spans="35:82">
      <c r="AI2697" s="19"/>
      <c r="AO2697" s="19"/>
      <c r="AY2697" s="145"/>
      <c r="AZ2697" s="16"/>
      <c r="BC2697" s="16"/>
      <c r="BD2697" s="20"/>
      <c r="BE2697" s="17"/>
      <c r="BF2697" s="20"/>
      <c r="BG2697" s="146"/>
      <c r="BH2697" s="146"/>
      <c r="BI2697" s="146"/>
      <c r="BJ2697" s="20"/>
      <c r="BK2697" s="20"/>
      <c r="BL2697" s="13"/>
      <c r="BP2697" s="20"/>
      <c r="BQ2697" s="13"/>
      <c r="BR2697" s="18"/>
      <c r="BS2697" s="16"/>
      <c r="BT2697" s="18"/>
      <c r="BU2697" s="18"/>
      <c r="BV2697" s="18"/>
      <c r="BW2697" s="20"/>
      <c r="BX2697" s="13"/>
      <c r="BY2697" s="18"/>
      <c r="BZ2697" s="146"/>
      <c r="CA2697" s="18"/>
      <c r="CB2697" s="18"/>
      <c r="CC2697" s="20"/>
      <c r="CD2697" s="13"/>
    </row>
    <row r="2698" spans="35:82">
      <c r="AI2698" s="19"/>
      <c r="AO2698" s="19"/>
      <c r="AY2698" s="145"/>
      <c r="AZ2698" s="16"/>
      <c r="BC2698" s="16"/>
      <c r="BD2698" s="20"/>
      <c r="BE2698" s="17"/>
      <c r="BF2698" s="20"/>
      <c r="BG2698" s="146"/>
      <c r="BH2698" s="146"/>
      <c r="BI2698" s="146"/>
      <c r="BJ2698" s="20"/>
      <c r="BK2698" s="20"/>
      <c r="BL2698" s="13"/>
      <c r="BP2698" s="20"/>
      <c r="BQ2698" s="13"/>
      <c r="BR2698" s="18"/>
      <c r="BS2698" s="16"/>
      <c r="BT2698" s="18"/>
      <c r="BU2698" s="18"/>
      <c r="BV2698" s="18"/>
      <c r="BW2698" s="20"/>
      <c r="BX2698" s="13"/>
      <c r="BY2698" s="18"/>
      <c r="BZ2698" s="146"/>
      <c r="CA2698" s="18"/>
      <c r="CB2698" s="18"/>
      <c r="CC2698" s="20"/>
      <c r="CD2698" s="13"/>
    </row>
    <row r="2699" spans="35:82">
      <c r="AI2699" s="19"/>
      <c r="AO2699" s="19"/>
      <c r="AY2699" s="145"/>
      <c r="AZ2699" s="16"/>
      <c r="BC2699" s="16"/>
      <c r="BD2699" s="20"/>
      <c r="BE2699" s="17"/>
      <c r="BF2699" s="20"/>
      <c r="BG2699" s="146"/>
      <c r="BH2699" s="146"/>
      <c r="BI2699" s="146"/>
      <c r="BJ2699" s="20"/>
      <c r="BK2699" s="20"/>
      <c r="BL2699" s="13"/>
      <c r="BP2699" s="20"/>
      <c r="BQ2699" s="13"/>
      <c r="BR2699" s="18"/>
      <c r="BS2699" s="16"/>
      <c r="BT2699" s="18"/>
      <c r="BU2699" s="18"/>
      <c r="BV2699" s="18"/>
      <c r="BW2699" s="20"/>
      <c r="BX2699" s="13"/>
      <c r="BY2699" s="18"/>
      <c r="BZ2699" s="146"/>
      <c r="CA2699" s="18"/>
      <c r="CB2699" s="18"/>
      <c r="CC2699" s="20"/>
      <c r="CD2699" s="13"/>
    </row>
    <row r="2700" spans="35:82">
      <c r="AI2700" s="19"/>
      <c r="AO2700" s="19"/>
      <c r="AY2700" s="145"/>
      <c r="AZ2700" s="16"/>
      <c r="BC2700" s="16"/>
      <c r="BD2700" s="20"/>
      <c r="BE2700" s="17"/>
      <c r="BF2700" s="20"/>
      <c r="BG2700" s="146"/>
      <c r="BH2700" s="146"/>
      <c r="BI2700" s="146"/>
      <c r="BJ2700" s="20"/>
      <c r="BK2700" s="20"/>
      <c r="BL2700" s="13"/>
      <c r="BP2700" s="20"/>
      <c r="BQ2700" s="13"/>
      <c r="BR2700" s="18"/>
      <c r="BS2700" s="16"/>
      <c r="BT2700" s="18"/>
      <c r="BU2700" s="18"/>
      <c r="BV2700" s="18"/>
      <c r="BW2700" s="20"/>
      <c r="BX2700" s="13"/>
      <c r="BY2700" s="18"/>
      <c r="BZ2700" s="146"/>
      <c r="CA2700" s="18"/>
      <c r="CB2700" s="18"/>
      <c r="CC2700" s="20"/>
      <c r="CD2700" s="13"/>
    </row>
    <row r="2701" spans="35:82">
      <c r="AI2701" s="19"/>
      <c r="AO2701" s="19"/>
      <c r="AY2701" s="145"/>
      <c r="AZ2701" s="16"/>
      <c r="BC2701" s="16"/>
      <c r="BD2701" s="20"/>
      <c r="BE2701" s="17"/>
      <c r="BF2701" s="20"/>
      <c r="BG2701" s="146"/>
      <c r="BH2701" s="146"/>
      <c r="BI2701" s="146"/>
      <c r="BJ2701" s="20"/>
      <c r="BK2701" s="20"/>
      <c r="BL2701" s="13"/>
      <c r="BP2701" s="20"/>
      <c r="BQ2701" s="13"/>
      <c r="BR2701" s="18"/>
      <c r="BS2701" s="16"/>
      <c r="BT2701" s="18"/>
      <c r="BU2701" s="18"/>
      <c r="BV2701" s="18"/>
      <c r="BW2701" s="20"/>
      <c r="BX2701" s="13"/>
      <c r="BY2701" s="18"/>
      <c r="BZ2701" s="146"/>
      <c r="CA2701" s="18"/>
      <c r="CB2701" s="18"/>
      <c r="CC2701" s="20"/>
      <c r="CD2701" s="13"/>
    </row>
    <row r="2702" spans="35:82">
      <c r="AI2702" s="19"/>
      <c r="AO2702" s="19"/>
      <c r="AY2702" s="145"/>
      <c r="AZ2702" s="16"/>
      <c r="BC2702" s="16"/>
      <c r="BD2702" s="20"/>
      <c r="BE2702" s="17"/>
      <c r="BF2702" s="20"/>
      <c r="BG2702" s="146"/>
      <c r="BH2702" s="146"/>
      <c r="BI2702" s="146"/>
      <c r="BJ2702" s="20"/>
      <c r="BK2702" s="20"/>
      <c r="BL2702" s="13"/>
      <c r="BP2702" s="20"/>
      <c r="BQ2702" s="13"/>
      <c r="BR2702" s="18"/>
      <c r="BS2702" s="16"/>
      <c r="BT2702" s="18"/>
      <c r="BU2702" s="18"/>
      <c r="BV2702" s="18"/>
      <c r="BW2702" s="20"/>
      <c r="BX2702" s="13"/>
      <c r="BY2702" s="18"/>
      <c r="BZ2702" s="146"/>
      <c r="CA2702" s="18"/>
      <c r="CB2702" s="18"/>
      <c r="CC2702" s="20"/>
      <c r="CD2702" s="13"/>
    </row>
    <row r="2703" spans="35:82">
      <c r="AI2703" s="19"/>
      <c r="AO2703" s="19"/>
      <c r="AY2703" s="145"/>
      <c r="AZ2703" s="16"/>
      <c r="BC2703" s="16"/>
      <c r="BD2703" s="20"/>
      <c r="BE2703" s="17"/>
      <c r="BF2703" s="20"/>
      <c r="BG2703" s="146"/>
      <c r="BH2703" s="146"/>
      <c r="BI2703" s="146"/>
      <c r="BJ2703" s="20"/>
      <c r="BK2703" s="20"/>
      <c r="BL2703" s="13"/>
      <c r="BP2703" s="20"/>
      <c r="BQ2703" s="13"/>
      <c r="BR2703" s="18"/>
      <c r="BS2703" s="16"/>
      <c r="BT2703" s="18"/>
      <c r="BU2703" s="18"/>
      <c r="BV2703" s="18"/>
      <c r="BW2703" s="20"/>
      <c r="BX2703" s="13"/>
      <c r="BY2703" s="18"/>
      <c r="BZ2703" s="146"/>
      <c r="CA2703" s="18"/>
      <c r="CB2703" s="18"/>
      <c r="CC2703" s="20"/>
      <c r="CD2703" s="13"/>
    </row>
    <row r="2704" spans="35:82">
      <c r="AI2704" s="19"/>
      <c r="AO2704" s="19"/>
      <c r="AY2704" s="145"/>
      <c r="AZ2704" s="16"/>
      <c r="BC2704" s="16"/>
      <c r="BD2704" s="20"/>
      <c r="BE2704" s="17"/>
      <c r="BF2704" s="20"/>
      <c r="BG2704" s="146"/>
      <c r="BH2704" s="146"/>
      <c r="BI2704" s="146"/>
      <c r="BJ2704" s="20"/>
      <c r="BK2704" s="20"/>
      <c r="BL2704" s="13"/>
      <c r="BP2704" s="20"/>
      <c r="BQ2704" s="13"/>
      <c r="BR2704" s="18"/>
      <c r="BS2704" s="16"/>
      <c r="BT2704" s="18"/>
      <c r="BU2704" s="18"/>
      <c r="BV2704" s="18"/>
      <c r="BW2704" s="20"/>
      <c r="BX2704" s="13"/>
      <c r="BY2704" s="18"/>
      <c r="BZ2704" s="146"/>
      <c r="CA2704" s="18"/>
      <c r="CB2704" s="18"/>
      <c r="CC2704" s="20"/>
      <c r="CD2704" s="13"/>
    </row>
    <row r="2705" spans="35:82">
      <c r="AI2705" s="19"/>
      <c r="AO2705" s="19"/>
      <c r="AY2705" s="145"/>
      <c r="AZ2705" s="16"/>
      <c r="BC2705" s="16"/>
      <c r="BD2705" s="20"/>
      <c r="BE2705" s="17"/>
      <c r="BF2705" s="20"/>
      <c r="BG2705" s="146"/>
      <c r="BH2705" s="146"/>
      <c r="BI2705" s="146"/>
      <c r="BJ2705" s="20"/>
      <c r="BK2705" s="20"/>
      <c r="BL2705" s="13"/>
      <c r="BP2705" s="20"/>
      <c r="BQ2705" s="13"/>
      <c r="BR2705" s="18"/>
      <c r="BS2705" s="16"/>
      <c r="BT2705" s="18"/>
      <c r="BU2705" s="18"/>
      <c r="BV2705" s="18"/>
      <c r="BW2705" s="20"/>
      <c r="BX2705" s="13"/>
      <c r="BY2705" s="18"/>
      <c r="BZ2705" s="146"/>
      <c r="CA2705" s="18"/>
      <c r="CB2705" s="18"/>
      <c r="CC2705" s="20"/>
      <c r="CD2705" s="13"/>
    </row>
    <row r="2706" spans="35:82">
      <c r="AI2706" s="19"/>
      <c r="AO2706" s="19"/>
      <c r="AY2706" s="145"/>
      <c r="AZ2706" s="16"/>
      <c r="BC2706" s="16"/>
      <c r="BD2706" s="20"/>
      <c r="BE2706" s="17"/>
      <c r="BF2706" s="20"/>
      <c r="BG2706" s="146"/>
      <c r="BH2706" s="146"/>
      <c r="BI2706" s="146"/>
      <c r="BJ2706" s="20"/>
      <c r="BK2706" s="20"/>
      <c r="BL2706" s="13"/>
      <c r="BP2706" s="20"/>
      <c r="BQ2706" s="13"/>
      <c r="BR2706" s="18"/>
      <c r="BS2706" s="16"/>
      <c r="BT2706" s="18"/>
      <c r="BU2706" s="18"/>
      <c r="BV2706" s="18"/>
      <c r="BW2706" s="20"/>
      <c r="BX2706" s="13"/>
      <c r="BY2706" s="18"/>
      <c r="BZ2706" s="146"/>
      <c r="CA2706" s="18"/>
      <c r="CB2706" s="18"/>
      <c r="CC2706" s="20"/>
      <c r="CD2706" s="13"/>
    </row>
    <row r="2707" spans="35:82">
      <c r="AI2707" s="19"/>
      <c r="AO2707" s="19"/>
      <c r="AY2707" s="145"/>
      <c r="AZ2707" s="16"/>
      <c r="BC2707" s="16"/>
      <c r="BD2707" s="20"/>
      <c r="BE2707" s="17"/>
      <c r="BF2707" s="20"/>
      <c r="BG2707" s="146"/>
      <c r="BH2707" s="146"/>
      <c r="BI2707" s="146"/>
      <c r="BJ2707" s="20"/>
      <c r="BK2707" s="20"/>
      <c r="BL2707" s="13"/>
      <c r="BP2707" s="20"/>
      <c r="BQ2707" s="13"/>
      <c r="BR2707" s="18"/>
      <c r="BS2707" s="16"/>
      <c r="BT2707" s="18"/>
      <c r="BU2707" s="18"/>
      <c r="BV2707" s="18"/>
      <c r="BW2707" s="20"/>
      <c r="BX2707" s="13"/>
      <c r="BY2707" s="18"/>
      <c r="BZ2707" s="146"/>
      <c r="CA2707" s="18"/>
      <c r="CB2707" s="18"/>
      <c r="CC2707" s="20"/>
      <c r="CD2707" s="13"/>
    </row>
    <row r="2708" spans="35:82">
      <c r="AI2708" s="19"/>
      <c r="AO2708" s="19"/>
      <c r="AY2708" s="145"/>
      <c r="AZ2708" s="16"/>
      <c r="BC2708" s="16"/>
      <c r="BD2708" s="20"/>
      <c r="BE2708" s="17"/>
      <c r="BF2708" s="20"/>
      <c r="BG2708" s="146"/>
      <c r="BH2708" s="146"/>
      <c r="BI2708" s="146"/>
      <c r="BJ2708" s="20"/>
      <c r="BK2708" s="20"/>
      <c r="BL2708" s="13"/>
      <c r="BP2708" s="20"/>
      <c r="BQ2708" s="13"/>
      <c r="BR2708" s="18"/>
      <c r="BS2708" s="16"/>
      <c r="BT2708" s="18"/>
      <c r="BU2708" s="18"/>
      <c r="BV2708" s="18"/>
      <c r="BW2708" s="20"/>
      <c r="BX2708" s="13"/>
      <c r="BY2708" s="18"/>
      <c r="BZ2708" s="146"/>
      <c r="CA2708" s="18"/>
      <c r="CB2708" s="18"/>
      <c r="CC2708" s="20"/>
      <c r="CD2708" s="13"/>
    </row>
    <row r="2709" spans="35:82">
      <c r="AI2709" s="19"/>
      <c r="AO2709" s="19"/>
      <c r="AY2709" s="145"/>
      <c r="AZ2709" s="16"/>
      <c r="BC2709" s="16"/>
      <c r="BD2709" s="20"/>
      <c r="BE2709" s="17"/>
      <c r="BF2709" s="20"/>
      <c r="BG2709" s="146"/>
      <c r="BH2709" s="146"/>
      <c r="BI2709" s="146"/>
      <c r="BJ2709" s="20"/>
      <c r="BK2709" s="20"/>
      <c r="BL2709" s="13"/>
      <c r="BP2709" s="20"/>
      <c r="BQ2709" s="13"/>
      <c r="BR2709" s="18"/>
      <c r="BS2709" s="16"/>
      <c r="BT2709" s="18"/>
      <c r="BU2709" s="18"/>
      <c r="BV2709" s="18"/>
      <c r="BW2709" s="20"/>
      <c r="BX2709" s="13"/>
      <c r="BY2709" s="18"/>
      <c r="BZ2709" s="146"/>
      <c r="CA2709" s="18"/>
      <c r="CB2709" s="18"/>
      <c r="CC2709" s="20"/>
      <c r="CD2709" s="13"/>
    </row>
    <row r="2710" spans="35:82">
      <c r="AI2710" s="19"/>
      <c r="AO2710" s="19"/>
      <c r="AY2710" s="145"/>
      <c r="AZ2710" s="16"/>
      <c r="BC2710" s="16"/>
      <c r="BD2710" s="20"/>
      <c r="BE2710" s="17"/>
      <c r="BF2710" s="20"/>
      <c r="BG2710" s="146"/>
      <c r="BH2710" s="146"/>
      <c r="BI2710" s="146"/>
      <c r="BJ2710" s="20"/>
      <c r="BK2710" s="20"/>
      <c r="BL2710" s="13"/>
      <c r="BP2710" s="20"/>
      <c r="BQ2710" s="13"/>
      <c r="BR2710" s="18"/>
      <c r="BS2710" s="16"/>
      <c r="BT2710" s="18"/>
      <c r="BU2710" s="18"/>
      <c r="BV2710" s="18"/>
      <c r="BW2710" s="20"/>
      <c r="BX2710" s="13"/>
      <c r="BY2710" s="18"/>
      <c r="BZ2710" s="146"/>
      <c r="CA2710" s="18"/>
      <c r="CB2710" s="18"/>
      <c r="CC2710" s="20"/>
      <c r="CD2710" s="13"/>
    </row>
    <row r="2711" spans="35:82">
      <c r="AI2711" s="19"/>
      <c r="AO2711" s="19"/>
      <c r="AY2711" s="145"/>
      <c r="AZ2711" s="16"/>
      <c r="BC2711" s="16"/>
      <c r="BD2711" s="20"/>
      <c r="BE2711" s="17"/>
      <c r="BF2711" s="20"/>
      <c r="BG2711" s="146"/>
      <c r="BH2711" s="146"/>
      <c r="BI2711" s="146"/>
      <c r="BJ2711" s="20"/>
      <c r="BK2711" s="20"/>
      <c r="BL2711" s="13"/>
      <c r="BP2711" s="20"/>
      <c r="BQ2711" s="13"/>
      <c r="BR2711" s="18"/>
      <c r="BS2711" s="16"/>
      <c r="BT2711" s="18"/>
      <c r="BU2711" s="18"/>
      <c r="BV2711" s="18"/>
      <c r="BW2711" s="20"/>
      <c r="BX2711" s="13"/>
      <c r="BY2711" s="18"/>
      <c r="BZ2711" s="146"/>
      <c r="CA2711" s="18"/>
      <c r="CB2711" s="18"/>
      <c r="CC2711" s="20"/>
      <c r="CD2711" s="13"/>
    </row>
    <row r="2712" spans="35:82">
      <c r="AI2712" s="19"/>
      <c r="AO2712" s="19"/>
      <c r="AY2712" s="145"/>
      <c r="AZ2712" s="16"/>
      <c r="BC2712" s="16"/>
      <c r="BD2712" s="20"/>
      <c r="BE2712" s="17"/>
      <c r="BF2712" s="20"/>
      <c r="BG2712" s="146"/>
      <c r="BH2712" s="146"/>
      <c r="BI2712" s="146"/>
      <c r="BJ2712" s="20"/>
      <c r="BK2712" s="20"/>
      <c r="BL2712" s="13"/>
      <c r="BP2712" s="20"/>
      <c r="BQ2712" s="13"/>
      <c r="BR2712" s="18"/>
      <c r="BS2712" s="16"/>
      <c r="BT2712" s="18"/>
      <c r="BU2712" s="18"/>
      <c r="BV2712" s="18"/>
      <c r="BW2712" s="20"/>
      <c r="BX2712" s="13"/>
      <c r="BY2712" s="18"/>
      <c r="BZ2712" s="146"/>
      <c r="CA2712" s="18"/>
      <c r="CB2712" s="18"/>
      <c r="CC2712" s="20"/>
      <c r="CD2712" s="13"/>
    </row>
    <row r="2713" spans="35:82">
      <c r="AI2713" s="19"/>
      <c r="AO2713" s="19"/>
      <c r="AY2713" s="145"/>
      <c r="AZ2713" s="16"/>
      <c r="BC2713" s="16"/>
      <c r="BD2713" s="20"/>
      <c r="BE2713" s="17"/>
      <c r="BF2713" s="20"/>
      <c r="BG2713" s="146"/>
      <c r="BH2713" s="146"/>
      <c r="BI2713" s="146"/>
      <c r="BJ2713" s="20"/>
      <c r="BK2713" s="20"/>
      <c r="BL2713" s="13"/>
      <c r="BP2713" s="20"/>
      <c r="BQ2713" s="13"/>
      <c r="BR2713" s="18"/>
      <c r="BS2713" s="16"/>
      <c r="BT2713" s="18"/>
      <c r="BU2713" s="18"/>
      <c r="BV2713" s="18"/>
      <c r="BW2713" s="20"/>
      <c r="BX2713" s="13"/>
      <c r="BY2713" s="18"/>
      <c r="BZ2713" s="146"/>
      <c r="CA2713" s="18"/>
      <c r="CB2713" s="18"/>
      <c r="CC2713" s="20"/>
      <c r="CD2713" s="13"/>
    </row>
    <row r="2714" spans="35:82">
      <c r="AI2714" s="19"/>
      <c r="AO2714" s="19"/>
      <c r="AY2714" s="145"/>
      <c r="AZ2714" s="16"/>
      <c r="BC2714" s="16"/>
      <c r="BD2714" s="20"/>
      <c r="BE2714" s="17"/>
      <c r="BF2714" s="20"/>
      <c r="BG2714" s="146"/>
      <c r="BH2714" s="146"/>
      <c r="BI2714" s="146"/>
      <c r="BJ2714" s="20"/>
      <c r="BK2714" s="20"/>
      <c r="BL2714" s="13"/>
      <c r="BP2714" s="20"/>
      <c r="BQ2714" s="13"/>
      <c r="BR2714" s="18"/>
      <c r="BS2714" s="16"/>
      <c r="BT2714" s="18"/>
      <c r="BU2714" s="18"/>
      <c r="BV2714" s="18"/>
      <c r="BW2714" s="20"/>
      <c r="BX2714" s="13"/>
      <c r="BY2714" s="18"/>
      <c r="BZ2714" s="146"/>
      <c r="CA2714" s="18"/>
      <c r="CB2714" s="18"/>
      <c r="CC2714" s="20"/>
      <c r="CD2714" s="13"/>
    </row>
    <row r="2715" spans="35:82">
      <c r="AI2715" s="19"/>
      <c r="AO2715" s="19"/>
      <c r="AY2715" s="145"/>
      <c r="AZ2715" s="16"/>
      <c r="BC2715" s="16"/>
      <c r="BD2715" s="20"/>
      <c r="BE2715" s="17"/>
      <c r="BF2715" s="20"/>
      <c r="BG2715" s="146"/>
      <c r="BH2715" s="146"/>
      <c r="BI2715" s="146"/>
      <c r="BJ2715" s="20"/>
      <c r="BK2715" s="20"/>
      <c r="BL2715" s="13"/>
      <c r="BP2715" s="20"/>
      <c r="BQ2715" s="13"/>
      <c r="BR2715" s="18"/>
      <c r="BS2715" s="16"/>
      <c r="BT2715" s="18"/>
      <c r="BU2715" s="18"/>
      <c r="BV2715" s="18"/>
      <c r="BW2715" s="20"/>
      <c r="BX2715" s="13"/>
      <c r="BY2715" s="18"/>
      <c r="BZ2715" s="146"/>
      <c r="CA2715" s="18"/>
      <c r="CB2715" s="18"/>
      <c r="CC2715" s="20"/>
      <c r="CD2715" s="13"/>
    </row>
    <row r="2716" spans="35:82">
      <c r="AI2716" s="19"/>
      <c r="AO2716" s="19"/>
      <c r="AY2716" s="145"/>
      <c r="AZ2716" s="16"/>
      <c r="BC2716" s="16"/>
      <c r="BD2716" s="20"/>
      <c r="BE2716" s="17"/>
      <c r="BF2716" s="20"/>
      <c r="BG2716" s="146"/>
      <c r="BH2716" s="146"/>
      <c r="BI2716" s="146"/>
      <c r="BJ2716" s="20"/>
      <c r="BK2716" s="20"/>
      <c r="BL2716" s="13"/>
      <c r="BP2716" s="20"/>
      <c r="BQ2716" s="13"/>
      <c r="BR2716" s="18"/>
      <c r="BS2716" s="16"/>
      <c r="BT2716" s="18"/>
      <c r="BU2716" s="18"/>
      <c r="BV2716" s="18"/>
      <c r="BW2716" s="20"/>
      <c r="BX2716" s="13"/>
      <c r="BY2716" s="18"/>
      <c r="BZ2716" s="146"/>
      <c r="CA2716" s="18"/>
      <c r="CB2716" s="18"/>
      <c r="CC2716" s="20"/>
      <c r="CD2716" s="13"/>
    </row>
    <row r="2717" spans="35:82">
      <c r="AI2717" s="19"/>
      <c r="AO2717" s="19"/>
      <c r="AY2717" s="145"/>
      <c r="AZ2717" s="16"/>
      <c r="BC2717" s="16"/>
      <c r="BD2717" s="20"/>
      <c r="BE2717" s="17"/>
      <c r="BF2717" s="20"/>
      <c r="BG2717" s="146"/>
      <c r="BH2717" s="146"/>
      <c r="BI2717" s="146"/>
      <c r="BJ2717" s="20"/>
      <c r="BK2717" s="20"/>
      <c r="BL2717" s="13"/>
      <c r="BP2717" s="20"/>
      <c r="BQ2717" s="13"/>
      <c r="BR2717" s="18"/>
      <c r="BS2717" s="16"/>
      <c r="BT2717" s="18"/>
      <c r="BU2717" s="18"/>
      <c r="BV2717" s="18"/>
      <c r="BW2717" s="20"/>
      <c r="BX2717" s="13"/>
      <c r="BY2717" s="18"/>
      <c r="BZ2717" s="146"/>
      <c r="CA2717" s="18"/>
      <c r="CB2717" s="18"/>
      <c r="CC2717" s="20"/>
      <c r="CD2717" s="13"/>
    </row>
    <row r="2718" spans="35:82">
      <c r="AI2718" s="19"/>
      <c r="AO2718" s="19"/>
      <c r="AY2718" s="145"/>
      <c r="AZ2718" s="16"/>
      <c r="BC2718" s="16"/>
      <c r="BD2718" s="20"/>
      <c r="BE2718" s="17"/>
      <c r="BF2718" s="20"/>
      <c r="BG2718" s="146"/>
      <c r="BH2718" s="146"/>
      <c r="BI2718" s="146"/>
      <c r="BJ2718" s="20"/>
      <c r="BK2718" s="20"/>
      <c r="BL2718" s="13"/>
      <c r="BP2718" s="20"/>
      <c r="BQ2718" s="13"/>
      <c r="BR2718" s="18"/>
      <c r="BS2718" s="16"/>
      <c r="BT2718" s="18"/>
      <c r="BU2718" s="18"/>
      <c r="BV2718" s="18"/>
      <c r="BW2718" s="20"/>
      <c r="BX2718" s="13"/>
      <c r="BY2718" s="18"/>
      <c r="BZ2718" s="146"/>
      <c r="CA2718" s="18"/>
      <c r="CB2718" s="18"/>
      <c r="CC2718" s="20"/>
      <c r="CD2718" s="13"/>
    </row>
    <row r="2719" spans="35:82">
      <c r="AI2719" s="19"/>
      <c r="AO2719" s="19"/>
      <c r="AY2719" s="145"/>
      <c r="AZ2719" s="16"/>
      <c r="BC2719" s="16"/>
      <c r="BD2719" s="20"/>
      <c r="BE2719" s="17"/>
      <c r="BF2719" s="20"/>
      <c r="BG2719" s="146"/>
      <c r="BH2719" s="146"/>
      <c r="BI2719" s="146"/>
      <c r="BJ2719" s="20"/>
      <c r="BK2719" s="20"/>
      <c r="BL2719" s="13"/>
      <c r="BP2719" s="20"/>
      <c r="BQ2719" s="13"/>
      <c r="BR2719" s="18"/>
      <c r="BS2719" s="16"/>
      <c r="BT2719" s="18"/>
      <c r="BU2719" s="18"/>
      <c r="BV2719" s="18"/>
      <c r="BW2719" s="20"/>
      <c r="BX2719" s="13"/>
      <c r="BY2719" s="18"/>
      <c r="BZ2719" s="146"/>
      <c r="CA2719" s="18"/>
      <c r="CB2719" s="18"/>
      <c r="CC2719" s="20"/>
      <c r="CD2719" s="13"/>
    </row>
    <row r="2720" spans="35:82">
      <c r="AI2720" s="19"/>
      <c r="AO2720" s="19"/>
      <c r="AY2720" s="145"/>
      <c r="AZ2720" s="16"/>
      <c r="BC2720" s="16"/>
      <c r="BD2720" s="20"/>
      <c r="BE2720" s="17"/>
      <c r="BF2720" s="20"/>
      <c r="BG2720" s="146"/>
      <c r="BH2720" s="146"/>
      <c r="BI2720" s="146"/>
      <c r="BJ2720" s="20"/>
      <c r="BK2720" s="20"/>
      <c r="BL2720" s="13"/>
      <c r="BP2720" s="20"/>
      <c r="BQ2720" s="13"/>
      <c r="BR2720" s="18"/>
      <c r="BS2720" s="16"/>
      <c r="BT2720" s="18"/>
      <c r="BU2720" s="18"/>
      <c r="BV2720" s="18"/>
      <c r="BW2720" s="20"/>
      <c r="BX2720" s="13"/>
      <c r="BY2720" s="18"/>
      <c r="BZ2720" s="146"/>
      <c r="CA2720" s="18"/>
      <c r="CB2720" s="18"/>
      <c r="CC2720" s="20"/>
      <c r="CD2720" s="13"/>
    </row>
    <row r="2721" spans="35:82">
      <c r="AI2721" s="19"/>
      <c r="AO2721" s="19"/>
      <c r="AY2721" s="145"/>
      <c r="AZ2721" s="16"/>
      <c r="BC2721" s="16"/>
      <c r="BD2721" s="20"/>
      <c r="BE2721" s="17"/>
      <c r="BF2721" s="20"/>
      <c r="BG2721" s="146"/>
      <c r="BH2721" s="146"/>
      <c r="BI2721" s="146"/>
      <c r="BJ2721" s="20"/>
      <c r="BK2721" s="20"/>
      <c r="BL2721" s="13"/>
      <c r="BP2721" s="20"/>
      <c r="BQ2721" s="13"/>
      <c r="BR2721" s="18"/>
      <c r="BS2721" s="16"/>
      <c r="BT2721" s="18"/>
      <c r="BU2721" s="18"/>
      <c r="BV2721" s="18"/>
      <c r="BW2721" s="20"/>
      <c r="BX2721" s="13"/>
      <c r="BY2721" s="18"/>
      <c r="BZ2721" s="146"/>
      <c r="CA2721" s="18"/>
      <c r="CB2721" s="18"/>
      <c r="CC2721" s="20"/>
      <c r="CD2721" s="13"/>
    </row>
    <row r="2722" spans="35:82">
      <c r="AI2722" s="19"/>
      <c r="AO2722" s="19"/>
      <c r="AY2722" s="145"/>
      <c r="AZ2722" s="16"/>
      <c r="BC2722" s="16"/>
      <c r="BD2722" s="20"/>
      <c r="BE2722" s="17"/>
      <c r="BF2722" s="20"/>
      <c r="BG2722" s="146"/>
      <c r="BH2722" s="146"/>
      <c r="BI2722" s="146"/>
      <c r="BJ2722" s="20"/>
      <c r="BK2722" s="20"/>
      <c r="BL2722" s="13"/>
      <c r="BP2722" s="20"/>
      <c r="BQ2722" s="13"/>
      <c r="BR2722" s="18"/>
      <c r="BS2722" s="16"/>
      <c r="BT2722" s="18"/>
      <c r="BU2722" s="18"/>
      <c r="BV2722" s="18"/>
      <c r="BW2722" s="20"/>
      <c r="BX2722" s="13"/>
      <c r="BY2722" s="18"/>
      <c r="BZ2722" s="146"/>
      <c r="CA2722" s="18"/>
      <c r="CB2722" s="18"/>
      <c r="CC2722" s="20"/>
      <c r="CD2722" s="13"/>
    </row>
    <row r="2723" spans="35:82">
      <c r="AI2723" s="19"/>
      <c r="AO2723" s="19"/>
      <c r="AY2723" s="145"/>
      <c r="AZ2723" s="16"/>
      <c r="BC2723" s="16"/>
      <c r="BD2723" s="20"/>
      <c r="BE2723" s="17"/>
      <c r="BF2723" s="20"/>
      <c r="BG2723" s="146"/>
      <c r="BH2723" s="146"/>
      <c r="BI2723" s="146"/>
      <c r="BJ2723" s="20"/>
      <c r="BK2723" s="20"/>
      <c r="BL2723" s="13"/>
      <c r="BP2723" s="20"/>
      <c r="BQ2723" s="13"/>
      <c r="BR2723" s="18"/>
      <c r="BS2723" s="16"/>
      <c r="BT2723" s="18"/>
      <c r="BU2723" s="18"/>
      <c r="BV2723" s="18"/>
      <c r="BW2723" s="20"/>
      <c r="BX2723" s="13"/>
      <c r="BY2723" s="18"/>
      <c r="BZ2723" s="146"/>
      <c r="CA2723" s="18"/>
      <c r="CB2723" s="18"/>
      <c r="CC2723" s="20"/>
      <c r="CD2723" s="13"/>
    </row>
    <row r="2724" spans="35:82">
      <c r="AI2724" s="19"/>
      <c r="AO2724" s="19"/>
      <c r="AY2724" s="145"/>
      <c r="AZ2724" s="16"/>
      <c r="BC2724" s="16"/>
      <c r="BD2724" s="20"/>
      <c r="BE2724" s="17"/>
      <c r="BF2724" s="20"/>
      <c r="BG2724" s="146"/>
      <c r="BH2724" s="146"/>
      <c r="BI2724" s="146"/>
      <c r="BJ2724" s="20"/>
      <c r="BK2724" s="20"/>
      <c r="BL2724" s="13"/>
      <c r="BP2724" s="20"/>
      <c r="BQ2724" s="13"/>
      <c r="BR2724" s="18"/>
      <c r="BS2724" s="16"/>
      <c r="BT2724" s="18"/>
      <c r="BU2724" s="18"/>
      <c r="BV2724" s="18"/>
      <c r="BW2724" s="20"/>
      <c r="BX2724" s="13"/>
      <c r="BY2724" s="18"/>
      <c r="BZ2724" s="146"/>
      <c r="CA2724" s="18"/>
      <c r="CB2724" s="18"/>
      <c r="CC2724" s="20"/>
      <c r="CD2724" s="13"/>
    </row>
    <row r="2725" spans="35:82">
      <c r="AI2725" s="19"/>
      <c r="AO2725" s="19"/>
      <c r="AY2725" s="145"/>
      <c r="AZ2725" s="16"/>
      <c r="BC2725" s="16"/>
      <c r="BD2725" s="20"/>
      <c r="BE2725" s="17"/>
      <c r="BF2725" s="20"/>
      <c r="BG2725" s="146"/>
      <c r="BH2725" s="146"/>
      <c r="BI2725" s="146"/>
      <c r="BJ2725" s="20"/>
      <c r="BK2725" s="20"/>
      <c r="BL2725" s="13"/>
      <c r="BP2725" s="20"/>
      <c r="BQ2725" s="13"/>
      <c r="BR2725" s="18"/>
      <c r="BS2725" s="16"/>
      <c r="BT2725" s="18"/>
      <c r="BU2725" s="18"/>
      <c r="BV2725" s="18"/>
      <c r="BW2725" s="20"/>
      <c r="BX2725" s="13"/>
      <c r="BY2725" s="18"/>
      <c r="BZ2725" s="146"/>
      <c r="CA2725" s="18"/>
      <c r="CB2725" s="18"/>
      <c r="CC2725" s="20"/>
      <c r="CD2725" s="13"/>
    </row>
    <row r="2726" spans="35:82">
      <c r="AI2726" s="19"/>
      <c r="AO2726" s="19"/>
      <c r="AY2726" s="145"/>
      <c r="AZ2726" s="16"/>
      <c r="BC2726" s="16"/>
      <c r="BD2726" s="20"/>
      <c r="BE2726" s="17"/>
      <c r="BF2726" s="20"/>
      <c r="BG2726" s="146"/>
      <c r="BH2726" s="146"/>
      <c r="BI2726" s="146"/>
      <c r="BJ2726" s="20"/>
      <c r="BK2726" s="20"/>
      <c r="BL2726" s="13"/>
      <c r="BP2726" s="20"/>
      <c r="BQ2726" s="13"/>
      <c r="BR2726" s="18"/>
      <c r="BS2726" s="16"/>
      <c r="BT2726" s="18"/>
      <c r="BU2726" s="18"/>
      <c r="BV2726" s="18"/>
      <c r="BW2726" s="20"/>
      <c r="BX2726" s="13"/>
      <c r="BY2726" s="18"/>
      <c r="BZ2726" s="146"/>
      <c r="CA2726" s="18"/>
      <c r="CB2726" s="18"/>
      <c r="CC2726" s="20"/>
      <c r="CD2726" s="13"/>
    </row>
    <row r="2727" spans="35:82">
      <c r="AI2727" s="19"/>
      <c r="AO2727" s="19"/>
      <c r="AY2727" s="145"/>
      <c r="AZ2727" s="16"/>
      <c r="BC2727" s="16"/>
      <c r="BD2727" s="20"/>
      <c r="BE2727" s="17"/>
      <c r="BF2727" s="20"/>
      <c r="BG2727" s="146"/>
      <c r="BH2727" s="146"/>
      <c r="BI2727" s="146"/>
      <c r="BJ2727" s="20"/>
      <c r="BK2727" s="20"/>
      <c r="BL2727" s="13"/>
      <c r="BP2727" s="20"/>
      <c r="BQ2727" s="13"/>
      <c r="BR2727" s="18"/>
      <c r="BS2727" s="16"/>
      <c r="BT2727" s="18"/>
      <c r="BU2727" s="18"/>
      <c r="BV2727" s="18"/>
      <c r="BW2727" s="20"/>
      <c r="BX2727" s="13"/>
      <c r="BY2727" s="18"/>
      <c r="BZ2727" s="146"/>
      <c r="CA2727" s="18"/>
      <c r="CB2727" s="18"/>
      <c r="CC2727" s="20"/>
      <c r="CD2727" s="13"/>
    </row>
    <row r="2728" spans="35:82">
      <c r="AI2728" s="19"/>
      <c r="AO2728" s="19"/>
      <c r="AY2728" s="145"/>
      <c r="AZ2728" s="16"/>
      <c r="BC2728" s="16"/>
      <c r="BD2728" s="20"/>
      <c r="BE2728" s="17"/>
      <c r="BF2728" s="20"/>
      <c r="BG2728" s="146"/>
      <c r="BH2728" s="146"/>
      <c r="BI2728" s="146"/>
      <c r="BJ2728" s="20"/>
      <c r="BK2728" s="20"/>
      <c r="BL2728" s="13"/>
      <c r="BP2728" s="20"/>
      <c r="BQ2728" s="13"/>
      <c r="BR2728" s="18"/>
      <c r="BS2728" s="16"/>
      <c r="BT2728" s="18"/>
      <c r="BU2728" s="18"/>
      <c r="BV2728" s="18"/>
      <c r="BW2728" s="20"/>
      <c r="BX2728" s="13"/>
      <c r="BY2728" s="18"/>
      <c r="BZ2728" s="146"/>
      <c r="CA2728" s="18"/>
      <c r="CB2728" s="18"/>
      <c r="CC2728" s="20"/>
      <c r="CD2728" s="13"/>
    </row>
    <row r="2729" spans="35:82">
      <c r="AI2729" s="19"/>
      <c r="AO2729" s="19"/>
      <c r="AY2729" s="145"/>
      <c r="AZ2729" s="16"/>
      <c r="BC2729" s="16"/>
      <c r="BD2729" s="20"/>
      <c r="BE2729" s="17"/>
      <c r="BF2729" s="20"/>
      <c r="BG2729" s="146"/>
      <c r="BH2729" s="146"/>
      <c r="BI2729" s="146"/>
      <c r="BJ2729" s="20"/>
      <c r="BK2729" s="20"/>
      <c r="BL2729" s="13"/>
      <c r="BP2729" s="20"/>
      <c r="BQ2729" s="13"/>
      <c r="BR2729" s="18"/>
      <c r="BS2729" s="16"/>
      <c r="BT2729" s="18"/>
      <c r="BU2729" s="18"/>
      <c r="BV2729" s="18"/>
      <c r="BW2729" s="20"/>
      <c r="BX2729" s="13"/>
      <c r="BY2729" s="18"/>
      <c r="BZ2729" s="146"/>
      <c r="CA2729" s="18"/>
      <c r="CB2729" s="18"/>
      <c r="CC2729" s="20"/>
      <c r="CD2729" s="13"/>
    </row>
    <row r="2730" spans="35:82">
      <c r="AI2730" s="19"/>
      <c r="AO2730" s="19"/>
      <c r="AY2730" s="145"/>
      <c r="AZ2730" s="16"/>
      <c r="BC2730" s="16"/>
      <c r="BD2730" s="20"/>
      <c r="BE2730" s="17"/>
      <c r="BF2730" s="20"/>
      <c r="BG2730" s="146"/>
      <c r="BH2730" s="146"/>
      <c r="BI2730" s="146"/>
      <c r="BJ2730" s="20"/>
      <c r="BK2730" s="20"/>
      <c r="BL2730" s="13"/>
      <c r="BP2730" s="20"/>
      <c r="BQ2730" s="13"/>
      <c r="BR2730" s="18"/>
      <c r="BS2730" s="16"/>
      <c r="BT2730" s="18"/>
      <c r="BU2730" s="18"/>
      <c r="BV2730" s="18"/>
      <c r="BW2730" s="20"/>
      <c r="BX2730" s="13"/>
      <c r="BY2730" s="18"/>
      <c r="BZ2730" s="146"/>
      <c r="CA2730" s="18"/>
      <c r="CB2730" s="18"/>
      <c r="CC2730" s="20"/>
      <c r="CD2730" s="13"/>
    </row>
    <row r="2731" spans="35:82">
      <c r="AI2731" s="19"/>
      <c r="AO2731" s="19"/>
      <c r="AY2731" s="145"/>
      <c r="AZ2731" s="16"/>
      <c r="BC2731" s="16"/>
      <c r="BD2731" s="20"/>
      <c r="BE2731" s="17"/>
      <c r="BF2731" s="20"/>
      <c r="BG2731" s="146"/>
      <c r="BH2731" s="146"/>
      <c r="BI2731" s="146"/>
      <c r="BJ2731" s="20"/>
      <c r="BK2731" s="20"/>
      <c r="BL2731" s="13"/>
      <c r="BP2731" s="20"/>
      <c r="BQ2731" s="13"/>
      <c r="BR2731" s="18"/>
      <c r="BS2731" s="16"/>
      <c r="BT2731" s="18"/>
      <c r="BU2731" s="18"/>
      <c r="BV2731" s="18"/>
      <c r="BW2731" s="20"/>
      <c r="BX2731" s="13"/>
      <c r="BY2731" s="18"/>
      <c r="BZ2731" s="146"/>
      <c r="CA2731" s="18"/>
      <c r="CB2731" s="18"/>
      <c r="CC2731" s="20"/>
      <c r="CD2731" s="13"/>
    </row>
    <row r="2732" spans="35:82">
      <c r="AI2732" s="19"/>
      <c r="AO2732" s="19"/>
      <c r="AY2732" s="145"/>
      <c r="AZ2732" s="16"/>
      <c r="BC2732" s="16"/>
      <c r="BD2732" s="20"/>
      <c r="BE2732" s="17"/>
      <c r="BF2732" s="20"/>
      <c r="BG2732" s="146"/>
      <c r="BH2732" s="146"/>
      <c r="BI2732" s="146"/>
      <c r="BJ2732" s="20"/>
      <c r="BK2732" s="20"/>
      <c r="BL2732" s="13"/>
      <c r="BP2732" s="20"/>
      <c r="BQ2732" s="13"/>
      <c r="BR2732" s="18"/>
      <c r="BS2732" s="16"/>
      <c r="BT2732" s="18"/>
      <c r="BU2732" s="18"/>
      <c r="BV2732" s="18"/>
      <c r="BW2732" s="20"/>
      <c r="BX2732" s="13"/>
      <c r="BY2732" s="18"/>
      <c r="BZ2732" s="146"/>
      <c r="CA2732" s="18"/>
      <c r="CB2732" s="18"/>
      <c r="CC2732" s="20"/>
      <c r="CD2732" s="13"/>
    </row>
    <row r="2733" spans="35:82">
      <c r="AI2733" s="19"/>
      <c r="AO2733" s="19"/>
      <c r="AY2733" s="145"/>
      <c r="AZ2733" s="16"/>
      <c r="BC2733" s="16"/>
      <c r="BD2733" s="20"/>
      <c r="BE2733" s="17"/>
      <c r="BF2733" s="20"/>
      <c r="BG2733" s="146"/>
      <c r="BH2733" s="146"/>
      <c r="BI2733" s="146"/>
      <c r="BJ2733" s="20"/>
      <c r="BK2733" s="20"/>
      <c r="BL2733" s="13"/>
      <c r="BP2733" s="20"/>
      <c r="BQ2733" s="13"/>
      <c r="BR2733" s="18"/>
      <c r="BS2733" s="16"/>
      <c r="BT2733" s="18"/>
      <c r="BU2733" s="18"/>
      <c r="BV2733" s="18"/>
      <c r="BW2733" s="20"/>
      <c r="BX2733" s="13"/>
      <c r="BY2733" s="18"/>
      <c r="BZ2733" s="146"/>
      <c r="CA2733" s="18"/>
      <c r="CB2733" s="18"/>
      <c r="CC2733" s="20"/>
      <c r="CD2733" s="13"/>
    </row>
    <row r="2734" spans="35:82">
      <c r="AI2734" s="19"/>
      <c r="AO2734" s="19"/>
      <c r="AY2734" s="145"/>
      <c r="AZ2734" s="16"/>
      <c r="BC2734" s="16"/>
      <c r="BD2734" s="20"/>
      <c r="BE2734" s="17"/>
      <c r="BF2734" s="20"/>
      <c r="BG2734" s="146"/>
      <c r="BH2734" s="146"/>
      <c r="BI2734" s="146"/>
      <c r="BJ2734" s="20"/>
      <c r="BK2734" s="20"/>
      <c r="BL2734" s="13"/>
      <c r="BP2734" s="20"/>
      <c r="BQ2734" s="13"/>
      <c r="BR2734" s="18"/>
      <c r="BS2734" s="16"/>
      <c r="BT2734" s="18"/>
      <c r="BU2734" s="18"/>
      <c r="BV2734" s="18"/>
      <c r="BW2734" s="20"/>
      <c r="BX2734" s="13"/>
      <c r="BY2734" s="18"/>
      <c r="BZ2734" s="146"/>
      <c r="CA2734" s="18"/>
      <c r="CB2734" s="18"/>
      <c r="CC2734" s="20"/>
      <c r="CD2734" s="13"/>
    </row>
    <row r="2735" spans="35:82">
      <c r="AI2735" s="19"/>
      <c r="AO2735" s="19"/>
      <c r="AY2735" s="145"/>
      <c r="AZ2735" s="16"/>
      <c r="BC2735" s="16"/>
      <c r="BD2735" s="20"/>
      <c r="BE2735" s="17"/>
      <c r="BF2735" s="20"/>
      <c r="BG2735" s="146"/>
      <c r="BH2735" s="146"/>
      <c r="BI2735" s="146"/>
      <c r="BJ2735" s="20"/>
      <c r="BK2735" s="20"/>
      <c r="BL2735" s="13"/>
      <c r="BP2735" s="20"/>
      <c r="BQ2735" s="13"/>
      <c r="BR2735" s="18"/>
      <c r="BS2735" s="16"/>
      <c r="BT2735" s="18"/>
      <c r="BU2735" s="18"/>
      <c r="BV2735" s="18"/>
      <c r="BW2735" s="20"/>
      <c r="BX2735" s="13"/>
      <c r="BY2735" s="18"/>
      <c r="BZ2735" s="146"/>
      <c r="CA2735" s="18"/>
      <c r="CB2735" s="18"/>
      <c r="CC2735" s="20"/>
      <c r="CD2735" s="13"/>
    </row>
    <row r="2736" spans="35:82">
      <c r="AI2736" s="19"/>
      <c r="AO2736" s="19"/>
      <c r="AY2736" s="145"/>
      <c r="AZ2736" s="16"/>
      <c r="BC2736" s="16"/>
      <c r="BD2736" s="20"/>
      <c r="BE2736" s="17"/>
      <c r="BF2736" s="20"/>
      <c r="BG2736" s="146"/>
      <c r="BH2736" s="146"/>
      <c r="BI2736" s="146"/>
      <c r="BJ2736" s="20"/>
      <c r="BK2736" s="20"/>
      <c r="BL2736" s="13"/>
      <c r="BP2736" s="20"/>
      <c r="BQ2736" s="13"/>
      <c r="BR2736" s="18"/>
      <c r="BS2736" s="16"/>
      <c r="BT2736" s="18"/>
      <c r="BU2736" s="18"/>
      <c r="BV2736" s="18"/>
      <c r="BW2736" s="20"/>
      <c r="BX2736" s="13"/>
      <c r="BY2736" s="18"/>
      <c r="BZ2736" s="146"/>
      <c r="CA2736" s="18"/>
      <c r="CB2736" s="18"/>
      <c r="CC2736" s="20"/>
      <c r="CD2736" s="13"/>
    </row>
    <row r="2737" spans="35:82">
      <c r="AI2737" s="19"/>
      <c r="AO2737" s="19"/>
      <c r="AY2737" s="145"/>
      <c r="AZ2737" s="16"/>
      <c r="BC2737" s="16"/>
      <c r="BD2737" s="20"/>
      <c r="BE2737" s="17"/>
      <c r="BF2737" s="20"/>
      <c r="BG2737" s="146"/>
      <c r="BH2737" s="146"/>
      <c r="BI2737" s="146"/>
      <c r="BJ2737" s="20"/>
      <c r="BK2737" s="20"/>
      <c r="BL2737" s="13"/>
      <c r="BP2737" s="20"/>
      <c r="BQ2737" s="13"/>
      <c r="BR2737" s="18"/>
      <c r="BS2737" s="16"/>
      <c r="BT2737" s="18"/>
      <c r="BU2737" s="18"/>
      <c r="BV2737" s="18"/>
      <c r="BW2737" s="20"/>
      <c r="BX2737" s="13"/>
      <c r="BY2737" s="18"/>
      <c r="BZ2737" s="146"/>
      <c r="CA2737" s="18"/>
      <c r="CB2737" s="18"/>
      <c r="CC2737" s="20"/>
      <c r="CD2737" s="13"/>
    </row>
    <row r="2738" spans="35:82">
      <c r="AI2738" s="19"/>
      <c r="AO2738" s="19"/>
      <c r="AY2738" s="145"/>
      <c r="AZ2738" s="16"/>
      <c r="BC2738" s="16"/>
      <c r="BD2738" s="20"/>
      <c r="BE2738" s="17"/>
      <c r="BF2738" s="20"/>
      <c r="BG2738" s="146"/>
      <c r="BH2738" s="146"/>
      <c r="BI2738" s="146"/>
      <c r="BJ2738" s="20"/>
      <c r="BK2738" s="20"/>
      <c r="BL2738" s="13"/>
      <c r="BP2738" s="20"/>
      <c r="BQ2738" s="13"/>
      <c r="BR2738" s="18"/>
      <c r="BS2738" s="16"/>
      <c r="BT2738" s="18"/>
      <c r="BU2738" s="18"/>
      <c r="BV2738" s="18"/>
      <c r="BW2738" s="20"/>
      <c r="BX2738" s="13"/>
      <c r="BY2738" s="18"/>
      <c r="BZ2738" s="146"/>
      <c r="CA2738" s="18"/>
      <c r="CB2738" s="18"/>
      <c r="CC2738" s="20"/>
      <c r="CD2738" s="13"/>
    </row>
    <row r="2739" spans="35:82">
      <c r="AI2739" s="19"/>
      <c r="AO2739" s="19"/>
      <c r="AY2739" s="145"/>
      <c r="AZ2739" s="16"/>
      <c r="BC2739" s="16"/>
      <c r="BD2739" s="20"/>
      <c r="BE2739" s="17"/>
      <c r="BF2739" s="20"/>
      <c r="BG2739" s="146"/>
      <c r="BH2739" s="146"/>
      <c r="BI2739" s="146"/>
      <c r="BJ2739" s="20"/>
      <c r="BK2739" s="20"/>
      <c r="BL2739" s="13"/>
      <c r="BP2739" s="20"/>
      <c r="BQ2739" s="13"/>
      <c r="BR2739" s="18"/>
      <c r="BS2739" s="16"/>
      <c r="BT2739" s="18"/>
      <c r="BU2739" s="18"/>
      <c r="BV2739" s="18"/>
      <c r="BW2739" s="20"/>
      <c r="BX2739" s="13"/>
      <c r="BY2739" s="18"/>
      <c r="BZ2739" s="146"/>
      <c r="CA2739" s="18"/>
      <c r="CB2739" s="18"/>
      <c r="CC2739" s="20"/>
      <c r="CD2739" s="13"/>
    </row>
    <row r="2740" spans="35:82">
      <c r="AI2740" s="19"/>
      <c r="AO2740" s="19"/>
      <c r="AY2740" s="145"/>
      <c r="AZ2740" s="16"/>
      <c r="BC2740" s="16"/>
      <c r="BD2740" s="20"/>
      <c r="BE2740" s="17"/>
      <c r="BF2740" s="20"/>
      <c r="BG2740" s="146"/>
      <c r="BH2740" s="146"/>
      <c r="BI2740" s="146"/>
      <c r="BJ2740" s="20"/>
      <c r="BK2740" s="20"/>
      <c r="BL2740" s="13"/>
      <c r="BP2740" s="20"/>
      <c r="BQ2740" s="13"/>
      <c r="BR2740" s="18"/>
      <c r="BS2740" s="16"/>
      <c r="BT2740" s="18"/>
      <c r="BU2740" s="18"/>
      <c r="BV2740" s="18"/>
      <c r="BW2740" s="20"/>
      <c r="BX2740" s="13"/>
      <c r="BY2740" s="18"/>
      <c r="BZ2740" s="146"/>
      <c r="CA2740" s="18"/>
      <c r="CB2740" s="18"/>
      <c r="CC2740" s="20"/>
      <c r="CD2740" s="13"/>
    </row>
    <row r="2741" spans="35:82">
      <c r="AI2741" s="19"/>
      <c r="AO2741" s="19"/>
      <c r="AY2741" s="145"/>
      <c r="AZ2741" s="16"/>
      <c r="BC2741" s="16"/>
      <c r="BD2741" s="20"/>
      <c r="BE2741" s="17"/>
      <c r="BF2741" s="20"/>
      <c r="BG2741" s="146"/>
      <c r="BH2741" s="146"/>
      <c r="BI2741" s="146"/>
      <c r="BJ2741" s="20"/>
      <c r="BK2741" s="20"/>
      <c r="BL2741" s="13"/>
      <c r="BP2741" s="20"/>
      <c r="BQ2741" s="13"/>
      <c r="BR2741" s="18"/>
      <c r="BS2741" s="16"/>
      <c r="BT2741" s="18"/>
      <c r="BU2741" s="18"/>
      <c r="BV2741" s="18"/>
      <c r="BW2741" s="20"/>
      <c r="BX2741" s="13"/>
      <c r="BY2741" s="18"/>
      <c r="BZ2741" s="146"/>
      <c r="CA2741" s="18"/>
      <c r="CB2741" s="18"/>
      <c r="CC2741" s="20"/>
      <c r="CD2741" s="13"/>
    </row>
    <row r="2742" spans="35:82">
      <c r="AI2742" s="19"/>
      <c r="AO2742" s="19"/>
      <c r="AY2742" s="145"/>
      <c r="AZ2742" s="16"/>
      <c r="BC2742" s="16"/>
      <c r="BD2742" s="20"/>
      <c r="BE2742" s="17"/>
      <c r="BF2742" s="20"/>
      <c r="BG2742" s="146"/>
      <c r="BH2742" s="146"/>
      <c r="BI2742" s="146"/>
      <c r="BJ2742" s="20"/>
      <c r="BK2742" s="20"/>
      <c r="BL2742" s="13"/>
      <c r="BP2742" s="20"/>
      <c r="BQ2742" s="13"/>
      <c r="BR2742" s="18"/>
      <c r="BS2742" s="16"/>
      <c r="BT2742" s="18"/>
      <c r="BU2742" s="18"/>
      <c r="BV2742" s="18"/>
      <c r="BW2742" s="20"/>
      <c r="BX2742" s="13"/>
      <c r="BY2742" s="18"/>
      <c r="BZ2742" s="146"/>
      <c r="CA2742" s="18"/>
      <c r="CB2742" s="18"/>
      <c r="CC2742" s="20"/>
      <c r="CD2742" s="13"/>
    </row>
    <row r="2743" spans="35:82">
      <c r="AI2743" s="19"/>
      <c r="AO2743" s="19"/>
      <c r="AY2743" s="145"/>
      <c r="AZ2743" s="16"/>
      <c r="BC2743" s="16"/>
      <c r="BD2743" s="20"/>
      <c r="BE2743" s="17"/>
      <c r="BF2743" s="20"/>
      <c r="BG2743" s="146"/>
      <c r="BH2743" s="146"/>
      <c r="BI2743" s="146"/>
      <c r="BJ2743" s="20"/>
      <c r="BK2743" s="20"/>
      <c r="BL2743" s="13"/>
      <c r="BP2743" s="20"/>
      <c r="BQ2743" s="13"/>
      <c r="BR2743" s="18"/>
      <c r="BS2743" s="16"/>
      <c r="BT2743" s="18"/>
      <c r="BU2743" s="18"/>
      <c r="BV2743" s="18"/>
      <c r="BW2743" s="20"/>
      <c r="BX2743" s="13"/>
      <c r="BY2743" s="18"/>
      <c r="BZ2743" s="146"/>
      <c r="CA2743" s="18"/>
      <c r="CB2743" s="18"/>
      <c r="CC2743" s="20"/>
      <c r="CD2743" s="13"/>
    </row>
    <row r="2744" spans="35:82">
      <c r="AI2744" s="19"/>
      <c r="AO2744" s="19"/>
      <c r="AY2744" s="145"/>
      <c r="AZ2744" s="16"/>
      <c r="BC2744" s="16"/>
      <c r="BD2744" s="20"/>
      <c r="BE2744" s="17"/>
      <c r="BF2744" s="20"/>
      <c r="BG2744" s="146"/>
      <c r="BH2744" s="146"/>
      <c r="BI2744" s="146"/>
      <c r="BJ2744" s="20"/>
      <c r="BK2744" s="20"/>
      <c r="BL2744" s="13"/>
      <c r="BP2744" s="20"/>
      <c r="BQ2744" s="13"/>
      <c r="BR2744" s="18"/>
      <c r="BS2744" s="16"/>
      <c r="BT2744" s="18"/>
      <c r="BU2744" s="18"/>
      <c r="BV2744" s="18"/>
      <c r="BW2744" s="20"/>
      <c r="BX2744" s="13"/>
      <c r="BY2744" s="18"/>
      <c r="BZ2744" s="146"/>
      <c r="CA2744" s="18"/>
      <c r="CB2744" s="18"/>
      <c r="CC2744" s="20"/>
      <c r="CD2744" s="13"/>
    </row>
    <row r="2745" spans="35:82">
      <c r="AI2745" s="19"/>
      <c r="AO2745" s="19"/>
      <c r="AY2745" s="145"/>
      <c r="AZ2745" s="16"/>
      <c r="BC2745" s="16"/>
      <c r="BD2745" s="20"/>
      <c r="BE2745" s="17"/>
      <c r="BF2745" s="20"/>
      <c r="BG2745" s="146"/>
      <c r="BH2745" s="146"/>
      <c r="BI2745" s="146"/>
      <c r="BJ2745" s="20"/>
      <c r="BK2745" s="20"/>
      <c r="BL2745" s="13"/>
      <c r="BP2745" s="20"/>
      <c r="BQ2745" s="13"/>
      <c r="BR2745" s="18"/>
      <c r="BS2745" s="16"/>
      <c r="BT2745" s="18"/>
      <c r="BU2745" s="18"/>
      <c r="BV2745" s="18"/>
      <c r="BW2745" s="20"/>
      <c r="BX2745" s="13"/>
      <c r="BY2745" s="18"/>
      <c r="BZ2745" s="146"/>
      <c r="CA2745" s="18"/>
      <c r="CB2745" s="18"/>
      <c r="CC2745" s="20"/>
      <c r="CD2745" s="13"/>
    </row>
    <row r="2746" spans="35:82">
      <c r="AI2746" s="19"/>
      <c r="AO2746" s="19"/>
      <c r="AY2746" s="145"/>
      <c r="AZ2746" s="16"/>
      <c r="BC2746" s="16"/>
      <c r="BD2746" s="20"/>
      <c r="BE2746" s="17"/>
      <c r="BF2746" s="20"/>
      <c r="BG2746" s="146"/>
      <c r="BH2746" s="146"/>
      <c r="BI2746" s="146"/>
      <c r="BJ2746" s="20"/>
      <c r="BK2746" s="20"/>
      <c r="BL2746" s="13"/>
      <c r="BP2746" s="20"/>
      <c r="BQ2746" s="13"/>
      <c r="BR2746" s="18"/>
      <c r="BS2746" s="16"/>
      <c r="BT2746" s="18"/>
      <c r="BU2746" s="18"/>
      <c r="BV2746" s="18"/>
      <c r="BW2746" s="20"/>
      <c r="BX2746" s="13"/>
      <c r="BY2746" s="18"/>
      <c r="BZ2746" s="146"/>
      <c r="CA2746" s="18"/>
      <c r="CB2746" s="18"/>
      <c r="CC2746" s="20"/>
      <c r="CD2746" s="13"/>
    </row>
    <row r="2747" spans="35:82">
      <c r="AI2747" s="19"/>
      <c r="AO2747" s="19"/>
      <c r="AY2747" s="145"/>
      <c r="AZ2747" s="16"/>
      <c r="BC2747" s="16"/>
      <c r="BD2747" s="20"/>
      <c r="BE2747" s="17"/>
      <c r="BF2747" s="20"/>
      <c r="BG2747" s="146"/>
      <c r="BH2747" s="146"/>
      <c r="BI2747" s="146"/>
      <c r="BJ2747" s="20"/>
      <c r="BK2747" s="20"/>
      <c r="BL2747" s="13"/>
      <c r="BP2747" s="20"/>
      <c r="BQ2747" s="13"/>
      <c r="BR2747" s="18"/>
      <c r="BS2747" s="16"/>
      <c r="BT2747" s="18"/>
      <c r="BU2747" s="18"/>
      <c r="BV2747" s="18"/>
      <c r="BW2747" s="20"/>
      <c r="BX2747" s="13"/>
      <c r="BY2747" s="18"/>
      <c r="BZ2747" s="146"/>
      <c r="CA2747" s="18"/>
      <c r="CB2747" s="18"/>
      <c r="CC2747" s="20"/>
      <c r="CD2747" s="13"/>
    </row>
    <row r="2748" spans="35:82">
      <c r="AI2748" s="19"/>
      <c r="AO2748" s="19"/>
      <c r="AY2748" s="145"/>
      <c r="AZ2748" s="16"/>
      <c r="BC2748" s="16"/>
      <c r="BD2748" s="20"/>
      <c r="BE2748" s="17"/>
      <c r="BF2748" s="20"/>
      <c r="BG2748" s="146"/>
      <c r="BH2748" s="146"/>
      <c r="BI2748" s="146"/>
      <c r="BJ2748" s="20"/>
      <c r="BK2748" s="20"/>
      <c r="BL2748" s="13"/>
      <c r="BP2748" s="20"/>
      <c r="BQ2748" s="13"/>
      <c r="BR2748" s="18"/>
      <c r="BS2748" s="16"/>
      <c r="BT2748" s="18"/>
      <c r="BU2748" s="18"/>
      <c r="BV2748" s="18"/>
      <c r="BW2748" s="20"/>
      <c r="BX2748" s="13"/>
      <c r="BY2748" s="18"/>
      <c r="BZ2748" s="146"/>
      <c r="CA2748" s="18"/>
      <c r="CB2748" s="18"/>
      <c r="CC2748" s="20"/>
      <c r="CD2748" s="13"/>
    </row>
    <row r="2749" spans="35:82">
      <c r="AI2749" s="19"/>
      <c r="AO2749" s="19"/>
      <c r="AY2749" s="145"/>
      <c r="AZ2749" s="16"/>
      <c r="BC2749" s="16"/>
      <c r="BD2749" s="20"/>
      <c r="BE2749" s="17"/>
      <c r="BF2749" s="20"/>
      <c r="BG2749" s="146"/>
      <c r="BH2749" s="146"/>
      <c r="BI2749" s="146"/>
      <c r="BJ2749" s="20"/>
      <c r="BK2749" s="20"/>
      <c r="BL2749" s="13"/>
      <c r="BP2749" s="20"/>
      <c r="BQ2749" s="13"/>
      <c r="BR2749" s="18"/>
      <c r="BS2749" s="16"/>
      <c r="BT2749" s="18"/>
      <c r="BU2749" s="18"/>
      <c r="BV2749" s="18"/>
      <c r="BW2749" s="20"/>
      <c r="BX2749" s="13"/>
      <c r="BY2749" s="18"/>
      <c r="BZ2749" s="146"/>
      <c r="CA2749" s="18"/>
      <c r="CB2749" s="18"/>
      <c r="CC2749" s="20"/>
      <c r="CD2749" s="13"/>
    </row>
    <row r="2750" spans="35:82">
      <c r="AI2750" s="19"/>
      <c r="AO2750" s="19"/>
      <c r="AY2750" s="145"/>
      <c r="AZ2750" s="16"/>
      <c r="BC2750" s="16"/>
      <c r="BD2750" s="20"/>
      <c r="BE2750" s="17"/>
      <c r="BF2750" s="20"/>
      <c r="BG2750" s="146"/>
      <c r="BH2750" s="146"/>
      <c r="BI2750" s="146"/>
      <c r="BJ2750" s="20"/>
      <c r="BK2750" s="20"/>
      <c r="BL2750" s="13"/>
      <c r="BP2750" s="20"/>
      <c r="BQ2750" s="13"/>
      <c r="BR2750" s="18"/>
      <c r="BS2750" s="16"/>
      <c r="BT2750" s="18"/>
      <c r="BU2750" s="18"/>
      <c r="BV2750" s="18"/>
      <c r="BW2750" s="20"/>
      <c r="BX2750" s="13"/>
      <c r="BY2750" s="18"/>
      <c r="BZ2750" s="146"/>
      <c r="CA2750" s="18"/>
      <c r="CB2750" s="18"/>
      <c r="CC2750" s="20"/>
      <c r="CD2750" s="13"/>
    </row>
    <row r="2751" spans="35:82">
      <c r="AI2751" s="19"/>
      <c r="AO2751" s="19"/>
      <c r="AY2751" s="145"/>
      <c r="AZ2751" s="16"/>
      <c r="BC2751" s="16"/>
      <c r="BD2751" s="20"/>
      <c r="BE2751" s="17"/>
      <c r="BF2751" s="20"/>
      <c r="BG2751" s="146"/>
      <c r="BH2751" s="146"/>
      <c r="BI2751" s="146"/>
      <c r="BJ2751" s="20"/>
      <c r="BK2751" s="20"/>
      <c r="BL2751" s="13"/>
      <c r="BP2751" s="20"/>
      <c r="BQ2751" s="13"/>
      <c r="BR2751" s="18"/>
      <c r="BS2751" s="16"/>
      <c r="BT2751" s="18"/>
      <c r="BU2751" s="18"/>
      <c r="BV2751" s="18"/>
      <c r="BW2751" s="20"/>
      <c r="BX2751" s="13"/>
      <c r="BY2751" s="18"/>
      <c r="BZ2751" s="146"/>
      <c r="CA2751" s="18"/>
      <c r="CB2751" s="18"/>
      <c r="CC2751" s="20"/>
      <c r="CD2751" s="13"/>
    </row>
    <row r="2752" spans="35:82">
      <c r="AI2752" s="19"/>
      <c r="AO2752" s="19"/>
      <c r="AY2752" s="145"/>
      <c r="AZ2752" s="16"/>
      <c r="BC2752" s="16"/>
      <c r="BD2752" s="20"/>
      <c r="BE2752" s="17"/>
      <c r="BF2752" s="20"/>
      <c r="BG2752" s="146"/>
      <c r="BH2752" s="146"/>
      <c r="BI2752" s="146"/>
      <c r="BJ2752" s="20"/>
      <c r="BK2752" s="20"/>
      <c r="BL2752" s="13"/>
      <c r="BP2752" s="20"/>
      <c r="BQ2752" s="13"/>
      <c r="BR2752" s="18"/>
      <c r="BS2752" s="16"/>
      <c r="BT2752" s="18"/>
      <c r="BU2752" s="18"/>
      <c r="BV2752" s="18"/>
      <c r="BW2752" s="20"/>
      <c r="BX2752" s="13"/>
      <c r="BY2752" s="18"/>
      <c r="BZ2752" s="146"/>
      <c r="CA2752" s="18"/>
      <c r="CB2752" s="18"/>
      <c r="CC2752" s="20"/>
      <c r="CD2752" s="13"/>
    </row>
    <row r="2753" spans="35:82">
      <c r="AI2753" s="19"/>
      <c r="AO2753" s="19"/>
      <c r="AY2753" s="145"/>
      <c r="AZ2753" s="16"/>
      <c r="BC2753" s="16"/>
      <c r="BD2753" s="20"/>
      <c r="BE2753" s="17"/>
      <c r="BF2753" s="20"/>
      <c r="BG2753" s="146"/>
      <c r="BH2753" s="146"/>
      <c r="BI2753" s="146"/>
      <c r="BJ2753" s="20"/>
      <c r="BK2753" s="20"/>
      <c r="BL2753" s="13"/>
      <c r="BP2753" s="20"/>
      <c r="BQ2753" s="13"/>
      <c r="BR2753" s="18"/>
      <c r="BS2753" s="16"/>
      <c r="BT2753" s="18"/>
      <c r="BU2753" s="18"/>
      <c r="BV2753" s="18"/>
      <c r="BW2753" s="20"/>
      <c r="BX2753" s="13"/>
      <c r="BY2753" s="18"/>
      <c r="BZ2753" s="146"/>
      <c r="CA2753" s="18"/>
      <c r="CB2753" s="18"/>
      <c r="CC2753" s="20"/>
      <c r="CD2753" s="13"/>
    </row>
    <row r="2754" spans="35:82">
      <c r="AI2754" s="19"/>
      <c r="AO2754" s="19"/>
      <c r="AY2754" s="145"/>
      <c r="AZ2754" s="16"/>
      <c r="BC2754" s="16"/>
      <c r="BD2754" s="20"/>
      <c r="BE2754" s="17"/>
      <c r="BF2754" s="20"/>
      <c r="BG2754" s="146"/>
      <c r="BH2754" s="146"/>
      <c r="BI2754" s="146"/>
      <c r="BJ2754" s="20"/>
      <c r="BK2754" s="20"/>
      <c r="BL2754" s="13"/>
      <c r="BP2754" s="20"/>
      <c r="BQ2754" s="13"/>
      <c r="BR2754" s="18"/>
      <c r="BS2754" s="16"/>
      <c r="BT2754" s="18"/>
      <c r="BU2754" s="18"/>
      <c r="BV2754" s="18"/>
      <c r="BW2754" s="20"/>
      <c r="BX2754" s="13"/>
      <c r="BY2754" s="18"/>
      <c r="BZ2754" s="146"/>
      <c r="CA2754" s="18"/>
      <c r="CB2754" s="18"/>
      <c r="CC2754" s="20"/>
      <c r="CD2754" s="13"/>
    </row>
    <row r="2755" spans="35:82">
      <c r="AI2755" s="19"/>
      <c r="AO2755" s="19"/>
      <c r="AY2755" s="145"/>
      <c r="AZ2755" s="16"/>
      <c r="BC2755" s="16"/>
      <c r="BD2755" s="20"/>
      <c r="BE2755" s="17"/>
      <c r="BF2755" s="20"/>
      <c r="BG2755" s="146"/>
      <c r="BH2755" s="146"/>
      <c r="BI2755" s="146"/>
      <c r="BJ2755" s="20"/>
      <c r="BK2755" s="20"/>
      <c r="BL2755" s="13"/>
      <c r="BP2755" s="20"/>
      <c r="BQ2755" s="13"/>
      <c r="BR2755" s="18"/>
      <c r="BS2755" s="16"/>
      <c r="BT2755" s="18"/>
      <c r="BU2755" s="18"/>
      <c r="BV2755" s="18"/>
      <c r="BW2755" s="20"/>
      <c r="BX2755" s="13"/>
      <c r="BY2755" s="18"/>
      <c r="BZ2755" s="146"/>
      <c r="CA2755" s="18"/>
      <c r="CB2755" s="18"/>
      <c r="CC2755" s="20"/>
      <c r="CD2755" s="13"/>
    </row>
    <row r="2756" spans="35:82">
      <c r="AI2756" s="19"/>
      <c r="AO2756" s="19"/>
      <c r="AY2756" s="145"/>
      <c r="AZ2756" s="16"/>
      <c r="BC2756" s="16"/>
      <c r="BD2756" s="20"/>
      <c r="BE2756" s="17"/>
      <c r="BF2756" s="20"/>
      <c r="BG2756" s="146"/>
      <c r="BH2756" s="146"/>
      <c r="BI2756" s="146"/>
      <c r="BJ2756" s="20"/>
      <c r="BK2756" s="20"/>
      <c r="BL2756" s="13"/>
      <c r="BP2756" s="20"/>
      <c r="BQ2756" s="13"/>
      <c r="BR2756" s="18"/>
      <c r="BS2756" s="16"/>
      <c r="BT2756" s="18"/>
      <c r="BU2756" s="18"/>
      <c r="BV2756" s="18"/>
      <c r="BW2756" s="20"/>
      <c r="BX2756" s="13"/>
      <c r="BY2756" s="18"/>
      <c r="BZ2756" s="146"/>
      <c r="CA2756" s="18"/>
      <c r="CB2756" s="18"/>
      <c r="CC2756" s="20"/>
      <c r="CD2756" s="13"/>
    </row>
    <row r="2757" spans="35:82">
      <c r="AI2757" s="19"/>
      <c r="AO2757" s="19"/>
      <c r="AY2757" s="145"/>
      <c r="AZ2757" s="16"/>
      <c r="BC2757" s="16"/>
      <c r="BD2757" s="20"/>
      <c r="BE2757" s="17"/>
      <c r="BF2757" s="20"/>
      <c r="BG2757" s="146"/>
      <c r="BH2757" s="146"/>
      <c r="BI2757" s="146"/>
      <c r="BJ2757" s="20"/>
      <c r="BK2757" s="20"/>
      <c r="BL2757" s="13"/>
      <c r="BP2757" s="20"/>
      <c r="BQ2757" s="13"/>
      <c r="BR2757" s="18"/>
      <c r="BS2757" s="16"/>
      <c r="BT2757" s="18"/>
      <c r="BU2757" s="18"/>
      <c r="BV2757" s="18"/>
      <c r="BW2757" s="20"/>
      <c r="BX2757" s="13"/>
      <c r="BY2757" s="18"/>
      <c r="BZ2757" s="146"/>
      <c r="CA2757" s="18"/>
      <c r="CB2757" s="18"/>
      <c r="CC2757" s="20"/>
      <c r="CD2757" s="13"/>
    </row>
    <row r="2758" spans="35:82">
      <c r="AI2758" s="19"/>
      <c r="AO2758" s="19"/>
      <c r="AY2758" s="145"/>
      <c r="AZ2758" s="16"/>
      <c r="BC2758" s="16"/>
      <c r="BD2758" s="20"/>
      <c r="BE2758" s="17"/>
      <c r="BF2758" s="20"/>
      <c r="BG2758" s="146"/>
      <c r="BH2758" s="146"/>
      <c r="BI2758" s="146"/>
      <c r="BJ2758" s="20"/>
      <c r="BK2758" s="20"/>
      <c r="BL2758" s="13"/>
      <c r="BP2758" s="20"/>
      <c r="BQ2758" s="13"/>
      <c r="BR2758" s="18"/>
      <c r="BS2758" s="16"/>
      <c r="BT2758" s="18"/>
      <c r="BU2758" s="18"/>
      <c r="BV2758" s="18"/>
      <c r="BW2758" s="20"/>
      <c r="BX2758" s="13"/>
      <c r="BY2758" s="18"/>
      <c r="BZ2758" s="146"/>
      <c r="CA2758" s="18"/>
      <c r="CB2758" s="18"/>
      <c r="CC2758" s="20"/>
      <c r="CD2758" s="13"/>
    </row>
    <row r="2759" spans="35:82">
      <c r="AI2759" s="19"/>
      <c r="AO2759" s="19"/>
      <c r="AY2759" s="145"/>
      <c r="AZ2759" s="16"/>
      <c r="BC2759" s="16"/>
      <c r="BD2759" s="20"/>
      <c r="BE2759" s="17"/>
      <c r="BF2759" s="20"/>
      <c r="BG2759" s="146"/>
      <c r="BH2759" s="146"/>
      <c r="BI2759" s="146"/>
      <c r="BJ2759" s="20"/>
      <c r="BK2759" s="20"/>
      <c r="BL2759" s="13"/>
      <c r="BP2759" s="20"/>
      <c r="BQ2759" s="13"/>
      <c r="BR2759" s="18"/>
      <c r="BS2759" s="16"/>
      <c r="BT2759" s="18"/>
      <c r="BU2759" s="18"/>
      <c r="BV2759" s="18"/>
      <c r="BW2759" s="20"/>
      <c r="BX2759" s="13"/>
      <c r="BY2759" s="18"/>
      <c r="BZ2759" s="146"/>
      <c r="CA2759" s="18"/>
      <c r="CB2759" s="18"/>
      <c r="CC2759" s="20"/>
      <c r="CD2759" s="13"/>
    </row>
    <row r="2760" spans="35:82">
      <c r="AI2760" s="19"/>
      <c r="AO2760" s="19"/>
      <c r="AY2760" s="145"/>
      <c r="AZ2760" s="16"/>
      <c r="BC2760" s="16"/>
      <c r="BD2760" s="20"/>
      <c r="BE2760" s="17"/>
      <c r="BF2760" s="20"/>
      <c r="BG2760" s="146"/>
      <c r="BH2760" s="146"/>
      <c r="BI2760" s="146"/>
      <c r="BJ2760" s="20"/>
      <c r="BK2760" s="20"/>
      <c r="BL2760" s="13"/>
      <c r="BP2760" s="20"/>
      <c r="BQ2760" s="13"/>
      <c r="BR2760" s="18"/>
      <c r="BS2760" s="16"/>
      <c r="BT2760" s="18"/>
      <c r="BU2760" s="18"/>
      <c r="BV2760" s="18"/>
      <c r="BW2760" s="20"/>
      <c r="BX2760" s="13"/>
      <c r="BY2760" s="18"/>
      <c r="BZ2760" s="146"/>
      <c r="CA2760" s="18"/>
      <c r="CB2760" s="18"/>
      <c r="CC2760" s="20"/>
      <c r="CD2760" s="13"/>
    </row>
    <row r="2761" spans="35:82">
      <c r="AI2761" s="19"/>
      <c r="AO2761" s="19"/>
      <c r="AY2761" s="145"/>
      <c r="AZ2761" s="16"/>
      <c r="BC2761" s="16"/>
      <c r="BD2761" s="20"/>
      <c r="BE2761" s="17"/>
      <c r="BF2761" s="20"/>
      <c r="BG2761" s="146"/>
      <c r="BH2761" s="146"/>
      <c r="BI2761" s="146"/>
      <c r="BJ2761" s="20"/>
      <c r="BK2761" s="20"/>
      <c r="BL2761" s="13"/>
      <c r="BP2761" s="20"/>
      <c r="BQ2761" s="13"/>
      <c r="BR2761" s="18"/>
      <c r="BS2761" s="16"/>
      <c r="BT2761" s="18"/>
      <c r="BU2761" s="18"/>
      <c r="BV2761" s="18"/>
      <c r="BW2761" s="20"/>
      <c r="BX2761" s="13"/>
      <c r="BY2761" s="18"/>
      <c r="BZ2761" s="146"/>
      <c r="CA2761" s="18"/>
      <c r="CB2761" s="18"/>
      <c r="CC2761" s="20"/>
      <c r="CD2761" s="13"/>
    </row>
    <row r="2762" spans="35:82">
      <c r="AI2762" s="19"/>
      <c r="AO2762" s="19"/>
      <c r="AY2762" s="145"/>
      <c r="AZ2762" s="16"/>
      <c r="BC2762" s="16"/>
      <c r="BD2762" s="20"/>
      <c r="BE2762" s="17"/>
      <c r="BF2762" s="20"/>
      <c r="BG2762" s="146"/>
      <c r="BH2762" s="146"/>
      <c r="BI2762" s="146"/>
      <c r="BJ2762" s="20"/>
      <c r="BK2762" s="20"/>
      <c r="BL2762" s="13"/>
      <c r="BP2762" s="20"/>
      <c r="BQ2762" s="13"/>
      <c r="BR2762" s="18"/>
      <c r="BS2762" s="16"/>
      <c r="BT2762" s="18"/>
      <c r="BU2762" s="18"/>
      <c r="BV2762" s="18"/>
      <c r="BW2762" s="20"/>
      <c r="BX2762" s="13"/>
      <c r="BY2762" s="18"/>
      <c r="BZ2762" s="146"/>
      <c r="CA2762" s="18"/>
      <c r="CB2762" s="18"/>
      <c r="CC2762" s="20"/>
      <c r="CD2762" s="13"/>
    </row>
    <row r="2763" spans="35:82">
      <c r="AI2763" s="19"/>
      <c r="AO2763" s="19"/>
      <c r="AY2763" s="145"/>
      <c r="AZ2763" s="16"/>
      <c r="BC2763" s="16"/>
      <c r="BD2763" s="20"/>
      <c r="BE2763" s="17"/>
      <c r="BF2763" s="20"/>
      <c r="BG2763" s="146"/>
      <c r="BH2763" s="146"/>
      <c r="BI2763" s="146"/>
      <c r="BJ2763" s="20"/>
      <c r="BK2763" s="20"/>
      <c r="BL2763" s="13"/>
      <c r="BP2763" s="20"/>
      <c r="BQ2763" s="13"/>
      <c r="BR2763" s="18"/>
      <c r="BS2763" s="16"/>
      <c r="BT2763" s="18"/>
      <c r="BU2763" s="18"/>
      <c r="BV2763" s="18"/>
      <c r="BW2763" s="20"/>
      <c r="BX2763" s="13"/>
      <c r="BY2763" s="18"/>
      <c r="BZ2763" s="146"/>
      <c r="CA2763" s="18"/>
      <c r="CB2763" s="18"/>
      <c r="CC2763" s="20"/>
      <c r="CD2763" s="13"/>
    </row>
    <row r="2764" spans="35:82">
      <c r="AI2764" s="19"/>
      <c r="AO2764" s="19"/>
      <c r="AY2764" s="145"/>
      <c r="AZ2764" s="16"/>
      <c r="BC2764" s="16"/>
      <c r="BD2764" s="20"/>
      <c r="BE2764" s="17"/>
      <c r="BF2764" s="20"/>
      <c r="BG2764" s="146"/>
      <c r="BH2764" s="146"/>
      <c r="BI2764" s="146"/>
      <c r="BJ2764" s="20"/>
      <c r="BK2764" s="20"/>
      <c r="BL2764" s="13"/>
      <c r="BP2764" s="20"/>
      <c r="BQ2764" s="13"/>
      <c r="BR2764" s="18"/>
      <c r="BS2764" s="16"/>
      <c r="BT2764" s="18"/>
      <c r="BU2764" s="18"/>
      <c r="BV2764" s="18"/>
      <c r="BW2764" s="20"/>
      <c r="BX2764" s="13"/>
      <c r="BY2764" s="18"/>
      <c r="BZ2764" s="146"/>
      <c r="CA2764" s="18"/>
      <c r="CB2764" s="18"/>
      <c r="CC2764" s="20"/>
      <c r="CD2764" s="13"/>
    </row>
    <row r="2765" spans="35:82">
      <c r="AI2765" s="19"/>
      <c r="AO2765" s="19"/>
      <c r="AY2765" s="145"/>
      <c r="AZ2765" s="16"/>
      <c r="BC2765" s="16"/>
      <c r="BD2765" s="20"/>
      <c r="BE2765" s="17"/>
      <c r="BF2765" s="20"/>
      <c r="BG2765" s="146"/>
      <c r="BH2765" s="146"/>
      <c r="BI2765" s="146"/>
      <c r="BJ2765" s="20"/>
      <c r="BK2765" s="20"/>
      <c r="BL2765" s="13"/>
      <c r="BP2765" s="20"/>
      <c r="BQ2765" s="13"/>
      <c r="BR2765" s="18"/>
      <c r="BS2765" s="16"/>
      <c r="BT2765" s="18"/>
      <c r="BU2765" s="18"/>
      <c r="BV2765" s="18"/>
      <c r="BW2765" s="20"/>
      <c r="BX2765" s="13"/>
      <c r="BY2765" s="18"/>
      <c r="BZ2765" s="146"/>
      <c r="CA2765" s="18"/>
      <c r="CB2765" s="18"/>
      <c r="CC2765" s="20"/>
      <c r="CD2765" s="13"/>
    </row>
    <row r="2766" spans="35:82">
      <c r="AI2766" s="19"/>
      <c r="AO2766" s="19"/>
      <c r="AY2766" s="145"/>
      <c r="AZ2766" s="16"/>
      <c r="BC2766" s="16"/>
      <c r="BD2766" s="20"/>
      <c r="BE2766" s="17"/>
      <c r="BF2766" s="20"/>
      <c r="BG2766" s="146"/>
      <c r="BH2766" s="146"/>
      <c r="BI2766" s="146"/>
      <c r="BJ2766" s="20"/>
      <c r="BK2766" s="20"/>
      <c r="BL2766" s="13"/>
      <c r="BP2766" s="20"/>
      <c r="BQ2766" s="13"/>
      <c r="BR2766" s="18"/>
      <c r="BS2766" s="16"/>
      <c r="BT2766" s="18"/>
      <c r="BU2766" s="18"/>
      <c r="BV2766" s="18"/>
      <c r="BW2766" s="20"/>
      <c r="BX2766" s="13"/>
      <c r="BY2766" s="18"/>
      <c r="BZ2766" s="146"/>
      <c r="CA2766" s="18"/>
      <c r="CB2766" s="18"/>
      <c r="CC2766" s="20"/>
      <c r="CD2766" s="13"/>
    </row>
    <row r="2767" spans="35:82">
      <c r="AI2767" s="19"/>
      <c r="AO2767" s="19"/>
      <c r="AY2767" s="145"/>
      <c r="AZ2767" s="16"/>
      <c r="BC2767" s="16"/>
      <c r="BD2767" s="20"/>
      <c r="BE2767" s="17"/>
      <c r="BF2767" s="20"/>
      <c r="BG2767" s="146"/>
      <c r="BH2767" s="146"/>
      <c r="BI2767" s="146"/>
      <c r="BJ2767" s="20"/>
      <c r="BK2767" s="20"/>
      <c r="BL2767" s="13"/>
      <c r="BP2767" s="20"/>
      <c r="BQ2767" s="13"/>
      <c r="BR2767" s="18"/>
      <c r="BS2767" s="16"/>
      <c r="BT2767" s="18"/>
      <c r="BU2767" s="18"/>
      <c r="BV2767" s="18"/>
      <c r="BW2767" s="20"/>
      <c r="BX2767" s="13"/>
      <c r="BY2767" s="18"/>
      <c r="BZ2767" s="146"/>
      <c r="CA2767" s="18"/>
      <c r="CB2767" s="18"/>
      <c r="CC2767" s="20"/>
      <c r="CD2767" s="13"/>
    </row>
    <row r="2768" spans="35:82">
      <c r="AI2768" s="19"/>
      <c r="AO2768" s="19"/>
      <c r="AY2768" s="145"/>
      <c r="AZ2768" s="16"/>
      <c r="BC2768" s="16"/>
      <c r="BD2768" s="20"/>
      <c r="BE2768" s="17"/>
      <c r="BF2768" s="20"/>
      <c r="BG2768" s="146"/>
      <c r="BH2768" s="146"/>
      <c r="BI2768" s="146"/>
      <c r="BJ2768" s="20"/>
      <c r="BK2768" s="20"/>
      <c r="BL2768" s="13"/>
      <c r="BP2768" s="20"/>
      <c r="BQ2768" s="13"/>
      <c r="BR2768" s="18"/>
      <c r="BS2768" s="16"/>
      <c r="BT2768" s="18"/>
      <c r="BU2768" s="18"/>
      <c r="BV2768" s="18"/>
      <c r="BW2768" s="20"/>
      <c r="BX2768" s="13"/>
      <c r="BY2768" s="18"/>
      <c r="BZ2768" s="146"/>
      <c r="CA2768" s="18"/>
      <c r="CB2768" s="18"/>
      <c r="CC2768" s="20"/>
      <c r="CD2768" s="13"/>
    </row>
    <row r="2769" spans="35:82">
      <c r="AI2769" s="19"/>
      <c r="AO2769" s="19"/>
      <c r="AY2769" s="145"/>
      <c r="AZ2769" s="16"/>
      <c r="BC2769" s="16"/>
      <c r="BD2769" s="20"/>
      <c r="BE2769" s="17"/>
      <c r="BF2769" s="20"/>
      <c r="BG2769" s="146"/>
      <c r="BH2769" s="146"/>
      <c r="BI2769" s="146"/>
      <c r="BJ2769" s="20"/>
      <c r="BK2769" s="20"/>
      <c r="BL2769" s="13"/>
      <c r="BP2769" s="20"/>
      <c r="BQ2769" s="13"/>
      <c r="BR2769" s="18"/>
      <c r="BS2769" s="16"/>
      <c r="BT2769" s="18"/>
      <c r="BU2769" s="18"/>
      <c r="BV2769" s="18"/>
      <c r="BW2769" s="20"/>
      <c r="BX2769" s="13"/>
      <c r="BY2769" s="18"/>
      <c r="BZ2769" s="146"/>
      <c r="CA2769" s="18"/>
      <c r="CB2769" s="18"/>
      <c r="CC2769" s="20"/>
      <c r="CD2769" s="13"/>
    </row>
    <row r="2770" spans="35:82">
      <c r="AI2770" s="19"/>
      <c r="AO2770" s="19"/>
      <c r="AY2770" s="145"/>
      <c r="AZ2770" s="16"/>
      <c r="BC2770" s="16"/>
      <c r="BD2770" s="20"/>
      <c r="BE2770" s="17"/>
      <c r="BF2770" s="20"/>
      <c r="BG2770" s="146"/>
      <c r="BH2770" s="146"/>
      <c r="BI2770" s="146"/>
      <c r="BJ2770" s="20"/>
      <c r="BK2770" s="20"/>
      <c r="BL2770" s="13"/>
      <c r="BP2770" s="20"/>
      <c r="BQ2770" s="13"/>
      <c r="BR2770" s="18"/>
      <c r="BS2770" s="16"/>
      <c r="BT2770" s="18"/>
      <c r="BU2770" s="18"/>
      <c r="BV2770" s="18"/>
      <c r="BW2770" s="20"/>
      <c r="BX2770" s="13"/>
      <c r="BY2770" s="18"/>
      <c r="BZ2770" s="146"/>
      <c r="CA2770" s="18"/>
      <c r="CB2770" s="18"/>
      <c r="CC2770" s="20"/>
      <c r="CD2770" s="13"/>
    </row>
    <row r="2771" spans="35:82">
      <c r="AI2771" s="19"/>
      <c r="AO2771" s="19"/>
      <c r="AY2771" s="145"/>
      <c r="AZ2771" s="16"/>
      <c r="BC2771" s="16"/>
      <c r="BD2771" s="20"/>
      <c r="BE2771" s="17"/>
      <c r="BF2771" s="20"/>
      <c r="BG2771" s="146"/>
      <c r="BH2771" s="146"/>
      <c r="BI2771" s="146"/>
      <c r="BJ2771" s="20"/>
      <c r="BK2771" s="20"/>
      <c r="BL2771" s="13"/>
      <c r="BP2771" s="20"/>
      <c r="BQ2771" s="13"/>
      <c r="BR2771" s="18"/>
      <c r="BS2771" s="16"/>
      <c r="BT2771" s="18"/>
      <c r="BU2771" s="18"/>
      <c r="BV2771" s="18"/>
      <c r="BW2771" s="20"/>
      <c r="BX2771" s="13"/>
      <c r="BY2771" s="18"/>
      <c r="BZ2771" s="146"/>
      <c r="CA2771" s="18"/>
      <c r="CB2771" s="18"/>
      <c r="CC2771" s="20"/>
      <c r="CD2771" s="13"/>
    </row>
    <row r="2772" spans="35:82">
      <c r="AI2772" s="19"/>
      <c r="AO2772" s="19"/>
      <c r="AY2772" s="145"/>
      <c r="AZ2772" s="16"/>
      <c r="BC2772" s="16"/>
      <c r="BD2772" s="20"/>
      <c r="BE2772" s="17"/>
      <c r="BF2772" s="20"/>
      <c r="BG2772" s="146"/>
      <c r="BH2772" s="146"/>
      <c r="BI2772" s="146"/>
      <c r="BJ2772" s="20"/>
      <c r="BK2772" s="20"/>
      <c r="BL2772" s="13"/>
      <c r="BP2772" s="20"/>
      <c r="BQ2772" s="13"/>
      <c r="BR2772" s="18"/>
      <c r="BS2772" s="16"/>
      <c r="BT2772" s="18"/>
      <c r="BU2772" s="18"/>
      <c r="BV2772" s="18"/>
      <c r="BW2772" s="20"/>
      <c r="BX2772" s="13"/>
      <c r="BY2772" s="18"/>
      <c r="BZ2772" s="146"/>
      <c r="CA2772" s="18"/>
      <c r="CB2772" s="18"/>
      <c r="CC2772" s="20"/>
      <c r="CD2772" s="13"/>
    </row>
    <row r="2773" spans="35:82">
      <c r="AI2773" s="19"/>
      <c r="AO2773" s="19"/>
      <c r="AY2773" s="145"/>
      <c r="AZ2773" s="16"/>
      <c r="BC2773" s="16"/>
      <c r="BD2773" s="20"/>
      <c r="BE2773" s="17"/>
      <c r="BF2773" s="20"/>
      <c r="BG2773" s="146"/>
      <c r="BH2773" s="146"/>
      <c r="BI2773" s="146"/>
      <c r="BJ2773" s="20"/>
      <c r="BK2773" s="20"/>
      <c r="BL2773" s="13"/>
      <c r="BP2773" s="20"/>
      <c r="BQ2773" s="13"/>
      <c r="BR2773" s="18"/>
      <c r="BS2773" s="16"/>
      <c r="BT2773" s="18"/>
      <c r="BU2773" s="18"/>
      <c r="BV2773" s="18"/>
      <c r="BW2773" s="20"/>
      <c r="BX2773" s="13"/>
      <c r="BY2773" s="18"/>
      <c r="BZ2773" s="146"/>
      <c r="CA2773" s="18"/>
      <c r="CB2773" s="18"/>
      <c r="CC2773" s="20"/>
      <c r="CD2773" s="13"/>
    </row>
    <row r="2774" spans="35:82">
      <c r="AI2774" s="19"/>
      <c r="AO2774" s="19"/>
      <c r="AY2774" s="145"/>
      <c r="AZ2774" s="16"/>
      <c r="BC2774" s="16"/>
      <c r="BD2774" s="20"/>
      <c r="BE2774" s="17"/>
      <c r="BF2774" s="20"/>
      <c r="BG2774" s="146"/>
      <c r="BH2774" s="146"/>
      <c r="BI2774" s="146"/>
      <c r="BJ2774" s="20"/>
      <c r="BK2774" s="20"/>
      <c r="BL2774" s="13"/>
      <c r="BP2774" s="20"/>
      <c r="BQ2774" s="13"/>
      <c r="BR2774" s="18"/>
      <c r="BS2774" s="16"/>
      <c r="BT2774" s="18"/>
      <c r="BU2774" s="18"/>
      <c r="BV2774" s="18"/>
      <c r="BW2774" s="20"/>
      <c r="BX2774" s="13"/>
      <c r="BY2774" s="18"/>
      <c r="BZ2774" s="146"/>
      <c r="CA2774" s="18"/>
      <c r="CB2774" s="18"/>
      <c r="CC2774" s="20"/>
      <c r="CD2774" s="13"/>
    </row>
    <row r="2775" spans="35:82">
      <c r="AI2775" s="19"/>
      <c r="AO2775" s="19"/>
      <c r="AY2775" s="145"/>
      <c r="AZ2775" s="16"/>
      <c r="BC2775" s="16"/>
      <c r="BD2775" s="20"/>
      <c r="BE2775" s="17"/>
      <c r="BF2775" s="20"/>
      <c r="BG2775" s="146"/>
      <c r="BH2775" s="146"/>
      <c r="BI2775" s="146"/>
      <c r="BJ2775" s="20"/>
      <c r="BK2775" s="20"/>
      <c r="BL2775" s="13"/>
      <c r="BP2775" s="20"/>
      <c r="BQ2775" s="13"/>
      <c r="BR2775" s="18"/>
      <c r="BS2775" s="16"/>
      <c r="BT2775" s="18"/>
      <c r="BU2775" s="18"/>
      <c r="BV2775" s="18"/>
      <c r="BW2775" s="20"/>
      <c r="BX2775" s="13"/>
      <c r="BY2775" s="18"/>
      <c r="BZ2775" s="146"/>
      <c r="CA2775" s="18"/>
      <c r="CB2775" s="18"/>
      <c r="CC2775" s="20"/>
      <c r="CD2775" s="13"/>
    </row>
    <row r="2776" spans="35:82">
      <c r="AI2776" s="19"/>
      <c r="AO2776" s="19"/>
      <c r="AY2776" s="145"/>
      <c r="AZ2776" s="16"/>
      <c r="BC2776" s="16"/>
      <c r="BD2776" s="20"/>
      <c r="BE2776" s="17"/>
      <c r="BF2776" s="20"/>
      <c r="BG2776" s="146"/>
      <c r="BH2776" s="146"/>
      <c r="BI2776" s="146"/>
      <c r="BJ2776" s="20"/>
      <c r="BK2776" s="20"/>
      <c r="BL2776" s="13"/>
      <c r="BP2776" s="20"/>
      <c r="BQ2776" s="13"/>
      <c r="BR2776" s="18"/>
      <c r="BS2776" s="16"/>
      <c r="BT2776" s="18"/>
      <c r="BU2776" s="18"/>
      <c r="BV2776" s="18"/>
      <c r="BW2776" s="20"/>
      <c r="BX2776" s="13"/>
      <c r="BY2776" s="18"/>
      <c r="BZ2776" s="146"/>
      <c r="CA2776" s="18"/>
      <c r="CB2776" s="18"/>
      <c r="CC2776" s="20"/>
      <c r="CD2776" s="13"/>
    </row>
    <row r="2777" spans="35:82">
      <c r="AI2777" s="19"/>
      <c r="AO2777" s="19"/>
      <c r="AY2777" s="145"/>
      <c r="AZ2777" s="16"/>
      <c r="BC2777" s="16"/>
      <c r="BD2777" s="20"/>
      <c r="BE2777" s="17"/>
      <c r="BF2777" s="20"/>
      <c r="BG2777" s="146"/>
      <c r="BH2777" s="146"/>
      <c r="BI2777" s="146"/>
      <c r="BJ2777" s="20"/>
      <c r="BK2777" s="20"/>
      <c r="BL2777" s="13"/>
      <c r="BP2777" s="20"/>
      <c r="BQ2777" s="13"/>
      <c r="BR2777" s="18"/>
      <c r="BS2777" s="16"/>
      <c r="BT2777" s="18"/>
      <c r="BU2777" s="18"/>
      <c r="BV2777" s="18"/>
      <c r="BW2777" s="20"/>
      <c r="BX2777" s="13"/>
      <c r="BY2777" s="18"/>
      <c r="BZ2777" s="146"/>
      <c r="CA2777" s="18"/>
      <c r="CB2777" s="18"/>
      <c r="CC2777" s="20"/>
      <c r="CD2777" s="13"/>
    </row>
    <row r="2778" spans="35:82">
      <c r="AI2778" s="19"/>
      <c r="AO2778" s="19"/>
      <c r="AY2778" s="145"/>
      <c r="AZ2778" s="16"/>
      <c r="BC2778" s="16"/>
      <c r="BD2778" s="20"/>
      <c r="BE2778" s="17"/>
      <c r="BF2778" s="20"/>
      <c r="BG2778" s="146"/>
      <c r="BH2778" s="146"/>
      <c r="BI2778" s="146"/>
      <c r="BJ2778" s="20"/>
      <c r="BK2778" s="20"/>
      <c r="BL2778" s="13"/>
      <c r="BP2778" s="20"/>
      <c r="BQ2778" s="13"/>
      <c r="BR2778" s="18"/>
      <c r="BS2778" s="16"/>
      <c r="BT2778" s="18"/>
      <c r="BU2778" s="18"/>
      <c r="BV2778" s="18"/>
      <c r="BW2778" s="20"/>
      <c r="BX2778" s="13"/>
      <c r="BY2778" s="18"/>
      <c r="BZ2778" s="146"/>
      <c r="CA2778" s="18"/>
      <c r="CB2778" s="18"/>
      <c r="CC2778" s="20"/>
      <c r="CD2778" s="13"/>
    </row>
    <row r="2779" spans="35:82">
      <c r="AI2779" s="19"/>
      <c r="AO2779" s="19"/>
      <c r="AY2779" s="145"/>
      <c r="AZ2779" s="16"/>
      <c r="BC2779" s="16"/>
      <c r="BD2779" s="20"/>
      <c r="BE2779" s="17"/>
      <c r="BF2779" s="20"/>
      <c r="BG2779" s="146"/>
      <c r="BH2779" s="146"/>
      <c r="BI2779" s="146"/>
      <c r="BJ2779" s="20"/>
      <c r="BK2779" s="20"/>
      <c r="BL2779" s="13"/>
      <c r="BP2779" s="20"/>
      <c r="BQ2779" s="13"/>
      <c r="BR2779" s="18"/>
      <c r="BS2779" s="16"/>
      <c r="BT2779" s="18"/>
      <c r="BU2779" s="18"/>
      <c r="BV2779" s="18"/>
      <c r="BW2779" s="20"/>
      <c r="BX2779" s="13"/>
      <c r="BY2779" s="18"/>
      <c r="BZ2779" s="146"/>
      <c r="CA2779" s="18"/>
      <c r="CB2779" s="18"/>
      <c r="CC2779" s="20"/>
      <c r="CD2779" s="13"/>
    </row>
    <row r="2780" spans="35:82">
      <c r="AI2780" s="19"/>
      <c r="AO2780" s="19"/>
      <c r="AY2780" s="145"/>
      <c r="AZ2780" s="16"/>
      <c r="BC2780" s="16"/>
      <c r="BD2780" s="20"/>
      <c r="BE2780" s="17"/>
      <c r="BF2780" s="20"/>
      <c r="BG2780" s="146"/>
      <c r="BH2780" s="146"/>
      <c r="BI2780" s="146"/>
      <c r="BJ2780" s="20"/>
      <c r="BK2780" s="20"/>
      <c r="BL2780" s="13"/>
      <c r="BP2780" s="20"/>
      <c r="BQ2780" s="13"/>
      <c r="BR2780" s="18"/>
      <c r="BS2780" s="16"/>
      <c r="BT2780" s="18"/>
      <c r="BU2780" s="18"/>
      <c r="BV2780" s="18"/>
      <c r="BW2780" s="20"/>
      <c r="BX2780" s="13"/>
      <c r="BY2780" s="18"/>
      <c r="BZ2780" s="146"/>
      <c r="CA2780" s="18"/>
      <c r="CB2780" s="18"/>
      <c r="CC2780" s="20"/>
      <c r="CD2780" s="13"/>
    </row>
    <row r="2781" spans="35:82">
      <c r="AI2781" s="19"/>
      <c r="AO2781" s="19"/>
      <c r="AY2781" s="145"/>
      <c r="AZ2781" s="16"/>
      <c r="BC2781" s="16"/>
      <c r="BD2781" s="20"/>
      <c r="BE2781" s="17"/>
      <c r="BF2781" s="20"/>
      <c r="BG2781" s="146"/>
      <c r="BH2781" s="146"/>
      <c r="BI2781" s="146"/>
      <c r="BJ2781" s="20"/>
      <c r="BK2781" s="20"/>
      <c r="BL2781" s="13"/>
      <c r="BP2781" s="20"/>
      <c r="BQ2781" s="13"/>
      <c r="BR2781" s="18"/>
      <c r="BS2781" s="16"/>
      <c r="BT2781" s="18"/>
      <c r="BU2781" s="18"/>
      <c r="BV2781" s="18"/>
      <c r="BW2781" s="20"/>
      <c r="BX2781" s="13"/>
      <c r="BY2781" s="18"/>
      <c r="BZ2781" s="146"/>
      <c r="CA2781" s="18"/>
      <c r="CB2781" s="18"/>
      <c r="CC2781" s="20"/>
      <c r="CD2781" s="13"/>
    </row>
    <row r="2782" spans="35:82">
      <c r="AI2782" s="19"/>
      <c r="AO2782" s="19"/>
      <c r="AY2782" s="145"/>
      <c r="AZ2782" s="16"/>
      <c r="BC2782" s="16"/>
      <c r="BD2782" s="20"/>
      <c r="BE2782" s="17"/>
      <c r="BF2782" s="20"/>
      <c r="BG2782" s="146"/>
      <c r="BH2782" s="146"/>
      <c r="BI2782" s="146"/>
      <c r="BJ2782" s="20"/>
      <c r="BK2782" s="20"/>
      <c r="BL2782" s="13"/>
      <c r="BP2782" s="20"/>
      <c r="BQ2782" s="13"/>
      <c r="BR2782" s="18"/>
      <c r="BS2782" s="16"/>
      <c r="BT2782" s="18"/>
      <c r="BU2782" s="18"/>
      <c r="BV2782" s="18"/>
      <c r="BW2782" s="20"/>
      <c r="BX2782" s="13"/>
      <c r="BY2782" s="18"/>
      <c r="BZ2782" s="146"/>
      <c r="CA2782" s="18"/>
      <c r="CB2782" s="18"/>
      <c r="CC2782" s="20"/>
      <c r="CD2782" s="13"/>
    </row>
    <row r="2783" spans="35:82">
      <c r="AI2783" s="19"/>
      <c r="AO2783" s="19"/>
      <c r="AY2783" s="145"/>
      <c r="AZ2783" s="16"/>
      <c r="BC2783" s="16"/>
      <c r="BD2783" s="20"/>
      <c r="BE2783" s="17"/>
      <c r="BF2783" s="20"/>
      <c r="BG2783" s="146"/>
      <c r="BH2783" s="146"/>
      <c r="BI2783" s="146"/>
      <c r="BJ2783" s="20"/>
      <c r="BK2783" s="20"/>
      <c r="BL2783" s="13"/>
      <c r="BP2783" s="20"/>
      <c r="BQ2783" s="13"/>
      <c r="BR2783" s="18"/>
      <c r="BS2783" s="16"/>
      <c r="BT2783" s="18"/>
      <c r="BU2783" s="18"/>
      <c r="BV2783" s="18"/>
      <c r="BW2783" s="20"/>
      <c r="BX2783" s="13"/>
      <c r="BY2783" s="18"/>
      <c r="BZ2783" s="146"/>
      <c r="CA2783" s="18"/>
      <c r="CB2783" s="18"/>
      <c r="CC2783" s="20"/>
      <c r="CD2783" s="13"/>
    </row>
    <row r="2784" spans="35:82">
      <c r="AI2784" s="19"/>
      <c r="AO2784" s="19"/>
      <c r="AY2784" s="145"/>
      <c r="AZ2784" s="16"/>
      <c r="BC2784" s="16"/>
      <c r="BD2784" s="20"/>
      <c r="BE2784" s="17"/>
      <c r="BF2784" s="20"/>
      <c r="BG2784" s="146"/>
      <c r="BH2784" s="146"/>
      <c r="BI2784" s="146"/>
      <c r="BJ2784" s="20"/>
      <c r="BK2784" s="20"/>
      <c r="BL2784" s="13"/>
      <c r="BP2784" s="20"/>
      <c r="BQ2784" s="13"/>
      <c r="BR2784" s="18"/>
      <c r="BS2784" s="16"/>
      <c r="BT2784" s="18"/>
      <c r="BU2784" s="18"/>
      <c r="BV2784" s="18"/>
      <c r="BW2784" s="20"/>
      <c r="BX2784" s="13"/>
      <c r="BY2784" s="18"/>
      <c r="BZ2784" s="146"/>
      <c r="CA2784" s="18"/>
      <c r="CB2784" s="18"/>
      <c r="CC2784" s="20"/>
      <c r="CD2784" s="13"/>
    </row>
    <row r="2785" spans="35:82">
      <c r="AI2785" s="19"/>
      <c r="AO2785" s="19"/>
      <c r="AY2785" s="145"/>
      <c r="AZ2785" s="16"/>
      <c r="BC2785" s="16"/>
      <c r="BD2785" s="20"/>
      <c r="BE2785" s="17"/>
      <c r="BF2785" s="20"/>
      <c r="BG2785" s="146"/>
      <c r="BH2785" s="146"/>
      <c r="BI2785" s="146"/>
      <c r="BJ2785" s="20"/>
      <c r="BK2785" s="20"/>
      <c r="BL2785" s="13"/>
      <c r="BP2785" s="20"/>
      <c r="BQ2785" s="13"/>
      <c r="BR2785" s="18"/>
      <c r="BS2785" s="16"/>
      <c r="BT2785" s="18"/>
      <c r="BU2785" s="18"/>
      <c r="BV2785" s="18"/>
      <c r="BW2785" s="20"/>
      <c r="BX2785" s="13"/>
      <c r="BY2785" s="18"/>
      <c r="BZ2785" s="146"/>
      <c r="CA2785" s="18"/>
      <c r="CB2785" s="18"/>
      <c r="CC2785" s="20"/>
      <c r="CD2785" s="13"/>
    </row>
    <row r="2786" spans="35:82">
      <c r="AI2786" s="19"/>
      <c r="AO2786" s="19"/>
      <c r="AY2786" s="145"/>
      <c r="AZ2786" s="16"/>
      <c r="BC2786" s="16"/>
      <c r="BD2786" s="20"/>
      <c r="BE2786" s="17"/>
      <c r="BF2786" s="20"/>
      <c r="BG2786" s="146"/>
      <c r="BH2786" s="146"/>
      <c r="BI2786" s="146"/>
      <c r="BJ2786" s="20"/>
      <c r="BK2786" s="20"/>
      <c r="BL2786" s="13"/>
      <c r="BP2786" s="20"/>
      <c r="BQ2786" s="13"/>
      <c r="BR2786" s="18"/>
      <c r="BS2786" s="16"/>
      <c r="BT2786" s="18"/>
      <c r="BU2786" s="18"/>
      <c r="BV2786" s="18"/>
      <c r="BW2786" s="20"/>
      <c r="BX2786" s="13"/>
      <c r="BY2786" s="18"/>
      <c r="BZ2786" s="146"/>
      <c r="CA2786" s="18"/>
      <c r="CB2786" s="18"/>
      <c r="CC2786" s="20"/>
      <c r="CD2786" s="13"/>
    </row>
    <row r="2787" spans="35:82">
      <c r="AI2787" s="19"/>
      <c r="AO2787" s="19"/>
      <c r="AY2787" s="145"/>
      <c r="AZ2787" s="16"/>
      <c r="BC2787" s="16"/>
      <c r="BD2787" s="20"/>
      <c r="BE2787" s="17"/>
      <c r="BF2787" s="20"/>
      <c r="BG2787" s="146"/>
      <c r="BH2787" s="146"/>
      <c r="BI2787" s="146"/>
      <c r="BJ2787" s="20"/>
      <c r="BK2787" s="20"/>
      <c r="BL2787" s="13"/>
      <c r="BP2787" s="20"/>
      <c r="BQ2787" s="13"/>
      <c r="BR2787" s="18"/>
      <c r="BS2787" s="16"/>
      <c r="BT2787" s="18"/>
      <c r="BU2787" s="18"/>
      <c r="BV2787" s="18"/>
      <c r="BW2787" s="20"/>
      <c r="BX2787" s="13"/>
      <c r="BY2787" s="18"/>
      <c r="BZ2787" s="146"/>
      <c r="CA2787" s="18"/>
      <c r="CB2787" s="18"/>
      <c r="CC2787" s="20"/>
      <c r="CD2787" s="13"/>
    </row>
    <row r="2788" spans="35:82">
      <c r="AI2788" s="19"/>
      <c r="AO2788" s="19"/>
      <c r="AY2788" s="145"/>
      <c r="AZ2788" s="16"/>
      <c r="BC2788" s="16"/>
      <c r="BD2788" s="20"/>
      <c r="BE2788" s="17"/>
      <c r="BF2788" s="20"/>
      <c r="BG2788" s="146"/>
      <c r="BH2788" s="146"/>
      <c r="BI2788" s="146"/>
      <c r="BJ2788" s="20"/>
      <c r="BK2788" s="20"/>
      <c r="BL2788" s="13"/>
      <c r="BP2788" s="20"/>
      <c r="BQ2788" s="13"/>
      <c r="BR2788" s="18"/>
      <c r="BS2788" s="16"/>
      <c r="BT2788" s="18"/>
      <c r="BU2788" s="18"/>
      <c r="BV2788" s="18"/>
      <c r="BW2788" s="20"/>
      <c r="BX2788" s="13"/>
      <c r="BY2788" s="18"/>
      <c r="BZ2788" s="146"/>
      <c r="CA2788" s="18"/>
      <c r="CB2788" s="18"/>
      <c r="CC2788" s="20"/>
      <c r="CD2788" s="13"/>
    </row>
    <row r="2789" spans="35:82">
      <c r="AI2789" s="19"/>
      <c r="AO2789" s="19"/>
      <c r="AY2789" s="145"/>
      <c r="AZ2789" s="16"/>
      <c r="BC2789" s="16"/>
      <c r="BD2789" s="20"/>
      <c r="BE2789" s="17"/>
      <c r="BF2789" s="20"/>
      <c r="BG2789" s="146"/>
      <c r="BH2789" s="146"/>
      <c r="BI2789" s="146"/>
      <c r="BJ2789" s="20"/>
      <c r="BK2789" s="20"/>
      <c r="BL2789" s="13"/>
      <c r="BP2789" s="20"/>
      <c r="BQ2789" s="13"/>
      <c r="BR2789" s="18"/>
      <c r="BS2789" s="16"/>
      <c r="BT2789" s="18"/>
      <c r="BU2789" s="18"/>
      <c r="BV2789" s="18"/>
      <c r="BW2789" s="20"/>
      <c r="BX2789" s="13"/>
      <c r="BY2789" s="18"/>
      <c r="BZ2789" s="146"/>
      <c r="CA2789" s="18"/>
      <c r="CB2789" s="18"/>
      <c r="CC2789" s="20"/>
      <c r="CD2789" s="13"/>
    </row>
    <row r="2790" spans="35:82">
      <c r="AI2790" s="19"/>
      <c r="AO2790" s="19"/>
      <c r="AY2790" s="145"/>
      <c r="AZ2790" s="16"/>
      <c r="BC2790" s="16"/>
      <c r="BD2790" s="20"/>
      <c r="BE2790" s="17"/>
      <c r="BF2790" s="20"/>
      <c r="BG2790" s="146"/>
      <c r="BH2790" s="146"/>
      <c r="BI2790" s="146"/>
      <c r="BJ2790" s="20"/>
      <c r="BK2790" s="20"/>
      <c r="BL2790" s="13"/>
      <c r="BP2790" s="20"/>
      <c r="BQ2790" s="13"/>
      <c r="BR2790" s="18"/>
      <c r="BS2790" s="16"/>
      <c r="BT2790" s="18"/>
      <c r="BU2790" s="18"/>
      <c r="BV2790" s="18"/>
      <c r="BW2790" s="20"/>
      <c r="BX2790" s="13"/>
      <c r="BY2790" s="18"/>
      <c r="BZ2790" s="146"/>
      <c r="CA2790" s="18"/>
      <c r="CB2790" s="18"/>
      <c r="CC2790" s="20"/>
      <c r="CD2790" s="13"/>
    </row>
    <row r="2791" spans="35:82">
      <c r="AI2791" s="19"/>
      <c r="AO2791" s="19"/>
      <c r="AY2791" s="145"/>
      <c r="AZ2791" s="16"/>
      <c r="BC2791" s="16"/>
      <c r="BD2791" s="20"/>
      <c r="BE2791" s="17"/>
      <c r="BF2791" s="20"/>
      <c r="BG2791" s="146"/>
      <c r="BH2791" s="146"/>
      <c r="BI2791" s="146"/>
      <c r="BJ2791" s="20"/>
      <c r="BK2791" s="20"/>
      <c r="BL2791" s="13"/>
      <c r="BP2791" s="20"/>
      <c r="BQ2791" s="13"/>
      <c r="BR2791" s="18"/>
      <c r="BS2791" s="16"/>
      <c r="BT2791" s="18"/>
      <c r="BU2791" s="18"/>
      <c r="BV2791" s="18"/>
      <c r="BW2791" s="20"/>
      <c r="BX2791" s="13"/>
      <c r="BY2791" s="18"/>
      <c r="BZ2791" s="146"/>
      <c r="CA2791" s="18"/>
      <c r="CB2791" s="18"/>
      <c r="CC2791" s="20"/>
      <c r="CD2791" s="13"/>
    </row>
    <row r="2792" spans="35:82">
      <c r="AI2792" s="19"/>
      <c r="AO2792" s="19"/>
      <c r="AY2792" s="145"/>
      <c r="AZ2792" s="16"/>
      <c r="BC2792" s="16"/>
      <c r="BD2792" s="20"/>
      <c r="BE2792" s="17"/>
      <c r="BF2792" s="20"/>
      <c r="BG2792" s="146"/>
      <c r="BH2792" s="146"/>
      <c r="BI2792" s="146"/>
      <c r="BJ2792" s="20"/>
      <c r="BK2792" s="20"/>
      <c r="BL2792" s="13"/>
      <c r="BP2792" s="20"/>
      <c r="BQ2792" s="13"/>
      <c r="BR2792" s="18"/>
      <c r="BS2792" s="16"/>
      <c r="BT2792" s="18"/>
      <c r="BU2792" s="18"/>
      <c r="BV2792" s="18"/>
      <c r="BW2792" s="20"/>
      <c r="BX2792" s="13"/>
      <c r="BY2792" s="18"/>
      <c r="BZ2792" s="146"/>
      <c r="CA2792" s="18"/>
      <c r="CB2792" s="18"/>
      <c r="CC2792" s="20"/>
      <c r="CD2792" s="13"/>
    </row>
    <row r="2793" spans="35:82">
      <c r="AI2793" s="19"/>
      <c r="AO2793" s="19"/>
      <c r="AY2793" s="145"/>
      <c r="AZ2793" s="16"/>
      <c r="BC2793" s="16"/>
      <c r="BD2793" s="20"/>
      <c r="BE2793" s="17"/>
      <c r="BF2793" s="20"/>
      <c r="BG2793" s="146"/>
      <c r="BH2793" s="146"/>
      <c r="BI2793" s="146"/>
      <c r="BJ2793" s="20"/>
      <c r="BK2793" s="20"/>
      <c r="BL2793" s="13"/>
      <c r="BP2793" s="20"/>
      <c r="BQ2793" s="13"/>
      <c r="BR2793" s="18"/>
      <c r="BS2793" s="16"/>
      <c r="BT2793" s="18"/>
      <c r="BU2793" s="18"/>
      <c r="BV2793" s="18"/>
      <c r="BW2793" s="20"/>
      <c r="BX2793" s="13"/>
      <c r="BY2793" s="18"/>
      <c r="BZ2793" s="146"/>
      <c r="CA2793" s="18"/>
      <c r="CB2793" s="18"/>
      <c r="CC2793" s="20"/>
      <c r="CD2793" s="13"/>
    </row>
    <row r="2794" spans="35:82">
      <c r="AI2794" s="19"/>
      <c r="AO2794" s="19"/>
      <c r="AY2794" s="145"/>
      <c r="AZ2794" s="16"/>
      <c r="BC2794" s="16"/>
      <c r="BD2794" s="20"/>
      <c r="BE2794" s="17"/>
      <c r="BF2794" s="20"/>
      <c r="BG2794" s="146"/>
      <c r="BH2794" s="146"/>
      <c r="BI2794" s="146"/>
      <c r="BJ2794" s="20"/>
      <c r="BK2794" s="20"/>
      <c r="BL2794" s="13"/>
      <c r="BP2794" s="20"/>
      <c r="BQ2794" s="13"/>
      <c r="BR2794" s="18"/>
      <c r="BS2794" s="16"/>
      <c r="BT2794" s="18"/>
      <c r="BU2794" s="18"/>
      <c r="BV2794" s="18"/>
      <c r="BW2794" s="20"/>
      <c r="BX2794" s="13"/>
      <c r="BY2794" s="18"/>
      <c r="BZ2794" s="146"/>
      <c r="CA2794" s="18"/>
      <c r="CB2794" s="18"/>
      <c r="CC2794" s="20"/>
      <c r="CD2794" s="13"/>
    </row>
    <row r="2795" spans="35:82">
      <c r="AI2795" s="19"/>
      <c r="AO2795" s="19"/>
      <c r="AY2795" s="145"/>
      <c r="AZ2795" s="16"/>
      <c r="BC2795" s="16"/>
      <c r="BD2795" s="20"/>
      <c r="BE2795" s="17"/>
      <c r="BF2795" s="20"/>
      <c r="BG2795" s="146"/>
      <c r="BH2795" s="146"/>
      <c r="BI2795" s="146"/>
      <c r="BJ2795" s="20"/>
      <c r="BK2795" s="20"/>
      <c r="BL2795" s="13"/>
      <c r="BP2795" s="20"/>
      <c r="BQ2795" s="13"/>
      <c r="BR2795" s="18"/>
      <c r="BS2795" s="16"/>
      <c r="BT2795" s="18"/>
      <c r="BU2795" s="18"/>
      <c r="BV2795" s="18"/>
      <c r="BW2795" s="20"/>
      <c r="BX2795" s="13"/>
      <c r="BY2795" s="18"/>
      <c r="BZ2795" s="146"/>
      <c r="CA2795" s="18"/>
      <c r="CB2795" s="18"/>
      <c r="CC2795" s="20"/>
      <c r="CD2795" s="13"/>
    </row>
    <row r="2796" spans="35:82">
      <c r="AI2796" s="19"/>
      <c r="AO2796" s="19"/>
      <c r="AY2796" s="145"/>
      <c r="AZ2796" s="16"/>
      <c r="BC2796" s="16"/>
      <c r="BD2796" s="20"/>
      <c r="BE2796" s="17"/>
      <c r="BF2796" s="20"/>
      <c r="BG2796" s="146"/>
      <c r="BH2796" s="146"/>
      <c r="BI2796" s="146"/>
      <c r="BJ2796" s="20"/>
      <c r="BK2796" s="20"/>
      <c r="BL2796" s="13"/>
      <c r="BP2796" s="20"/>
      <c r="BQ2796" s="13"/>
      <c r="BR2796" s="18"/>
      <c r="BS2796" s="16"/>
      <c r="BT2796" s="18"/>
      <c r="BU2796" s="18"/>
      <c r="BV2796" s="18"/>
      <c r="BW2796" s="20"/>
      <c r="BX2796" s="13"/>
      <c r="BY2796" s="18"/>
      <c r="BZ2796" s="146"/>
      <c r="CA2796" s="18"/>
      <c r="CB2796" s="18"/>
      <c r="CC2796" s="20"/>
      <c r="CD2796" s="13"/>
    </row>
    <row r="2797" spans="35:82">
      <c r="AI2797" s="19"/>
      <c r="AO2797" s="19"/>
      <c r="AY2797" s="145"/>
      <c r="AZ2797" s="16"/>
      <c r="BC2797" s="16"/>
      <c r="BD2797" s="20"/>
      <c r="BE2797" s="17"/>
      <c r="BF2797" s="20"/>
      <c r="BG2797" s="146"/>
      <c r="BH2797" s="146"/>
      <c r="BI2797" s="146"/>
      <c r="BJ2797" s="20"/>
      <c r="BK2797" s="20"/>
      <c r="BL2797" s="13"/>
      <c r="BP2797" s="20"/>
      <c r="BQ2797" s="13"/>
      <c r="BR2797" s="18"/>
      <c r="BS2797" s="16"/>
      <c r="BT2797" s="18"/>
      <c r="BU2797" s="18"/>
      <c r="BV2797" s="18"/>
      <c r="BW2797" s="20"/>
      <c r="BX2797" s="13"/>
      <c r="BY2797" s="18"/>
      <c r="BZ2797" s="146"/>
      <c r="CA2797" s="18"/>
      <c r="CB2797" s="18"/>
      <c r="CC2797" s="20"/>
      <c r="CD2797" s="13"/>
    </row>
    <row r="2798" spans="35:82">
      <c r="AI2798" s="19"/>
      <c r="AO2798" s="19"/>
      <c r="AY2798" s="145"/>
      <c r="AZ2798" s="16"/>
      <c r="BC2798" s="16"/>
      <c r="BD2798" s="20"/>
      <c r="BE2798" s="17"/>
      <c r="BF2798" s="20"/>
      <c r="BG2798" s="146"/>
      <c r="BH2798" s="146"/>
      <c r="BI2798" s="146"/>
      <c r="BJ2798" s="20"/>
      <c r="BK2798" s="20"/>
      <c r="BL2798" s="13"/>
      <c r="BP2798" s="20"/>
      <c r="BQ2798" s="13"/>
      <c r="BR2798" s="18"/>
      <c r="BS2798" s="16"/>
      <c r="BT2798" s="18"/>
      <c r="BU2798" s="18"/>
      <c r="BV2798" s="18"/>
      <c r="BW2798" s="20"/>
      <c r="BX2798" s="13"/>
      <c r="BY2798" s="18"/>
      <c r="BZ2798" s="146"/>
      <c r="CA2798" s="18"/>
      <c r="CB2798" s="18"/>
      <c r="CC2798" s="20"/>
      <c r="CD2798" s="13"/>
    </row>
    <row r="2799" spans="35:82">
      <c r="AI2799" s="19"/>
      <c r="AO2799" s="19"/>
      <c r="AY2799" s="145"/>
      <c r="AZ2799" s="16"/>
      <c r="BC2799" s="16"/>
      <c r="BD2799" s="20"/>
      <c r="BE2799" s="17"/>
      <c r="BF2799" s="20"/>
      <c r="BG2799" s="146"/>
      <c r="BH2799" s="146"/>
      <c r="BI2799" s="146"/>
      <c r="BJ2799" s="20"/>
      <c r="BK2799" s="20"/>
      <c r="BL2799" s="13"/>
      <c r="BP2799" s="20"/>
      <c r="BQ2799" s="13"/>
      <c r="BR2799" s="18"/>
      <c r="BS2799" s="16"/>
      <c r="BT2799" s="18"/>
      <c r="BU2799" s="18"/>
      <c r="BV2799" s="18"/>
      <c r="BW2799" s="20"/>
      <c r="BX2799" s="13"/>
      <c r="BY2799" s="18"/>
      <c r="BZ2799" s="146"/>
      <c r="CA2799" s="18"/>
      <c r="CB2799" s="18"/>
      <c r="CC2799" s="20"/>
      <c r="CD2799" s="13"/>
    </row>
    <row r="2800" spans="35:82">
      <c r="AI2800" s="19"/>
      <c r="AO2800" s="19"/>
      <c r="AY2800" s="145"/>
      <c r="AZ2800" s="16"/>
      <c r="BC2800" s="16"/>
      <c r="BD2800" s="20"/>
      <c r="BE2800" s="17"/>
      <c r="BF2800" s="20"/>
      <c r="BG2800" s="146"/>
      <c r="BH2800" s="146"/>
      <c r="BI2800" s="146"/>
      <c r="BJ2800" s="20"/>
      <c r="BK2800" s="20"/>
      <c r="BL2800" s="13"/>
      <c r="BP2800" s="20"/>
      <c r="BQ2800" s="13"/>
      <c r="BR2800" s="18"/>
      <c r="BS2800" s="16"/>
      <c r="BT2800" s="18"/>
      <c r="BU2800" s="18"/>
      <c r="BV2800" s="18"/>
      <c r="BW2800" s="20"/>
      <c r="BX2800" s="13"/>
      <c r="BY2800" s="18"/>
      <c r="BZ2800" s="146"/>
      <c r="CA2800" s="18"/>
      <c r="CB2800" s="18"/>
      <c r="CC2800" s="20"/>
      <c r="CD2800" s="13"/>
    </row>
    <row r="2801" spans="35:82">
      <c r="AI2801" s="19"/>
      <c r="AO2801" s="19"/>
      <c r="AY2801" s="145"/>
      <c r="AZ2801" s="16"/>
      <c r="BC2801" s="16"/>
      <c r="BD2801" s="20"/>
      <c r="BE2801" s="17"/>
      <c r="BF2801" s="20"/>
      <c r="BG2801" s="146"/>
      <c r="BH2801" s="146"/>
      <c r="BI2801" s="146"/>
      <c r="BJ2801" s="20"/>
      <c r="BK2801" s="20"/>
      <c r="BL2801" s="13"/>
      <c r="BP2801" s="20"/>
      <c r="BQ2801" s="13"/>
      <c r="BR2801" s="18"/>
      <c r="BS2801" s="16"/>
      <c r="BT2801" s="18"/>
      <c r="BU2801" s="18"/>
      <c r="BV2801" s="18"/>
      <c r="BW2801" s="20"/>
      <c r="BX2801" s="13"/>
      <c r="BY2801" s="18"/>
      <c r="BZ2801" s="146"/>
      <c r="CA2801" s="18"/>
      <c r="CB2801" s="18"/>
      <c r="CC2801" s="20"/>
      <c r="CD2801" s="13"/>
    </row>
    <row r="2802" spans="35:82">
      <c r="AI2802" s="19"/>
      <c r="AO2802" s="19"/>
      <c r="AY2802" s="145"/>
      <c r="AZ2802" s="16"/>
      <c r="BC2802" s="16"/>
      <c r="BD2802" s="20"/>
      <c r="BE2802" s="17"/>
      <c r="BF2802" s="20"/>
      <c r="BG2802" s="146"/>
      <c r="BH2802" s="146"/>
      <c r="BI2802" s="146"/>
      <c r="BJ2802" s="20"/>
      <c r="BK2802" s="20"/>
      <c r="BL2802" s="13"/>
      <c r="BP2802" s="20"/>
      <c r="BQ2802" s="13"/>
      <c r="BR2802" s="18"/>
      <c r="BS2802" s="16"/>
      <c r="BT2802" s="18"/>
      <c r="BU2802" s="18"/>
      <c r="BV2802" s="18"/>
      <c r="BW2802" s="20"/>
      <c r="BX2802" s="13"/>
      <c r="BY2802" s="18"/>
      <c r="BZ2802" s="146"/>
      <c r="CA2802" s="18"/>
      <c r="CB2802" s="18"/>
      <c r="CC2802" s="20"/>
      <c r="CD2802" s="13"/>
    </row>
    <row r="2803" spans="35:82">
      <c r="AI2803" s="19"/>
      <c r="AO2803" s="19"/>
      <c r="AY2803" s="145"/>
      <c r="AZ2803" s="16"/>
      <c r="BC2803" s="16"/>
      <c r="BD2803" s="20"/>
      <c r="BE2803" s="17"/>
      <c r="BF2803" s="20"/>
      <c r="BG2803" s="146"/>
      <c r="BH2803" s="146"/>
      <c r="BI2803" s="146"/>
      <c r="BJ2803" s="20"/>
      <c r="BK2803" s="20"/>
      <c r="BL2803" s="13"/>
      <c r="BP2803" s="20"/>
      <c r="BQ2803" s="13"/>
      <c r="BR2803" s="18"/>
      <c r="BS2803" s="16"/>
      <c r="BT2803" s="18"/>
      <c r="BU2803" s="18"/>
      <c r="BV2803" s="18"/>
      <c r="BW2803" s="20"/>
      <c r="BX2803" s="13"/>
      <c r="BY2803" s="18"/>
      <c r="BZ2803" s="146"/>
      <c r="CA2803" s="18"/>
      <c r="CB2803" s="18"/>
      <c r="CC2803" s="20"/>
      <c r="CD2803" s="13"/>
    </row>
    <row r="2804" spans="35:82">
      <c r="AI2804" s="19"/>
      <c r="AO2804" s="19"/>
      <c r="AY2804" s="145"/>
      <c r="AZ2804" s="16"/>
      <c r="BC2804" s="16"/>
      <c r="BD2804" s="20"/>
      <c r="BE2804" s="17"/>
      <c r="BF2804" s="20"/>
      <c r="BG2804" s="146"/>
      <c r="BH2804" s="146"/>
      <c r="BI2804" s="146"/>
      <c r="BJ2804" s="20"/>
      <c r="BK2804" s="20"/>
      <c r="BL2804" s="13"/>
      <c r="BP2804" s="20"/>
      <c r="BQ2804" s="13"/>
      <c r="BR2804" s="18"/>
      <c r="BS2804" s="16"/>
      <c r="BT2804" s="18"/>
      <c r="BU2804" s="18"/>
      <c r="BV2804" s="18"/>
      <c r="BW2804" s="20"/>
      <c r="BX2804" s="13"/>
      <c r="BY2804" s="18"/>
      <c r="BZ2804" s="146"/>
      <c r="CA2804" s="18"/>
      <c r="CB2804" s="18"/>
      <c r="CC2804" s="20"/>
      <c r="CD2804" s="13"/>
    </row>
    <row r="2805" spans="35:82">
      <c r="AI2805" s="19"/>
      <c r="AO2805" s="19"/>
      <c r="AY2805" s="145"/>
      <c r="AZ2805" s="16"/>
      <c r="BC2805" s="16"/>
      <c r="BD2805" s="20"/>
      <c r="BE2805" s="17"/>
      <c r="BF2805" s="20"/>
      <c r="BG2805" s="146"/>
      <c r="BH2805" s="146"/>
      <c r="BI2805" s="146"/>
      <c r="BJ2805" s="20"/>
      <c r="BK2805" s="20"/>
      <c r="BL2805" s="13"/>
      <c r="BP2805" s="20"/>
      <c r="BQ2805" s="13"/>
      <c r="BR2805" s="18"/>
      <c r="BS2805" s="16"/>
      <c r="BT2805" s="18"/>
      <c r="BU2805" s="18"/>
      <c r="BV2805" s="18"/>
      <c r="BW2805" s="20"/>
      <c r="BX2805" s="13"/>
      <c r="BY2805" s="18"/>
      <c r="BZ2805" s="146"/>
      <c r="CA2805" s="18"/>
      <c r="CB2805" s="18"/>
      <c r="CC2805" s="20"/>
      <c r="CD2805" s="13"/>
    </row>
    <row r="2806" spans="35:82">
      <c r="AI2806" s="19"/>
      <c r="AO2806" s="19"/>
      <c r="AY2806" s="145"/>
      <c r="AZ2806" s="16"/>
      <c r="BC2806" s="16"/>
      <c r="BD2806" s="20"/>
      <c r="BE2806" s="17"/>
      <c r="BF2806" s="20"/>
      <c r="BG2806" s="146"/>
      <c r="BH2806" s="146"/>
      <c r="BI2806" s="146"/>
      <c r="BJ2806" s="20"/>
      <c r="BK2806" s="20"/>
      <c r="BL2806" s="13"/>
      <c r="BP2806" s="20"/>
      <c r="BQ2806" s="13"/>
      <c r="BR2806" s="18"/>
      <c r="BS2806" s="16"/>
      <c r="BT2806" s="18"/>
      <c r="BU2806" s="18"/>
      <c r="BV2806" s="18"/>
      <c r="BW2806" s="20"/>
      <c r="BX2806" s="13"/>
      <c r="BY2806" s="18"/>
      <c r="BZ2806" s="146"/>
      <c r="CA2806" s="18"/>
      <c r="CB2806" s="18"/>
      <c r="CC2806" s="20"/>
      <c r="CD2806" s="13"/>
    </row>
    <row r="2807" spans="35:82">
      <c r="AI2807" s="19"/>
      <c r="AO2807" s="19"/>
      <c r="AY2807" s="145"/>
      <c r="AZ2807" s="16"/>
      <c r="BC2807" s="16"/>
      <c r="BD2807" s="20"/>
      <c r="BE2807" s="17"/>
      <c r="BF2807" s="20"/>
      <c r="BG2807" s="146"/>
      <c r="BH2807" s="146"/>
      <c r="BI2807" s="146"/>
      <c r="BJ2807" s="20"/>
      <c r="BK2807" s="20"/>
      <c r="BL2807" s="13"/>
      <c r="BP2807" s="20"/>
      <c r="BQ2807" s="13"/>
      <c r="BR2807" s="18"/>
      <c r="BS2807" s="16"/>
      <c r="BT2807" s="18"/>
      <c r="BU2807" s="18"/>
      <c r="BV2807" s="18"/>
      <c r="BW2807" s="20"/>
      <c r="BX2807" s="13"/>
      <c r="BY2807" s="18"/>
      <c r="BZ2807" s="146"/>
      <c r="CA2807" s="18"/>
      <c r="CB2807" s="18"/>
      <c r="CC2807" s="20"/>
      <c r="CD2807" s="13"/>
    </row>
    <row r="2808" spans="35:82">
      <c r="AI2808" s="19"/>
      <c r="AO2808" s="19"/>
      <c r="AY2808" s="145"/>
      <c r="AZ2808" s="16"/>
      <c r="BC2808" s="16"/>
      <c r="BD2808" s="20"/>
      <c r="BE2808" s="17"/>
      <c r="BF2808" s="20"/>
      <c r="BG2808" s="146"/>
      <c r="BH2808" s="146"/>
      <c r="BI2808" s="146"/>
      <c r="BJ2808" s="20"/>
      <c r="BK2808" s="20"/>
      <c r="BL2808" s="13"/>
      <c r="BP2808" s="20"/>
      <c r="BQ2808" s="13"/>
      <c r="BR2808" s="18"/>
      <c r="BS2808" s="16"/>
      <c r="BT2808" s="18"/>
      <c r="BU2808" s="18"/>
      <c r="BV2808" s="18"/>
      <c r="BW2808" s="20"/>
      <c r="BX2808" s="13"/>
      <c r="BY2808" s="18"/>
      <c r="BZ2808" s="146"/>
      <c r="CA2808" s="18"/>
      <c r="CB2808" s="18"/>
      <c r="CC2808" s="20"/>
      <c r="CD2808" s="13"/>
    </row>
    <row r="2809" spans="35:82">
      <c r="AI2809" s="19"/>
      <c r="AO2809" s="19"/>
      <c r="AY2809" s="145"/>
      <c r="AZ2809" s="16"/>
      <c r="BC2809" s="16"/>
      <c r="BD2809" s="20"/>
      <c r="BE2809" s="17"/>
      <c r="BF2809" s="20"/>
      <c r="BG2809" s="146"/>
      <c r="BH2809" s="146"/>
      <c r="BI2809" s="146"/>
      <c r="BJ2809" s="20"/>
      <c r="BK2809" s="20"/>
      <c r="BL2809" s="13"/>
      <c r="BP2809" s="20"/>
      <c r="BQ2809" s="13"/>
      <c r="BR2809" s="18"/>
      <c r="BS2809" s="16"/>
      <c r="BT2809" s="18"/>
      <c r="BU2809" s="18"/>
      <c r="BV2809" s="18"/>
      <c r="BW2809" s="20"/>
      <c r="BX2809" s="13"/>
      <c r="BY2809" s="18"/>
      <c r="BZ2809" s="146"/>
      <c r="CA2809" s="18"/>
      <c r="CB2809" s="18"/>
      <c r="CC2809" s="20"/>
      <c r="CD2809" s="13"/>
    </row>
    <row r="2810" spans="35:82">
      <c r="AI2810" s="19"/>
      <c r="AO2810" s="19"/>
      <c r="AY2810" s="145"/>
      <c r="AZ2810" s="16"/>
      <c r="BC2810" s="16"/>
      <c r="BD2810" s="20"/>
      <c r="BE2810" s="17"/>
      <c r="BF2810" s="20"/>
      <c r="BG2810" s="146"/>
      <c r="BH2810" s="146"/>
      <c r="BI2810" s="146"/>
      <c r="BJ2810" s="20"/>
      <c r="BK2810" s="20"/>
      <c r="BL2810" s="13"/>
      <c r="BP2810" s="20"/>
      <c r="BQ2810" s="13"/>
      <c r="BR2810" s="18"/>
      <c r="BS2810" s="16"/>
      <c r="BT2810" s="18"/>
      <c r="BU2810" s="18"/>
      <c r="BV2810" s="18"/>
      <c r="BW2810" s="20"/>
      <c r="BX2810" s="13"/>
      <c r="BY2810" s="18"/>
      <c r="BZ2810" s="146"/>
      <c r="CA2810" s="18"/>
      <c r="CB2810" s="18"/>
      <c r="CC2810" s="20"/>
      <c r="CD2810" s="13"/>
    </row>
    <row r="2811" spans="35:82">
      <c r="AI2811" s="19"/>
      <c r="AO2811" s="19"/>
      <c r="AY2811" s="145"/>
      <c r="AZ2811" s="16"/>
      <c r="BC2811" s="16"/>
      <c r="BD2811" s="20"/>
      <c r="BE2811" s="17"/>
      <c r="BF2811" s="20"/>
      <c r="BG2811" s="146"/>
      <c r="BH2811" s="146"/>
      <c r="BI2811" s="146"/>
      <c r="BJ2811" s="20"/>
      <c r="BK2811" s="20"/>
      <c r="BL2811" s="13"/>
      <c r="BP2811" s="20"/>
      <c r="BQ2811" s="13"/>
      <c r="BR2811" s="18"/>
      <c r="BS2811" s="16"/>
      <c r="BT2811" s="18"/>
      <c r="BU2811" s="18"/>
      <c r="BV2811" s="18"/>
      <c r="BW2811" s="20"/>
      <c r="BX2811" s="13"/>
      <c r="BY2811" s="18"/>
      <c r="BZ2811" s="146"/>
      <c r="CA2811" s="18"/>
      <c r="CB2811" s="18"/>
      <c r="CC2811" s="20"/>
      <c r="CD2811" s="13"/>
    </row>
    <row r="2812" spans="35:82">
      <c r="AI2812" s="19"/>
      <c r="AO2812" s="19"/>
      <c r="AY2812" s="145"/>
      <c r="AZ2812" s="16"/>
      <c r="BC2812" s="16"/>
      <c r="BD2812" s="20"/>
      <c r="BE2812" s="17"/>
      <c r="BF2812" s="20"/>
      <c r="BG2812" s="146"/>
      <c r="BH2812" s="146"/>
      <c r="BI2812" s="146"/>
      <c r="BJ2812" s="20"/>
      <c r="BK2812" s="20"/>
      <c r="BL2812" s="13"/>
      <c r="BP2812" s="20"/>
      <c r="BQ2812" s="13"/>
      <c r="BR2812" s="18"/>
      <c r="BS2812" s="16"/>
      <c r="BT2812" s="18"/>
      <c r="BU2812" s="18"/>
      <c r="BV2812" s="18"/>
      <c r="BW2812" s="20"/>
      <c r="BX2812" s="13"/>
      <c r="BY2812" s="18"/>
      <c r="BZ2812" s="146"/>
      <c r="CA2812" s="18"/>
      <c r="CB2812" s="18"/>
      <c r="CC2812" s="20"/>
      <c r="CD2812" s="13"/>
    </row>
    <row r="2813" spans="35:82">
      <c r="AI2813" s="19"/>
      <c r="AO2813" s="19"/>
      <c r="AY2813" s="145"/>
      <c r="AZ2813" s="16"/>
      <c r="BC2813" s="16"/>
      <c r="BD2813" s="20"/>
      <c r="BE2813" s="17"/>
      <c r="BF2813" s="20"/>
      <c r="BG2813" s="146"/>
      <c r="BH2813" s="146"/>
      <c r="BI2813" s="146"/>
      <c r="BJ2813" s="20"/>
      <c r="BK2813" s="20"/>
      <c r="BL2813" s="13"/>
      <c r="BP2813" s="20"/>
      <c r="BQ2813" s="13"/>
      <c r="BR2813" s="18"/>
      <c r="BS2813" s="16"/>
      <c r="BT2813" s="18"/>
      <c r="BU2813" s="18"/>
      <c r="BV2813" s="18"/>
      <c r="BW2813" s="20"/>
      <c r="BX2813" s="13"/>
      <c r="BY2813" s="18"/>
      <c r="BZ2813" s="146"/>
      <c r="CA2813" s="18"/>
      <c r="CB2813" s="18"/>
      <c r="CC2813" s="20"/>
      <c r="CD2813" s="13"/>
    </row>
    <row r="2814" spans="35:82">
      <c r="AI2814" s="19"/>
      <c r="AO2814" s="19"/>
      <c r="AY2814" s="145"/>
      <c r="AZ2814" s="16"/>
      <c r="BC2814" s="16"/>
      <c r="BD2814" s="20"/>
      <c r="BE2814" s="17"/>
      <c r="BF2814" s="20"/>
      <c r="BG2814" s="146"/>
      <c r="BH2814" s="146"/>
      <c r="BI2814" s="146"/>
      <c r="BJ2814" s="20"/>
      <c r="BK2814" s="20"/>
      <c r="BL2814" s="13"/>
      <c r="BP2814" s="20"/>
      <c r="BQ2814" s="13"/>
      <c r="BR2814" s="18"/>
      <c r="BS2814" s="16"/>
      <c r="BT2814" s="18"/>
      <c r="BU2814" s="18"/>
      <c r="BV2814" s="18"/>
      <c r="BW2814" s="20"/>
      <c r="BX2814" s="13"/>
      <c r="BY2814" s="18"/>
      <c r="BZ2814" s="146"/>
      <c r="CA2814" s="18"/>
      <c r="CB2814" s="18"/>
      <c r="CC2814" s="20"/>
      <c r="CD2814" s="13"/>
    </row>
    <row r="2815" spans="35:82">
      <c r="AI2815" s="19"/>
      <c r="AO2815" s="19"/>
      <c r="AY2815" s="145"/>
      <c r="AZ2815" s="16"/>
      <c r="BC2815" s="16"/>
      <c r="BD2815" s="20"/>
      <c r="BE2815" s="17"/>
      <c r="BF2815" s="20"/>
      <c r="BG2815" s="146"/>
      <c r="BH2815" s="146"/>
      <c r="BI2815" s="146"/>
      <c r="BJ2815" s="20"/>
      <c r="BK2815" s="20"/>
      <c r="BL2815" s="13"/>
      <c r="BP2815" s="20"/>
      <c r="BQ2815" s="13"/>
      <c r="BR2815" s="18"/>
      <c r="BS2815" s="16"/>
      <c r="BT2815" s="18"/>
      <c r="BU2815" s="18"/>
      <c r="BV2815" s="18"/>
      <c r="BW2815" s="20"/>
      <c r="BX2815" s="13"/>
      <c r="BY2815" s="18"/>
      <c r="BZ2815" s="146"/>
      <c r="CA2815" s="18"/>
      <c r="CB2815" s="18"/>
      <c r="CC2815" s="20"/>
      <c r="CD2815" s="13"/>
    </row>
    <row r="2816" spans="35:82">
      <c r="AI2816" s="19"/>
      <c r="AO2816" s="19"/>
      <c r="AY2816" s="145"/>
      <c r="AZ2816" s="16"/>
      <c r="BC2816" s="16"/>
      <c r="BD2816" s="20"/>
      <c r="BE2816" s="17"/>
      <c r="BF2816" s="20"/>
      <c r="BG2816" s="146"/>
      <c r="BH2816" s="146"/>
      <c r="BI2816" s="146"/>
      <c r="BJ2816" s="20"/>
      <c r="BK2816" s="20"/>
      <c r="BL2816" s="13"/>
      <c r="BP2816" s="20"/>
      <c r="BQ2816" s="13"/>
      <c r="BR2816" s="18"/>
      <c r="BS2816" s="16"/>
      <c r="BT2816" s="18"/>
      <c r="BU2816" s="18"/>
      <c r="BV2816" s="18"/>
      <c r="BW2816" s="20"/>
      <c r="BX2816" s="13"/>
      <c r="BY2816" s="18"/>
      <c r="BZ2816" s="146"/>
      <c r="CA2816" s="18"/>
      <c r="CB2816" s="18"/>
      <c r="CC2816" s="20"/>
      <c r="CD2816" s="13"/>
    </row>
    <row r="2817" spans="35:82">
      <c r="AI2817" s="19"/>
      <c r="AO2817" s="19"/>
      <c r="AY2817" s="145"/>
      <c r="AZ2817" s="16"/>
      <c r="BC2817" s="16"/>
      <c r="BD2817" s="20"/>
      <c r="BE2817" s="17"/>
      <c r="BF2817" s="20"/>
      <c r="BG2817" s="146"/>
      <c r="BH2817" s="146"/>
      <c r="BI2817" s="146"/>
      <c r="BJ2817" s="20"/>
      <c r="BK2817" s="20"/>
      <c r="BL2817" s="13"/>
      <c r="BP2817" s="20"/>
      <c r="BQ2817" s="13"/>
      <c r="BR2817" s="18"/>
      <c r="BS2817" s="16"/>
      <c r="BT2817" s="18"/>
      <c r="BU2817" s="18"/>
      <c r="BV2817" s="18"/>
      <c r="BW2817" s="20"/>
      <c r="BX2817" s="13"/>
      <c r="BY2817" s="18"/>
      <c r="BZ2817" s="146"/>
      <c r="CA2817" s="18"/>
      <c r="CB2817" s="18"/>
      <c r="CC2817" s="20"/>
      <c r="CD2817" s="13"/>
    </row>
    <row r="2818" spans="35:82">
      <c r="AI2818" s="19"/>
      <c r="AO2818" s="19"/>
      <c r="AY2818" s="145"/>
      <c r="AZ2818" s="16"/>
      <c r="BC2818" s="16"/>
      <c r="BD2818" s="20"/>
      <c r="BE2818" s="17"/>
      <c r="BF2818" s="20"/>
      <c r="BG2818" s="146"/>
      <c r="BH2818" s="146"/>
      <c r="BI2818" s="146"/>
      <c r="BJ2818" s="20"/>
      <c r="BK2818" s="20"/>
      <c r="BL2818" s="13"/>
      <c r="BP2818" s="20"/>
      <c r="BQ2818" s="13"/>
      <c r="BR2818" s="18"/>
      <c r="BS2818" s="16"/>
      <c r="BT2818" s="18"/>
      <c r="BU2818" s="18"/>
      <c r="BV2818" s="18"/>
      <c r="BW2818" s="20"/>
      <c r="BX2818" s="13"/>
      <c r="BY2818" s="18"/>
      <c r="BZ2818" s="146"/>
      <c r="CA2818" s="18"/>
      <c r="CB2818" s="18"/>
      <c r="CC2818" s="20"/>
      <c r="CD2818" s="13"/>
    </row>
    <row r="2819" spans="35:82">
      <c r="AI2819" s="19"/>
      <c r="AO2819" s="19"/>
      <c r="AY2819" s="145"/>
      <c r="AZ2819" s="16"/>
      <c r="BC2819" s="16"/>
      <c r="BD2819" s="20"/>
      <c r="BE2819" s="17"/>
      <c r="BF2819" s="20"/>
      <c r="BG2819" s="146"/>
      <c r="BH2819" s="146"/>
      <c r="BI2819" s="146"/>
      <c r="BJ2819" s="20"/>
      <c r="BK2819" s="20"/>
      <c r="BL2819" s="13"/>
      <c r="BP2819" s="20"/>
      <c r="BQ2819" s="13"/>
      <c r="BR2819" s="18"/>
      <c r="BS2819" s="16"/>
      <c r="BT2819" s="18"/>
      <c r="BU2819" s="18"/>
      <c r="BV2819" s="18"/>
      <c r="BW2819" s="20"/>
      <c r="BX2819" s="13"/>
      <c r="BY2819" s="18"/>
      <c r="BZ2819" s="146"/>
      <c r="CA2819" s="18"/>
      <c r="CB2819" s="18"/>
      <c r="CC2819" s="20"/>
      <c r="CD2819" s="13"/>
    </row>
    <row r="2820" spans="35:82">
      <c r="AI2820" s="19"/>
      <c r="AO2820" s="19"/>
      <c r="AY2820" s="145"/>
      <c r="AZ2820" s="16"/>
      <c r="BC2820" s="16"/>
      <c r="BD2820" s="20"/>
      <c r="BE2820" s="17"/>
      <c r="BF2820" s="20"/>
      <c r="BG2820" s="146"/>
      <c r="BH2820" s="146"/>
      <c r="BI2820" s="146"/>
      <c r="BJ2820" s="20"/>
      <c r="BK2820" s="20"/>
      <c r="BL2820" s="13"/>
      <c r="BP2820" s="20"/>
      <c r="BQ2820" s="13"/>
      <c r="BR2820" s="18"/>
      <c r="BS2820" s="16"/>
      <c r="BT2820" s="18"/>
      <c r="BU2820" s="18"/>
      <c r="BV2820" s="18"/>
      <c r="BW2820" s="20"/>
      <c r="BX2820" s="13"/>
      <c r="BY2820" s="18"/>
      <c r="BZ2820" s="146"/>
      <c r="CA2820" s="18"/>
      <c r="CB2820" s="18"/>
      <c r="CC2820" s="20"/>
      <c r="CD2820" s="13"/>
    </row>
    <row r="2821" spans="35:82">
      <c r="AI2821" s="19"/>
      <c r="AO2821" s="19"/>
      <c r="AY2821" s="145"/>
      <c r="AZ2821" s="16"/>
      <c r="BC2821" s="16"/>
      <c r="BD2821" s="20"/>
      <c r="BE2821" s="17"/>
      <c r="BF2821" s="20"/>
      <c r="BG2821" s="146"/>
      <c r="BH2821" s="146"/>
      <c r="BI2821" s="146"/>
      <c r="BJ2821" s="20"/>
      <c r="BK2821" s="20"/>
      <c r="BL2821" s="13"/>
      <c r="BP2821" s="20"/>
      <c r="BQ2821" s="13"/>
      <c r="BR2821" s="18"/>
      <c r="BS2821" s="16"/>
      <c r="BT2821" s="18"/>
      <c r="BU2821" s="18"/>
      <c r="BV2821" s="18"/>
      <c r="BW2821" s="20"/>
      <c r="BX2821" s="13"/>
      <c r="BY2821" s="18"/>
      <c r="BZ2821" s="146"/>
      <c r="CA2821" s="18"/>
      <c r="CB2821" s="18"/>
      <c r="CC2821" s="20"/>
      <c r="CD2821" s="13"/>
    </row>
    <row r="2822" spans="35:82">
      <c r="AI2822" s="19"/>
      <c r="AO2822" s="19"/>
      <c r="AY2822" s="145"/>
      <c r="AZ2822" s="16"/>
      <c r="BC2822" s="16"/>
      <c r="BD2822" s="20"/>
      <c r="BE2822" s="17"/>
      <c r="BF2822" s="20"/>
      <c r="BG2822" s="146"/>
      <c r="BH2822" s="146"/>
      <c r="BI2822" s="146"/>
      <c r="BJ2822" s="20"/>
      <c r="BK2822" s="20"/>
      <c r="BL2822" s="13"/>
      <c r="BP2822" s="20"/>
      <c r="BQ2822" s="13"/>
      <c r="BR2822" s="18"/>
      <c r="BS2822" s="16"/>
      <c r="BT2822" s="18"/>
      <c r="BU2822" s="18"/>
      <c r="BV2822" s="18"/>
      <c r="BW2822" s="20"/>
      <c r="BX2822" s="13"/>
      <c r="BY2822" s="18"/>
      <c r="BZ2822" s="146"/>
      <c r="CA2822" s="18"/>
      <c r="CB2822" s="18"/>
      <c r="CC2822" s="20"/>
      <c r="CD2822" s="13"/>
    </row>
    <row r="2823" spans="35:82">
      <c r="AI2823" s="19"/>
      <c r="AO2823" s="19"/>
      <c r="AY2823" s="145"/>
      <c r="AZ2823" s="16"/>
      <c r="BC2823" s="16"/>
      <c r="BD2823" s="20"/>
      <c r="BE2823" s="17"/>
      <c r="BF2823" s="20"/>
      <c r="BG2823" s="146"/>
      <c r="BH2823" s="146"/>
      <c r="BI2823" s="146"/>
      <c r="BJ2823" s="20"/>
      <c r="BK2823" s="20"/>
      <c r="BL2823" s="13"/>
      <c r="BP2823" s="20"/>
      <c r="BQ2823" s="13"/>
      <c r="BR2823" s="18"/>
      <c r="BS2823" s="16"/>
      <c r="BT2823" s="18"/>
      <c r="BU2823" s="18"/>
      <c r="BV2823" s="18"/>
      <c r="BW2823" s="20"/>
      <c r="BX2823" s="13"/>
      <c r="BY2823" s="18"/>
      <c r="BZ2823" s="146"/>
      <c r="CA2823" s="18"/>
      <c r="CB2823" s="18"/>
      <c r="CC2823" s="20"/>
      <c r="CD2823" s="13"/>
    </row>
    <row r="2824" spans="35:82">
      <c r="AI2824" s="19"/>
      <c r="AO2824" s="19"/>
      <c r="AY2824" s="145"/>
      <c r="AZ2824" s="16"/>
      <c r="BC2824" s="16"/>
      <c r="BD2824" s="20"/>
      <c r="BE2824" s="17"/>
      <c r="BF2824" s="20"/>
      <c r="BG2824" s="146"/>
      <c r="BH2824" s="146"/>
      <c r="BI2824" s="146"/>
      <c r="BJ2824" s="20"/>
      <c r="BK2824" s="20"/>
      <c r="BL2824" s="13"/>
      <c r="BP2824" s="20"/>
      <c r="BQ2824" s="13"/>
      <c r="BR2824" s="18"/>
      <c r="BS2824" s="16"/>
      <c r="BT2824" s="18"/>
      <c r="BU2824" s="18"/>
      <c r="BV2824" s="18"/>
      <c r="BW2824" s="20"/>
      <c r="BX2824" s="13"/>
      <c r="BY2824" s="18"/>
      <c r="BZ2824" s="146"/>
      <c r="CA2824" s="18"/>
      <c r="CB2824" s="18"/>
      <c r="CC2824" s="20"/>
      <c r="CD2824" s="13"/>
    </row>
    <row r="2825" spans="35:82">
      <c r="AI2825" s="19"/>
      <c r="AO2825" s="19"/>
      <c r="AY2825" s="145"/>
      <c r="AZ2825" s="16"/>
      <c r="BC2825" s="16"/>
      <c r="BD2825" s="20"/>
      <c r="BE2825" s="17"/>
      <c r="BF2825" s="20"/>
      <c r="BG2825" s="146"/>
      <c r="BH2825" s="146"/>
      <c r="BI2825" s="146"/>
      <c r="BJ2825" s="20"/>
      <c r="BK2825" s="20"/>
      <c r="BL2825" s="13"/>
      <c r="BP2825" s="20"/>
      <c r="BQ2825" s="13"/>
      <c r="BR2825" s="18"/>
      <c r="BS2825" s="16"/>
      <c r="BT2825" s="18"/>
      <c r="BU2825" s="18"/>
      <c r="BV2825" s="18"/>
      <c r="BW2825" s="20"/>
      <c r="BX2825" s="13"/>
      <c r="BY2825" s="18"/>
      <c r="BZ2825" s="146"/>
      <c r="CA2825" s="18"/>
      <c r="CB2825" s="18"/>
      <c r="CC2825" s="20"/>
      <c r="CD2825" s="13"/>
    </row>
    <row r="2826" spans="35:82">
      <c r="AI2826" s="19"/>
      <c r="AO2826" s="19"/>
      <c r="AY2826" s="145"/>
      <c r="AZ2826" s="16"/>
      <c r="BC2826" s="16"/>
      <c r="BD2826" s="20"/>
      <c r="BE2826" s="17"/>
      <c r="BF2826" s="20"/>
      <c r="BG2826" s="146"/>
      <c r="BH2826" s="146"/>
      <c r="BI2826" s="146"/>
      <c r="BJ2826" s="20"/>
      <c r="BK2826" s="20"/>
      <c r="BL2826" s="13"/>
      <c r="BP2826" s="20"/>
      <c r="BQ2826" s="13"/>
      <c r="BR2826" s="18"/>
      <c r="BS2826" s="16"/>
      <c r="BT2826" s="18"/>
      <c r="BU2826" s="18"/>
      <c r="BV2826" s="18"/>
      <c r="BW2826" s="20"/>
      <c r="BX2826" s="13"/>
      <c r="BY2826" s="18"/>
      <c r="BZ2826" s="146"/>
      <c r="CA2826" s="18"/>
      <c r="CB2826" s="18"/>
      <c r="CC2826" s="20"/>
      <c r="CD2826" s="13"/>
    </row>
    <row r="2827" spans="35:82">
      <c r="AI2827" s="19"/>
      <c r="AO2827" s="19"/>
      <c r="AY2827" s="145"/>
      <c r="AZ2827" s="16"/>
      <c r="BC2827" s="16"/>
      <c r="BD2827" s="20"/>
      <c r="BE2827" s="17"/>
      <c r="BF2827" s="20"/>
      <c r="BG2827" s="146"/>
      <c r="BH2827" s="146"/>
      <c r="BI2827" s="146"/>
      <c r="BJ2827" s="20"/>
      <c r="BK2827" s="20"/>
      <c r="BL2827" s="13"/>
      <c r="BP2827" s="20"/>
      <c r="BQ2827" s="13"/>
      <c r="BR2827" s="18"/>
      <c r="BS2827" s="16"/>
      <c r="BT2827" s="18"/>
      <c r="BU2827" s="18"/>
      <c r="BV2827" s="18"/>
      <c r="BW2827" s="20"/>
      <c r="BX2827" s="13"/>
      <c r="BY2827" s="18"/>
      <c r="BZ2827" s="146"/>
      <c r="CA2827" s="18"/>
      <c r="CB2827" s="18"/>
      <c r="CC2827" s="20"/>
      <c r="CD2827" s="13"/>
    </row>
    <row r="2828" spans="35:82">
      <c r="AI2828" s="19"/>
      <c r="AO2828" s="19"/>
      <c r="AY2828" s="145"/>
      <c r="AZ2828" s="16"/>
      <c r="BC2828" s="16"/>
      <c r="BD2828" s="20"/>
      <c r="BE2828" s="17"/>
      <c r="BF2828" s="20"/>
      <c r="BG2828" s="146"/>
      <c r="BH2828" s="146"/>
      <c r="BI2828" s="146"/>
      <c r="BJ2828" s="20"/>
      <c r="BK2828" s="20"/>
      <c r="BL2828" s="13"/>
      <c r="BP2828" s="20"/>
      <c r="BQ2828" s="13"/>
      <c r="BR2828" s="18"/>
      <c r="BS2828" s="16"/>
      <c r="BT2828" s="18"/>
      <c r="BU2828" s="18"/>
      <c r="BV2828" s="18"/>
      <c r="BW2828" s="20"/>
      <c r="BX2828" s="13"/>
      <c r="BY2828" s="18"/>
      <c r="BZ2828" s="146"/>
      <c r="CA2828" s="18"/>
      <c r="CB2828" s="18"/>
      <c r="CC2828" s="20"/>
      <c r="CD2828" s="13"/>
    </row>
    <row r="2829" spans="35:82">
      <c r="AI2829" s="19"/>
      <c r="AO2829" s="19"/>
      <c r="AY2829" s="145"/>
      <c r="AZ2829" s="16"/>
      <c r="BC2829" s="16"/>
      <c r="BD2829" s="20"/>
      <c r="BE2829" s="17"/>
      <c r="BF2829" s="20"/>
      <c r="BG2829" s="146"/>
      <c r="BH2829" s="146"/>
      <c r="BI2829" s="146"/>
      <c r="BJ2829" s="20"/>
      <c r="BK2829" s="20"/>
      <c r="BL2829" s="13"/>
      <c r="BP2829" s="20"/>
      <c r="BQ2829" s="13"/>
      <c r="BR2829" s="18"/>
      <c r="BS2829" s="16"/>
      <c r="BT2829" s="18"/>
      <c r="BU2829" s="18"/>
      <c r="BV2829" s="18"/>
      <c r="BW2829" s="20"/>
      <c r="BX2829" s="13"/>
      <c r="BY2829" s="18"/>
      <c r="BZ2829" s="146"/>
      <c r="CA2829" s="18"/>
      <c r="CB2829" s="18"/>
      <c r="CC2829" s="20"/>
      <c r="CD2829" s="13"/>
    </row>
    <row r="2830" spans="35:82">
      <c r="AI2830" s="19"/>
      <c r="AO2830" s="19"/>
      <c r="AY2830" s="145"/>
      <c r="AZ2830" s="16"/>
      <c r="BC2830" s="16"/>
      <c r="BD2830" s="20"/>
      <c r="BE2830" s="17"/>
      <c r="BF2830" s="20"/>
      <c r="BG2830" s="146"/>
      <c r="BH2830" s="146"/>
      <c r="BI2830" s="146"/>
      <c r="BJ2830" s="20"/>
      <c r="BK2830" s="20"/>
      <c r="BL2830" s="13"/>
      <c r="BP2830" s="20"/>
      <c r="BQ2830" s="13"/>
      <c r="BR2830" s="18"/>
      <c r="BS2830" s="16"/>
      <c r="BT2830" s="18"/>
      <c r="BU2830" s="18"/>
      <c r="BV2830" s="18"/>
      <c r="BW2830" s="20"/>
      <c r="BX2830" s="13"/>
      <c r="BY2830" s="18"/>
      <c r="BZ2830" s="146"/>
      <c r="CA2830" s="18"/>
      <c r="CB2830" s="18"/>
      <c r="CC2830" s="20"/>
      <c r="CD2830" s="13"/>
    </row>
    <row r="2831" spans="35:82">
      <c r="AI2831" s="19"/>
      <c r="AO2831" s="19"/>
      <c r="AY2831" s="145"/>
      <c r="AZ2831" s="16"/>
      <c r="BC2831" s="16"/>
      <c r="BD2831" s="20"/>
      <c r="BE2831" s="17"/>
      <c r="BF2831" s="20"/>
      <c r="BG2831" s="146"/>
      <c r="BH2831" s="146"/>
      <c r="BI2831" s="146"/>
      <c r="BJ2831" s="20"/>
      <c r="BK2831" s="20"/>
      <c r="BL2831" s="13"/>
      <c r="BP2831" s="20"/>
      <c r="BQ2831" s="13"/>
      <c r="BR2831" s="18"/>
      <c r="BS2831" s="16"/>
      <c r="BT2831" s="18"/>
      <c r="BU2831" s="18"/>
      <c r="BV2831" s="18"/>
      <c r="BW2831" s="20"/>
      <c r="BX2831" s="13"/>
      <c r="BY2831" s="18"/>
      <c r="BZ2831" s="146"/>
      <c r="CA2831" s="18"/>
      <c r="CB2831" s="18"/>
      <c r="CC2831" s="20"/>
      <c r="CD2831" s="13"/>
    </row>
    <row r="2832" spans="35:82">
      <c r="AI2832" s="19"/>
      <c r="AO2832" s="19"/>
      <c r="AY2832" s="145"/>
      <c r="AZ2832" s="16"/>
      <c r="BC2832" s="16"/>
      <c r="BD2832" s="20"/>
      <c r="BE2832" s="17"/>
      <c r="BF2832" s="20"/>
      <c r="BG2832" s="146"/>
      <c r="BH2832" s="146"/>
      <c r="BI2832" s="146"/>
      <c r="BJ2832" s="20"/>
      <c r="BK2832" s="20"/>
      <c r="BL2832" s="13"/>
      <c r="BP2832" s="20"/>
      <c r="BQ2832" s="13"/>
      <c r="BR2832" s="18"/>
      <c r="BS2832" s="16"/>
      <c r="BT2832" s="18"/>
      <c r="BU2832" s="18"/>
      <c r="BV2832" s="18"/>
      <c r="BW2832" s="20"/>
      <c r="BX2832" s="13"/>
      <c r="BY2832" s="18"/>
      <c r="BZ2832" s="146"/>
      <c r="CA2832" s="18"/>
      <c r="CB2832" s="18"/>
      <c r="CC2832" s="20"/>
      <c r="CD2832" s="13"/>
    </row>
    <row r="2833" spans="35:82">
      <c r="AI2833" s="19"/>
      <c r="AO2833" s="19"/>
      <c r="AY2833" s="145"/>
      <c r="AZ2833" s="16"/>
      <c r="BC2833" s="16"/>
      <c r="BD2833" s="20"/>
      <c r="BE2833" s="17"/>
      <c r="BF2833" s="20"/>
      <c r="BG2833" s="146"/>
      <c r="BH2833" s="146"/>
      <c r="BI2833" s="146"/>
      <c r="BJ2833" s="20"/>
      <c r="BK2833" s="20"/>
      <c r="BL2833" s="13"/>
      <c r="BP2833" s="20"/>
      <c r="BQ2833" s="13"/>
      <c r="BR2833" s="18"/>
      <c r="BS2833" s="16"/>
      <c r="BT2833" s="18"/>
      <c r="BU2833" s="18"/>
      <c r="BV2833" s="18"/>
      <c r="BW2833" s="20"/>
      <c r="BX2833" s="13"/>
      <c r="BY2833" s="18"/>
      <c r="BZ2833" s="146"/>
      <c r="CA2833" s="18"/>
      <c r="CB2833" s="18"/>
      <c r="CC2833" s="20"/>
      <c r="CD2833" s="13"/>
    </row>
    <row r="2834" spans="35:82">
      <c r="AI2834" s="19"/>
      <c r="AO2834" s="19"/>
      <c r="AY2834" s="145"/>
      <c r="AZ2834" s="16"/>
      <c r="BC2834" s="16"/>
      <c r="BD2834" s="20"/>
      <c r="BE2834" s="17"/>
      <c r="BF2834" s="20"/>
      <c r="BG2834" s="146"/>
      <c r="BH2834" s="146"/>
      <c r="BI2834" s="146"/>
      <c r="BJ2834" s="20"/>
      <c r="BK2834" s="20"/>
      <c r="BL2834" s="13"/>
      <c r="BP2834" s="20"/>
      <c r="BQ2834" s="13"/>
      <c r="BR2834" s="18"/>
      <c r="BS2834" s="16"/>
      <c r="BT2834" s="18"/>
      <c r="BU2834" s="18"/>
      <c r="BV2834" s="18"/>
      <c r="BW2834" s="20"/>
      <c r="BX2834" s="13"/>
      <c r="BY2834" s="18"/>
      <c r="BZ2834" s="146"/>
      <c r="CA2834" s="18"/>
      <c r="CB2834" s="18"/>
      <c r="CC2834" s="20"/>
      <c r="CD2834" s="13"/>
    </row>
    <row r="2835" spans="35:82">
      <c r="AI2835" s="19"/>
      <c r="AO2835" s="19"/>
      <c r="AY2835" s="145"/>
      <c r="AZ2835" s="16"/>
      <c r="BC2835" s="16"/>
      <c r="BD2835" s="20"/>
      <c r="BE2835" s="17"/>
      <c r="BF2835" s="20"/>
      <c r="BG2835" s="146"/>
      <c r="BH2835" s="146"/>
      <c r="BI2835" s="146"/>
      <c r="BJ2835" s="20"/>
      <c r="BK2835" s="20"/>
      <c r="BL2835" s="13"/>
      <c r="BP2835" s="20"/>
      <c r="BQ2835" s="13"/>
      <c r="BR2835" s="18"/>
      <c r="BS2835" s="16"/>
      <c r="BT2835" s="18"/>
      <c r="BU2835" s="18"/>
      <c r="BV2835" s="18"/>
      <c r="BW2835" s="20"/>
      <c r="BX2835" s="13"/>
      <c r="BY2835" s="18"/>
      <c r="BZ2835" s="146"/>
      <c r="CA2835" s="18"/>
      <c r="CB2835" s="18"/>
      <c r="CC2835" s="20"/>
      <c r="CD2835" s="13"/>
    </row>
    <row r="2836" spans="35:82">
      <c r="AI2836" s="19"/>
      <c r="AO2836" s="19"/>
      <c r="AY2836" s="145"/>
      <c r="AZ2836" s="16"/>
      <c r="BC2836" s="16"/>
      <c r="BD2836" s="20"/>
      <c r="BE2836" s="17"/>
      <c r="BF2836" s="20"/>
      <c r="BG2836" s="146"/>
      <c r="BH2836" s="146"/>
      <c r="BI2836" s="146"/>
      <c r="BJ2836" s="20"/>
      <c r="BK2836" s="20"/>
      <c r="BL2836" s="13"/>
      <c r="BP2836" s="20"/>
      <c r="BQ2836" s="13"/>
      <c r="BR2836" s="18"/>
      <c r="BS2836" s="16"/>
      <c r="BT2836" s="18"/>
      <c r="BU2836" s="18"/>
      <c r="BV2836" s="18"/>
      <c r="BW2836" s="20"/>
      <c r="BX2836" s="13"/>
      <c r="BY2836" s="18"/>
      <c r="BZ2836" s="146"/>
      <c r="CA2836" s="18"/>
      <c r="CB2836" s="18"/>
      <c r="CC2836" s="20"/>
      <c r="CD2836" s="13"/>
    </row>
    <row r="2837" spans="35:82">
      <c r="AI2837" s="19"/>
      <c r="AO2837" s="19"/>
      <c r="AY2837" s="145"/>
      <c r="AZ2837" s="16"/>
      <c r="BC2837" s="16"/>
      <c r="BD2837" s="20"/>
      <c r="BE2837" s="17"/>
      <c r="BF2837" s="20"/>
      <c r="BG2837" s="146"/>
      <c r="BH2837" s="146"/>
      <c r="BI2837" s="146"/>
      <c r="BJ2837" s="20"/>
      <c r="BK2837" s="20"/>
      <c r="BL2837" s="13"/>
      <c r="BP2837" s="20"/>
      <c r="BQ2837" s="13"/>
      <c r="BR2837" s="18"/>
      <c r="BS2837" s="16"/>
      <c r="BT2837" s="18"/>
      <c r="BU2837" s="18"/>
      <c r="BV2837" s="18"/>
      <c r="BW2837" s="20"/>
      <c r="BX2837" s="13"/>
      <c r="BY2837" s="18"/>
      <c r="BZ2837" s="146"/>
      <c r="CA2837" s="18"/>
      <c r="CB2837" s="18"/>
      <c r="CC2837" s="20"/>
      <c r="CD2837" s="13"/>
    </row>
    <row r="2838" spans="35:82">
      <c r="AI2838" s="19"/>
      <c r="AO2838" s="19"/>
      <c r="AY2838" s="145"/>
      <c r="AZ2838" s="16"/>
      <c r="BC2838" s="16"/>
      <c r="BD2838" s="20"/>
      <c r="BE2838" s="17"/>
      <c r="BF2838" s="20"/>
      <c r="BG2838" s="146"/>
      <c r="BH2838" s="146"/>
      <c r="BI2838" s="146"/>
      <c r="BJ2838" s="20"/>
      <c r="BK2838" s="20"/>
      <c r="BL2838" s="13"/>
      <c r="BP2838" s="20"/>
      <c r="BQ2838" s="13"/>
      <c r="BR2838" s="18"/>
      <c r="BS2838" s="16"/>
      <c r="BT2838" s="18"/>
      <c r="BU2838" s="18"/>
      <c r="BV2838" s="18"/>
      <c r="BW2838" s="20"/>
      <c r="BX2838" s="13"/>
      <c r="BY2838" s="18"/>
      <c r="BZ2838" s="146"/>
      <c r="CA2838" s="18"/>
      <c r="CB2838" s="18"/>
      <c r="CC2838" s="20"/>
      <c r="CD2838" s="13"/>
    </row>
    <row r="2839" spans="35:82">
      <c r="AI2839" s="19"/>
      <c r="AO2839" s="19"/>
      <c r="AY2839" s="145"/>
      <c r="AZ2839" s="16"/>
      <c r="BC2839" s="16"/>
      <c r="BD2839" s="20"/>
      <c r="BE2839" s="17"/>
      <c r="BF2839" s="20"/>
      <c r="BG2839" s="146"/>
      <c r="BH2839" s="146"/>
      <c r="BI2839" s="146"/>
      <c r="BJ2839" s="20"/>
      <c r="BK2839" s="20"/>
      <c r="BL2839" s="13"/>
      <c r="BP2839" s="20"/>
      <c r="BQ2839" s="13"/>
      <c r="BR2839" s="18"/>
      <c r="BS2839" s="16"/>
      <c r="BT2839" s="18"/>
      <c r="BU2839" s="18"/>
      <c r="BV2839" s="18"/>
      <c r="BW2839" s="20"/>
      <c r="BX2839" s="13"/>
      <c r="BY2839" s="18"/>
      <c r="BZ2839" s="146"/>
      <c r="CA2839" s="18"/>
      <c r="CB2839" s="18"/>
      <c r="CC2839" s="20"/>
      <c r="CD2839" s="13"/>
    </row>
    <row r="2840" spans="35:82">
      <c r="AI2840" s="19"/>
      <c r="AO2840" s="19"/>
      <c r="AY2840" s="145"/>
      <c r="AZ2840" s="16"/>
      <c r="BC2840" s="16"/>
      <c r="BD2840" s="20"/>
      <c r="BE2840" s="17"/>
      <c r="BF2840" s="20"/>
      <c r="BG2840" s="146"/>
      <c r="BH2840" s="146"/>
      <c r="BI2840" s="146"/>
      <c r="BJ2840" s="20"/>
      <c r="BK2840" s="20"/>
      <c r="BL2840" s="13"/>
      <c r="BP2840" s="20"/>
      <c r="BQ2840" s="13"/>
      <c r="BR2840" s="18"/>
      <c r="BS2840" s="16"/>
      <c r="BT2840" s="18"/>
      <c r="BU2840" s="18"/>
      <c r="BV2840" s="18"/>
      <c r="BW2840" s="20"/>
      <c r="BX2840" s="13"/>
      <c r="BY2840" s="18"/>
      <c r="BZ2840" s="146"/>
      <c r="CA2840" s="18"/>
      <c r="CB2840" s="18"/>
      <c r="CC2840" s="20"/>
      <c r="CD2840" s="13"/>
    </row>
    <row r="2841" spans="35:82">
      <c r="AI2841" s="19"/>
      <c r="AO2841" s="19"/>
      <c r="AY2841" s="145"/>
      <c r="AZ2841" s="16"/>
      <c r="BC2841" s="16"/>
      <c r="BD2841" s="20"/>
      <c r="BE2841" s="17"/>
      <c r="BF2841" s="20"/>
      <c r="BG2841" s="146"/>
      <c r="BH2841" s="146"/>
      <c r="BI2841" s="146"/>
      <c r="BJ2841" s="20"/>
      <c r="BK2841" s="20"/>
      <c r="BL2841" s="13"/>
      <c r="BP2841" s="20"/>
      <c r="BQ2841" s="13"/>
      <c r="BR2841" s="18"/>
      <c r="BS2841" s="16"/>
      <c r="BT2841" s="18"/>
      <c r="BU2841" s="18"/>
      <c r="BV2841" s="18"/>
      <c r="BW2841" s="20"/>
      <c r="BX2841" s="13"/>
      <c r="BY2841" s="18"/>
      <c r="BZ2841" s="146"/>
      <c r="CA2841" s="18"/>
      <c r="CB2841" s="18"/>
      <c r="CC2841" s="20"/>
      <c r="CD2841" s="13"/>
    </row>
    <row r="2842" spans="35:82">
      <c r="AI2842" s="19"/>
      <c r="AO2842" s="19"/>
      <c r="AY2842" s="145"/>
      <c r="AZ2842" s="16"/>
      <c r="BC2842" s="16"/>
      <c r="BD2842" s="20"/>
      <c r="BE2842" s="17"/>
      <c r="BF2842" s="20"/>
      <c r="BG2842" s="146"/>
      <c r="BH2842" s="146"/>
      <c r="BI2842" s="146"/>
      <c r="BJ2842" s="20"/>
      <c r="BK2842" s="20"/>
      <c r="BL2842" s="13"/>
      <c r="BP2842" s="20"/>
      <c r="BQ2842" s="13"/>
      <c r="BR2842" s="18"/>
      <c r="BS2842" s="16"/>
      <c r="BT2842" s="18"/>
      <c r="BU2842" s="18"/>
      <c r="BV2842" s="18"/>
      <c r="BW2842" s="20"/>
      <c r="BX2842" s="13"/>
      <c r="BY2842" s="18"/>
      <c r="BZ2842" s="146"/>
      <c r="CA2842" s="18"/>
      <c r="CB2842" s="18"/>
      <c r="CC2842" s="20"/>
      <c r="CD2842" s="13"/>
    </row>
    <row r="2843" spans="35:82">
      <c r="AI2843" s="19"/>
      <c r="AO2843" s="19"/>
      <c r="AY2843" s="145"/>
      <c r="AZ2843" s="16"/>
      <c r="BC2843" s="16"/>
      <c r="BD2843" s="20"/>
      <c r="BE2843" s="17"/>
      <c r="BF2843" s="20"/>
      <c r="BG2843" s="146"/>
      <c r="BH2843" s="146"/>
      <c r="BI2843" s="146"/>
      <c r="BJ2843" s="20"/>
      <c r="BK2843" s="20"/>
      <c r="BL2843" s="13"/>
      <c r="BP2843" s="20"/>
      <c r="BQ2843" s="13"/>
      <c r="BR2843" s="18"/>
      <c r="BS2843" s="16"/>
      <c r="BT2843" s="18"/>
      <c r="BU2843" s="18"/>
      <c r="BV2843" s="18"/>
      <c r="BW2843" s="20"/>
      <c r="BX2843" s="13"/>
      <c r="BY2843" s="18"/>
      <c r="BZ2843" s="146"/>
      <c r="CA2843" s="18"/>
      <c r="CB2843" s="18"/>
      <c r="CC2843" s="20"/>
      <c r="CD2843" s="13"/>
    </row>
    <row r="2844" spans="35:82">
      <c r="AI2844" s="19"/>
      <c r="AO2844" s="19"/>
      <c r="AY2844" s="145"/>
      <c r="AZ2844" s="16"/>
      <c r="BC2844" s="16"/>
      <c r="BD2844" s="20"/>
      <c r="BE2844" s="17"/>
      <c r="BF2844" s="20"/>
      <c r="BG2844" s="146"/>
      <c r="BH2844" s="146"/>
      <c r="BI2844" s="146"/>
      <c r="BJ2844" s="20"/>
      <c r="BK2844" s="20"/>
      <c r="BL2844" s="13"/>
      <c r="BP2844" s="20"/>
      <c r="BQ2844" s="13"/>
      <c r="BR2844" s="18"/>
      <c r="BS2844" s="16"/>
      <c r="BT2844" s="18"/>
      <c r="BU2844" s="18"/>
      <c r="BV2844" s="18"/>
      <c r="BW2844" s="20"/>
      <c r="BX2844" s="13"/>
      <c r="BY2844" s="18"/>
      <c r="BZ2844" s="146"/>
      <c r="CA2844" s="18"/>
      <c r="CB2844" s="18"/>
      <c r="CC2844" s="20"/>
      <c r="CD2844" s="13"/>
    </row>
    <row r="2845" spans="35:82">
      <c r="AI2845" s="19"/>
      <c r="AO2845" s="19"/>
      <c r="AY2845" s="145"/>
      <c r="AZ2845" s="16"/>
      <c r="BC2845" s="16"/>
      <c r="BD2845" s="20"/>
      <c r="BE2845" s="17"/>
      <c r="BF2845" s="20"/>
      <c r="BG2845" s="146"/>
      <c r="BH2845" s="146"/>
      <c r="BI2845" s="146"/>
      <c r="BJ2845" s="20"/>
      <c r="BK2845" s="20"/>
      <c r="BL2845" s="13"/>
      <c r="BP2845" s="20"/>
      <c r="BQ2845" s="13"/>
      <c r="BR2845" s="18"/>
      <c r="BS2845" s="16"/>
      <c r="BT2845" s="18"/>
      <c r="BU2845" s="18"/>
      <c r="BV2845" s="18"/>
      <c r="BW2845" s="20"/>
      <c r="BX2845" s="13"/>
      <c r="BY2845" s="18"/>
      <c r="BZ2845" s="146"/>
      <c r="CA2845" s="18"/>
      <c r="CB2845" s="18"/>
      <c r="CC2845" s="20"/>
      <c r="CD2845" s="13"/>
    </row>
    <row r="2846" spans="35:82">
      <c r="AI2846" s="19"/>
      <c r="AO2846" s="19"/>
      <c r="AY2846" s="145"/>
      <c r="AZ2846" s="16"/>
      <c r="BC2846" s="16"/>
      <c r="BD2846" s="20"/>
      <c r="BE2846" s="17"/>
      <c r="BF2846" s="20"/>
      <c r="BG2846" s="146"/>
      <c r="BH2846" s="146"/>
      <c r="BI2846" s="146"/>
      <c r="BJ2846" s="20"/>
      <c r="BK2846" s="20"/>
      <c r="BL2846" s="13"/>
      <c r="BP2846" s="20"/>
      <c r="BQ2846" s="13"/>
      <c r="BR2846" s="18"/>
      <c r="BS2846" s="16"/>
      <c r="BT2846" s="18"/>
      <c r="BU2846" s="18"/>
      <c r="BV2846" s="18"/>
      <c r="BW2846" s="20"/>
      <c r="BX2846" s="13"/>
      <c r="BY2846" s="18"/>
      <c r="BZ2846" s="146"/>
      <c r="CA2846" s="18"/>
      <c r="CB2846" s="18"/>
      <c r="CC2846" s="20"/>
      <c r="CD2846" s="13"/>
    </row>
    <row r="2847" spans="35:82">
      <c r="AI2847" s="19"/>
      <c r="AO2847" s="19"/>
      <c r="AY2847" s="145"/>
      <c r="AZ2847" s="16"/>
      <c r="BC2847" s="16"/>
      <c r="BD2847" s="20"/>
      <c r="BE2847" s="17"/>
      <c r="BF2847" s="20"/>
      <c r="BG2847" s="146"/>
      <c r="BH2847" s="146"/>
      <c r="BI2847" s="146"/>
      <c r="BJ2847" s="20"/>
      <c r="BK2847" s="20"/>
      <c r="BL2847" s="13"/>
      <c r="BP2847" s="20"/>
      <c r="BQ2847" s="13"/>
      <c r="BR2847" s="18"/>
      <c r="BS2847" s="16"/>
      <c r="BT2847" s="18"/>
      <c r="BU2847" s="18"/>
      <c r="BV2847" s="18"/>
      <c r="BW2847" s="20"/>
      <c r="BX2847" s="13"/>
      <c r="BY2847" s="18"/>
      <c r="BZ2847" s="146"/>
      <c r="CA2847" s="18"/>
      <c r="CB2847" s="18"/>
      <c r="CC2847" s="20"/>
      <c r="CD2847" s="13"/>
    </row>
    <row r="2848" spans="35:82">
      <c r="AI2848" s="19"/>
      <c r="AO2848" s="19"/>
      <c r="AY2848" s="145"/>
      <c r="AZ2848" s="16"/>
      <c r="BC2848" s="16"/>
      <c r="BD2848" s="20"/>
      <c r="BE2848" s="17"/>
      <c r="BF2848" s="20"/>
      <c r="BG2848" s="146"/>
      <c r="BH2848" s="146"/>
      <c r="BI2848" s="146"/>
      <c r="BJ2848" s="20"/>
      <c r="BK2848" s="20"/>
      <c r="BL2848" s="13"/>
      <c r="BP2848" s="20"/>
      <c r="BQ2848" s="13"/>
      <c r="BR2848" s="18"/>
      <c r="BS2848" s="16"/>
      <c r="BT2848" s="18"/>
      <c r="BU2848" s="18"/>
      <c r="BV2848" s="18"/>
      <c r="BW2848" s="20"/>
      <c r="BX2848" s="13"/>
      <c r="BY2848" s="18"/>
      <c r="BZ2848" s="146"/>
      <c r="CA2848" s="18"/>
      <c r="CB2848" s="18"/>
      <c r="CC2848" s="20"/>
      <c r="CD2848" s="13"/>
    </row>
    <row r="2849" spans="35:82">
      <c r="AI2849" s="19"/>
      <c r="AO2849" s="19"/>
      <c r="AY2849" s="145"/>
      <c r="AZ2849" s="16"/>
      <c r="BC2849" s="16"/>
      <c r="BD2849" s="20"/>
      <c r="BE2849" s="17"/>
      <c r="BF2849" s="20"/>
      <c r="BG2849" s="146"/>
      <c r="BH2849" s="146"/>
      <c r="BI2849" s="146"/>
      <c r="BJ2849" s="20"/>
      <c r="BK2849" s="20"/>
      <c r="BL2849" s="13"/>
      <c r="BP2849" s="20"/>
      <c r="BQ2849" s="13"/>
      <c r="BR2849" s="18"/>
      <c r="BS2849" s="16"/>
      <c r="BT2849" s="18"/>
      <c r="BU2849" s="18"/>
      <c r="BV2849" s="18"/>
      <c r="BW2849" s="20"/>
      <c r="BX2849" s="13"/>
      <c r="BY2849" s="18"/>
      <c r="BZ2849" s="146"/>
      <c r="CA2849" s="18"/>
      <c r="CB2849" s="18"/>
      <c r="CC2849" s="20"/>
      <c r="CD2849" s="13"/>
    </row>
    <row r="2850" spans="35:82">
      <c r="AI2850" s="19"/>
      <c r="AO2850" s="19"/>
      <c r="AY2850" s="145"/>
      <c r="AZ2850" s="16"/>
      <c r="BC2850" s="16"/>
      <c r="BD2850" s="20"/>
      <c r="BE2850" s="17"/>
      <c r="BF2850" s="20"/>
      <c r="BG2850" s="146"/>
      <c r="BH2850" s="146"/>
      <c r="BI2850" s="146"/>
      <c r="BJ2850" s="20"/>
      <c r="BK2850" s="20"/>
      <c r="BL2850" s="13"/>
      <c r="BP2850" s="20"/>
      <c r="BQ2850" s="13"/>
      <c r="BR2850" s="18"/>
      <c r="BS2850" s="16"/>
      <c r="BT2850" s="18"/>
      <c r="BU2850" s="18"/>
      <c r="BV2850" s="18"/>
      <c r="BW2850" s="20"/>
      <c r="BX2850" s="13"/>
      <c r="BY2850" s="18"/>
      <c r="BZ2850" s="146"/>
      <c r="CA2850" s="18"/>
      <c r="CB2850" s="18"/>
      <c r="CC2850" s="20"/>
      <c r="CD2850" s="13"/>
    </row>
    <row r="2851" spans="35:82">
      <c r="AI2851" s="19"/>
      <c r="AO2851" s="19"/>
      <c r="AY2851" s="145"/>
      <c r="AZ2851" s="16"/>
      <c r="BC2851" s="16"/>
      <c r="BD2851" s="20"/>
      <c r="BE2851" s="17"/>
      <c r="BF2851" s="20"/>
      <c r="BG2851" s="146"/>
      <c r="BH2851" s="146"/>
      <c r="BI2851" s="146"/>
      <c r="BJ2851" s="20"/>
      <c r="BK2851" s="20"/>
      <c r="BL2851" s="13"/>
      <c r="BP2851" s="20"/>
      <c r="BQ2851" s="13"/>
      <c r="BR2851" s="18"/>
      <c r="BS2851" s="16"/>
      <c r="BT2851" s="18"/>
      <c r="BU2851" s="18"/>
      <c r="BV2851" s="18"/>
      <c r="BW2851" s="20"/>
      <c r="BX2851" s="13"/>
      <c r="BY2851" s="18"/>
      <c r="BZ2851" s="146"/>
      <c r="CA2851" s="18"/>
      <c r="CB2851" s="18"/>
      <c r="CC2851" s="20"/>
      <c r="CD2851" s="13"/>
    </row>
    <row r="2852" spans="35:82">
      <c r="AI2852" s="19"/>
      <c r="AO2852" s="19"/>
      <c r="AY2852" s="145"/>
      <c r="AZ2852" s="16"/>
      <c r="BC2852" s="16"/>
      <c r="BD2852" s="20"/>
      <c r="BE2852" s="17"/>
      <c r="BF2852" s="20"/>
      <c r="BG2852" s="146"/>
      <c r="BH2852" s="146"/>
      <c r="BI2852" s="146"/>
      <c r="BJ2852" s="20"/>
      <c r="BK2852" s="20"/>
      <c r="BL2852" s="13"/>
      <c r="BP2852" s="20"/>
      <c r="BQ2852" s="13"/>
      <c r="BR2852" s="18"/>
      <c r="BS2852" s="16"/>
      <c r="BT2852" s="18"/>
      <c r="BU2852" s="18"/>
      <c r="BV2852" s="18"/>
      <c r="BW2852" s="20"/>
      <c r="BX2852" s="13"/>
      <c r="BY2852" s="18"/>
      <c r="BZ2852" s="146"/>
      <c r="CA2852" s="18"/>
      <c r="CB2852" s="18"/>
      <c r="CC2852" s="20"/>
      <c r="CD2852" s="13"/>
    </row>
    <row r="2853" spans="35:82">
      <c r="AI2853" s="19"/>
      <c r="AO2853" s="19"/>
      <c r="AY2853" s="145"/>
      <c r="AZ2853" s="16"/>
      <c r="BC2853" s="16"/>
      <c r="BD2853" s="20"/>
      <c r="BE2853" s="17"/>
      <c r="BF2853" s="20"/>
      <c r="BG2853" s="146"/>
      <c r="BH2853" s="146"/>
      <c r="BI2853" s="146"/>
      <c r="BJ2853" s="20"/>
      <c r="BK2853" s="20"/>
      <c r="BL2853" s="13"/>
      <c r="BP2853" s="20"/>
      <c r="BQ2853" s="13"/>
      <c r="BR2853" s="18"/>
      <c r="BS2853" s="16"/>
      <c r="BT2853" s="18"/>
      <c r="BU2853" s="18"/>
      <c r="BV2853" s="18"/>
      <c r="BW2853" s="20"/>
      <c r="BX2853" s="13"/>
      <c r="BY2853" s="18"/>
      <c r="BZ2853" s="146"/>
      <c r="CA2853" s="18"/>
      <c r="CB2853" s="18"/>
      <c r="CC2853" s="20"/>
      <c r="CD2853" s="13"/>
    </row>
    <row r="2854" spans="35:82">
      <c r="AI2854" s="19"/>
      <c r="AO2854" s="19"/>
      <c r="AY2854" s="145"/>
      <c r="AZ2854" s="16"/>
      <c r="BC2854" s="16"/>
      <c r="BD2854" s="20"/>
      <c r="BE2854" s="17"/>
      <c r="BF2854" s="20"/>
      <c r="BG2854" s="146"/>
      <c r="BH2854" s="146"/>
      <c r="BI2854" s="146"/>
      <c r="BJ2854" s="20"/>
      <c r="BK2854" s="20"/>
      <c r="BL2854" s="13"/>
      <c r="BP2854" s="20"/>
      <c r="BQ2854" s="13"/>
      <c r="BR2854" s="18"/>
      <c r="BS2854" s="16"/>
      <c r="BT2854" s="18"/>
      <c r="BU2854" s="18"/>
      <c r="BV2854" s="18"/>
      <c r="BW2854" s="20"/>
      <c r="BX2854" s="13"/>
      <c r="BY2854" s="18"/>
      <c r="BZ2854" s="146"/>
      <c r="CA2854" s="18"/>
      <c r="CB2854" s="18"/>
      <c r="CC2854" s="20"/>
      <c r="CD2854" s="13"/>
    </row>
    <row r="2855" spans="35:82">
      <c r="AI2855" s="19"/>
      <c r="AO2855" s="19"/>
      <c r="AY2855" s="145"/>
      <c r="AZ2855" s="16"/>
      <c r="BC2855" s="16"/>
      <c r="BD2855" s="20"/>
      <c r="BE2855" s="17"/>
      <c r="BF2855" s="20"/>
      <c r="BG2855" s="146"/>
      <c r="BH2855" s="146"/>
      <c r="BI2855" s="146"/>
      <c r="BJ2855" s="20"/>
      <c r="BK2855" s="20"/>
      <c r="BL2855" s="13"/>
      <c r="BP2855" s="20"/>
      <c r="BQ2855" s="13"/>
      <c r="BR2855" s="18"/>
      <c r="BS2855" s="16"/>
      <c r="BT2855" s="18"/>
      <c r="BU2855" s="18"/>
      <c r="BV2855" s="18"/>
      <c r="BW2855" s="20"/>
      <c r="BX2855" s="13"/>
      <c r="BY2855" s="18"/>
      <c r="BZ2855" s="146"/>
      <c r="CA2855" s="18"/>
      <c r="CB2855" s="18"/>
      <c r="CC2855" s="20"/>
      <c r="CD2855" s="13"/>
    </row>
    <row r="2856" spans="35:82">
      <c r="AI2856" s="19"/>
      <c r="AO2856" s="19"/>
      <c r="AY2856" s="145"/>
      <c r="AZ2856" s="16"/>
      <c r="BC2856" s="16"/>
      <c r="BD2856" s="20"/>
      <c r="BE2856" s="17"/>
      <c r="BF2856" s="20"/>
      <c r="BG2856" s="146"/>
      <c r="BH2856" s="146"/>
      <c r="BI2856" s="146"/>
      <c r="BJ2856" s="20"/>
      <c r="BK2856" s="20"/>
      <c r="BL2856" s="13"/>
      <c r="BP2856" s="20"/>
      <c r="BQ2856" s="13"/>
      <c r="BR2856" s="18"/>
      <c r="BS2856" s="16"/>
      <c r="BT2856" s="18"/>
      <c r="BU2856" s="18"/>
      <c r="BV2856" s="18"/>
      <c r="BW2856" s="20"/>
      <c r="BX2856" s="13"/>
      <c r="BY2856" s="18"/>
      <c r="BZ2856" s="146"/>
      <c r="CA2856" s="18"/>
      <c r="CB2856" s="18"/>
      <c r="CC2856" s="20"/>
      <c r="CD2856" s="13"/>
    </row>
    <row r="2857" spans="35:82">
      <c r="AI2857" s="19"/>
      <c r="AO2857" s="19"/>
      <c r="AY2857" s="145"/>
      <c r="AZ2857" s="16"/>
      <c r="BC2857" s="16"/>
      <c r="BD2857" s="20"/>
      <c r="BE2857" s="17"/>
      <c r="BF2857" s="20"/>
      <c r="BG2857" s="146"/>
      <c r="BH2857" s="146"/>
      <c r="BI2857" s="146"/>
      <c r="BJ2857" s="20"/>
      <c r="BK2857" s="20"/>
      <c r="BL2857" s="13"/>
      <c r="BP2857" s="20"/>
      <c r="BQ2857" s="13"/>
      <c r="BR2857" s="18"/>
      <c r="BS2857" s="16"/>
      <c r="BT2857" s="18"/>
      <c r="BU2857" s="18"/>
      <c r="BV2857" s="18"/>
      <c r="BW2857" s="20"/>
      <c r="BX2857" s="13"/>
      <c r="BY2857" s="18"/>
      <c r="BZ2857" s="146"/>
      <c r="CA2857" s="18"/>
      <c r="CB2857" s="18"/>
      <c r="CC2857" s="20"/>
      <c r="CD2857" s="13"/>
    </row>
    <row r="2858" spans="35:82">
      <c r="AI2858" s="19"/>
      <c r="AO2858" s="19"/>
      <c r="AY2858" s="145"/>
      <c r="AZ2858" s="16"/>
      <c r="BC2858" s="16"/>
      <c r="BD2858" s="20"/>
      <c r="BE2858" s="17"/>
      <c r="BF2858" s="20"/>
      <c r="BG2858" s="146"/>
      <c r="BH2858" s="146"/>
      <c r="BI2858" s="146"/>
      <c r="BJ2858" s="20"/>
      <c r="BK2858" s="20"/>
      <c r="BL2858" s="13"/>
      <c r="BP2858" s="20"/>
      <c r="BQ2858" s="13"/>
      <c r="BR2858" s="18"/>
      <c r="BS2858" s="16"/>
      <c r="BT2858" s="18"/>
      <c r="BU2858" s="18"/>
      <c r="BV2858" s="18"/>
      <c r="BW2858" s="20"/>
      <c r="BX2858" s="13"/>
      <c r="BY2858" s="18"/>
      <c r="BZ2858" s="146"/>
      <c r="CA2858" s="18"/>
      <c r="CB2858" s="18"/>
      <c r="CC2858" s="20"/>
      <c r="CD2858" s="13"/>
    </row>
    <row r="2859" spans="35:82">
      <c r="AI2859" s="19"/>
      <c r="AO2859" s="19"/>
      <c r="AY2859" s="145"/>
      <c r="AZ2859" s="16"/>
      <c r="BC2859" s="16"/>
      <c r="BD2859" s="20"/>
      <c r="BE2859" s="17"/>
      <c r="BF2859" s="20"/>
      <c r="BG2859" s="146"/>
      <c r="BH2859" s="146"/>
      <c r="BI2859" s="146"/>
      <c r="BJ2859" s="20"/>
      <c r="BK2859" s="20"/>
      <c r="BL2859" s="13"/>
      <c r="BP2859" s="20"/>
      <c r="BQ2859" s="13"/>
      <c r="BR2859" s="18"/>
      <c r="BS2859" s="16"/>
      <c r="BT2859" s="18"/>
      <c r="BU2859" s="18"/>
      <c r="BV2859" s="18"/>
      <c r="BW2859" s="20"/>
      <c r="BX2859" s="13"/>
      <c r="BY2859" s="18"/>
      <c r="BZ2859" s="146"/>
      <c r="CA2859" s="18"/>
      <c r="CB2859" s="18"/>
      <c r="CC2859" s="20"/>
      <c r="CD2859" s="13"/>
    </row>
    <row r="2860" spans="35:82">
      <c r="AI2860" s="19"/>
      <c r="AO2860" s="19"/>
      <c r="AY2860" s="145"/>
      <c r="AZ2860" s="16"/>
      <c r="BC2860" s="16"/>
      <c r="BD2860" s="20"/>
      <c r="BE2860" s="17"/>
      <c r="BF2860" s="20"/>
      <c r="BG2860" s="146"/>
      <c r="BH2860" s="146"/>
      <c r="BI2860" s="146"/>
      <c r="BJ2860" s="20"/>
      <c r="BK2860" s="20"/>
      <c r="BL2860" s="13"/>
      <c r="BP2860" s="20"/>
      <c r="BQ2860" s="13"/>
      <c r="BR2860" s="18"/>
      <c r="BS2860" s="16"/>
      <c r="BT2860" s="18"/>
      <c r="BU2860" s="18"/>
      <c r="BV2860" s="18"/>
      <c r="BW2860" s="20"/>
      <c r="BX2860" s="13"/>
      <c r="BY2860" s="18"/>
      <c r="BZ2860" s="146"/>
      <c r="CA2860" s="18"/>
      <c r="CB2860" s="18"/>
      <c r="CC2860" s="20"/>
      <c r="CD2860" s="13"/>
    </row>
    <row r="2861" spans="35:82">
      <c r="AI2861" s="19"/>
      <c r="AO2861" s="19"/>
      <c r="AY2861" s="145"/>
      <c r="AZ2861" s="16"/>
      <c r="BC2861" s="16"/>
      <c r="BD2861" s="20"/>
      <c r="BE2861" s="17"/>
      <c r="BF2861" s="20"/>
      <c r="BG2861" s="146"/>
      <c r="BH2861" s="146"/>
      <c r="BI2861" s="146"/>
      <c r="BJ2861" s="20"/>
      <c r="BK2861" s="20"/>
      <c r="BL2861" s="13"/>
      <c r="BP2861" s="20"/>
      <c r="BQ2861" s="13"/>
      <c r="BR2861" s="18"/>
      <c r="BS2861" s="16"/>
      <c r="BT2861" s="18"/>
      <c r="BU2861" s="18"/>
      <c r="BV2861" s="18"/>
      <c r="BW2861" s="20"/>
      <c r="BX2861" s="13"/>
      <c r="BY2861" s="18"/>
      <c r="BZ2861" s="146"/>
      <c r="CA2861" s="18"/>
      <c r="CB2861" s="18"/>
      <c r="CC2861" s="20"/>
      <c r="CD2861" s="13"/>
    </row>
    <row r="2862" spans="35:82">
      <c r="AI2862" s="19"/>
      <c r="AO2862" s="19"/>
      <c r="AY2862" s="145"/>
      <c r="AZ2862" s="16"/>
      <c r="BC2862" s="16"/>
      <c r="BD2862" s="20"/>
      <c r="BE2862" s="17"/>
      <c r="BF2862" s="20"/>
      <c r="BG2862" s="146"/>
      <c r="BH2862" s="146"/>
      <c r="BI2862" s="146"/>
      <c r="BJ2862" s="20"/>
      <c r="BK2862" s="20"/>
      <c r="BL2862" s="13"/>
      <c r="BP2862" s="20"/>
      <c r="BQ2862" s="13"/>
      <c r="BR2862" s="18"/>
      <c r="BS2862" s="16"/>
      <c r="BT2862" s="18"/>
      <c r="BU2862" s="18"/>
      <c r="BV2862" s="18"/>
      <c r="BW2862" s="20"/>
      <c r="BX2862" s="13"/>
      <c r="BY2862" s="18"/>
      <c r="BZ2862" s="146"/>
      <c r="CA2862" s="18"/>
      <c r="CB2862" s="18"/>
      <c r="CC2862" s="20"/>
      <c r="CD2862" s="13"/>
    </row>
    <row r="2863" spans="35:82">
      <c r="AI2863" s="19"/>
      <c r="AO2863" s="19"/>
      <c r="AY2863" s="145"/>
      <c r="AZ2863" s="16"/>
      <c r="BC2863" s="16"/>
      <c r="BD2863" s="20"/>
      <c r="BE2863" s="17"/>
      <c r="BF2863" s="20"/>
      <c r="BG2863" s="146"/>
      <c r="BH2863" s="146"/>
      <c r="BI2863" s="146"/>
      <c r="BJ2863" s="20"/>
      <c r="BK2863" s="20"/>
      <c r="BL2863" s="13"/>
      <c r="BP2863" s="20"/>
      <c r="BQ2863" s="13"/>
      <c r="BR2863" s="18"/>
      <c r="BS2863" s="16"/>
      <c r="BT2863" s="18"/>
      <c r="BU2863" s="18"/>
      <c r="BV2863" s="18"/>
      <c r="BW2863" s="20"/>
      <c r="BX2863" s="13"/>
      <c r="BY2863" s="18"/>
      <c r="BZ2863" s="146"/>
      <c r="CA2863" s="18"/>
      <c r="CB2863" s="18"/>
      <c r="CC2863" s="20"/>
      <c r="CD2863" s="13"/>
    </row>
    <row r="2864" spans="35:82">
      <c r="AI2864" s="19"/>
      <c r="AO2864" s="19"/>
      <c r="AY2864" s="145"/>
      <c r="AZ2864" s="16"/>
      <c r="BC2864" s="16"/>
      <c r="BD2864" s="20"/>
      <c r="BE2864" s="17"/>
      <c r="BF2864" s="20"/>
      <c r="BG2864" s="146"/>
      <c r="BH2864" s="146"/>
      <c r="BI2864" s="146"/>
      <c r="BJ2864" s="20"/>
      <c r="BK2864" s="20"/>
      <c r="BL2864" s="13"/>
      <c r="BP2864" s="20"/>
      <c r="BQ2864" s="13"/>
      <c r="BR2864" s="18"/>
      <c r="BS2864" s="16"/>
      <c r="BT2864" s="18"/>
      <c r="BU2864" s="18"/>
      <c r="BV2864" s="18"/>
      <c r="BW2864" s="20"/>
      <c r="BX2864" s="13"/>
      <c r="BY2864" s="18"/>
      <c r="BZ2864" s="146"/>
      <c r="CA2864" s="18"/>
      <c r="CB2864" s="18"/>
      <c r="CC2864" s="20"/>
      <c r="CD2864" s="13"/>
    </row>
    <row r="2865" spans="35:82">
      <c r="AI2865" s="19"/>
      <c r="AO2865" s="19"/>
      <c r="AY2865" s="145"/>
      <c r="AZ2865" s="16"/>
      <c r="BC2865" s="16"/>
      <c r="BD2865" s="20"/>
      <c r="BE2865" s="17"/>
      <c r="BF2865" s="20"/>
      <c r="BG2865" s="146"/>
      <c r="BH2865" s="146"/>
      <c r="BI2865" s="146"/>
      <c r="BJ2865" s="20"/>
      <c r="BK2865" s="20"/>
      <c r="BL2865" s="13"/>
      <c r="BP2865" s="20"/>
      <c r="BQ2865" s="13"/>
      <c r="BR2865" s="18"/>
      <c r="BS2865" s="16"/>
      <c r="BT2865" s="18"/>
      <c r="BU2865" s="18"/>
      <c r="BV2865" s="18"/>
      <c r="BW2865" s="20"/>
      <c r="BX2865" s="13"/>
      <c r="BY2865" s="18"/>
      <c r="BZ2865" s="146"/>
      <c r="CA2865" s="18"/>
      <c r="CB2865" s="18"/>
      <c r="CC2865" s="20"/>
      <c r="CD2865" s="13"/>
    </row>
    <row r="2866" spans="35:82">
      <c r="AI2866" s="19"/>
      <c r="AO2866" s="19"/>
      <c r="AY2866" s="145"/>
      <c r="AZ2866" s="16"/>
      <c r="BC2866" s="16"/>
      <c r="BD2866" s="20"/>
      <c r="BE2866" s="17"/>
      <c r="BF2866" s="20"/>
      <c r="BG2866" s="146"/>
      <c r="BH2866" s="146"/>
      <c r="BI2866" s="146"/>
      <c r="BJ2866" s="20"/>
      <c r="BK2866" s="20"/>
      <c r="BL2866" s="13"/>
      <c r="BP2866" s="20"/>
      <c r="BQ2866" s="13"/>
      <c r="BR2866" s="18"/>
      <c r="BS2866" s="16"/>
      <c r="BT2866" s="18"/>
      <c r="BU2866" s="18"/>
      <c r="BV2866" s="18"/>
      <c r="BW2866" s="20"/>
      <c r="BX2866" s="13"/>
      <c r="BY2866" s="18"/>
      <c r="BZ2866" s="146"/>
      <c r="CA2866" s="18"/>
      <c r="CB2866" s="18"/>
      <c r="CC2866" s="20"/>
      <c r="CD2866" s="13"/>
    </row>
    <row r="2867" spans="35:82">
      <c r="AI2867" s="19"/>
      <c r="AO2867" s="19"/>
      <c r="AY2867" s="145"/>
      <c r="AZ2867" s="16"/>
      <c r="BC2867" s="16"/>
      <c r="BD2867" s="20"/>
      <c r="BE2867" s="17"/>
      <c r="BF2867" s="20"/>
      <c r="BG2867" s="146"/>
      <c r="BH2867" s="146"/>
      <c r="BI2867" s="146"/>
      <c r="BJ2867" s="20"/>
      <c r="BK2867" s="20"/>
      <c r="BL2867" s="13"/>
      <c r="BP2867" s="20"/>
      <c r="BQ2867" s="13"/>
      <c r="BR2867" s="18"/>
      <c r="BS2867" s="16"/>
      <c r="BT2867" s="18"/>
      <c r="BU2867" s="18"/>
      <c r="BV2867" s="18"/>
      <c r="BW2867" s="20"/>
      <c r="BX2867" s="13"/>
      <c r="BY2867" s="18"/>
      <c r="BZ2867" s="146"/>
      <c r="CA2867" s="18"/>
      <c r="CB2867" s="18"/>
      <c r="CC2867" s="20"/>
      <c r="CD2867" s="13"/>
    </row>
    <row r="2868" spans="35:82">
      <c r="AI2868" s="19"/>
      <c r="AO2868" s="19"/>
      <c r="AY2868" s="145"/>
      <c r="AZ2868" s="16"/>
      <c r="BC2868" s="16"/>
      <c r="BD2868" s="20"/>
      <c r="BE2868" s="17"/>
      <c r="BF2868" s="20"/>
      <c r="BG2868" s="146"/>
      <c r="BH2868" s="146"/>
      <c r="BI2868" s="146"/>
      <c r="BJ2868" s="20"/>
      <c r="BK2868" s="20"/>
      <c r="BL2868" s="13"/>
      <c r="BP2868" s="20"/>
      <c r="BQ2868" s="13"/>
      <c r="BR2868" s="18"/>
      <c r="BS2868" s="16"/>
      <c r="BT2868" s="18"/>
      <c r="BU2868" s="18"/>
      <c r="BV2868" s="18"/>
      <c r="BW2868" s="20"/>
      <c r="BX2868" s="13"/>
      <c r="BY2868" s="18"/>
      <c r="BZ2868" s="146"/>
      <c r="CA2868" s="18"/>
      <c r="CB2868" s="18"/>
      <c r="CC2868" s="20"/>
      <c r="CD2868" s="13"/>
    </row>
    <row r="2869" spans="35:82">
      <c r="AI2869" s="19"/>
      <c r="AO2869" s="19"/>
      <c r="AY2869" s="145"/>
      <c r="AZ2869" s="16"/>
      <c r="BC2869" s="16"/>
      <c r="BD2869" s="20"/>
      <c r="BE2869" s="17"/>
      <c r="BF2869" s="20"/>
      <c r="BG2869" s="146"/>
      <c r="BH2869" s="146"/>
      <c r="BI2869" s="146"/>
      <c r="BJ2869" s="20"/>
      <c r="BK2869" s="20"/>
      <c r="BL2869" s="13"/>
      <c r="BP2869" s="20"/>
      <c r="BQ2869" s="13"/>
      <c r="BR2869" s="18"/>
      <c r="BS2869" s="16"/>
      <c r="BT2869" s="18"/>
      <c r="BU2869" s="18"/>
      <c r="BV2869" s="18"/>
      <c r="BW2869" s="20"/>
      <c r="BX2869" s="13"/>
      <c r="BY2869" s="18"/>
      <c r="BZ2869" s="146"/>
      <c r="CA2869" s="18"/>
      <c r="CB2869" s="18"/>
      <c r="CC2869" s="20"/>
      <c r="CD2869" s="13"/>
    </row>
    <row r="2870" spans="35:82">
      <c r="AI2870" s="19"/>
      <c r="AO2870" s="19"/>
      <c r="AY2870" s="145"/>
      <c r="AZ2870" s="16"/>
      <c r="BC2870" s="16"/>
      <c r="BD2870" s="20"/>
      <c r="BE2870" s="17"/>
      <c r="BF2870" s="20"/>
      <c r="BG2870" s="146"/>
      <c r="BH2870" s="146"/>
      <c r="BI2870" s="146"/>
      <c r="BJ2870" s="20"/>
      <c r="BK2870" s="20"/>
      <c r="BL2870" s="13"/>
      <c r="BP2870" s="20"/>
      <c r="BQ2870" s="13"/>
      <c r="BR2870" s="18"/>
      <c r="BS2870" s="16"/>
      <c r="BT2870" s="18"/>
      <c r="BU2870" s="18"/>
      <c r="BV2870" s="18"/>
      <c r="BW2870" s="20"/>
      <c r="BX2870" s="13"/>
      <c r="BY2870" s="18"/>
      <c r="BZ2870" s="146"/>
      <c r="CA2870" s="18"/>
      <c r="CB2870" s="18"/>
      <c r="CC2870" s="20"/>
      <c r="CD2870" s="13"/>
    </row>
    <row r="2871" spans="35:82">
      <c r="AI2871" s="19"/>
      <c r="AO2871" s="19"/>
      <c r="AY2871" s="145"/>
      <c r="AZ2871" s="16"/>
      <c r="BC2871" s="16"/>
      <c r="BD2871" s="20"/>
      <c r="BE2871" s="17"/>
      <c r="BF2871" s="20"/>
      <c r="BG2871" s="146"/>
      <c r="BH2871" s="146"/>
      <c r="BI2871" s="146"/>
      <c r="BJ2871" s="20"/>
      <c r="BK2871" s="20"/>
      <c r="BL2871" s="13"/>
      <c r="BP2871" s="20"/>
      <c r="BQ2871" s="13"/>
      <c r="BR2871" s="18"/>
      <c r="BS2871" s="16"/>
      <c r="BT2871" s="18"/>
      <c r="BU2871" s="18"/>
      <c r="BV2871" s="18"/>
      <c r="BW2871" s="20"/>
      <c r="BX2871" s="13"/>
      <c r="BY2871" s="18"/>
      <c r="BZ2871" s="146"/>
      <c r="CA2871" s="18"/>
      <c r="CB2871" s="18"/>
      <c r="CC2871" s="20"/>
      <c r="CD2871" s="13"/>
    </row>
    <row r="2872" spans="35:82">
      <c r="AI2872" s="19"/>
      <c r="AO2872" s="19"/>
      <c r="AY2872" s="145"/>
      <c r="AZ2872" s="16"/>
      <c r="BC2872" s="16"/>
      <c r="BD2872" s="20"/>
      <c r="BE2872" s="17"/>
      <c r="BF2872" s="20"/>
      <c r="BG2872" s="146"/>
      <c r="BH2872" s="146"/>
      <c r="BI2872" s="146"/>
      <c r="BJ2872" s="20"/>
      <c r="BK2872" s="20"/>
      <c r="BL2872" s="13"/>
      <c r="BP2872" s="20"/>
      <c r="BQ2872" s="13"/>
      <c r="BR2872" s="18"/>
      <c r="BS2872" s="16"/>
      <c r="BT2872" s="18"/>
      <c r="BU2872" s="18"/>
      <c r="BV2872" s="18"/>
      <c r="BW2872" s="20"/>
      <c r="BX2872" s="13"/>
      <c r="BY2872" s="18"/>
      <c r="BZ2872" s="146"/>
      <c r="CA2872" s="18"/>
      <c r="CB2872" s="18"/>
      <c r="CC2872" s="20"/>
      <c r="CD2872" s="13"/>
    </row>
    <row r="2873" spans="35:82">
      <c r="AI2873" s="19"/>
      <c r="AO2873" s="19"/>
      <c r="AY2873" s="145"/>
      <c r="AZ2873" s="16"/>
      <c r="BC2873" s="16"/>
      <c r="BD2873" s="20"/>
      <c r="BE2873" s="17"/>
      <c r="BF2873" s="20"/>
      <c r="BG2873" s="146"/>
      <c r="BH2873" s="146"/>
      <c r="BI2873" s="146"/>
      <c r="BJ2873" s="20"/>
      <c r="BK2873" s="20"/>
      <c r="BL2873" s="13"/>
      <c r="BP2873" s="20"/>
      <c r="BQ2873" s="13"/>
      <c r="BR2873" s="18"/>
      <c r="BS2873" s="16"/>
      <c r="BT2873" s="18"/>
      <c r="BU2873" s="18"/>
      <c r="BV2873" s="18"/>
      <c r="BW2873" s="20"/>
      <c r="BX2873" s="13"/>
      <c r="BY2873" s="18"/>
      <c r="BZ2873" s="146"/>
      <c r="CA2873" s="18"/>
      <c r="CB2873" s="18"/>
      <c r="CC2873" s="20"/>
      <c r="CD2873" s="13"/>
    </row>
    <row r="2874" spans="35:82">
      <c r="AI2874" s="19"/>
      <c r="AO2874" s="19"/>
      <c r="AY2874" s="145"/>
      <c r="AZ2874" s="16"/>
      <c r="BC2874" s="16"/>
      <c r="BD2874" s="20"/>
      <c r="BE2874" s="17"/>
      <c r="BF2874" s="20"/>
      <c r="BG2874" s="146"/>
      <c r="BH2874" s="146"/>
      <c r="BI2874" s="146"/>
      <c r="BJ2874" s="20"/>
      <c r="BK2874" s="20"/>
      <c r="BL2874" s="13"/>
      <c r="BP2874" s="20"/>
      <c r="BQ2874" s="13"/>
      <c r="BR2874" s="18"/>
      <c r="BS2874" s="16"/>
      <c r="BT2874" s="18"/>
      <c r="BU2874" s="18"/>
      <c r="BV2874" s="18"/>
      <c r="BW2874" s="20"/>
      <c r="BX2874" s="13"/>
      <c r="BY2874" s="18"/>
      <c r="BZ2874" s="146"/>
      <c r="CA2874" s="18"/>
      <c r="CB2874" s="18"/>
      <c r="CC2874" s="20"/>
      <c r="CD2874" s="13"/>
    </row>
    <row r="2875" spans="35:82">
      <c r="AI2875" s="19"/>
      <c r="AO2875" s="19"/>
      <c r="AY2875" s="145"/>
      <c r="AZ2875" s="16"/>
      <c r="BC2875" s="16"/>
      <c r="BD2875" s="20"/>
      <c r="BE2875" s="17"/>
      <c r="BF2875" s="20"/>
      <c r="BG2875" s="146"/>
      <c r="BH2875" s="146"/>
      <c r="BI2875" s="146"/>
      <c r="BJ2875" s="20"/>
      <c r="BK2875" s="20"/>
      <c r="BL2875" s="13"/>
      <c r="BP2875" s="20"/>
      <c r="BQ2875" s="13"/>
      <c r="BR2875" s="18"/>
      <c r="BS2875" s="16"/>
      <c r="BT2875" s="18"/>
      <c r="BU2875" s="18"/>
      <c r="BV2875" s="18"/>
      <c r="BW2875" s="20"/>
      <c r="BX2875" s="13"/>
      <c r="BY2875" s="18"/>
      <c r="BZ2875" s="146"/>
      <c r="CA2875" s="18"/>
      <c r="CB2875" s="18"/>
      <c r="CC2875" s="20"/>
      <c r="CD2875" s="13"/>
    </row>
    <row r="2876" spans="35:82">
      <c r="AI2876" s="19"/>
      <c r="AO2876" s="19"/>
      <c r="AY2876" s="145"/>
      <c r="AZ2876" s="16"/>
      <c r="BC2876" s="16"/>
      <c r="BD2876" s="20"/>
      <c r="BE2876" s="17"/>
      <c r="BF2876" s="20"/>
      <c r="BG2876" s="146"/>
      <c r="BH2876" s="146"/>
      <c r="BI2876" s="146"/>
      <c r="BJ2876" s="20"/>
      <c r="BK2876" s="20"/>
      <c r="BL2876" s="13"/>
      <c r="BP2876" s="20"/>
      <c r="BQ2876" s="13"/>
      <c r="BR2876" s="18"/>
      <c r="BS2876" s="16"/>
      <c r="BT2876" s="18"/>
      <c r="BU2876" s="18"/>
      <c r="BV2876" s="18"/>
      <c r="BW2876" s="20"/>
      <c r="BX2876" s="13"/>
      <c r="BY2876" s="18"/>
      <c r="BZ2876" s="146"/>
      <c r="CA2876" s="18"/>
      <c r="CB2876" s="18"/>
      <c r="CC2876" s="20"/>
      <c r="CD2876" s="13"/>
    </row>
    <row r="2877" spans="35:82">
      <c r="AI2877" s="19"/>
      <c r="AO2877" s="19"/>
      <c r="AY2877" s="145"/>
      <c r="AZ2877" s="16"/>
      <c r="BC2877" s="16"/>
      <c r="BD2877" s="20"/>
      <c r="BE2877" s="17"/>
      <c r="BF2877" s="20"/>
      <c r="BG2877" s="146"/>
      <c r="BH2877" s="146"/>
      <c r="BI2877" s="146"/>
      <c r="BJ2877" s="20"/>
      <c r="BK2877" s="20"/>
      <c r="BL2877" s="13"/>
      <c r="BP2877" s="20"/>
      <c r="BQ2877" s="13"/>
      <c r="BR2877" s="18"/>
      <c r="BS2877" s="16"/>
      <c r="BT2877" s="18"/>
      <c r="BU2877" s="18"/>
      <c r="BV2877" s="18"/>
      <c r="BW2877" s="20"/>
      <c r="BX2877" s="13"/>
      <c r="BY2877" s="18"/>
      <c r="BZ2877" s="146"/>
      <c r="CA2877" s="18"/>
      <c r="CB2877" s="18"/>
      <c r="CC2877" s="20"/>
      <c r="CD2877" s="13"/>
    </row>
    <row r="2878" spans="35:82">
      <c r="AI2878" s="19"/>
      <c r="AO2878" s="19"/>
      <c r="AY2878" s="145"/>
      <c r="AZ2878" s="16"/>
      <c r="BC2878" s="16"/>
      <c r="BD2878" s="20"/>
      <c r="BE2878" s="17"/>
      <c r="BF2878" s="20"/>
      <c r="BG2878" s="146"/>
      <c r="BH2878" s="146"/>
      <c r="BI2878" s="146"/>
      <c r="BJ2878" s="20"/>
      <c r="BK2878" s="20"/>
      <c r="BL2878" s="13"/>
      <c r="BP2878" s="20"/>
      <c r="BQ2878" s="13"/>
      <c r="BR2878" s="18"/>
      <c r="BS2878" s="16"/>
      <c r="BT2878" s="18"/>
      <c r="BU2878" s="18"/>
      <c r="BV2878" s="18"/>
      <c r="BW2878" s="20"/>
      <c r="BX2878" s="13"/>
      <c r="BY2878" s="18"/>
      <c r="BZ2878" s="146"/>
      <c r="CA2878" s="18"/>
      <c r="CB2878" s="18"/>
      <c r="CC2878" s="20"/>
      <c r="CD2878" s="13"/>
    </row>
    <row r="2879" spans="35:82">
      <c r="AI2879" s="19"/>
      <c r="AO2879" s="19"/>
      <c r="AY2879" s="145"/>
      <c r="AZ2879" s="16"/>
      <c r="BC2879" s="16"/>
      <c r="BD2879" s="20"/>
      <c r="BE2879" s="17"/>
      <c r="BF2879" s="20"/>
      <c r="BG2879" s="146"/>
      <c r="BH2879" s="146"/>
      <c r="BI2879" s="146"/>
      <c r="BJ2879" s="20"/>
      <c r="BK2879" s="20"/>
      <c r="BL2879" s="13"/>
      <c r="BP2879" s="20"/>
      <c r="BQ2879" s="13"/>
      <c r="BR2879" s="18"/>
      <c r="BS2879" s="16"/>
      <c r="BT2879" s="18"/>
      <c r="BU2879" s="18"/>
      <c r="BV2879" s="18"/>
      <c r="BW2879" s="20"/>
      <c r="BX2879" s="13"/>
      <c r="BY2879" s="18"/>
      <c r="BZ2879" s="146"/>
      <c r="CA2879" s="18"/>
      <c r="CB2879" s="18"/>
      <c r="CC2879" s="20"/>
      <c r="CD2879" s="13"/>
    </row>
    <row r="2880" spans="35:82">
      <c r="AI2880" s="19"/>
      <c r="AO2880" s="19"/>
      <c r="AY2880" s="145"/>
      <c r="AZ2880" s="16"/>
      <c r="BC2880" s="16"/>
      <c r="BD2880" s="20"/>
      <c r="BE2880" s="17"/>
      <c r="BF2880" s="20"/>
      <c r="BG2880" s="146"/>
      <c r="BH2880" s="146"/>
      <c r="BI2880" s="146"/>
      <c r="BJ2880" s="20"/>
      <c r="BK2880" s="20"/>
      <c r="BL2880" s="13"/>
      <c r="BP2880" s="20"/>
      <c r="BQ2880" s="13"/>
      <c r="BR2880" s="18"/>
      <c r="BS2880" s="16"/>
      <c r="BT2880" s="18"/>
      <c r="BU2880" s="18"/>
      <c r="BV2880" s="18"/>
      <c r="BW2880" s="20"/>
      <c r="BX2880" s="13"/>
      <c r="BY2880" s="18"/>
      <c r="BZ2880" s="146"/>
      <c r="CA2880" s="18"/>
      <c r="CB2880" s="18"/>
      <c r="CC2880" s="20"/>
      <c r="CD2880" s="13"/>
    </row>
    <row r="2881" spans="35:82">
      <c r="AI2881" s="19"/>
      <c r="AO2881" s="19"/>
      <c r="AY2881" s="145"/>
      <c r="AZ2881" s="16"/>
      <c r="BC2881" s="16"/>
      <c r="BD2881" s="20"/>
      <c r="BE2881" s="17"/>
      <c r="BF2881" s="20"/>
      <c r="BG2881" s="146"/>
      <c r="BH2881" s="146"/>
      <c r="BI2881" s="146"/>
      <c r="BJ2881" s="20"/>
      <c r="BK2881" s="20"/>
      <c r="BL2881" s="13"/>
      <c r="BP2881" s="20"/>
      <c r="BQ2881" s="13"/>
      <c r="BR2881" s="18"/>
      <c r="BS2881" s="16"/>
      <c r="BT2881" s="18"/>
      <c r="BU2881" s="18"/>
      <c r="BV2881" s="18"/>
      <c r="BW2881" s="20"/>
      <c r="BX2881" s="13"/>
      <c r="BY2881" s="18"/>
      <c r="BZ2881" s="146"/>
      <c r="CA2881" s="18"/>
      <c r="CB2881" s="18"/>
      <c r="CC2881" s="20"/>
      <c r="CD2881" s="13"/>
    </row>
    <row r="2882" spans="35:82">
      <c r="AI2882" s="19"/>
      <c r="AO2882" s="19"/>
      <c r="AY2882" s="145"/>
      <c r="AZ2882" s="16"/>
      <c r="BC2882" s="16"/>
      <c r="BD2882" s="20"/>
      <c r="BE2882" s="17"/>
      <c r="BF2882" s="20"/>
      <c r="BG2882" s="146"/>
      <c r="BH2882" s="146"/>
      <c r="BI2882" s="146"/>
      <c r="BJ2882" s="20"/>
      <c r="BK2882" s="20"/>
      <c r="BL2882" s="13"/>
      <c r="BP2882" s="20"/>
      <c r="BQ2882" s="13"/>
      <c r="BR2882" s="18"/>
      <c r="BS2882" s="16"/>
      <c r="BT2882" s="18"/>
      <c r="BU2882" s="18"/>
      <c r="BV2882" s="18"/>
      <c r="BW2882" s="20"/>
      <c r="BX2882" s="13"/>
      <c r="BY2882" s="18"/>
      <c r="BZ2882" s="146"/>
      <c r="CA2882" s="18"/>
      <c r="CB2882" s="18"/>
      <c r="CC2882" s="20"/>
      <c r="CD2882" s="13"/>
    </row>
    <row r="2883" spans="35:82">
      <c r="AI2883" s="19"/>
      <c r="AO2883" s="19"/>
      <c r="AY2883" s="145"/>
      <c r="AZ2883" s="16"/>
      <c r="BC2883" s="16"/>
      <c r="BD2883" s="20"/>
      <c r="BE2883" s="17"/>
      <c r="BF2883" s="20"/>
      <c r="BG2883" s="146"/>
      <c r="BH2883" s="146"/>
      <c r="BI2883" s="146"/>
      <c r="BJ2883" s="20"/>
      <c r="BK2883" s="20"/>
      <c r="BL2883" s="13"/>
      <c r="BP2883" s="20"/>
      <c r="BQ2883" s="13"/>
      <c r="BR2883" s="18"/>
      <c r="BS2883" s="16"/>
      <c r="BT2883" s="18"/>
      <c r="BU2883" s="18"/>
      <c r="BV2883" s="18"/>
      <c r="BW2883" s="20"/>
      <c r="BX2883" s="13"/>
      <c r="BY2883" s="18"/>
      <c r="BZ2883" s="146"/>
      <c r="CA2883" s="18"/>
      <c r="CB2883" s="18"/>
      <c r="CC2883" s="20"/>
      <c r="CD2883" s="13"/>
    </row>
    <row r="2884" spans="35:82">
      <c r="AI2884" s="19"/>
      <c r="AO2884" s="19"/>
      <c r="AY2884" s="145"/>
      <c r="AZ2884" s="16"/>
      <c r="BC2884" s="16"/>
      <c r="BD2884" s="20"/>
      <c r="BE2884" s="17"/>
      <c r="BF2884" s="20"/>
      <c r="BG2884" s="146"/>
      <c r="BH2884" s="146"/>
      <c r="BI2884" s="146"/>
      <c r="BJ2884" s="20"/>
      <c r="BK2884" s="20"/>
      <c r="BL2884" s="13"/>
      <c r="BP2884" s="20"/>
      <c r="BQ2884" s="13"/>
      <c r="BR2884" s="18"/>
      <c r="BS2884" s="16"/>
      <c r="BT2884" s="18"/>
      <c r="BU2884" s="18"/>
      <c r="BV2884" s="18"/>
      <c r="BW2884" s="20"/>
      <c r="BX2884" s="13"/>
      <c r="BY2884" s="18"/>
      <c r="BZ2884" s="146"/>
      <c r="CA2884" s="18"/>
      <c r="CB2884" s="18"/>
      <c r="CC2884" s="20"/>
      <c r="CD2884" s="13"/>
    </row>
    <row r="2885" spans="35:82">
      <c r="AI2885" s="19"/>
      <c r="AO2885" s="19"/>
      <c r="AY2885" s="145"/>
      <c r="AZ2885" s="16"/>
      <c r="BC2885" s="16"/>
      <c r="BD2885" s="20"/>
      <c r="BE2885" s="17"/>
      <c r="BF2885" s="20"/>
      <c r="BG2885" s="146"/>
      <c r="BH2885" s="146"/>
      <c r="BI2885" s="146"/>
      <c r="BJ2885" s="20"/>
      <c r="BK2885" s="20"/>
      <c r="BL2885" s="13"/>
      <c r="BP2885" s="20"/>
      <c r="BQ2885" s="13"/>
      <c r="BR2885" s="18"/>
      <c r="BS2885" s="16"/>
      <c r="BT2885" s="18"/>
      <c r="BU2885" s="18"/>
      <c r="BV2885" s="18"/>
      <c r="BW2885" s="20"/>
      <c r="BX2885" s="13"/>
      <c r="BY2885" s="18"/>
      <c r="BZ2885" s="146"/>
      <c r="CA2885" s="18"/>
      <c r="CB2885" s="18"/>
      <c r="CC2885" s="20"/>
      <c r="CD2885" s="13"/>
    </row>
    <row r="2886" spans="35:82">
      <c r="AI2886" s="19"/>
      <c r="AO2886" s="19"/>
      <c r="AY2886" s="145"/>
      <c r="AZ2886" s="16"/>
      <c r="BC2886" s="16"/>
      <c r="BD2886" s="20"/>
      <c r="BE2886" s="17"/>
      <c r="BF2886" s="20"/>
      <c r="BG2886" s="146"/>
      <c r="BH2886" s="146"/>
      <c r="BI2886" s="146"/>
      <c r="BJ2886" s="20"/>
      <c r="BK2886" s="20"/>
      <c r="BL2886" s="13"/>
      <c r="BP2886" s="20"/>
      <c r="BQ2886" s="13"/>
      <c r="BR2886" s="18"/>
      <c r="BS2886" s="16"/>
      <c r="BT2886" s="18"/>
      <c r="BU2886" s="18"/>
      <c r="BV2886" s="18"/>
      <c r="BW2886" s="20"/>
      <c r="BX2886" s="13"/>
      <c r="BY2886" s="18"/>
      <c r="BZ2886" s="146"/>
      <c r="CA2886" s="18"/>
      <c r="CB2886" s="18"/>
      <c r="CC2886" s="20"/>
      <c r="CD2886" s="13"/>
    </row>
    <row r="2887" spans="35:82">
      <c r="AI2887" s="19"/>
      <c r="AO2887" s="19"/>
      <c r="AY2887" s="145"/>
      <c r="AZ2887" s="16"/>
      <c r="BC2887" s="16"/>
      <c r="BD2887" s="20"/>
      <c r="BE2887" s="17"/>
      <c r="BF2887" s="20"/>
      <c r="BG2887" s="146"/>
      <c r="BH2887" s="146"/>
      <c r="BI2887" s="146"/>
      <c r="BJ2887" s="20"/>
      <c r="BK2887" s="20"/>
      <c r="BL2887" s="13"/>
      <c r="BP2887" s="20"/>
      <c r="BQ2887" s="13"/>
      <c r="BR2887" s="18"/>
      <c r="BS2887" s="16"/>
      <c r="BT2887" s="18"/>
      <c r="BU2887" s="18"/>
      <c r="BV2887" s="18"/>
      <c r="BW2887" s="20"/>
      <c r="BX2887" s="13"/>
      <c r="BY2887" s="18"/>
      <c r="BZ2887" s="146"/>
      <c r="CA2887" s="18"/>
      <c r="CB2887" s="18"/>
      <c r="CC2887" s="20"/>
      <c r="CD2887" s="13"/>
    </row>
    <row r="2888" spans="35:82">
      <c r="AI2888" s="19"/>
      <c r="AO2888" s="19"/>
      <c r="AY2888" s="145"/>
      <c r="AZ2888" s="16"/>
      <c r="BC2888" s="16"/>
      <c r="BD2888" s="20"/>
      <c r="BE2888" s="17"/>
      <c r="BF2888" s="20"/>
      <c r="BG2888" s="146"/>
      <c r="BH2888" s="146"/>
      <c r="BI2888" s="146"/>
      <c r="BJ2888" s="20"/>
      <c r="BK2888" s="20"/>
      <c r="BL2888" s="13"/>
      <c r="BP2888" s="20"/>
      <c r="BQ2888" s="13"/>
      <c r="BR2888" s="18"/>
      <c r="BS2888" s="16"/>
      <c r="BT2888" s="18"/>
      <c r="BU2888" s="18"/>
      <c r="BV2888" s="18"/>
      <c r="BW2888" s="20"/>
      <c r="BX2888" s="13"/>
      <c r="BY2888" s="18"/>
      <c r="BZ2888" s="146"/>
      <c r="CA2888" s="18"/>
      <c r="CB2888" s="18"/>
      <c r="CC2888" s="20"/>
      <c r="CD2888" s="13"/>
    </row>
    <row r="2889" spans="35:82">
      <c r="AI2889" s="19"/>
      <c r="AO2889" s="19"/>
      <c r="AY2889" s="145"/>
      <c r="AZ2889" s="16"/>
      <c r="BC2889" s="16"/>
      <c r="BD2889" s="20"/>
      <c r="BE2889" s="17"/>
      <c r="BF2889" s="20"/>
      <c r="BG2889" s="146"/>
      <c r="BH2889" s="146"/>
      <c r="BI2889" s="146"/>
      <c r="BJ2889" s="20"/>
      <c r="BK2889" s="20"/>
      <c r="BL2889" s="13"/>
      <c r="BP2889" s="20"/>
      <c r="BQ2889" s="13"/>
      <c r="BR2889" s="18"/>
      <c r="BS2889" s="16"/>
      <c r="BT2889" s="18"/>
      <c r="BU2889" s="18"/>
      <c r="BV2889" s="18"/>
      <c r="BW2889" s="20"/>
      <c r="BX2889" s="13"/>
      <c r="BY2889" s="18"/>
      <c r="BZ2889" s="146"/>
      <c r="CA2889" s="18"/>
      <c r="CB2889" s="18"/>
      <c r="CC2889" s="20"/>
      <c r="CD2889" s="13"/>
    </row>
    <row r="2890" spans="35:82">
      <c r="AI2890" s="19"/>
      <c r="AO2890" s="19"/>
      <c r="AY2890" s="145"/>
      <c r="AZ2890" s="16"/>
      <c r="BC2890" s="16"/>
      <c r="BD2890" s="20"/>
      <c r="BE2890" s="17"/>
      <c r="BF2890" s="20"/>
      <c r="BG2890" s="146"/>
      <c r="BH2890" s="146"/>
      <c r="BI2890" s="146"/>
      <c r="BJ2890" s="20"/>
      <c r="BK2890" s="20"/>
      <c r="BL2890" s="13"/>
      <c r="BP2890" s="20"/>
      <c r="BQ2890" s="13"/>
      <c r="BR2890" s="18"/>
      <c r="BS2890" s="16"/>
      <c r="BT2890" s="18"/>
      <c r="BU2890" s="18"/>
      <c r="BV2890" s="18"/>
      <c r="BW2890" s="20"/>
      <c r="BX2890" s="13"/>
      <c r="BY2890" s="18"/>
      <c r="BZ2890" s="146"/>
      <c r="CA2890" s="18"/>
      <c r="CB2890" s="18"/>
      <c r="CC2890" s="20"/>
      <c r="CD2890" s="13"/>
    </row>
    <row r="2891" spans="35:82">
      <c r="AI2891" s="19"/>
      <c r="AO2891" s="19"/>
      <c r="AY2891" s="145"/>
      <c r="AZ2891" s="16"/>
      <c r="BC2891" s="16"/>
      <c r="BD2891" s="20"/>
      <c r="BE2891" s="17"/>
      <c r="BF2891" s="20"/>
      <c r="BG2891" s="146"/>
      <c r="BH2891" s="146"/>
      <c r="BI2891" s="146"/>
      <c r="BJ2891" s="20"/>
      <c r="BK2891" s="20"/>
      <c r="BL2891" s="13"/>
      <c r="BP2891" s="20"/>
      <c r="BQ2891" s="13"/>
      <c r="BR2891" s="18"/>
      <c r="BS2891" s="16"/>
      <c r="BT2891" s="18"/>
      <c r="BU2891" s="18"/>
      <c r="BV2891" s="18"/>
      <c r="BW2891" s="20"/>
      <c r="BX2891" s="13"/>
      <c r="BY2891" s="18"/>
      <c r="BZ2891" s="146"/>
      <c r="CA2891" s="18"/>
      <c r="CB2891" s="18"/>
      <c r="CC2891" s="20"/>
      <c r="CD2891" s="13"/>
    </row>
    <row r="2892" spans="35:82">
      <c r="AI2892" s="19"/>
      <c r="AO2892" s="19"/>
      <c r="AY2892" s="145"/>
      <c r="AZ2892" s="16"/>
      <c r="BC2892" s="16"/>
      <c r="BD2892" s="20"/>
      <c r="BE2892" s="17"/>
      <c r="BF2892" s="20"/>
      <c r="BG2892" s="146"/>
      <c r="BH2892" s="146"/>
      <c r="BI2892" s="146"/>
      <c r="BJ2892" s="20"/>
      <c r="BK2892" s="20"/>
      <c r="BL2892" s="13"/>
      <c r="BP2892" s="20"/>
      <c r="BQ2892" s="13"/>
      <c r="BR2892" s="18"/>
      <c r="BS2892" s="16"/>
      <c r="BT2892" s="18"/>
      <c r="BU2892" s="18"/>
      <c r="BV2892" s="18"/>
      <c r="BW2892" s="20"/>
      <c r="BX2892" s="13"/>
      <c r="BY2892" s="18"/>
      <c r="BZ2892" s="146"/>
      <c r="CA2892" s="18"/>
      <c r="CB2892" s="18"/>
      <c r="CC2892" s="20"/>
      <c r="CD2892" s="13"/>
    </row>
    <row r="2893" spans="35:82">
      <c r="AI2893" s="19"/>
      <c r="AO2893" s="19"/>
      <c r="AY2893" s="145"/>
      <c r="AZ2893" s="16"/>
      <c r="BC2893" s="16"/>
      <c r="BD2893" s="20"/>
      <c r="BE2893" s="17"/>
      <c r="BF2893" s="20"/>
      <c r="BG2893" s="146"/>
      <c r="BH2893" s="146"/>
      <c r="BI2893" s="146"/>
      <c r="BJ2893" s="20"/>
      <c r="BK2893" s="20"/>
      <c r="BL2893" s="13"/>
      <c r="BP2893" s="20"/>
      <c r="BQ2893" s="13"/>
      <c r="BR2893" s="18"/>
      <c r="BS2893" s="16"/>
      <c r="BT2893" s="18"/>
      <c r="BU2893" s="18"/>
      <c r="BV2893" s="18"/>
      <c r="BW2893" s="20"/>
      <c r="BX2893" s="13"/>
      <c r="BY2893" s="18"/>
      <c r="BZ2893" s="146"/>
      <c r="CA2893" s="18"/>
      <c r="CB2893" s="18"/>
      <c r="CC2893" s="20"/>
      <c r="CD2893" s="13"/>
    </row>
    <row r="2894" spans="35:82">
      <c r="AI2894" s="19"/>
      <c r="AO2894" s="19"/>
      <c r="AY2894" s="145"/>
      <c r="AZ2894" s="16"/>
      <c r="BC2894" s="16"/>
      <c r="BD2894" s="20"/>
      <c r="BE2894" s="17"/>
      <c r="BF2894" s="20"/>
      <c r="BG2894" s="146"/>
      <c r="BH2894" s="146"/>
      <c r="BI2894" s="146"/>
      <c r="BJ2894" s="20"/>
      <c r="BK2894" s="20"/>
      <c r="BL2894" s="13"/>
      <c r="BP2894" s="20"/>
      <c r="BQ2894" s="13"/>
      <c r="BR2894" s="18"/>
      <c r="BS2894" s="16"/>
      <c r="BT2894" s="18"/>
      <c r="BU2894" s="18"/>
      <c r="BV2894" s="18"/>
      <c r="BW2894" s="20"/>
      <c r="BX2894" s="13"/>
      <c r="BY2894" s="18"/>
      <c r="BZ2894" s="146"/>
      <c r="CA2894" s="18"/>
      <c r="CB2894" s="18"/>
      <c r="CC2894" s="20"/>
      <c r="CD2894" s="13"/>
    </row>
    <row r="2895" spans="35:82">
      <c r="AI2895" s="19"/>
      <c r="AO2895" s="19"/>
      <c r="AY2895" s="145"/>
      <c r="AZ2895" s="16"/>
      <c r="BC2895" s="16"/>
      <c r="BD2895" s="20"/>
      <c r="BE2895" s="17"/>
      <c r="BF2895" s="20"/>
      <c r="BG2895" s="146"/>
      <c r="BH2895" s="146"/>
      <c r="BI2895" s="146"/>
      <c r="BJ2895" s="20"/>
      <c r="BK2895" s="20"/>
      <c r="BL2895" s="13"/>
      <c r="BP2895" s="20"/>
      <c r="BQ2895" s="13"/>
      <c r="BR2895" s="18"/>
      <c r="BS2895" s="16"/>
      <c r="BT2895" s="18"/>
      <c r="BU2895" s="18"/>
      <c r="BV2895" s="18"/>
      <c r="BW2895" s="20"/>
      <c r="BX2895" s="13"/>
      <c r="BY2895" s="18"/>
      <c r="BZ2895" s="146"/>
      <c r="CA2895" s="18"/>
      <c r="CB2895" s="18"/>
      <c r="CC2895" s="20"/>
      <c r="CD2895" s="13"/>
    </row>
    <row r="2896" spans="35:82">
      <c r="AI2896" s="19"/>
      <c r="AO2896" s="19"/>
      <c r="AY2896" s="145"/>
      <c r="AZ2896" s="16"/>
      <c r="BC2896" s="16"/>
      <c r="BD2896" s="20"/>
      <c r="BE2896" s="17"/>
      <c r="BF2896" s="20"/>
      <c r="BG2896" s="146"/>
      <c r="BH2896" s="146"/>
      <c r="BI2896" s="146"/>
      <c r="BJ2896" s="20"/>
      <c r="BK2896" s="20"/>
      <c r="BL2896" s="13"/>
      <c r="BP2896" s="20"/>
      <c r="BQ2896" s="13"/>
      <c r="BR2896" s="18"/>
      <c r="BS2896" s="16"/>
      <c r="BT2896" s="18"/>
      <c r="BU2896" s="18"/>
      <c r="BV2896" s="18"/>
      <c r="BW2896" s="20"/>
      <c r="BX2896" s="13"/>
      <c r="BY2896" s="18"/>
      <c r="BZ2896" s="146"/>
      <c r="CA2896" s="18"/>
      <c r="CB2896" s="18"/>
      <c r="CC2896" s="20"/>
      <c r="CD2896" s="13"/>
    </row>
    <row r="2897" spans="35:82">
      <c r="AI2897" s="19"/>
      <c r="AO2897" s="19"/>
      <c r="AY2897" s="145"/>
      <c r="AZ2897" s="16"/>
      <c r="BC2897" s="16"/>
      <c r="BD2897" s="20"/>
      <c r="BE2897" s="17"/>
      <c r="BF2897" s="20"/>
      <c r="BG2897" s="146"/>
      <c r="BH2897" s="146"/>
      <c r="BI2897" s="146"/>
      <c r="BJ2897" s="20"/>
      <c r="BK2897" s="20"/>
      <c r="BL2897" s="13"/>
      <c r="BP2897" s="20"/>
      <c r="BQ2897" s="13"/>
      <c r="BR2897" s="18"/>
      <c r="BS2897" s="16"/>
      <c r="BT2897" s="18"/>
      <c r="BU2897" s="18"/>
      <c r="BV2897" s="18"/>
      <c r="BW2897" s="20"/>
      <c r="BX2897" s="13"/>
      <c r="BY2897" s="18"/>
      <c r="BZ2897" s="146"/>
      <c r="CA2897" s="18"/>
      <c r="CB2897" s="18"/>
      <c r="CC2897" s="20"/>
      <c r="CD2897" s="13"/>
    </row>
    <row r="2898" spans="35:82">
      <c r="AI2898" s="19"/>
      <c r="AO2898" s="19"/>
      <c r="AY2898" s="145"/>
      <c r="AZ2898" s="16"/>
      <c r="BC2898" s="16"/>
      <c r="BD2898" s="20"/>
      <c r="BE2898" s="17"/>
      <c r="BF2898" s="20"/>
      <c r="BG2898" s="146"/>
      <c r="BH2898" s="146"/>
      <c r="BI2898" s="146"/>
      <c r="BJ2898" s="20"/>
      <c r="BK2898" s="20"/>
      <c r="BL2898" s="13"/>
      <c r="BP2898" s="20"/>
      <c r="BQ2898" s="13"/>
      <c r="BR2898" s="18"/>
      <c r="BS2898" s="16"/>
      <c r="BT2898" s="18"/>
      <c r="BU2898" s="18"/>
      <c r="BV2898" s="18"/>
      <c r="BW2898" s="20"/>
      <c r="BX2898" s="13"/>
      <c r="BY2898" s="18"/>
      <c r="BZ2898" s="146"/>
      <c r="CA2898" s="18"/>
      <c r="CB2898" s="18"/>
      <c r="CC2898" s="20"/>
      <c r="CD2898" s="13"/>
    </row>
    <row r="2899" spans="35:82">
      <c r="AI2899" s="19"/>
      <c r="AO2899" s="19"/>
      <c r="AY2899" s="145"/>
      <c r="AZ2899" s="16"/>
      <c r="BC2899" s="16"/>
      <c r="BD2899" s="20"/>
      <c r="BE2899" s="17"/>
      <c r="BF2899" s="20"/>
      <c r="BG2899" s="146"/>
      <c r="BH2899" s="146"/>
      <c r="BI2899" s="146"/>
      <c r="BJ2899" s="20"/>
      <c r="BK2899" s="20"/>
      <c r="BL2899" s="13"/>
      <c r="BP2899" s="20"/>
      <c r="BQ2899" s="13"/>
      <c r="BR2899" s="18"/>
      <c r="BS2899" s="16"/>
      <c r="BT2899" s="18"/>
      <c r="BU2899" s="18"/>
      <c r="BV2899" s="18"/>
      <c r="BW2899" s="20"/>
      <c r="BX2899" s="13"/>
      <c r="BY2899" s="18"/>
      <c r="BZ2899" s="146"/>
      <c r="CA2899" s="18"/>
      <c r="CB2899" s="18"/>
      <c r="CC2899" s="20"/>
      <c r="CD2899" s="13"/>
    </row>
    <row r="2900" spans="35:82">
      <c r="AI2900" s="19"/>
      <c r="AO2900" s="19"/>
      <c r="AY2900" s="145"/>
      <c r="AZ2900" s="16"/>
      <c r="BC2900" s="16"/>
      <c r="BD2900" s="20"/>
      <c r="BE2900" s="17"/>
      <c r="BF2900" s="20"/>
      <c r="BG2900" s="146"/>
      <c r="BH2900" s="146"/>
      <c r="BI2900" s="146"/>
      <c r="BJ2900" s="20"/>
      <c r="BK2900" s="20"/>
      <c r="BL2900" s="13"/>
      <c r="BP2900" s="20"/>
      <c r="BQ2900" s="13"/>
      <c r="BR2900" s="18"/>
      <c r="BS2900" s="16"/>
      <c r="BT2900" s="18"/>
      <c r="BU2900" s="18"/>
      <c r="BV2900" s="18"/>
      <c r="BW2900" s="20"/>
      <c r="BX2900" s="13"/>
      <c r="BY2900" s="18"/>
      <c r="BZ2900" s="146"/>
      <c r="CA2900" s="18"/>
      <c r="CB2900" s="18"/>
      <c r="CC2900" s="20"/>
      <c r="CD2900" s="13"/>
    </row>
    <row r="2901" spans="35:82">
      <c r="AI2901" s="19"/>
      <c r="AO2901" s="19"/>
      <c r="AY2901" s="145"/>
      <c r="AZ2901" s="16"/>
      <c r="BC2901" s="16"/>
      <c r="BD2901" s="20"/>
      <c r="BE2901" s="17"/>
      <c r="BF2901" s="20"/>
      <c r="BG2901" s="146"/>
      <c r="BH2901" s="146"/>
      <c r="BI2901" s="146"/>
      <c r="BJ2901" s="20"/>
      <c r="BK2901" s="20"/>
      <c r="BL2901" s="13"/>
      <c r="BP2901" s="20"/>
      <c r="BQ2901" s="13"/>
      <c r="BR2901" s="18"/>
      <c r="BS2901" s="16"/>
      <c r="BT2901" s="18"/>
      <c r="BU2901" s="18"/>
      <c r="BV2901" s="18"/>
      <c r="BW2901" s="20"/>
      <c r="BX2901" s="13"/>
      <c r="BY2901" s="18"/>
      <c r="BZ2901" s="146"/>
      <c r="CA2901" s="18"/>
      <c r="CB2901" s="18"/>
      <c r="CC2901" s="20"/>
      <c r="CD2901" s="13"/>
    </row>
    <row r="2902" spans="35:82">
      <c r="AI2902" s="19"/>
      <c r="AO2902" s="19"/>
      <c r="AY2902" s="145"/>
      <c r="AZ2902" s="16"/>
      <c r="BC2902" s="16"/>
      <c r="BD2902" s="20"/>
      <c r="BE2902" s="17"/>
      <c r="BF2902" s="20"/>
      <c r="BG2902" s="146"/>
      <c r="BH2902" s="146"/>
      <c r="BI2902" s="146"/>
      <c r="BJ2902" s="20"/>
      <c r="BK2902" s="20"/>
      <c r="BL2902" s="13"/>
      <c r="BP2902" s="20"/>
      <c r="BQ2902" s="13"/>
      <c r="BR2902" s="18"/>
      <c r="BS2902" s="16"/>
      <c r="BT2902" s="18"/>
      <c r="BU2902" s="18"/>
      <c r="BV2902" s="18"/>
      <c r="BW2902" s="20"/>
      <c r="BX2902" s="13"/>
      <c r="BY2902" s="18"/>
      <c r="BZ2902" s="146"/>
      <c r="CA2902" s="18"/>
      <c r="CB2902" s="18"/>
      <c r="CC2902" s="20"/>
      <c r="CD2902" s="13"/>
    </row>
    <row r="2903" spans="35:82">
      <c r="AI2903" s="19"/>
      <c r="AO2903" s="19"/>
      <c r="AY2903" s="145"/>
      <c r="AZ2903" s="16"/>
      <c r="BC2903" s="16"/>
      <c r="BD2903" s="20"/>
      <c r="BE2903" s="17"/>
      <c r="BF2903" s="20"/>
      <c r="BG2903" s="146"/>
      <c r="BH2903" s="146"/>
      <c r="BI2903" s="146"/>
      <c r="BJ2903" s="20"/>
      <c r="BK2903" s="20"/>
      <c r="BL2903" s="13"/>
      <c r="BP2903" s="20"/>
      <c r="BQ2903" s="13"/>
      <c r="BR2903" s="18"/>
      <c r="BS2903" s="16"/>
      <c r="BT2903" s="18"/>
      <c r="BU2903" s="18"/>
      <c r="BV2903" s="18"/>
      <c r="BW2903" s="20"/>
      <c r="BX2903" s="13"/>
      <c r="BY2903" s="18"/>
      <c r="BZ2903" s="146"/>
      <c r="CA2903" s="18"/>
      <c r="CB2903" s="18"/>
      <c r="CC2903" s="20"/>
      <c r="CD2903" s="13"/>
    </row>
    <row r="2904" spans="35:82">
      <c r="AI2904" s="19"/>
      <c r="AO2904" s="19"/>
      <c r="AY2904" s="145"/>
      <c r="AZ2904" s="16"/>
      <c r="BC2904" s="16"/>
      <c r="BD2904" s="20"/>
      <c r="BE2904" s="17"/>
      <c r="BF2904" s="20"/>
      <c r="BG2904" s="146"/>
      <c r="BH2904" s="146"/>
      <c r="BI2904" s="146"/>
      <c r="BJ2904" s="20"/>
      <c r="BK2904" s="20"/>
      <c r="BL2904" s="13"/>
      <c r="BP2904" s="20"/>
      <c r="BQ2904" s="13"/>
      <c r="BR2904" s="18"/>
      <c r="BS2904" s="16"/>
      <c r="BT2904" s="18"/>
      <c r="BU2904" s="18"/>
      <c r="BV2904" s="18"/>
      <c r="BW2904" s="20"/>
      <c r="BX2904" s="13"/>
      <c r="BY2904" s="18"/>
      <c r="BZ2904" s="146"/>
      <c r="CA2904" s="18"/>
      <c r="CB2904" s="18"/>
      <c r="CC2904" s="20"/>
      <c r="CD2904" s="13"/>
    </row>
    <row r="2905" spans="35:82">
      <c r="AI2905" s="19"/>
      <c r="AO2905" s="19"/>
      <c r="AY2905" s="145"/>
      <c r="AZ2905" s="16"/>
      <c r="BC2905" s="16"/>
      <c r="BD2905" s="20"/>
      <c r="BE2905" s="17"/>
      <c r="BF2905" s="20"/>
      <c r="BG2905" s="146"/>
      <c r="BH2905" s="146"/>
      <c r="BI2905" s="146"/>
      <c r="BJ2905" s="20"/>
      <c r="BK2905" s="20"/>
      <c r="BL2905" s="13"/>
      <c r="BP2905" s="20"/>
      <c r="BQ2905" s="13"/>
      <c r="BR2905" s="18"/>
      <c r="BS2905" s="16"/>
      <c r="BT2905" s="18"/>
      <c r="BU2905" s="18"/>
      <c r="BV2905" s="18"/>
      <c r="BW2905" s="20"/>
      <c r="BX2905" s="13"/>
      <c r="BY2905" s="18"/>
      <c r="BZ2905" s="146"/>
      <c r="CA2905" s="18"/>
      <c r="CB2905" s="18"/>
      <c r="CC2905" s="20"/>
      <c r="CD2905" s="13"/>
    </row>
    <row r="2906" spans="35:82">
      <c r="AI2906" s="19"/>
      <c r="AO2906" s="19"/>
      <c r="AY2906" s="145"/>
      <c r="AZ2906" s="16"/>
      <c r="BC2906" s="16"/>
      <c r="BD2906" s="20"/>
      <c r="BE2906" s="17"/>
      <c r="BF2906" s="20"/>
      <c r="BG2906" s="146"/>
      <c r="BH2906" s="146"/>
      <c r="BI2906" s="146"/>
      <c r="BJ2906" s="20"/>
      <c r="BK2906" s="20"/>
      <c r="BL2906" s="13"/>
      <c r="BP2906" s="20"/>
      <c r="BQ2906" s="13"/>
      <c r="BR2906" s="18"/>
      <c r="BS2906" s="16"/>
      <c r="BT2906" s="18"/>
      <c r="BU2906" s="18"/>
      <c r="BV2906" s="18"/>
      <c r="BW2906" s="20"/>
      <c r="BX2906" s="13"/>
      <c r="BY2906" s="18"/>
      <c r="BZ2906" s="146"/>
      <c r="CA2906" s="18"/>
      <c r="CB2906" s="18"/>
      <c r="CC2906" s="20"/>
      <c r="CD2906" s="13"/>
    </row>
    <row r="2907" spans="35:82">
      <c r="AI2907" s="19"/>
      <c r="AO2907" s="19"/>
      <c r="AY2907" s="145"/>
      <c r="AZ2907" s="16"/>
      <c r="BC2907" s="16"/>
      <c r="BD2907" s="20"/>
      <c r="BE2907" s="17"/>
      <c r="BF2907" s="20"/>
      <c r="BG2907" s="146"/>
      <c r="BH2907" s="146"/>
      <c r="BI2907" s="146"/>
      <c r="BJ2907" s="20"/>
      <c r="BK2907" s="20"/>
      <c r="BL2907" s="13"/>
      <c r="BP2907" s="20"/>
      <c r="BQ2907" s="13"/>
      <c r="BR2907" s="18"/>
      <c r="BS2907" s="16"/>
      <c r="BT2907" s="18"/>
      <c r="BU2907" s="18"/>
      <c r="BV2907" s="18"/>
      <c r="BW2907" s="20"/>
      <c r="BX2907" s="13"/>
      <c r="BY2907" s="18"/>
      <c r="BZ2907" s="146"/>
      <c r="CA2907" s="18"/>
      <c r="CB2907" s="18"/>
      <c r="CC2907" s="20"/>
      <c r="CD2907" s="13"/>
    </row>
    <row r="2908" spans="35:82">
      <c r="AI2908" s="19"/>
      <c r="AO2908" s="19"/>
      <c r="AY2908" s="145"/>
      <c r="AZ2908" s="16"/>
      <c r="BC2908" s="16"/>
      <c r="BD2908" s="20"/>
      <c r="BE2908" s="17"/>
      <c r="BF2908" s="20"/>
      <c r="BG2908" s="146"/>
      <c r="BH2908" s="146"/>
      <c r="BI2908" s="146"/>
      <c r="BJ2908" s="20"/>
      <c r="BK2908" s="20"/>
      <c r="BL2908" s="13"/>
      <c r="BP2908" s="20"/>
      <c r="BQ2908" s="13"/>
      <c r="BR2908" s="18"/>
      <c r="BS2908" s="16"/>
      <c r="BT2908" s="18"/>
      <c r="BU2908" s="18"/>
      <c r="BV2908" s="18"/>
      <c r="BW2908" s="20"/>
      <c r="BX2908" s="13"/>
      <c r="BY2908" s="18"/>
      <c r="BZ2908" s="146"/>
      <c r="CA2908" s="18"/>
      <c r="CB2908" s="18"/>
      <c r="CC2908" s="20"/>
      <c r="CD2908" s="13"/>
    </row>
    <row r="2909" spans="35:82">
      <c r="AI2909" s="19"/>
      <c r="AO2909" s="19"/>
      <c r="AY2909" s="145"/>
      <c r="AZ2909" s="16"/>
      <c r="BC2909" s="16"/>
      <c r="BD2909" s="20"/>
      <c r="BE2909" s="17"/>
      <c r="BF2909" s="20"/>
      <c r="BG2909" s="146"/>
      <c r="BH2909" s="146"/>
      <c r="BI2909" s="146"/>
      <c r="BJ2909" s="20"/>
      <c r="BK2909" s="20"/>
      <c r="BL2909" s="13"/>
      <c r="BP2909" s="20"/>
      <c r="BQ2909" s="13"/>
      <c r="BR2909" s="18"/>
      <c r="BS2909" s="16"/>
      <c r="BT2909" s="18"/>
      <c r="BU2909" s="18"/>
      <c r="BV2909" s="18"/>
      <c r="BW2909" s="20"/>
      <c r="BX2909" s="13"/>
      <c r="BY2909" s="18"/>
      <c r="BZ2909" s="146"/>
      <c r="CA2909" s="18"/>
      <c r="CB2909" s="18"/>
      <c r="CC2909" s="20"/>
      <c r="CD2909" s="13"/>
    </row>
    <row r="2910" spans="35:82">
      <c r="AI2910" s="19"/>
      <c r="AO2910" s="19"/>
      <c r="AY2910" s="145"/>
      <c r="AZ2910" s="16"/>
      <c r="BC2910" s="16"/>
      <c r="BD2910" s="20"/>
      <c r="BE2910" s="17"/>
      <c r="BF2910" s="20"/>
      <c r="BG2910" s="146"/>
      <c r="BH2910" s="146"/>
      <c r="BI2910" s="146"/>
      <c r="BJ2910" s="20"/>
      <c r="BK2910" s="20"/>
      <c r="BL2910" s="13"/>
      <c r="BP2910" s="20"/>
      <c r="BQ2910" s="13"/>
      <c r="BR2910" s="18"/>
      <c r="BS2910" s="16"/>
      <c r="BT2910" s="18"/>
      <c r="BU2910" s="18"/>
      <c r="BV2910" s="18"/>
      <c r="BW2910" s="20"/>
      <c r="BX2910" s="13"/>
      <c r="BY2910" s="18"/>
      <c r="BZ2910" s="146"/>
      <c r="CA2910" s="18"/>
      <c r="CB2910" s="18"/>
      <c r="CC2910" s="20"/>
      <c r="CD2910" s="13"/>
    </row>
    <row r="2911" spans="35:82">
      <c r="AI2911" s="19"/>
      <c r="AO2911" s="19"/>
      <c r="AY2911" s="145"/>
      <c r="AZ2911" s="16"/>
      <c r="BC2911" s="16"/>
      <c r="BD2911" s="20"/>
      <c r="BE2911" s="17"/>
      <c r="BF2911" s="20"/>
      <c r="BG2911" s="146"/>
      <c r="BH2911" s="146"/>
      <c r="BI2911" s="146"/>
      <c r="BJ2911" s="20"/>
      <c r="BK2911" s="20"/>
      <c r="BL2911" s="13"/>
      <c r="BP2911" s="20"/>
      <c r="BQ2911" s="13"/>
      <c r="BR2911" s="18"/>
      <c r="BS2911" s="16"/>
      <c r="BT2911" s="18"/>
      <c r="BU2911" s="18"/>
      <c r="BV2911" s="18"/>
      <c r="BW2911" s="20"/>
      <c r="BX2911" s="13"/>
      <c r="BY2911" s="18"/>
      <c r="BZ2911" s="146"/>
      <c r="CA2911" s="18"/>
      <c r="CB2911" s="18"/>
      <c r="CC2911" s="20"/>
      <c r="CD2911" s="13"/>
    </row>
    <row r="2912" spans="35:82">
      <c r="AI2912" s="19"/>
      <c r="AO2912" s="19"/>
      <c r="AY2912" s="145"/>
      <c r="AZ2912" s="16"/>
      <c r="BC2912" s="16"/>
      <c r="BD2912" s="20"/>
      <c r="BE2912" s="17"/>
      <c r="BF2912" s="20"/>
      <c r="BG2912" s="146"/>
      <c r="BH2912" s="146"/>
      <c r="BI2912" s="146"/>
      <c r="BJ2912" s="20"/>
      <c r="BK2912" s="20"/>
      <c r="BL2912" s="13"/>
      <c r="BP2912" s="20"/>
      <c r="BQ2912" s="13"/>
      <c r="BR2912" s="18"/>
      <c r="BS2912" s="16"/>
      <c r="BT2912" s="18"/>
      <c r="BU2912" s="18"/>
      <c r="BV2912" s="18"/>
      <c r="BW2912" s="20"/>
      <c r="BX2912" s="13"/>
      <c r="BY2912" s="18"/>
      <c r="BZ2912" s="146"/>
      <c r="CA2912" s="18"/>
      <c r="CB2912" s="18"/>
      <c r="CC2912" s="20"/>
      <c r="CD2912" s="13"/>
    </row>
    <row r="2913" spans="35:82">
      <c r="AI2913" s="19"/>
      <c r="AO2913" s="19"/>
      <c r="AY2913" s="145"/>
      <c r="AZ2913" s="16"/>
      <c r="BC2913" s="16"/>
      <c r="BD2913" s="20"/>
      <c r="BE2913" s="17"/>
      <c r="BF2913" s="20"/>
      <c r="BG2913" s="146"/>
      <c r="BH2913" s="146"/>
      <c r="BI2913" s="146"/>
      <c r="BJ2913" s="20"/>
      <c r="BK2913" s="20"/>
      <c r="BL2913" s="13"/>
      <c r="BP2913" s="20"/>
      <c r="BQ2913" s="13"/>
      <c r="BR2913" s="18"/>
      <c r="BS2913" s="16"/>
      <c r="BT2913" s="18"/>
      <c r="BU2913" s="18"/>
      <c r="BV2913" s="18"/>
      <c r="BW2913" s="20"/>
      <c r="BX2913" s="13"/>
      <c r="BY2913" s="18"/>
      <c r="BZ2913" s="146"/>
      <c r="CA2913" s="18"/>
      <c r="CB2913" s="18"/>
      <c r="CC2913" s="20"/>
      <c r="CD2913" s="13"/>
    </row>
    <row r="2914" spans="35:82">
      <c r="AI2914" s="19"/>
      <c r="AO2914" s="19"/>
      <c r="AY2914" s="145"/>
      <c r="AZ2914" s="16"/>
      <c r="BC2914" s="16"/>
      <c r="BD2914" s="20"/>
      <c r="BE2914" s="17"/>
      <c r="BF2914" s="20"/>
      <c r="BG2914" s="146"/>
      <c r="BH2914" s="146"/>
      <c r="BI2914" s="146"/>
      <c r="BJ2914" s="20"/>
      <c r="BK2914" s="20"/>
      <c r="BL2914" s="13"/>
      <c r="BP2914" s="20"/>
      <c r="BQ2914" s="13"/>
      <c r="BR2914" s="18"/>
      <c r="BS2914" s="16"/>
      <c r="BT2914" s="18"/>
      <c r="BU2914" s="18"/>
      <c r="BV2914" s="18"/>
      <c r="BW2914" s="20"/>
      <c r="BX2914" s="13"/>
      <c r="BY2914" s="18"/>
      <c r="BZ2914" s="146"/>
      <c r="CA2914" s="18"/>
      <c r="CB2914" s="18"/>
      <c r="CC2914" s="20"/>
      <c r="CD2914" s="13"/>
    </row>
    <row r="2915" spans="35:82">
      <c r="AI2915" s="19"/>
      <c r="AO2915" s="19"/>
      <c r="AY2915" s="145"/>
      <c r="AZ2915" s="16"/>
      <c r="BC2915" s="16"/>
      <c r="BD2915" s="20"/>
      <c r="BE2915" s="17"/>
      <c r="BF2915" s="20"/>
      <c r="BG2915" s="146"/>
      <c r="BH2915" s="146"/>
      <c r="BI2915" s="146"/>
      <c r="BJ2915" s="20"/>
      <c r="BK2915" s="20"/>
      <c r="BL2915" s="13"/>
      <c r="BP2915" s="20"/>
      <c r="BQ2915" s="13"/>
      <c r="BR2915" s="18"/>
      <c r="BS2915" s="16"/>
      <c r="BT2915" s="18"/>
      <c r="BU2915" s="18"/>
      <c r="BV2915" s="18"/>
      <c r="BW2915" s="20"/>
      <c r="BX2915" s="13"/>
      <c r="BY2915" s="18"/>
      <c r="BZ2915" s="146"/>
      <c r="CA2915" s="18"/>
      <c r="CB2915" s="18"/>
      <c r="CC2915" s="20"/>
      <c r="CD2915" s="13"/>
    </row>
    <row r="2916" spans="35:82">
      <c r="AI2916" s="19"/>
      <c r="AO2916" s="19"/>
      <c r="AY2916" s="145"/>
      <c r="AZ2916" s="16"/>
      <c r="BC2916" s="16"/>
      <c r="BD2916" s="20"/>
      <c r="BE2916" s="17"/>
      <c r="BF2916" s="20"/>
      <c r="BG2916" s="146"/>
      <c r="BH2916" s="146"/>
      <c r="BI2916" s="146"/>
      <c r="BJ2916" s="20"/>
      <c r="BK2916" s="20"/>
      <c r="BL2916" s="13"/>
      <c r="BP2916" s="20"/>
      <c r="BQ2916" s="13"/>
      <c r="BR2916" s="18"/>
      <c r="BS2916" s="16"/>
      <c r="BT2916" s="18"/>
      <c r="BU2916" s="18"/>
      <c r="BV2916" s="18"/>
      <c r="BW2916" s="20"/>
      <c r="BX2916" s="13"/>
      <c r="BY2916" s="18"/>
      <c r="BZ2916" s="146"/>
      <c r="CA2916" s="18"/>
      <c r="CB2916" s="18"/>
      <c r="CC2916" s="20"/>
      <c r="CD2916" s="13"/>
    </row>
    <row r="2917" spans="35:82">
      <c r="AI2917" s="19"/>
      <c r="AO2917" s="19"/>
      <c r="AY2917" s="145"/>
      <c r="AZ2917" s="16"/>
      <c r="BC2917" s="16"/>
      <c r="BD2917" s="20"/>
      <c r="BE2917" s="17"/>
      <c r="BF2917" s="20"/>
      <c r="BG2917" s="146"/>
      <c r="BH2917" s="146"/>
      <c r="BI2917" s="146"/>
      <c r="BJ2917" s="20"/>
      <c r="BK2917" s="20"/>
      <c r="BL2917" s="13"/>
      <c r="BP2917" s="20"/>
      <c r="BQ2917" s="13"/>
      <c r="BR2917" s="18"/>
      <c r="BS2917" s="16"/>
      <c r="BT2917" s="18"/>
      <c r="BU2917" s="18"/>
      <c r="BV2917" s="18"/>
      <c r="BW2917" s="20"/>
      <c r="BX2917" s="13"/>
      <c r="BY2917" s="18"/>
      <c r="BZ2917" s="146"/>
      <c r="CA2917" s="18"/>
      <c r="CB2917" s="18"/>
      <c r="CC2917" s="20"/>
      <c r="CD2917" s="13"/>
    </row>
    <row r="2918" spans="35:82">
      <c r="AI2918" s="19"/>
      <c r="AO2918" s="19"/>
      <c r="AY2918" s="145"/>
      <c r="AZ2918" s="16"/>
      <c r="BC2918" s="16"/>
      <c r="BD2918" s="20"/>
      <c r="BE2918" s="17"/>
      <c r="BF2918" s="20"/>
      <c r="BG2918" s="146"/>
      <c r="BH2918" s="146"/>
      <c r="BI2918" s="146"/>
      <c r="BJ2918" s="20"/>
      <c r="BK2918" s="20"/>
      <c r="BL2918" s="13"/>
      <c r="BP2918" s="20"/>
      <c r="BQ2918" s="13"/>
      <c r="BR2918" s="18"/>
      <c r="BS2918" s="16"/>
      <c r="BT2918" s="18"/>
      <c r="BU2918" s="18"/>
      <c r="BV2918" s="18"/>
      <c r="BW2918" s="20"/>
      <c r="BX2918" s="13"/>
      <c r="BY2918" s="18"/>
      <c r="BZ2918" s="146"/>
      <c r="CA2918" s="18"/>
      <c r="CB2918" s="18"/>
      <c r="CC2918" s="20"/>
      <c r="CD2918" s="13"/>
    </row>
    <row r="2919" spans="35:82">
      <c r="AI2919" s="19"/>
      <c r="AO2919" s="19"/>
      <c r="AY2919" s="145"/>
      <c r="AZ2919" s="16"/>
      <c r="BC2919" s="16"/>
      <c r="BD2919" s="20"/>
      <c r="BE2919" s="17"/>
      <c r="BF2919" s="20"/>
      <c r="BG2919" s="146"/>
      <c r="BH2919" s="146"/>
      <c r="BI2919" s="146"/>
      <c r="BJ2919" s="20"/>
      <c r="BK2919" s="20"/>
      <c r="BL2919" s="13"/>
      <c r="BP2919" s="20"/>
      <c r="BQ2919" s="13"/>
      <c r="BR2919" s="18"/>
      <c r="BS2919" s="16"/>
      <c r="BT2919" s="18"/>
      <c r="BU2919" s="18"/>
      <c r="BV2919" s="18"/>
      <c r="BW2919" s="20"/>
      <c r="BX2919" s="13"/>
      <c r="BY2919" s="18"/>
      <c r="BZ2919" s="146"/>
      <c r="CA2919" s="18"/>
      <c r="CB2919" s="18"/>
      <c r="CC2919" s="20"/>
      <c r="CD2919" s="13"/>
    </row>
    <row r="2920" spans="35:82">
      <c r="AI2920" s="19"/>
      <c r="AO2920" s="19"/>
      <c r="AY2920" s="145"/>
      <c r="AZ2920" s="16"/>
      <c r="BC2920" s="16"/>
      <c r="BD2920" s="20"/>
      <c r="BE2920" s="17"/>
      <c r="BF2920" s="20"/>
      <c r="BG2920" s="146"/>
      <c r="BH2920" s="146"/>
      <c r="BI2920" s="146"/>
      <c r="BJ2920" s="20"/>
      <c r="BK2920" s="20"/>
      <c r="BL2920" s="13"/>
      <c r="BP2920" s="20"/>
      <c r="BQ2920" s="13"/>
      <c r="BR2920" s="18"/>
      <c r="BS2920" s="16"/>
      <c r="BT2920" s="18"/>
      <c r="BU2920" s="18"/>
      <c r="BV2920" s="18"/>
      <c r="BW2920" s="20"/>
      <c r="BX2920" s="13"/>
      <c r="BY2920" s="18"/>
      <c r="BZ2920" s="146"/>
      <c r="CA2920" s="18"/>
      <c r="CB2920" s="18"/>
      <c r="CC2920" s="20"/>
      <c r="CD2920" s="13"/>
    </row>
    <row r="2921" spans="35:82">
      <c r="AI2921" s="19"/>
      <c r="AO2921" s="19"/>
      <c r="AY2921" s="145"/>
      <c r="AZ2921" s="16"/>
      <c r="BC2921" s="16"/>
      <c r="BD2921" s="20"/>
      <c r="BE2921" s="17"/>
      <c r="BF2921" s="20"/>
      <c r="BG2921" s="146"/>
      <c r="BH2921" s="146"/>
      <c r="BI2921" s="146"/>
      <c r="BJ2921" s="20"/>
      <c r="BK2921" s="20"/>
      <c r="BL2921" s="13"/>
      <c r="BP2921" s="20"/>
      <c r="BQ2921" s="13"/>
      <c r="BR2921" s="18"/>
      <c r="BS2921" s="16"/>
      <c r="BT2921" s="18"/>
      <c r="BU2921" s="18"/>
      <c r="BV2921" s="18"/>
      <c r="BW2921" s="20"/>
      <c r="BX2921" s="13"/>
      <c r="BY2921" s="18"/>
      <c r="BZ2921" s="146"/>
      <c r="CA2921" s="18"/>
      <c r="CB2921" s="18"/>
      <c r="CC2921" s="20"/>
      <c r="CD2921" s="13"/>
    </row>
    <row r="2922" spans="35:82">
      <c r="AI2922" s="19"/>
      <c r="AO2922" s="19"/>
      <c r="AY2922" s="145"/>
      <c r="AZ2922" s="16"/>
      <c r="BC2922" s="16"/>
      <c r="BD2922" s="20"/>
      <c r="BE2922" s="17"/>
      <c r="BF2922" s="20"/>
      <c r="BG2922" s="146"/>
      <c r="BH2922" s="146"/>
      <c r="BI2922" s="146"/>
      <c r="BJ2922" s="20"/>
      <c r="BK2922" s="20"/>
      <c r="BL2922" s="13"/>
      <c r="BP2922" s="20"/>
      <c r="BQ2922" s="13"/>
      <c r="BR2922" s="18"/>
      <c r="BS2922" s="16"/>
      <c r="BT2922" s="18"/>
      <c r="BU2922" s="18"/>
      <c r="BV2922" s="18"/>
      <c r="BW2922" s="20"/>
      <c r="BX2922" s="13"/>
      <c r="BY2922" s="18"/>
      <c r="BZ2922" s="146"/>
      <c r="CA2922" s="18"/>
      <c r="CB2922" s="18"/>
      <c r="CC2922" s="20"/>
      <c r="CD2922" s="13"/>
    </row>
    <row r="2923" spans="35:82">
      <c r="AI2923" s="19"/>
      <c r="AO2923" s="19"/>
      <c r="AY2923" s="145"/>
      <c r="AZ2923" s="16"/>
      <c r="BC2923" s="16"/>
      <c r="BD2923" s="20"/>
      <c r="BE2923" s="17"/>
      <c r="BF2923" s="20"/>
      <c r="BG2923" s="146"/>
      <c r="BH2923" s="146"/>
      <c r="BI2923" s="146"/>
      <c r="BJ2923" s="20"/>
      <c r="BK2923" s="20"/>
      <c r="BL2923" s="13"/>
      <c r="BP2923" s="20"/>
      <c r="BQ2923" s="13"/>
      <c r="BR2923" s="18"/>
      <c r="BS2923" s="16"/>
      <c r="BT2923" s="18"/>
      <c r="BU2923" s="18"/>
      <c r="BV2923" s="18"/>
      <c r="BW2923" s="20"/>
      <c r="BX2923" s="13"/>
      <c r="BY2923" s="18"/>
      <c r="BZ2923" s="146"/>
      <c r="CA2923" s="18"/>
      <c r="CB2923" s="18"/>
      <c r="CC2923" s="20"/>
      <c r="CD2923" s="13"/>
    </row>
    <row r="2924" spans="35:82">
      <c r="AI2924" s="19"/>
      <c r="AO2924" s="19"/>
      <c r="AY2924" s="145"/>
      <c r="AZ2924" s="16"/>
      <c r="BC2924" s="16"/>
      <c r="BD2924" s="20"/>
      <c r="BE2924" s="17"/>
      <c r="BF2924" s="20"/>
      <c r="BG2924" s="146"/>
      <c r="BH2924" s="146"/>
      <c r="BI2924" s="146"/>
      <c r="BJ2924" s="20"/>
      <c r="BK2924" s="20"/>
      <c r="BL2924" s="13"/>
      <c r="BP2924" s="20"/>
      <c r="BQ2924" s="13"/>
      <c r="BR2924" s="18"/>
      <c r="BS2924" s="16"/>
      <c r="BT2924" s="18"/>
      <c r="BU2924" s="18"/>
      <c r="BV2924" s="18"/>
      <c r="BW2924" s="20"/>
      <c r="BX2924" s="13"/>
      <c r="BY2924" s="18"/>
      <c r="BZ2924" s="146"/>
      <c r="CA2924" s="18"/>
      <c r="CB2924" s="18"/>
      <c r="CC2924" s="20"/>
      <c r="CD2924" s="13"/>
    </row>
    <row r="2925" spans="35:82">
      <c r="AI2925" s="19"/>
      <c r="AO2925" s="19"/>
      <c r="AY2925" s="145"/>
      <c r="AZ2925" s="16"/>
      <c r="BC2925" s="16"/>
      <c r="BD2925" s="20"/>
      <c r="BE2925" s="17"/>
      <c r="BF2925" s="20"/>
      <c r="BG2925" s="146"/>
      <c r="BH2925" s="146"/>
      <c r="BI2925" s="146"/>
      <c r="BJ2925" s="20"/>
      <c r="BK2925" s="20"/>
      <c r="BL2925" s="13"/>
      <c r="BP2925" s="20"/>
      <c r="BQ2925" s="13"/>
      <c r="BR2925" s="18"/>
      <c r="BS2925" s="16"/>
      <c r="BT2925" s="18"/>
      <c r="BU2925" s="18"/>
      <c r="BV2925" s="18"/>
      <c r="BW2925" s="20"/>
      <c r="BX2925" s="13"/>
      <c r="BY2925" s="18"/>
      <c r="BZ2925" s="146"/>
      <c r="CA2925" s="18"/>
      <c r="CB2925" s="18"/>
      <c r="CC2925" s="20"/>
      <c r="CD2925" s="13"/>
    </row>
    <row r="2926" spans="35:82">
      <c r="AI2926" s="19"/>
      <c r="AO2926" s="19"/>
      <c r="AY2926" s="145"/>
      <c r="AZ2926" s="16"/>
      <c r="BC2926" s="16"/>
      <c r="BD2926" s="20"/>
      <c r="BE2926" s="17"/>
      <c r="BF2926" s="20"/>
      <c r="BG2926" s="146"/>
      <c r="BH2926" s="146"/>
      <c r="BI2926" s="146"/>
      <c r="BJ2926" s="20"/>
      <c r="BK2926" s="20"/>
      <c r="BL2926" s="13"/>
      <c r="BP2926" s="20"/>
      <c r="BQ2926" s="13"/>
      <c r="BR2926" s="18"/>
      <c r="BS2926" s="16"/>
      <c r="BT2926" s="18"/>
      <c r="BU2926" s="18"/>
      <c r="BV2926" s="18"/>
      <c r="BW2926" s="20"/>
      <c r="BX2926" s="13"/>
      <c r="BY2926" s="18"/>
      <c r="BZ2926" s="146"/>
      <c r="CA2926" s="18"/>
      <c r="CB2926" s="18"/>
      <c r="CC2926" s="20"/>
      <c r="CD2926" s="13"/>
    </row>
    <row r="2927" spans="35:82">
      <c r="AI2927" s="19"/>
      <c r="AO2927" s="19"/>
      <c r="AY2927" s="145"/>
      <c r="AZ2927" s="16"/>
      <c r="BC2927" s="16"/>
      <c r="BD2927" s="20"/>
      <c r="BE2927" s="17"/>
      <c r="BF2927" s="20"/>
      <c r="BG2927" s="146"/>
      <c r="BH2927" s="146"/>
      <c r="BI2927" s="146"/>
      <c r="BJ2927" s="20"/>
      <c r="BK2927" s="20"/>
      <c r="BL2927" s="13"/>
      <c r="BP2927" s="20"/>
      <c r="BQ2927" s="13"/>
      <c r="BR2927" s="18"/>
      <c r="BS2927" s="16"/>
      <c r="BT2927" s="18"/>
      <c r="BU2927" s="18"/>
      <c r="BV2927" s="18"/>
      <c r="BW2927" s="20"/>
      <c r="BX2927" s="13"/>
      <c r="BY2927" s="18"/>
      <c r="BZ2927" s="146"/>
      <c r="CA2927" s="18"/>
      <c r="CB2927" s="18"/>
      <c r="CC2927" s="20"/>
      <c r="CD2927" s="13"/>
    </row>
    <row r="2928" spans="35:82">
      <c r="AI2928" s="19"/>
      <c r="AO2928" s="19"/>
      <c r="AY2928" s="145"/>
      <c r="AZ2928" s="16"/>
      <c r="BC2928" s="16"/>
      <c r="BD2928" s="20"/>
      <c r="BE2928" s="17"/>
      <c r="BF2928" s="20"/>
      <c r="BG2928" s="146"/>
      <c r="BH2928" s="146"/>
      <c r="BI2928" s="146"/>
      <c r="BJ2928" s="20"/>
      <c r="BK2928" s="20"/>
      <c r="BL2928" s="13"/>
      <c r="BP2928" s="20"/>
      <c r="BQ2928" s="13"/>
      <c r="BR2928" s="18"/>
      <c r="BS2928" s="16"/>
      <c r="BT2928" s="18"/>
      <c r="BU2928" s="18"/>
      <c r="BV2928" s="18"/>
      <c r="BW2928" s="20"/>
      <c r="BX2928" s="13"/>
      <c r="BY2928" s="18"/>
      <c r="BZ2928" s="146"/>
      <c r="CA2928" s="18"/>
      <c r="CB2928" s="18"/>
      <c r="CC2928" s="20"/>
      <c r="CD2928" s="13"/>
    </row>
    <row r="2929" spans="35:82">
      <c r="AI2929" s="19"/>
      <c r="AO2929" s="19"/>
      <c r="AY2929" s="145"/>
      <c r="AZ2929" s="16"/>
      <c r="BC2929" s="16"/>
      <c r="BD2929" s="20"/>
      <c r="BE2929" s="17"/>
      <c r="BF2929" s="20"/>
      <c r="BG2929" s="146"/>
      <c r="BH2929" s="146"/>
      <c r="BI2929" s="146"/>
      <c r="BJ2929" s="20"/>
      <c r="BK2929" s="20"/>
      <c r="BL2929" s="13"/>
      <c r="BP2929" s="20"/>
      <c r="BQ2929" s="13"/>
      <c r="BR2929" s="18"/>
      <c r="BS2929" s="16"/>
      <c r="BT2929" s="18"/>
      <c r="BU2929" s="18"/>
      <c r="BV2929" s="18"/>
      <c r="BW2929" s="20"/>
      <c r="BX2929" s="13"/>
      <c r="BY2929" s="18"/>
      <c r="BZ2929" s="146"/>
      <c r="CA2929" s="18"/>
      <c r="CB2929" s="18"/>
      <c r="CC2929" s="20"/>
      <c r="CD2929" s="13"/>
    </row>
    <row r="2930" spans="35:82">
      <c r="AI2930" s="19"/>
      <c r="AO2930" s="19"/>
      <c r="AY2930" s="145"/>
      <c r="AZ2930" s="16"/>
      <c r="BC2930" s="16"/>
      <c r="BD2930" s="20"/>
      <c r="BE2930" s="17"/>
      <c r="BF2930" s="20"/>
      <c r="BG2930" s="146"/>
      <c r="BH2930" s="146"/>
      <c r="BI2930" s="146"/>
      <c r="BJ2930" s="20"/>
      <c r="BK2930" s="20"/>
      <c r="BL2930" s="13"/>
      <c r="BP2930" s="20"/>
      <c r="BQ2930" s="13"/>
      <c r="BR2930" s="18"/>
      <c r="BS2930" s="16"/>
      <c r="BT2930" s="18"/>
      <c r="BU2930" s="18"/>
      <c r="BV2930" s="18"/>
      <c r="BW2930" s="20"/>
      <c r="BX2930" s="13"/>
      <c r="BY2930" s="18"/>
      <c r="BZ2930" s="146"/>
      <c r="CA2930" s="18"/>
      <c r="CB2930" s="18"/>
      <c r="CC2930" s="20"/>
      <c r="CD2930" s="13"/>
    </row>
    <row r="2931" spans="35:82">
      <c r="AI2931" s="19"/>
      <c r="AO2931" s="19"/>
      <c r="AY2931" s="145"/>
      <c r="AZ2931" s="16"/>
      <c r="BC2931" s="16"/>
      <c r="BD2931" s="20"/>
      <c r="BE2931" s="17"/>
      <c r="BF2931" s="20"/>
      <c r="BG2931" s="146"/>
      <c r="BH2931" s="146"/>
      <c r="BI2931" s="146"/>
      <c r="BJ2931" s="20"/>
      <c r="BK2931" s="20"/>
      <c r="BL2931" s="13"/>
      <c r="BP2931" s="20"/>
      <c r="BQ2931" s="13"/>
      <c r="BR2931" s="18"/>
      <c r="BS2931" s="16"/>
      <c r="BT2931" s="18"/>
      <c r="BU2931" s="18"/>
      <c r="BV2931" s="18"/>
      <c r="BW2931" s="20"/>
      <c r="BX2931" s="13"/>
      <c r="BY2931" s="18"/>
      <c r="BZ2931" s="146"/>
      <c r="CA2931" s="18"/>
      <c r="CB2931" s="18"/>
      <c r="CC2931" s="20"/>
      <c r="CD2931" s="13"/>
    </row>
    <row r="2932" spans="35:82">
      <c r="AI2932" s="19"/>
      <c r="AO2932" s="19"/>
      <c r="AY2932" s="145"/>
      <c r="AZ2932" s="16"/>
      <c r="BC2932" s="16"/>
      <c r="BD2932" s="20"/>
      <c r="BE2932" s="17"/>
      <c r="BF2932" s="20"/>
      <c r="BG2932" s="146"/>
      <c r="BH2932" s="146"/>
      <c r="BI2932" s="146"/>
      <c r="BJ2932" s="20"/>
      <c r="BK2932" s="20"/>
      <c r="BL2932" s="13"/>
      <c r="BP2932" s="20"/>
      <c r="BQ2932" s="13"/>
      <c r="BR2932" s="18"/>
      <c r="BS2932" s="16"/>
      <c r="BT2932" s="18"/>
      <c r="BU2932" s="18"/>
      <c r="BV2932" s="18"/>
      <c r="BW2932" s="20"/>
      <c r="BX2932" s="13"/>
      <c r="BY2932" s="18"/>
      <c r="BZ2932" s="146"/>
      <c r="CA2932" s="18"/>
      <c r="CB2932" s="18"/>
      <c r="CC2932" s="20"/>
      <c r="CD2932" s="13"/>
    </row>
    <row r="2933" spans="35:82">
      <c r="AI2933" s="19"/>
      <c r="AO2933" s="19"/>
      <c r="AY2933" s="145"/>
      <c r="AZ2933" s="16"/>
      <c r="BC2933" s="16"/>
      <c r="BD2933" s="20"/>
      <c r="BE2933" s="17"/>
      <c r="BF2933" s="20"/>
      <c r="BG2933" s="146"/>
      <c r="BH2933" s="146"/>
      <c r="BI2933" s="146"/>
      <c r="BJ2933" s="20"/>
      <c r="BK2933" s="20"/>
      <c r="BL2933" s="13"/>
      <c r="BP2933" s="20"/>
      <c r="BQ2933" s="13"/>
      <c r="BR2933" s="18"/>
      <c r="BS2933" s="16"/>
      <c r="BT2933" s="18"/>
      <c r="BU2933" s="18"/>
      <c r="BV2933" s="18"/>
      <c r="BW2933" s="20"/>
      <c r="BX2933" s="13"/>
      <c r="BY2933" s="18"/>
      <c r="BZ2933" s="146"/>
      <c r="CA2933" s="18"/>
      <c r="CB2933" s="18"/>
      <c r="CC2933" s="20"/>
      <c r="CD2933" s="13"/>
    </row>
    <row r="2934" spans="35:82">
      <c r="AI2934" s="19"/>
      <c r="AO2934" s="19"/>
      <c r="AY2934" s="145"/>
      <c r="AZ2934" s="16"/>
      <c r="BC2934" s="16"/>
      <c r="BD2934" s="20"/>
      <c r="BE2934" s="17"/>
      <c r="BF2934" s="20"/>
      <c r="BG2934" s="146"/>
      <c r="BH2934" s="146"/>
      <c r="BI2934" s="146"/>
      <c r="BJ2934" s="20"/>
      <c r="BK2934" s="20"/>
      <c r="BL2934" s="13"/>
      <c r="BP2934" s="20"/>
      <c r="BQ2934" s="13"/>
      <c r="BR2934" s="18"/>
      <c r="BS2934" s="16"/>
      <c r="BT2934" s="18"/>
      <c r="BU2934" s="18"/>
      <c r="BV2934" s="18"/>
      <c r="BW2934" s="20"/>
      <c r="BX2934" s="13"/>
      <c r="BY2934" s="18"/>
      <c r="BZ2934" s="146"/>
      <c r="CA2934" s="18"/>
      <c r="CB2934" s="18"/>
      <c r="CC2934" s="20"/>
      <c r="CD2934" s="13"/>
    </row>
    <row r="2935" spans="35:82">
      <c r="AI2935" s="19"/>
      <c r="AO2935" s="19"/>
      <c r="AY2935" s="145"/>
      <c r="AZ2935" s="16"/>
      <c r="BC2935" s="16"/>
      <c r="BD2935" s="20"/>
      <c r="BE2935" s="17"/>
      <c r="BF2935" s="20"/>
      <c r="BG2935" s="146"/>
      <c r="BH2935" s="146"/>
      <c r="BI2935" s="146"/>
      <c r="BJ2935" s="20"/>
      <c r="BK2935" s="20"/>
      <c r="BL2935" s="13"/>
      <c r="BP2935" s="20"/>
      <c r="BQ2935" s="13"/>
      <c r="BR2935" s="18"/>
      <c r="BS2935" s="16"/>
      <c r="BT2935" s="18"/>
      <c r="BU2935" s="18"/>
      <c r="BV2935" s="18"/>
      <c r="BW2935" s="20"/>
      <c r="BX2935" s="13"/>
      <c r="BY2935" s="18"/>
      <c r="BZ2935" s="146"/>
      <c r="CA2935" s="18"/>
      <c r="CB2935" s="18"/>
      <c r="CC2935" s="20"/>
      <c r="CD2935" s="13"/>
    </row>
    <row r="2936" spans="35:82">
      <c r="AI2936" s="19"/>
      <c r="AO2936" s="19"/>
      <c r="AY2936" s="145"/>
      <c r="AZ2936" s="16"/>
      <c r="BC2936" s="16"/>
      <c r="BD2936" s="20"/>
      <c r="BE2936" s="17"/>
      <c r="BF2936" s="20"/>
      <c r="BG2936" s="146"/>
      <c r="BH2936" s="146"/>
      <c r="BI2936" s="146"/>
      <c r="BJ2936" s="20"/>
      <c r="BK2936" s="20"/>
      <c r="BL2936" s="13"/>
      <c r="BP2936" s="20"/>
      <c r="BQ2936" s="13"/>
      <c r="BR2936" s="18"/>
      <c r="BS2936" s="16"/>
      <c r="BT2936" s="18"/>
      <c r="BU2936" s="18"/>
      <c r="BV2936" s="18"/>
      <c r="BW2936" s="20"/>
      <c r="BX2936" s="13"/>
      <c r="BY2936" s="18"/>
      <c r="BZ2936" s="146"/>
      <c r="CA2936" s="18"/>
      <c r="CB2936" s="18"/>
      <c r="CC2936" s="20"/>
      <c r="CD2936" s="13"/>
    </row>
    <row r="2937" spans="35:82">
      <c r="AI2937" s="19"/>
      <c r="AO2937" s="19"/>
      <c r="AY2937" s="145"/>
      <c r="AZ2937" s="16"/>
      <c r="BC2937" s="16"/>
      <c r="BD2937" s="20"/>
      <c r="BE2937" s="17"/>
      <c r="BF2937" s="20"/>
      <c r="BG2937" s="146"/>
      <c r="BH2937" s="146"/>
      <c r="BI2937" s="146"/>
      <c r="BJ2937" s="20"/>
      <c r="BK2937" s="20"/>
      <c r="BL2937" s="13"/>
      <c r="BP2937" s="20"/>
      <c r="BQ2937" s="13"/>
      <c r="BR2937" s="18"/>
      <c r="BS2937" s="16"/>
      <c r="BT2937" s="18"/>
      <c r="BU2937" s="18"/>
      <c r="BV2937" s="18"/>
      <c r="BW2937" s="20"/>
      <c r="BX2937" s="13"/>
      <c r="BY2937" s="18"/>
      <c r="BZ2937" s="146"/>
      <c r="CA2937" s="18"/>
      <c r="CB2937" s="18"/>
      <c r="CC2937" s="20"/>
      <c r="CD2937" s="13"/>
    </row>
    <row r="2938" spans="35:82">
      <c r="AI2938" s="19"/>
      <c r="AO2938" s="19"/>
      <c r="AY2938" s="145"/>
      <c r="AZ2938" s="16"/>
      <c r="BC2938" s="16"/>
      <c r="BD2938" s="20"/>
      <c r="BE2938" s="17"/>
      <c r="BF2938" s="20"/>
      <c r="BG2938" s="146"/>
      <c r="BH2938" s="146"/>
      <c r="BI2938" s="146"/>
      <c r="BJ2938" s="20"/>
      <c r="BK2938" s="20"/>
      <c r="BL2938" s="13"/>
      <c r="BP2938" s="20"/>
      <c r="BQ2938" s="13"/>
      <c r="BR2938" s="18"/>
      <c r="BS2938" s="16"/>
      <c r="BT2938" s="18"/>
      <c r="BU2938" s="18"/>
      <c r="BV2938" s="18"/>
      <c r="BW2938" s="20"/>
      <c r="BX2938" s="13"/>
      <c r="BY2938" s="18"/>
      <c r="BZ2938" s="146"/>
      <c r="CA2938" s="18"/>
      <c r="CB2938" s="18"/>
      <c r="CC2938" s="20"/>
      <c r="CD2938" s="13"/>
    </row>
    <row r="2939" spans="35:82">
      <c r="AI2939" s="19"/>
      <c r="AO2939" s="19"/>
      <c r="AY2939" s="145"/>
      <c r="AZ2939" s="16"/>
      <c r="BC2939" s="16"/>
      <c r="BD2939" s="20"/>
      <c r="BE2939" s="17"/>
      <c r="BF2939" s="20"/>
      <c r="BG2939" s="146"/>
      <c r="BH2939" s="146"/>
      <c r="BI2939" s="146"/>
      <c r="BJ2939" s="20"/>
      <c r="BK2939" s="20"/>
      <c r="BL2939" s="13"/>
      <c r="BP2939" s="20"/>
      <c r="BQ2939" s="13"/>
      <c r="BR2939" s="18"/>
      <c r="BS2939" s="16"/>
      <c r="BT2939" s="18"/>
      <c r="BU2939" s="18"/>
      <c r="BV2939" s="18"/>
      <c r="BW2939" s="20"/>
      <c r="BX2939" s="13"/>
      <c r="BY2939" s="18"/>
      <c r="BZ2939" s="146"/>
      <c r="CA2939" s="18"/>
      <c r="CB2939" s="18"/>
      <c r="CC2939" s="20"/>
      <c r="CD2939" s="13"/>
    </row>
    <row r="2940" spans="35:82">
      <c r="AI2940" s="19"/>
      <c r="AO2940" s="19"/>
      <c r="AY2940" s="145"/>
      <c r="AZ2940" s="16"/>
      <c r="BC2940" s="16"/>
      <c r="BD2940" s="20"/>
      <c r="BE2940" s="17"/>
      <c r="BF2940" s="20"/>
      <c r="BG2940" s="146"/>
      <c r="BH2940" s="146"/>
      <c r="BI2940" s="146"/>
      <c r="BJ2940" s="20"/>
      <c r="BK2940" s="20"/>
      <c r="BL2940" s="13"/>
      <c r="BP2940" s="20"/>
      <c r="BQ2940" s="13"/>
      <c r="BR2940" s="18"/>
      <c r="BS2940" s="16"/>
      <c r="BT2940" s="18"/>
      <c r="BU2940" s="18"/>
      <c r="BV2940" s="18"/>
      <c r="BW2940" s="20"/>
      <c r="BX2940" s="13"/>
      <c r="BY2940" s="18"/>
      <c r="BZ2940" s="146"/>
      <c r="CA2940" s="18"/>
      <c r="CB2940" s="18"/>
      <c r="CC2940" s="20"/>
      <c r="CD2940" s="13"/>
    </row>
    <row r="2941" spans="35:82">
      <c r="AI2941" s="19"/>
      <c r="AO2941" s="19"/>
      <c r="AY2941" s="145"/>
      <c r="AZ2941" s="16"/>
      <c r="BC2941" s="16"/>
      <c r="BD2941" s="20"/>
      <c r="BE2941" s="17"/>
      <c r="BF2941" s="20"/>
      <c r="BG2941" s="146"/>
      <c r="BH2941" s="146"/>
      <c r="BI2941" s="146"/>
      <c r="BJ2941" s="20"/>
      <c r="BK2941" s="20"/>
      <c r="BL2941" s="13"/>
      <c r="BP2941" s="20"/>
      <c r="BQ2941" s="13"/>
      <c r="BR2941" s="18"/>
      <c r="BS2941" s="16"/>
      <c r="BT2941" s="18"/>
      <c r="BU2941" s="18"/>
      <c r="BV2941" s="18"/>
      <c r="BW2941" s="20"/>
      <c r="BX2941" s="13"/>
      <c r="BY2941" s="18"/>
      <c r="BZ2941" s="146"/>
      <c r="CA2941" s="18"/>
      <c r="CB2941" s="18"/>
      <c r="CC2941" s="20"/>
      <c r="CD2941" s="13"/>
    </row>
    <row r="2942" spans="35:82">
      <c r="AI2942" s="19"/>
      <c r="AO2942" s="19"/>
      <c r="AY2942" s="145"/>
      <c r="AZ2942" s="16"/>
      <c r="BC2942" s="16"/>
      <c r="BD2942" s="20"/>
      <c r="BE2942" s="17"/>
      <c r="BF2942" s="20"/>
      <c r="BG2942" s="146"/>
      <c r="BH2942" s="146"/>
      <c r="BI2942" s="146"/>
      <c r="BJ2942" s="20"/>
      <c r="BK2942" s="20"/>
      <c r="BL2942" s="13"/>
      <c r="BP2942" s="20"/>
      <c r="BQ2942" s="13"/>
      <c r="BR2942" s="18"/>
      <c r="BS2942" s="16"/>
      <c r="BT2942" s="18"/>
      <c r="BU2942" s="18"/>
      <c r="BV2942" s="18"/>
      <c r="BW2942" s="20"/>
      <c r="BX2942" s="13"/>
      <c r="BY2942" s="18"/>
      <c r="BZ2942" s="146"/>
      <c r="CA2942" s="18"/>
      <c r="CB2942" s="18"/>
      <c r="CC2942" s="20"/>
      <c r="CD2942" s="13"/>
    </row>
    <row r="2943" spans="35:82">
      <c r="AI2943" s="19"/>
      <c r="AO2943" s="19"/>
      <c r="AY2943" s="145"/>
      <c r="AZ2943" s="16"/>
      <c r="BC2943" s="16"/>
      <c r="BD2943" s="20"/>
      <c r="BE2943" s="17"/>
      <c r="BF2943" s="20"/>
      <c r="BG2943" s="146"/>
      <c r="BH2943" s="146"/>
      <c r="BI2943" s="146"/>
      <c r="BJ2943" s="20"/>
      <c r="BK2943" s="20"/>
      <c r="BL2943" s="13"/>
      <c r="BP2943" s="20"/>
      <c r="BQ2943" s="13"/>
      <c r="BR2943" s="18"/>
      <c r="BS2943" s="16"/>
      <c r="BT2943" s="18"/>
      <c r="BU2943" s="18"/>
      <c r="BV2943" s="18"/>
      <c r="BW2943" s="20"/>
      <c r="BX2943" s="13"/>
      <c r="BY2943" s="18"/>
      <c r="BZ2943" s="146"/>
      <c r="CA2943" s="18"/>
      <c r="CB2943" s="18"/>
      <c r="CC2943" s="20"/>
      <c r="CD2943" s="13"/>
    </row>
    <row r="2944" spans="35:82">
      <c r="AI2944" s="19"/>
      <c r="AO2944" s="19"/>
      <c r="AY2944" s="145"/>
      <c r="AZ2944" s="16"/>
      <c r="BC2944" s="16"/>
      <c r="BD2944" s="20"/>
      <c r="BE2944" s="17"/>
      <c r="BF2944" s="20"/>
      <c r="BG2944" s="146"/>
      <c r="BH2944" s="146"/>
      <c r="BI2944" s="146"/>
      <c r="BJ2944" s="20"/>
      <c r="BK2944" s="20"/>
      <c r="BL2944" s="13"/>
      <c r="BP2944" s="20"/>
      <c r="BQ2944" s="13"/>
      <c r="BR2944" s="18"/>
      <c r="BS2944" s="16"/>
      <c r="BT2944" s="18"/>
      <c r="BU2944" s="18"/>
      <c r="BV2944" s="18"/>
      <c r="BW2944" s="20"/>
      <c r="BX2944" s="13"/>
      <c r="BY2944" s="18"/>
      <c r="BZ2944" s="146"/>
      <c r="CA2944" s="18"/>
      <c r="CB2944" s="18"/>
      <c r="CC2944" s="20"/>
      <c r="CD2944" s="13"/>
    </row>
    <row r="2945" spans="35:82">
      <c r="AI2945" s="19"/>
      <c r="AO2945" s="19"/>
      <c r="AY2945" s="145"/>
      <c r="AZ2945" s="16"/>
      <c r="BC2945" s="16"/>
      <c r="BD2945" s="20"/>
      <c r="BE2945" s="17"/>
      <c r="BF2945" s="20"/>
      <c r="BG2945" s="146"/>
      <c r="BH2945" s="146"/>
      <c r="BI2945" s="146"/>
      <c r="BJ2945" s="20"/>
      <c r="BK2945" s="20"/>
      <c r="BL2945" s="13"/>
      <c r="BP2945" s="20"/>
      <c r="BQ2945" s="13"/>
      <c r="BR2945" s="18"/>
      <c r="BS2945" s="16"/>
      <c r="BT2945" s="18"/>
      <c r="BU2945" s="18"/>
      <c r="BV2945" s="18"/>
      <c r="BW2945" s="20"/>
      <c r="BX2945" s="13"/>
      <c r="BY2945" s="18"/>
      <c r="BZ2945" s="146"/>
      <c r="CA2945" s="18"/>
      <c r="CB2945" s="18"/>
      <c r="CC2945" s="20"/>
      <c r="CD2945" s="13"/>
    </row>
    <row r="2946" spans="35:82">
      <c r="AI2946" s="19"/>
      <c r="AO2946" s="19"/>
      <c r="AY2946" s="145"/>
      <c r="AZ2946" s="16"/>
      <c r="BC2946" s="16"/>
      <c r="BD2946" s="20"/>
      <c r="BE2946" s="17"/>
      <c r="BF2946" s="20"/>
      <c r="BG2946" s="146"/>
      <c r="BH2946" s="146"/>
      <c r="BI2946" s="146"/>
      <c r="BJ2946" s="20"/>
      <c r="BK2946" s="20"/>
      <c r="BL2946" s="13"/>
      <c r="BP2946" s="20"/>
      <c r="BQ2946" s="13"/>
      <c r="BR2946" s="18"/>
      <c r="BS2946" s="16"/>
      <c r="BT2946" s="18"/>
      <c r="BU2946" s="18"/>
      <c r="BV2946" s="18"/>
      <c r="BW2946" s="20"/>
      <c r="BX2946" s="13"/>
      <c r="BY2946" s="18"/>
      <c r="BZ2946" s="146"/>
      <c r="CA2946" s="18"/>
      <c r="CB2946" s="18"/>
      <c r="CC2946" s="20"/>
      <c r="CD2946" s="13"/>
    </row>
    <row r="2947" spans="35:82">
      <c r="AI2947" s="19"/>
      <c r="AO2947" s="19"/>
      <c r="AY2947" s="145"/>
      <c r="AZ2947" s="16"/>
      <c r="BC2947" s="16"/>
      <c r="BD2947" s="20"/>
      <c r="BE2947" s="17"/>
      <c r="BF2947" s="20"/>
      <c r="BG2947" s="146"/>
      <c r="BH2947" s="146"/>
      <c r="BI2947" s="146"/>
      <c r="BJ2947" s="20"/>
      <c r="BK2947" s="20"/>
      <c r="BL2947" s="13"/>
      <c r="BP2947" s="20"/>
      <c r="BQ2947" s="13"/>
      <c r="BR2947" s="18"/>
      <c r="BS2947" s="16"/>
      <c r="BT2947" s="18"/>
      <c r="BU2947" s="18"/>
      <c r="BV2947" s="18"/>
      <c r="BW2947" s="20"/>
      <c r="BX2947" s="13"/>
      <c r="BY2947" s="18"/>
      <c r="BZ2947" s="146"/>
      <c r="CA2947" s="18"/>
      <c r="CB2947" s="18"/>
      <c r="CC2947" s="20"/>
      <c r="CD2947" s="13"/>
    </row>
    <row r="2948" spans="35:82">
      <c r="AI2948" s="19"/>
      <c r="AO2948" s="19"/>
      <c r="AY2948" s="145"/>
      <c r="AZ2948" s="16"/>
      <c r="BC2948" s="16"/>
      <c r="BD2948" s="20"/>
      <c r="BE2948" s="17"/>
      <c r="BF2948" s="20"/>
      <c r="BG2948" s="146"/>
      <c r="BH2948" s="146"/>
      <c r="BI2948" s="146"/>
      <c r="BJ2948" s="20"/>
      <c r="BK2948" s="20"/>
      <c r="BL2948" s="13"/>
      <c r="BP2948" s="20"/>
      <c r="BQ2948" s="13"/>
      <c r="BR2948" s="18"/>
      <c r="BS2948" s="16"/>
      <c r="BT2948" s="18"/>
      <c r="BU2948" s="18"/>
      <c r="BV2948" s="18"/>
      <c r="BW2948" s="20"/>
      <c r="BX2948" s="13"/>
      <c r="BY2948" s="18"/>
      <c r="BZ2948" s="146"/>
      <c r="CA2948" s="18"/>
      <c r="CB2948" s="18"/>
      <c r="CC2948" s="20"/>
      <c r="CD2948" s="13"/>
    </row>
    <row r="2949" spans="35:82">
      <c r="AI2949" s="19"/>
      <c r="AO2949" s="19"/>
      <c r="AY2949" s="145"/>
      <c r="AZ2949" s="16"/>
      <c r="BC2949" s="16"/>
      <c r="BD2949" s="20"/>
      <c r="BE2949" s="17"/>
      <c r="BF2949" s="20"/>
      <c r="BG2949" s="146"/>
      <c r="BH2949" s="146"/>
      <c r="BI2949" s="146"/>
      <c r="BJ2949" s="20"/>
      <c r="BK2949" s="20"/>
      <c r="BL2949" s="13"/>
      <c r="BP2949" s="20"/>
      <c r="BQ2949" s="13"/>
      <c r="BR2949" s="18"/>
      <c r="BS2949" s="16"/>
      <c r="BT2949" s="18"/>
      <c r="BU2949" s="18"/>
      <c r="BV2949" s="18"/>
      <c r="BW2949" s="20"/>
      <c r="BX2949" s="13"/>
      <c r="BY2949" s="18"/>
      <c r="BZ2949" s="146"/>
      <c r="CA2949" s="18"/>
      <c r="CB2949" s="18"/>
      <c r="CC2949" s="20"/>
      <c r="CD2949" s="13"/>
    </row>
    <row r="2950" spans="35:82">
      <c r="AI2950" s="19"/>
      <c r="AO2950" s="19"/>
      <c r="AY2950" s="145"/>
      <c r="AZ2950" s="16"/>
      <c r="BC2950" s="16"/>
      <c r="BD2950" s="20"/>
      <c r="BE2950" s="17"/>
      <c r="BF2950" s="20"/>
      <c r="BG2950" s="146"/>
      <c r="BH2950" s="146"/>
      <c r="BI2950" s="146"/>
      <c r="BJ2950" s="20"/>
      <c r="BK2950" s="20"/>
      <c r="BL2950" s="13"/>
      <c r="BP2950" s="20"/>
      <c r="BQ2950" s="13"/>
      <c r="BR2950" s="18"/>
      <c r="BS2950" s="16"/>
      <c r="BT2950" s="18"/>
      <c r="BU2950" s="18"/>
      <c r="BV2950" s="18"/>
      <c r="BW2950" s="20"/>
      <c r="BX2950" s="13"/>
      <c r="BY2950" s="18"/>
      <c r="BZ2950" s="146"/>
      <c r="CA2950" s="18"/>
      <c r="CB2950" s="18"/>
      <c r="CC2950" s="20"/>
      <c r="CD2950" s="13"/>
    </row>
    <row r="2951" spans="35:82">
      <c r="AI2951" s="19"/>
      <c r="AO2951" s="19"/>
      <c r="AY2951" s="145"/>
      <c r="AZ2951" s="16"/>
      <c r="BC2951" s="16"/>
      <c r="BD2951" s="20"/>
      <c r="BE2951" s="17"/>
      <c r="BF2951" s="20"/>
      <c r="BG2951" s="146"/>
      <c r="BH2951" s="146"/>
      <c r="BI2951" s="146"/>
      <c r="BJ2951" s="20"/>
      <c r="BK2951" s="20"/>
      <c r="BL2951" s="13"/>
      <c r="BP2951" s="20"/>
      <c r="BQ2951" s="13"/>
      <c r="BR2951" s="18"/>
      <c r="BS2951" s="16"/>
      <c r="BT2951" s="18"/>
      <c r="BU2951" s="18"/>
      <c r="BV2951" s="18"/>
      <c r="BW2951" s="20"/>
      <c r="BX2951" s="13"/>
      <c r="BY2951" s="18"/>
      <c r="BZ2951" s="146"/>
      <c r="CA2951" s="18"/>
      <c r="CB2951" s="18"/>
      <c r="CC2951" s="20"/>
      <c r="CD2951" s="13"/>
    </row>
    <row r="2952" spans="35:82">
      <c r="AI2952" s="19"/>
      <c r="AO2952" s="19"/>
      <c r="AY2952" s="145"/>
      <c r="AZ2952" s="16"/>
      <c r="BC2952" s="16"/>
      <c r="BD2952" s="20"/>
      <c r="BE2952" s="17"/>
      <c r="BF2952" s="20"/>
      <c r="BG2952" s="146"/>
      <c r="BH2952" s="146"/>
      <c r="BI2952" s="146"/>
      <c r="BJ2952" s="20"/>
      <c r="BK2952" s="20"/>
      <c r="BL2952" s="13"/>
      <c r="BP2952" s="20"/>
      <c r="BQ2952" s="13"/>
      <c r="BR2952" s="18"/>
      <c r="BS2952" s="16"/>
      <c r="BT2952" s="18"/>
      <c r="BU2952" s="18"/>
      <c r="BV2952" s="18"/>
      <c r="BW2952" s="20"/>
      <c r="BX2952" s="13"/>
      <c r="BY2952" s="18"/>
      <c r="BZ2952" s="146"/>
      <c r="CA2952" s="18"/>
      <c r="CB2952" s="18"/>
      <c r="CC2952" s="20"/>
      <c r="CD2952" s="13"/>
    </row>
    <row r="2953" spans="35:82">
      <c r="AI2953" s="19"/>
      <c r="AO2953" s="19"/>
      <c r="AY2953" s="145"/>
      <c r="AZ2953" s="16"/>
      <c r="BC2953" s="16"/>
      <c r="BD2953" s="20"/>
      <c r="BE2953" s="17"/>
      <c r="BF2953" s="20"/>
      <c r="BG2953" s="146"/>
      <c r="BH2953" s="146"/>
      <c r="BI2953" s="146"/>
      <c r="BJ2953" s="20"/>
      <c r="BK2953" s="20"/>
      <c r="BL2953" s="13"/>
      <c r="BP2953" s="20"/>
      <c r="BQ2953" s="13"/>
      <c r="BR2953" s="18"/>
      <c r="BS2953" s="16"/>
      <c r="BT2953" s="18"/>
      <c r="BU2953" s="18"/>
      <c r="BV2953" s="18"/>
      <c r="BW2953" s="20"/>
      <c r="BX2953" s="13"/>
      <c r="BY2953" s="18"/>
      <c r="BZ2953" s="146"/>
      <c r="CA2953" s="18"/>
      <c r="CB2953" s="18"/>
      <c r="CC2953" s="20"/>
      <c r="CD2953" s="13"/>
    </row>
    <row r="2954" spans="35:82">
      <c r="AI2954" s="19"/>
      <c r="AO2954" s="19"/>
      <c r="AY2954" s="145"/>
      <c r="AZ2954" s="16"/>
      <c r="BC2954" s="16"/>
      <c r="BD2954" s="20"/>
      <c r="BE2954" s="17"/>
      <c r="BF2954" s="20"/>
      <c r="BG2954" s="146"/>
      <c r="BH2954" s="146"/>
      <c r="BI2954" s="146"/>
      <c r="BJ2954" s="20"/>
      <c r="BK2954" s="20"/>
      <c r="BL2954" s="13"/>
      <c r="BP2954" s="20"/>
      <c r="BQ2954" s="13"/>
      <c r="BR2954" s="18"/>
      <c r="BS2954" s="16"/>
      <c r="BT2954" s="18"/>
      <c r="BU2954" s="18"/>
      <c r="BV2954" s="18"/>
      <c r="BW2954" s="20"/>
      <c r="BX2954" s="13"/>
      <c r="BY2954" s="18"/>
      <c r="BZ2954" s="146"/>
      <c r="CA2954" s="18"/>
      <c r="CB2954" s="18"/>
      <c r="CC2954" s="20"/>
      <c r="CD2954" s="13"/>
    </row>
    <row r="2955" spans="35:82">
      <c r="AI2955" s="19"/>
      <c r="AO2955" s="19"/>
      <c r="AY2955" s="145"/>
      <c r="AZ2955" s="16"/>
      <c r="BC2955" s="16"/>
      <c r="BD2955" s="20"/>
      <c r="BE2955" s="17"/>
      <c r="BF2955" s="20"/>
      <c r="BG2955" s="146"/>
      <c r="BH2955" s="146"/>
      <c r="BI2955" s="146"/>
      <c r="BJ2955" s="20"/>
      <c r="BK2955" s="20"/>
      <c r="BL2955" s="13"/>
      <c r="BP2955" s="20"/>
      <c r="BQ2955" s="13"/>
      <c r="BR2955" s="18"/>
      <c r="BS2955" s="16"/>
      <c r="BT2955" s="18"/>
      <c r="BU2955" s="18"/>
      <c r="BV2955" s="18"/>
      <c r="BW2955" s="20"/>
      <c r="BX2955" s="13"/>
      <c r="BY2955" s="18"/>
      <c r="BZ2955" s="146"/>
      <c r="CA2955" s="18"/>
      <c r="CB2955" s="18"/>
      <c r="CC2955" s="20"/>
      <c r="CD2955" s="13"/>
    </row>
    <row r="2956" spans="35:82">
      <c r="AI2956" s="19"/>
      <c r="AO2956" s="19"/>
      <c r="AY2956" s="145"/>
      <c r="AZ2956" s="16"/>
      <c r="BC2956" s="16"/>
      <c r="BD2956" s="20"/>
      <c r="BE2956" s="17"/>
      <c r="BF2956" s="20"/>
      <c r="BG2956" s="146"/>
      <c r="BH2956" s="146"/>
      <c r="BI2956" s="146"/>
      <c r="BJ2956" s="20"/>
      <c r="BK2956" s="20"/>
      <c r="BL2956" s="13"/>
      <c r="BP2956" s="20"/>
      <c r="BQ2956" s="13"/>
      <c r="BR2956" s="18"/>
      <c r="BS2956" s="16"/>
      <c r="BT2956" s="18"/>
      <c r="BU2956" s="18"/>
      <c r="BV2956" s="18"/>
      <c r="BW2956" s="20"/>
      <c r="BX2956" s="13"/>
      <c r="BY2956" s="18"/>
      <c r="BZ2956" s="146"/>
      <c r="CA2956" s="18"/>
      <c r="CB2956" s="18"/>
      <c r="CC2956" s="20"/>
      <c r="CD2956" s="13"/>
    </row>
    <row r="2957" spans="35:82">
      <c r="AI2957" s="19"/>
      <c r="AO2957" s="19"/>
      <c r="AY2957" s="145"/>
      <c r="AZ2957" s="16"/>
      <c r="BC2957" s="16"/>
      <c r="BD2957" s="20"/>
      <c r="BE2957" s="17"/>
      <c r="BF2957" s="20"/>
      <c r="BG2957" s="146"/>
      <c r="BH2957" s="146"/>
      <c r="BI2957" s="146"/>
      <c r="BJ2957" s="20"/>
      <c r="BK2957" s="20"/>
      <c r="BL2957" s="13"/>
      <c r="BP2957" s="20"/>
      <c r="BQ2957" s="13"/>
      <c r="BR2957" s="18"/>
      <c r="BS2957" s="16"/>
      <c r="BT2957" s="18"/>
      <c r="BU2957" s="18"/>
      <c r="BV2957" s="18"/>
      <c r="BW2957" s="20"/>
      <c r="BX2957" s="13"/>
      <c r="BY2957" s="18"/>
      <c r="BZ2957" s="146"/>
      <c r="CA2957" s="18"/>
      <c r="CB2957" s="18"/>
      <c r="CC2957" s="20"/>
      <c r="CD2957" s="13"/>
    </row>
    <row r="2958" spans="35:82">
      <c r="AI2958" s="19"/>
      <c r="AO2958" s="19"/>
      <c r="AY2958" s="145"/>
      <c r="AZ2958" s="16"/>
      <c r="BC2958" s="16"/>
      <c r="BD2958" s="20"/>
      <c r="BE2958" s="17"/>
      <c r="BF2958" s="20"/>
      <c r="BG2958" s="146"/>
      <c r="BH2958" s="146"/>
      <c r="BI2958" s="146"/>
      <c r="BJ2958" s="20"/>
      <c r="BK2958" s="20"/>
      <c r="BL2958" s="13"/>
      <c r="BP2958" s="20"/>
      <c r="BQ2958" s="13"/>
      <c r="BR2958" s="18"/>
      <c r="BS2958" s="16"/>
      <c r="BT2958" s="18"/>
      <c r="BU2958" s="18"/>
      <c r="BV2958" s="18"/>
      <c r="BW2958" s="20"/>
      <c r="BX2958" s="13"/>
      <c r="BY2958" s="18"/>
      <c r="BZ2958" s="146"/>
      <c r="CA2958" s="18"/>
      <c r="CB2958" s="18"/>
      <c r="CC2958" s="20"/>
      <c r="CD2958" s="13"/>
    </row>
    <row r="2959" spans="35:82">
      <c r="AI2959" s="19"/>
      <c r="AO2959" s="19"/>
      <c r="AY2959" s="145"/>
      <c r="AZ2959" s="16"/>
      <c r="BC2959" s="16"/>
      <c r="BD2959" s="20"/>
      <c r="BE2959" s="17"/>
      <c r="BF2959" s="20"/>
      <c r="BG2959" s="146"/>
      <c r="BH2959" s="146"/>
      <c r="BI2959" s="146"/>
      <c r="BJ2959" s="20"/>
      <c r="BK2959" s="20"/>
      <c r="BL2959" s="13"/>
      <c r="BP2959" s="20"/>
      <c r="BQ2959" s="13"/>
      <c r="BR2959" s="18"/>
      <c r="BS2959" s="16"/>
      <c r="BT2959" s="18"/>
      <c r="BU2959" s="18"/>
      <c r="BV2959" s="18"/>
      <c r="BW2959" s="20"/>
      <c r="BX2959" s="13"/>
      <c r="BY2959" s="18"/>
      <c r="BZ2959" s="146"/>
      <c r="CA2959" s="18"/>
      <c r="CB2959" s="18"/>
      <c r="CC2959" s="20"/>
      <c r="CD2959" s="13"/>
    </row>
    <row r="2960" spans="35:82">
      <c r="AI2960" s="19"/>
      <c r="AO2960" s="19"/>
      <c r="AY2960" s="145"/>
      <c r="AZ2960" s="16"/>
      <c r="BC2960" s="16"/>
      <c r="BD2960" s="20"/>
      <c r="BE2960" s="17"/>
      <c r="BF2960" s="20"/>
      <c r="BG2960" s="146"/>
      <c r="BH2960" s="146"/>
      <c r="BI2960" s="146"/>
      <c r="BJ2960" s="20"/>
      <c r="BK2960" s="20"/>
      <c r="BL2960" s="13"/>
      <c r="BP2960" s="20"/>
      <c r="BQ2960" s="13"/>
      <c r="BR2960" s="18"/>
      <c r="BS2960" s="16"/>
      <c r="BT2960" s="18"/>
      <c r="BU2960" s="18"/>
      <c r="BV2960" s="18"/>
      <c r="BW2960" s="20"/>
      <c r="BX2960" s="13"/>
      <c r="BY2960" s="18"/>
      <c r="BZ2960" s="146"/>
      <c r="CA2960" s="18"/>
      <c r="CB2960" s="18"/>
      <c r="CC2960" s="20"/>
      <c r="CD2960" s="13"/>
    </row>
    <row r="2961" spans="35:82">
      <c r="AI2961" s="19"/>
      <c r="AO2961" s="19"/>
      <c r="AY2961" s="145"/>
      <c r="AZ2961" s="16"/>
      <c r="BC2961" s="16"/>
      <c r="BD2961" s="20"/>
      <c r="BE2961" s="17"/>
      <c r="BF2961" s="20"/>
      <c r="BG2961" s="146"/>
      <c r="BH2961" s="146"/>
      <c r="BI2961" s="146"/>
      <c r="BJ2961" s="20"/>
      <c r="BK2961" s="20"/>
      <c r="BL2961" s="13"/>
      <c r="BP2961" s="20"/>
      <c r="BQ2961" s="13"/>
      <c r="BR2961" s="18"/>
      <c r="BS2961" s="16"/>
      <c r="BT2961" s="18"/>
      <c r="BU2961" s="18"/>
      <c r="BV2961" s="18"/>
      <c r="BW2961" s="20"/>
      <c r="BX2961" s="13"/>
      <c r="BY2961" s="18"/>
      <c r="BZ2961" s="146"/>
      <c r="CA2961" s="18"/>
      <c r="CB2961" s="18"/>
      <c r="CC2961" s="20"/>
      <c r="CD2961" s="13"/>
    </row>
    <row r="2962" spans="35:82">
      <c r="AI2962" s="19"/>
      <c r="AO2962" s="19"/>
      <c r="AY2962" s="145"/>
      <c r="AZ2962" s="16"/>
      <c r="BC2962" s="16"/>
      <c r="BD2962" s="20"/>
      <c r="BE2962" s="17"/>
      <c r="BF2962" s="20"/>
      <c r="BG2962" s="146"/>
      <c r="BH2962" s="146"/>
      <c r="BI2962" s="146"/>
      <c r="BJ2962" s="20"/>
      <c r="BK2962" s="20"/>
      <c r="BL2962" s="13"/>
      <c r="BP2962" s="20"/>
      <c r="BQ2962" s="13"/>
      <c r="BR2962" s="18"/>
      <c r="BS2962" s="16"/>
      <c r="BT2962" s="18"/>
      <c r="BU2962" s="18"/>
      <c r="BV2962" s="18"/>
      <c r="BW2962" s="20"/>
      <c r="BX2962" s="13"/>
      <c r="BY2962" s="18"/>
      <c r="BZ2962" s="146"/>
      <c r="CA2962" s="18"/>
      <c r="CB2962" s="18"/>
      <c r="CC2962" s="20"/>
      <c r="CD2962" s="13"/>
    </row>
    <row r="2963" spans="35:82">
      <c r="AI2963" s="19"/>
      <c r="AO2963" s="19"/>
      <c r="AY2963" s="145"/>
      <c r="AZ2963" s="16"/>
      <c r="BC2963" s="16"/>
      <c r="BD2963" s="20"/>
      <c r="BE2963" s="17"/>
      <c r="BF2963" s="20"/>
      <c r="BG2963" s="146"/>
      <c r="BH2963" s="146"/>
      <c r="BI2963" s="146"/>
      <c r="BJ2963" s="20"/>
      <c r="BK2963" s="20"/>
      <c r="BL2963" s="13"/>
      <c r="BP2963" s="20"/>
      <c r="BQ2963" s="13"/>
      <c r="BR2963" s="18"/>
      <c r="BS2963" s="16"/>
      <c r="BT2963" s="18"/>
      <c r="BU2963" s="18"/>
      <c r="BV2963" s="18"/>
      <c r="BW2963" s="20"/>
      <c r="BX2963" s="13"/>
      <c r="BY2963" s="18"/>
      <c r="BZ2963" s="146"/>
      <c r="CA2963" s="18"/>
      <c r="CB2963" s="18"/>
      <c r="CC2963" s="20"/>
      <c r="CD2963" s="13"/>
    </row>
    <row r="2964" spans="35:82">
      <c r="AI2964" s="19"/>
      <c r="AO2964" s="19"/>
      <c r="AY2964" s="145"/>
      <c r="AZ2964" s="16"/>
      <c r="BC2964" s="16"/>
      <c r="BD2964" s="20"/>
      <c r="BE2964" s="17"/>
      <c r="BF2964" s="20"/>
      <c r="BG2964" s="146"/>
      <c r="BH2964" s="146"/>
      <c r="BI2964" s="146"/>
      <c r="BJ2964" s="20"/>
      <c r="BK2964" s="20"/>
      <c r="BL2964" s="13"/>
      <c r="BP2964" s="20"/>
      <c r="BQ2964" s="13"/>
      <c r="BR2964" s="18"/>
      <c r="BS2964" s="16"/>
      <c r="BT2964" s="18"/>
      <c r="BU2964" s="18"/>
      <c r="BV2964" s="18"/>
      <c r="BW2964" s="20"/>
      <c r="BX2964" s="13"/>
      <c r="BY2964" s="18"/>
      <c r="BZ2964" s="146"/>
      <c r="CA2964" s="18"/>
      <c r="CB2964" s="18"/>
      <c r="CC2964" s="20"/>
      <c r="CD2964" s="13"/>
    </row>
    <row r="2965" spans="35:82">
      <c r="AI2965" s="19"/>
      <c r="AO2965" s="19"/>
      <c r="AY2965" s="145"/>
      <c r="AZ2965" s="16"/>
      <c r="BC2965" s="16"/>
      <c r="BD2965" s="20"/>
      <c r="BE2965" s="17"/>
      <c r="BF2965" s="20"/>
      <c r="BG2965" s="146"/>
      <c r="BH2965" s="146"/>
      <c r="BI2965" s="146"/>
      <c r="BJ2965" s="20"/>
      <c r="BK2965" s="20"/>
      <c r="BL2965" s="13"/>
      <c r="BP2965" s="20"/>
      <c r="BQ2965" s="13"/>
      <c r="BR2965" s="18"/>
      <c r="BS2965" s="16"/>
      <c r="BT2965" s="18"/>
      <c r="BU2965" s="18"/>
      <c r="BV2965" s="18"/>
      <c r="BW2965" s="20"/>
      <c r="BX2965" s="13"/>
      <c r="BY2965" s="18"/>
      <c r="BZ2965" s="146"/>
      <c r="CA2965" s="18"/>
      <c r="CB2965" s="18"/>
      <c r="CC2965" s="20"/>
      <c r="CD2965" s="13"/>
    </row>
    <row r="2966" spans="35:82">
      <c r="AI2966" s="19"/>
      <c r="AO2966" s="19"/>
      <c r="AY2966" s="145"/>
      <c r="AZ2966" s="16"/>
      <c r="BC2966" s="16"/>
      <c r="BD2966" s="20"/>
      <c r="BE2966" s="17"/>
      <c r="BF2966" s="20"/>
      <c r="BG2966" s="146"/>
      <c r="BH2966" s="146"/>
      <c r="BI2966" s="146"/>
      <c r="BJ2966" s="20"/>
      <c r="BK2966" s="20"/>
      <c r="BL2966" s="13"/>
      <c r="BP2966" s="20"/>
      <c r="BQ2966" s="13"/>
      <c r="BR2966" s="18"/>
      <c r="BS2966" s="16"/>
      <c r="BT2966" s="18"/>
      <c r="BU2966" s="18"/>
      <c r="BV2966" s="18"/>
      <c r="BW2966" s="20"/>
      <c r="BX2966" s="13"/>
      <c r="BY2966" s="18"/>
      <c r="BZ2966" s="146"/>
      <c r="CA2966" s="18"/>
      <c r="CB2966" s="18"/>
      <c r="CC2966" s="20"/>
      <c r="CD2966" s="13"/>
    </row>
    <row r="2967" spans="35:82">
      <c r="AI2967" s="19"/>
      <c r="AO2967" s="19"/>
      <c r="AY2967" s="145"/>
      <c r="AZ2967" s="16"/>
      <c r="BC2967" s="16"/>
      <c r="BD2967" s="20"/>
      <c r="BE2967" s="17"/>
      <c r="BF2967" s="20"/>
      <c r="BG2967" s="146"/>
      <c r="BH2967" s="146"/>
      <c r="BI2967" s="146"/>
      <c r="BJ2967" s="20"/>
      <c r="BK2967" s="20"/>
      <c r="BL2967" s="13"/>
      <c r="BP2967" s="20"/>
      <c r="BQ2967" s="13"/>
      <c r="BR2967" s="18"/>
      <c r="BS2967" s="16"/>
      <c r="BT2967" s="18"/>
      <c r="BU2967" s="18"/>
      <c r="BV2967" s="18"/>
      <c r="BW2967" s="20"/>
      <c r="BX2967" s="13"/>
      <c r="BY2967" s="18"/>
      <c r="BZ2967" s="146"/>
      <c r="CA2967" s="18"/>
      <c r="CB2967" s="18"/>
      <c r="CC2967" s="20"/>
      <c r="CD2967" s="13"/>
    </row>
    <row r="2968" spans="35:82">
      <c r="AI2968" s="19"/>
      <c r="AO2968" s="19"/>
      <c r="AY2968" s="145"/>
      <c r="AZ2968" s="16"/>
      <c r="BC2968" s="16"/>
      <c r="BD2968" s="20"/>
      <c r="BE2968" s="17"/>
      <c r="BF2968" s="20"/>
      <c r="BG2968" s="146"/>
      <c r="BH2968" s="146"/>
      <c r="BI2968" s="146"/>
      <c r="BJ2968" s="20"/>
      <c r="BK2968" s="20"/>
      <c r="BL2968" s="13"/>
      <c r="BP2968" s="20"/>
      <c r="BQ2968" s="13"/>
      <c r="BR2968" s="18"/>
      <c r="BS2968" s="16"/>
      <c r="BT2968" s="18"/>
      <c r="BU2968" s="18"/>
      <c r="BV2968" s="18"/>
      <c r="BW2968" s="20"/>
      <c r="BX2968" s="13"/>
      <c r="BY2968" s="18"/>
      <c r="BZ2968" s="146"/>
      <c r="CA2968" s="18"/>
      <c r="CB2968" s="18"/>
      <c r="CC2968" s="20"/>
      <c r="CD2968" s="13"/>
    </row>
    <row r="2969" spans="35:82">
      <c r="AI2969" s="19"/>
      <c r="AO2969" s="19"/>
      <c r="AY2969" s="145"/>
      <c r="AZ2969" s="16"/>
      <c r="BC2969" s="16"/>
      <c r="BD2969" s="20"/>
      <c r="BE2969" s="17"/>
      <c r="BF2969" s="20"/>
      <c r="BG2969" s="146"/>
      <c r="BH2969" s="146"/>
      <c r="BI2969" s="146"/>
      <c r="BJ2969" s="20"/>
      <c r="BK2969" s="20"/>
      <c r="BL2969" s="13"/>
      <c r="BP2969" s="20"/>
      <c r="BQ2969" s="13"/>
      <c r="BR2969" s="18"/>
      <c r="BS2969" s="16"/>
      <c r="BT2969" s="18"/>
      <c r="BU2969" s="18"/>
      <c r="BV2969" s="18"/>
      <c r="BW2969" s="20"/>
      <c r="BX2969" s="13"/>
      <c r="BY2969" s="18"/>
      <c r="BZ2969" s="146"/>
      <c r="CA2969" s="18"/>
      <c r="CB2969" s="18"/>
      <c r="CC2969" s="20"/>
      <c r="CD2969" s="13"/>
    </row>
    <row r="2970" spans="35:82">
      <c r="AI2970" s="19"/>
      <c r="AO2970" s="19"/>
      <c r="AY2970" s="145"/>
      <c r="AZ2970" s="16"/>
      <c r="BC2970" s="16"/>
      <c r="BD2970" s="20"/>
      <c r="BE2970" s="17"/>
      <c r="BF2970" s="20"/>
      <c r="BG2970" s="146"/>
      <c r="BH2970" s="146"/>
      <c r="BI2970" s="146"/>
      <c r="BJ2970" s="20"/>
      <c r="BK2970" s="20"/>
      <c r="BL2970" s="13"/>
      <c r="BP2970" s="20"/>
      <c r="BQ2970" s="13"/>
      <c r="BR2970" s="18"/>
      <c r="BS2970" s="16"/>
      <c r="BT2970" s="18"/>
      <c r="BU2970" s="18"/>
      <c r="BV2970" s="18"/>
      <c r="BW2970" s="20"/>
      <c r="BX2970" s="13"/>
      <c r="BY2970" s="18"/>
      <c r="BZ2970" s="146"/>
      <c r="CA2970" s="18"/>
      <c r="CB2970" s="18"/>
      <c r="CC2970" s="20"/>
      <c r="CD2970" s="13"/>
    </row>
    <row r="2971" spans="35:82">
      <c r="AI2971" s="19"/>
      <c r="AO2971" s="19"/>
      <c r="AY2971" s="145"/>
      <c r="AZ2971" s="16"/>
      <c r="BC2971" s="16"/>
      <c r="BD2971" s="20"/>
      <c r="BE2971" s="17"/>
      <c r="BF2971" s="20"/>
      <c r="BG2971" s="146"/>
      <c r="BH2971" s="146"/>
      <c r="BI2971" s="146"/>
      <c r="BJ2971" s="20"/>
      <c r="BK2971" s="20"/>
      <c r="BL2971" s="13"/>
      <c r="BP2971" s="20"/>
      <c r="BQ2971" s="13"/>
      <c r="BR2971" s="18"/>
      <c r="BS2971" s="16"/>
      <c r="BT2971" s="18"/>
      <c r="BU2971" s="18"/>
      <c r="BV2971" s="18"/>
      <c r="BW2971" s="20"/>
      <c r="BX2971" s="13"/>
      <c r="BY2971" s="18"/>
      <c r="BZ2971" s="146"/>
      <c r="CA2971" s="18"/>
      <c r="CB2971" s="18"/>
      <c r="CC2971" s="20"/>
      <c r="CD2971" s="13"/>
    </row>
    <row r="2972" spans="35:82">
      <c r="AI2972" s="19"/>
      <c r="AO2972" s="19"/>
      <c r="AY2972" s="145"/>
      <c r="AZ2972" s="16"/>
      <c r="BC2972" s="16"/>
      <c r="BD2972" s="20"/>
      <c r="BE2972" s="17"/>
      <c r="BF2972" s="20"/>
      <c r="BG2972" s="146"/>
      <c r="BH2972" s="146"/>
      <c r="BI2972" s="146"/>
      <c r="BJ2972" s="20"/>
      <c r="BK2972" s="20"/>
      <c r="BL2972" s="13"/>
      <c r="BP2972" s="20"/>
      <c r="BQ2972" s="13"/>
      <c r="BR2972" s="18"/>
      <c r="BS2972" s="16"/>
      <c r="BT2972" s="18"/>
      <c r="BU2972" s="18"/>
      <c r="BV2972" s="18"/>
      <c r="BW2972" s="20"/>
      <c r="BX2972" s="13"/>
      <c r="BY2972" s="18"/>
      <c r="BZ2972" s="146"/>
      <c r="CA2972" s="18"/>
      <c r="CB2972" s="18"/>
      <c r="CC2972" s="20"/>
      <c r="CD2972" s="13"/>
    </row>
    <row r="2973" spans="35:82">
      <c r="AI2973" s="19"/>
      <c r="AO2973" s="19"/>
      <c r="AY2973" s="145"/>
      <c r="AZ2973" s="16"/>
      <c r="BC2973" s="16"/>
      <c r="BD2973" s="20"/>
      <c r="BE2973" s="17"/>
      <c r="BF2973" s="20"/>
      <c r="BG2973" s="146"/>
      <c r="BH2973" s="146"/>
      <c r="BI2973" s="146"/>
      <c r="BJ2973" s="20"/>
      <c r="BK2973" s="20"/>
      <c r="BL2973" s="13"/>
      <c r="BP2973" s="20"/>
      <c r="BQ2973" s="13"/>
      <c r="BR2973" s="18"/>
      <c r="BS2973" s="16"/>
      <c r="BT2973" s="18"/>
      <c r="BU2973" s="18"/>
      <c r="BV2973" s="18"/>
      <c r="BW2973" s="20"/>
      <c r="BX2973" s="13"/>
      <c r="BY2973" s="18"/>
      <c r="BZ2973" s="146"/>
      <c r="CA2973" s="18"/>
      <c r="CB2973" s="18"/>
      <c r="CC2973" s="20"/>
      <c r="CD2973" s="13"/>
    </row>
    <row r="2974" spans="35:82">
      <c r="AI2974" s="19"/>
      <c r="AO2974" s="19"/>
      <c r="AY2974" s="145"/>
      <c r="AZ2974" s="16"/>
      <c r="BC2974" s="16"/>
      <c r="BD2974" s="20"/>
      <c r="BE2974" s="17"/>
      <c r="BF2974" s="20"/>
      <c r="BG2974" s="146"/>
      <c r="BH2974" s="146"/>
      <c r="BI2974" s="146"/>
      <c r="BJ2974" s="20"/>
      <c r="BK2974" s="20"/>
      <c r="BL2974" s="13"/>
      <c r="BP2974" s="20"/>
      <c r="BQ2974" s="13"/>
      <c r="BR2974" s="18"/>
      <c r="BS2974" s="16"/>
      <c r="BT2974" s="18"/>
      <c r="BU2974" s="18"/>
      <c r="BV2974" s="18"/>
      <c r="BW2974" s="20"/>
      <c r="BX2974" s="13"/>
      <c r="BY2974" s="18"/>
      <c r="BZ2974" s="146"/>
      <c r="CA2974" s="18"/>
      <c r="CB2974" s="18"/>
      <c r="CC2974" s="20"/>
      <c r="CD2974" s="13"/>
    </row>
    <row r="2975" spans="35:82">
      <c r="AI2975" s="19"/>
      <c r="AO2975" s="19"/>
      <c r="AY2975" s="145"/>
      <c r="AZ2975" s="16"/>
      <c r="BC2975" s="16"/>
      <c r="BD2975" s="20"/>
      <c r="BE2975" s="17"/>
      <c r="BF2975" s="20"/>
      <c r="BG2975" s="146"/>
      <c r="BH2975" s="146"/>
      <c r="BI2975" s="146"/>
      <c r="BJ2975" s="20"/>
      <c r="BK2975" s="20"/>
      <c r="BL2975" s="13"/>
      <c r="BP2975" s="20"/>
      <c r="BQ2975" s="13"/>
      <c r="BR2975" s="18"/>
      <c r="BS2975" s="16"/>
      <c r="BT2975" s="18"/>
      <c r="BU2975" s="18"/>
      <c r="BV2975" s="18"/>
      <c r="BW2975" s="20"/>
      <c r="BX2975" s="13"/>
      <c r="BY2975" s="18"/>
      <c r="BZ2975" s="146"/>
      <c r="CA2975" s="18"/>
      <c r="CB2975" s="18"/>
      <c r="CC2975" s="20"/>
      <c r="CD2975" s="13"/>
    </row>
    <row r="2976" spans="35:82">
      <c r="AI2976" s="19"/>
      <c r="AO2976" s="19"/>
      <c r="AY2976" s="145"/>
      <c r="AZ2976" s="16"/>
      <c r="BC2976" s="16"/>
      <c r="BD2976" s="20"/>
      <c r="BE2976" s="17"/>
      <c r="BF2976" s="20"/>
      <c r="BG2976" s="146"/>
      <c r="BH2976" s="146"/>
      <c r="BI2976" s="146"/>
      <c r="BJ2976" s="20"/>
      <c r="BK2976" s="20"/>
      <c r="BL2976" s="13"/>
      <c r="BP2976" s="20"/>
      <c r="BQ2976" s="13"/>
      <c r="BR2976" s="18"/>
      <c r="BS2976" s="16"/>
      <c r="BT2976" s="18"/>
      <c r="BU2976" s="18"/>
      <c r="BV2976" s="18"/>
      <c r="BW2976" s="20"/>
      <c r="BX2976" s="13"/>
      <c r="BY2976" s="18"/>
      <c r="BZ2976" s="146"/>
      <c r="CA2976" s="18"/>
      <c r="CB2976" s="18"/>
      <c r="CC2976" s="20"/>
      <c r="CD2976" s="13"/>
    </row>
    <row r="2977" spans="35:82">
      <c r="AI2977" s="19"/>
      <c r="AO2977" s="19"/>
      <c r="AY2977" s="145"/>
      <c r="AZ2977" s="16"/>
      <c r="BC2977" s="16"/>
      <c r="BD2977" s="20"/>
      <c r="BE2977" s="17"/>
      <c r="BF2977" s="20"/>
      <c r="BG2977" s="146"/>
      <c r="BH2977" s="146"/>
      <c r="BI2977" s="146"/>
      <c r="BJ2977" s="20"/>
      <c r="BK2977" s="20"/>
      <c r="BL2977" s="13"/>
      <c r="BP2977" s="20"/>
      <c r="BQ2977" s="13"/>
      <c r="BR2977" s="18"/>
      <c r="BS2977" s="16"/>
      <c r="BT2977" s="18"/>
      <c r="BU2977" s="18"/>
      <c r="BV2977" s="18"/>
      <c r="BW2977" s="20"/>
      <c r="BX2977" s="13"/>
      <c r="BY2977" s="18"/>
      <c r="BZ2977" s="146"/>
      <c r="CA2977" s="18"/>
      <c r="CB2977" s="18"/>
      <c r="CC2977" s="20"/>
      <c r="CD2977" s="13"/>
    </row>
    <row r="2978" spans="35:82">
      <c r="AI2978" s="19"/>
      <c r="AO2978" s="19"/>
      <c r="AY2978" s="145"/>
      <c r="AZ2978" s="16"/>
      <c r="BC2978" s="16"/>
      <c r="BD2978" s="20"/>
      <c r="BE2978" s="17"/>
      <c r="BF2978" s="20"/>
      <c r="BG2978" s="146"/>
      <c r="BH2978" s="146"/>
      <c r="BI2978" s="146"/>
      <c r="BJ2978" s="20"/>
      <c r="BK2978" s="20"/>
      <c r="BL2978" s="13"/>
      <c r="BP2978" s="20"/>
      <c r="BQ2978" s="13"/>
      <c r="BR2978" s="18"/>
      <c r="BS2978" s="16"/>
      <c r="BT2978" s="18"/>
      <c r="BU2978" s="18"/>
      <c r="BV2978" s="18"/>
      <c r="BW2978" s="20"/>
      <c r="BX2978" s="13"/>
      <c r="BY2978" s="18"/>
      <c r="BZ2978" s="146"/>
      <c r="CA2978" s="18"/>
      <c r="CB2978" s="18"/>
      <c r="CC2978" s="20"/>
      <c r="CD2978" s="13"/>
    </row>
    <row r="2979" spans="35:82">
      <c r="AI2979" s="19"/>
      <c r="AO2979" s="19"/>
      <c r="AY2979" s="145"/>
      <c r="AZ2979" s="16"/>
      <c r="BC2979" s="16"/>
      <c r="BD2979" s="20"/>
      <c r="BE2979" s="17"/>
      <c r="BF2979" s="20"/>
      <c r="BG2979" s="146"/>
      <c r="BH2979" s="146"/>
      <c r="BI2979" s="146"/>
      <c r="BJ2979" s="20"/>
      <c r="BK2979" s="20"/>
      <c r="BL2979" s="13"/>
      <c r="BP2979" s="20"/>
      <c r="BQ2979" s="13"/>
      <c r="BR2979" s="18"/>
      <c r="BS2979" s="16"/>
      <c r="BT2979" s="18"/>
      <c r="BU2979" s="18"/>
      <c r="BV2979" s="18"/>
      <c r="BW2979" s="20"/>
      <c r="BX2979" s="13"/>
      <c r="BY2979" s="18"/>
      <c r="BZ2979" s="146"/>
      <c r="CA2979" s="18"/>
      <c r="CB2979" s="18"/>
      <c r="CC2979" s="20"/>
      <c r="CD2979" s="13"/>
    </row>
    <row r="2980" spans="35:82">
      <c r="AI2980" s="19"/>
      <c r="AO2980" s="19"/>
      <c r="AY2980" s="145"/>
      <c r="AZ2980" s="16"/>
      <c r="BC2980" s="16"/>
      <c r="BD2980" s="20"/>
      <c r="BE2980" s="17"/>
      <c r="BF2980" s="20"/>
      <c r="BG2980" s="146"/>
      <c r="BH2980" s="146"/>
      <c r="BI2980" s="146"/>
      <c r="BJ2980" s="20"/>
      <c r="BK2980" s="20"/>
      <c r="BL2980" s="13"/>
      <c r="BP2980" s="20"/>
      <c r="BQ2980" s="13"/>
      <c r="BR2980" s="18"/>
      <c r="BS2980" s="16"/>
      <c r="BT2980" s="18"/>
      <c r="BU2980" s="18"/>
      <c r="BV2980" s="18"/>
      <c r="BW2980" s="20"/>
      <c r="BX2980" s="13"/>
      <c r="BY2980" s="18"/>
      <c r="BZ2980" s="146"/>
      <c r="CA2980" s="18"/>
      <c r="CB2980" s="18"/>
      <c r="CC2980" s="20"/>
      <c r="CD2980" s="13"/>
    </row>
    <row r="2981" spans="35:82">
      <c r="AI2981" s="19"/>
      <c r="AO2981" s="19"/>
      <c r="AY2981" s="145"/>
      <c r="AZ2981" s="16"/>
      <c r="BC2981" s="16"/>
      <c r="BD2981" s="20"/>
      <c r="BE2981" s="17"/>
      <c r="BF2981" s="20"/>
      <c r="BG2981" s="146"/>
      <c r="BH2981" s="146"/>
      <c r="BI2981" s="146"/>
      <c r="BJ2981" s="20"/>
      <c r="BK2981" s="20"/>
      <c r="BL2981" s="13"/>
      <c r="BP2981" s="20"/>
      <c r="BQ2981" s="13"/>
      <c r="BR2981" s="18"/>
      <c r="BS2981" s="16"/>
      <c r="BT2981" s="18"/>
      <c r="BU2981" s="18"/>
      <c r="BV2981" s="18"/>
      <c r="BW2981" s="20"/>
      <c r="BX2981" s="13"/>
      <c r="BY2981" s="18"/>
      <c r="BZ2981" s="146"/>
      <c r="CA2981" s="18"/>
      <c r="CB2981" s="18"/>
      <c r="CC2981" s="20"/>
      <c r="CD2981" s="13"/>
    </row>
    <row r="2982" spans="35:82">
      <c r="AI2982" s="19"/>
      <c r="AO2982" s="19"/>
      <c r="AY2982" s="145"/>
      <c r="AZ2982" s="16"/>
      <c r="BC2982" s="16"/>
      <c r="BD2982" s="20"/>
      <c r="BE2982" s="17"/>
      <c r="BF2982" s="20"/>
      <c r="BG2982" s="146"/>
      <c r="BH2982" s="146"/>
      <c r="BI2982" s="146"/>
      <c r="BJ2982" s="20"/>
      <c r="BK2982" s="20"/>
      <c r="BL2982" s="13"/>
      <c r="BP2982" s="20"/>
      <c r="BQ2982" s="13"/>
      <c r="BR2982" s="18"/>
      <c r="BS2982" s="16"/>
      <c r="BT2982" s="18"/>
      <c r="BU2982" s="18"/>
      <c r="BV2982" s="18"/>
      <c r="BW2982" s="20"/>
      <c r="BX2982" s="13"/>
      <c r="BY2982" s="18"/>
      <c r="BZ2982" s="146"/>
      <c r="CA2982" s="18"/>
      <c r="CB2982" s="18"/>
      <c r="CC2982" s="20"/>
      <c r="CD2982" s="13"/>
    </row>
    <row r="2983" spans="35:82">
      <c r="AI2983" s="19"/>
      <c r="AO2983" s="19"/>
      <c r="AY2983" s="145"/>
      <c r="AZ2983" s="16"/>
      <c r="BC2983" s="16"/>
      <c r="BD2983" s="20"/>
      <c r="BE2983" s="17"/>
      <c r="BF2983" s="20"/>
      <c r="BG2983" s="146"/>
      <c r="BH2983" s="146"/>
      <c r="BI2983" s="146"/>
      <c r="BJ2983" s="20"/>
      <c r="BK2983" s="20"/>
      <c r="BL2983" s="13"/>
      <c r="BP2983" s="20"/>
      <c r="BQ2983" s="13"/>
      <c r="BR2983" s="18"/>
      <c r="BS2983" s="16"/>
      <c r="BT2983" s="18"/>
      <c r="BU2983" s="18"/>
      <c r="BV2983" s="18"/>
      <c r="BW2983" s="20"/>
      <c r="BX2983" s="13"/>
      <c r="BY2983" s="18"/>
      <c r="BZ2983" s="146"/>
      <c r="CA2983" s="18"/>
      <c r="CB2983" s="18"/>
      <c r="CC2983" s="20"/>
      <c r="CD2983" s="13"/>
    </row>
    <row r="2984" spans="35:82">
      <c r="AI2984" s="19"/>
      <c r="AO2984" s="19"/>
      <c r="AY2984" s="145"/>
      <c r="AZ2984" s="16"/>
      <c r="BC2984" s="16"/>
      <c r="BD2984" s="20"/>
      <c r="BE2984" s="17"/>
      <c r="BF2984" s="20"/>
      <c r="BG2984" s="146"/>
      <c r="BH2984" s="146"/>
      <c r="BI2984" s="146"/>
      <c r="BJ2984" s="20"/>
      <c r="BK2984" s="20"/>
      <c r="BL2984" s="13"/>
      <c r="BP2984" s="20"/>
      <c r="BQ2984" s="13"/>
      <c r="BR2984" s="18"/>
      <c r="BS2984" s="16"/>
      <c r="BT2984" s="18"/>
      <c r="BU2984" s="18"/>
      <c r="BV2984" s="18"/>
      <c r="BW2984" s="20"/>
      <c r="BX2984" s="13"/>
      <c r="BY2984" s="18"/>
      <c r="BZ2984" s="146"/>
      <c r="CA2984" s="18"/>
      <c r="CB2984" s="18"/>
      <c r="CC2984" s="20"/>
      <c r="CD2984" s="13"/>
    </row>
    <row r="2985" spans="35:82">
      <c r="AI2985" s="19"/>
      <c r="AO2985" s="19"/>
      <c r="AY2985" s="145"/>
      <c r="AZ2985" s="16"/>
      <c r="BC2985" s="16"/>
      <c r="BD2985" s="20"/>
      <c r="BE2985" s="17"/>
      <c r="BF2985" s="20"/>
      <c r="BG2985" s="146"/>
      <c r="BH2985" s="146"/>
      <c r="BI2985" s="146"/>
      <c r="BJ2985" s="20"/>
      <c r="BK2985" s="20"/>
      <c r="BL2985" s="13"/>
      <c r="BP2985" s="20"/>
      <c r="BQ2985" s="13"/>
      <c r="BR2985" s="18"/>
      <c r="BS2985" s="16"/>
      <c r="BT2985" s="18"/>
      <c r="BU2985" s="18"/>
      <c r="BV2985" s="18"/>
      <c r="BW2985" s="20"/>
      <c r="BX2985" s="13"/>
      <c r="BY2985" s="18"/>
      <c r="BZ2985" s="146"/>
      <c r="CA2985" s="18"/>
      <c r="CB2985" s="18"/>
      <c r="CC2985" s="20"/>
      <c r="CD2985" s="13"/>
    </row>
    <row r="2986" spans="35:82">
      <c r="AI2986" s="19"/>
      <c r="AO2986" s="19"/>
      <c r="AY2986" s="145"/>
      <c r="AZ2986" s="16"/>
      <c r="BC2986" s="16"/>
      <c r="BD2986" s="20"/>
      <c r="BE2986" s="17"/>
      <c r="BF2986" s="20"/>
      <c r="BG2986" s="146"/>
      <c r="BH2986" s="146"/>
      <c r="BI2986" s="146"/>
      <c r="BJ2986" s="20"/>
      <c r="BK2986" s="20"/>
      <c r="BL2986" s="13"/>
      <c r="BP2986" s="20"/>
      <c r="BQ2986" s="13"/>
      <c r="BR2986" s="18"/>
      <c r="BS2986" s="16"/>
      <c r="BT2986" s="18"/>
      <c r="BU2986" s="18"/>
      <c r="BV2986" s="18"/>
      <c r="BW2986" s="20"/>
      <c r="BX2986" s="13"/>
      <c r="BY2986" s="18"/>
      <c r="BZ2986" s="146"/>
      <c r="CA2986" s="18"/>
      <c r="CB2986" s="18"/>
      <c r="CC2986" s="20"/>
      <c r="CD2986" s="13"/>
    </row>
    <row r="2987" spans="35:82">
      <c r="AI2987" s="19"/>
      <c r="AO2987" s="19"/>
      <c r="AY2987" s="145"/>
      <c r="AZ2987" s="16"/>
      <c r="BC2987" s="16"/>
      <c r="BD2987" s="20"/>
      <c r="BE2987" s="17"/>
      <c r="BF2987" s="20"/>
      <c r="BG2987" s="146"/>
      <c r="BH2987" s="146"/>
      <c r="BI2987" s="146"/>
      <c r="BJ2987" s="20"/>
      <c r="BK2987" s="20"/>
      <c r="BL2987" s="13"/>
      <c r="BP2987" s="20"/>
      <c r="BQ2987" s="13"/>
      <c r="BR2987" s="18"/>
      <c r="BS2987" s="16"/>
      <c r="BT2987" s="18"/>
      <c r="BU2987" s="18"/>
      <c r="BV2987" s="18"/>
      <c r="BW2987" s="20"/>
      <c r="BX2987" s="13"/>
      <c r="BY2987" s="18"/>
      <c r="BZ2987" s="146"/>
      <c r="CA2987" s="18"/>
      <c r="CB2987" s="18"/>
      <c r="CC2987" s="20"/>
      <c r="CD2987" s="13"/>
    </row>
    <row r="2988" spans="35:82">
      <c r="AI2988" s="19"/>
      <c r="AO2988" s="19"/>
      <c r="AY2988" s="145"/>
      <c r="AZ2988" s="16"/>
      <c r="BC2988" s="16"/>
      <c r="BD2988" s="20"/>
      <c r="BE2988" s="17"/>
      <c r="BF2988" s="20"/>
      <c r="BG2988" s="146"/>
      <c r="BH2988" s="146"/>
      <c r="BI2988" s="146"/>
      <c r="BJ2988" s="20"/>
      <c r="BK2988" s="20"/>
      <c r="BL2988" s="13"/>
      <c r="BP2988" s="20"/>
      <c r="BQ2988" s="13"/>
      <c r="BR2988" s="18"/>
      <c r="BS2988" s="16"/>
      <c r="BT2988" s="18"/>
      <c r="BU2988" s="18"/>
      <c r="BV2988" s="18"/>
      <c r="BW2988" s="20"/>
      <c r="BX2988" s="13"/>
      <c r="BY2988" s="18"/>
      <c r="BZ2988" s="146"/>
      <c r="CA2988" s="18"/>
      <c r="CB2988" s="18"/>
      <c r="CC2988" s="20"/>
      <c r="CD2988" s="13"/>
    </row>
    <row r="2989" spans="35:82">
      <c r="AI2989" s="19"/>
      <c r="AO2989" s="19"/>
      <c r="AY2989" s="145"/>
      <c r="AZ2989" s="16"/>
      <c r="BC2989" s="16"/>
      <c r="BD2989" s="20"/>
      <c r="BE2989" s="17"/>
      <c r="BF2989" s="20"/>
      <c r="BG2989" s="146"/>
      <c r="BH2989" s="146"/>
      <c r="BI2989" s="146"/>
      <c r="BJ2989" s="20"/>
      <c r="BK2989" s="20"/>
      <c r="BL2989" s="13"/>
      <c r="BP2989" s="20"/>
      <c r="BQ2989" s="13"/>
      <c r="BR2989" s="18"/>
      <c r="BS2989" s="16"/>
      <c r="BT2989" s="18"/>
      <c r="BU2989" s="18"/>
      <c r="BV2989" s="18"/>
      <c r="BW2989" s="20"/>
      <c r="BX2989" s="13"/>
      <c r="BY2989" s="18"/>
      <c r="BZ2989" s="146"/>
      <c r="CA2989" s="18"/>
      <c r="CB2989" s="18"/>
      <c r="CC2989" s="20"/>
      <c r="CD2989" s="13"/>
    </row>
    <row r="2990" spans="35:82">
      <c r="AI2990" s="19"/>
      <c r="AO2990" s="19"/>
      <c r="AY2990" s="145"/>
      <c r="AZ2990" s="16"/>
      <c r="BC2990" s="16"/>
      <c r="BD2990" s="20"/>
      <c r="BE2990" s="17"/>
      <c r="BF2990" s="20"/>
      <c r="BG2990" s="146"/>
      <c r="BH2990" s="146"/>
      <c r="BI2990" s="146"/>
      <c r="BJ2990" s="20"/>
      <c r="BK2990" s="20"/>
      <c r="BL2990" s="13"/>
      <c r="BP2990" s="20"/>
      <c r="BQ2990" s="13"/>
      <c r="BR2990" s="18"/>
      <c r="BS2990" s="16"/>
      <c r="BT2990" s="18"/>
      <c r="BU2990" s="18"/>
      <c r="BV2990" s="18"/>
      <c r="BW2990" s="20"/>
      <c r="BX2990" s="13"/>
      <c r="BY2990" s="18"/>
      <c r="BZ2990" s="146"/>
      <c r="CA2990" s="18"/>
      <c r="CB2990" s="18"/>
      <c r="CC2990" s="20"/>
      <c r="CD2990" s="13"/>
    </row>
    <row r="2991" spans="35:82">
      <c r="AI2991" s="19"/>
      <c r="AO2991" s="19"/>
      <c r="AY2991" s="145"/>
      <c r="AZ2991" s="16"/>
      <c r="BC2991" s="16"/>
      <c r="BD2991" s="20"/>
      <c r="BE2991" s="17"/>
      <c r="BF2991" s="20"/>
      <c r="BG2991" s="146"/>
      <c r="BH2991" s="146"/>
      <c r="BI2991" s="146"/>
      <c r="BJ2991" s="20"/>
      <c r="BK2991" s="20"/>
      <c r="BL2991" s="13"/>
      <c r="BP2991" s="20"/>
      <c r="BQ2991" s="13"/>
      <c r="BR2991" s="18"/>
      <c r="BS2991" s="16"/>
      <c r="BT2991" s="18"/>
      <c r="BU2991" s="18"/>
      <c r="BV2991" s="18"/>
      <c r="BW2991" s="20"/>
      <c r="BX2991" s="13"/>
      <c r="BY2991" s="18"/>
      <c r="BZ2991" s="146"/>
      <c r="CA2991" s="18"/>
      <c r="CB2991" s="18"/>
      <c r="CC2991" s="20"/>
      <c r="CD2991" s="13"/>
    </row>
    <row r="2992" spans="35:82">
      <c r="AI2992" s="19"/>
      <c r="AO2992" s="19"/>
      <c r="AY2992" s="145"/>
      <c r="AZ2992" s="16"/>
      <c r="BC2992" s="16"/>
      <c r="BD2992" s="20"/>
      <c r="BE2992" s="17"/>
      <c r="BF2992" s="20"/>
      <c r="BG2992" s="146"/>
      <c r="BH2992" s="146"/>
      <c r="BI2992" s="146"/>
      <c r="BJ2992" s="20"/>
      <c r="BK2992" s="20"/>
      <c r="BL2992" s="13"/>
      <c r="BP2992" s="20"/>
      <c r="BQ2992" s="13"/>
      <c r="BR2992" s="18"/>
      <c r="BS2992" s="16"/>
      <c r="BT2992" s="18"/>
      <c r="BU2992" s="18"/>
      <c r="BV2992" s="18"/>
      <c r="BW2992" s="20"/>
      <c r="BX2992" s="13"/>
      <c r="BY2992" s="18"/>
      <c r="BZ2992" s="146"/>
      <c r="CA2992" s="18"/>
      <c r="CB2992" s="18"/>
      <c r="CC2992" s="20"/>
      <c r="CD2992" s="13"/>
    </row>
    <row r="2993" spans="35:82">
      <c r="AI2993" s="19"/>
      <c r="AO2993" s="19"/>
      <c r="AY2993" s="145"/>
      <c r="AZ2993" s="16"/>
      <c r="BC2993" s="16"/>
      <c r="BD2993" s="20"/>
      <c r="BE2993" s="17"/>
      <c r="BF2993" s="20"/>
      <c r="BG2993" s="146"/>
      <c r="BH2993" s="146"/>
      <c r="BI2993" s="146"/>
      <c r="BJ2993" s="20"/>
      <c r="BK2993" s="20"/>
      <c r="BL2993" s="13"/>
      <c r="BP2993" s="20"/>
      <c r="BQ2993" s="13"/>
      <c r="BR2993" s="18"/>
      <c r="BS2993" s="16"/>
      <c r="BT2993" s="18"/>
      <c r="BU2993" s="18"/>
      <c r="BV2993" s="18"/>
      <c r="BW2993" s="20"/>
      <c r="BX2993" s="13"/>
      <c r="BY2993" s="18"/>
      <c r="BZ2993" s="146"/>
      <c r="CA2993" s="18"/>
      <c r="CB2993" s="18"/>
      <c r="CC2993" s="20"/>
      <c r="CD2993" s="13"/>
    </row>
    <row r="2994" spans="35:82">
      <c r="AI2994" s="19"/>
      <c r="AO2994" s="19"/>
      <c r="AY2994" s="145"/>
      <c r="AZ2994" s="16"/>
      <c r="BC2994" s="16"/>
      <c r="BD2994" s="20"/>
      <c r="BE2994" s="17"/>
      <c r="BF2994" s="20"/>
      <c r="BG2994" s="146"/>
      <c r="BH2994" s="146"/>
      <c r="BI2994" s="146"/>
      <c r="BJ2994" s="20"/>
      <c r="BK2994" s="20"/>
      <c r="BL2994" s="13"/>
      <c r="BP2994" s="20"/>
      <c r="BQ2994" s="13"/>
      <c r="BR2994" s="18"/>
      <c r="BS2994" s="16"/>
      <c r="BT2994" s="18"/>
      <c r="BU2994" s="18"/>
      <c r="BV2994" s="18"/>
      <c r="BW2994" s="20"/>
      <c r="BX2994" s="13"/>
      <c r="BY2994" s="18"/>
      <c r="BZ2994" s="146"/>
      <c r="CA2994" s="18"/>
      <c r="CB2994" s="18"/>
      <c r="CC2994" s="20"/>
      <c r="CD2994" s="13"/>
    </row>
    <row r="2995" spans="35:82">
      <c r="AI2995" s="19"/>
      <c r="AO2995" s="19"/>
      <c r="AY2995" s="145"/>
      <c r="AZ2995" s="16"/>
      <c r="BC2995" s="16"/>
      <c r="BD2995" s="20"/>
      <c r="BE2995" s="17"/>
      <c r="BF2995" s="20"/>
      <c r="BG2995" s="146"/>
      <c r="BH2995" s="146"/>
      <c r="BI2995" s="146"/>
      <c r="BJ2995" s="20"/>
      <c r="BK2995" s="20"/>
      <c r="BL2995" s="13"/>
      <c r="BP2995" s="20"/>
      <c r="BQ2995" s="13"/>
      <c r="BR2995" s="18"/>
      <c r="BS2995" s="16"/>
      <c r="BT2995" s="18"/>
      <c r="BU2995" s="18"/>
      <c r="BV2995" s="18"/>
      <c r="BW2995" s="20"/>
      <c r="BX2995" s="13"/>
      <c r="BY2995" s="18"/>
      <c r="BZ2995" s="146"/>
      <c r="CA2995" s="18"/>
      <c r="CB2995" s="18"/>
      <c r="CC2995" s="20"/>
      <c r="CD2995" s="13"/>
    </row>
    <row r="2996" spans="35:82">
      <c r="AI2996" s="19"/>
      <c r="AO2996" s="19"/>
      <c r="AY2996" s="145"/>
      <c r="AZ2996" s="16"/>
      <c r="BC2996" s="16"/>
      <c r="BD2996" s="20"/>
      <c r="BE2996" s="17"/>
      <c r="BF2996" s="20"/>
      <c r="BG2996" s="146"/>
      <c r="BH2996" s="146"/>
      <c r="BI2996" s="146"/>
      <c r="BJ2996" s="20"/>
      <c r="BK2996" s="20"/>
      <c r="BL2996" s="13"/>
      <c r="BP2996" s="20"/>
      <c r="BQ2996" s="13"/>
      <c r="BR2996" s="18"/>
      <c r="BS2996" s="16"/>
      <c r="BT2996" s="18"/>
      <c r="BU2996" s="18"/>
      <c r="BV2996" s="18"/>
      <c r="BW2996" s="20"/>
      <c r="BX2996" s="13"/>
      <c r="BY2996" s="18"/>
      <c r="BZ2996" s="146"/>
      <c r="CA2996" s="18"/>
      <c r="CB2996" s="18"/>
      <c r="CC2996" s="20"/>
      <c r="CD2996" s="13"/>
    </row>
    <row r="2997" spans="35:82">
      <c r="AI2997" s="19"/>
      <c r="AO2997" s="19"/>
      <c r="AY2997" s="145"/>
      <c r="AZ2997" s="16"/>
      <c r="BC2997" s="16"/>
      <c r="BD2997" s="20"/>
      <c r="BE2997" s="17"/>
      <c r="BF2997" s="20"/>
      <c r="BG2997" s="146"/>
      <c r="BH2997" s="146"/>
      <c r="BI2997" s="146"/>
      <c r="BJ2997" s="20"/>
      <c r="BK2997" s="20"/>
      <c r="BL2997" s="13"/>
      <c r="BP2997" s="20"/>
      <c r="BQ2997" s="13"/>
      <c r="BR2997" s="18"/>
      <c r="BS2997" s="16"/>
      <c r="BT2997" s="18"/>
      <c r="BU2997" s="18"/>
      <c r="BV2997" s="18"/>
      <c r="BW2997" s="20"/>
      <c r="BX2997" s="13"/>
      <c r="BY2997" s="18"/>
      <c r="BZ2997" s="146"/>
      <c r="CA2997" s="18"/>
      <c r="CB2997" s="18"/>
      <c r="CC2997" s="20"/>
      <c r="CD2997" s="13"/>
    </row>
    <row r="2998" spans="35:82">
      <c r="AI2998" s="19"/>
      <c r="AO2998" s="19"/>
      <c r="AY2998" s="145"/>
      <c r="AZ2998" s="16"/>
      <c r="BC2998" s="16"/>
      <c r="BD2998" s="20"/>
      <c r="BE2998" s="17"/>
      <c r="BF2998" s="20"/>
      <c r="BG2998" s="146"/>
      <c r="BH2998" s="146"/>
      <c r="BI2998" s="146"/>
      <c r="BJ2998" s="20"/>
      <c r="BK2998" s="20"/>
      <c r="BL2998" s="13"/>
      <c r="BP2998" s="20"/>
      <c r="BQ2998" s="13"/>
      <c r="BR2998" s="18"/>
      <c r="BS2998" s="16"/>
      <c r="BT2998" s="18"/>
      <c r="BU2998" s="18"/>
      <c r="BV2998" s="18"/>
      <c r="BW2998" s="20"/>
      <c r="BX2998" s="13"/>
      <c r="BY2998" s="18"/>
      <c r="BZ2998" s="146"/>
      <c r="CA2998" s="18"/>
      <c r="CB2998" s="18"/>
      <c r="CC2998" s="20"/>
      <c r="CD2998" s="13"/>
    </row>
    <row r="2999" spans="35:82">
      <c r="AI2999" s="19"/>
      <c r="AO2999" s="19"/>
      <c r="AY2999" s="145"/>
      <c r="AZ2999" s="16"/>
      <c r="BC2999" s="16"/>
      <c r="BD2999" s="20"/>
      <c r="BE2999" s="17"/>
      <c r="BF2999" s="20"/>
      <c r="BG2999" s="146"/>
      <c r="BH2999" s="146"/>
      <c r="BI2999" s="146"/>
      <c r="BJ2999" s="20"/>
      <c r="BK2999" s="20"/>
      <c r="BL2999" s="13"/>
      <c r="BP2999" s="20"/>
      <c r="BQ2999" s="13"/>
      <c r="BR2999" s="18"/>
      <c r="BS2999" s="16"/>
      <c r="BT2999" s="18"/>
      <c r="BU2999" s="18"/>
      <c r="BV2999" s="18"/>
      <c r="BW2999" s="20"/>
      <c r="BX2999" s="13"/>
      <c r="BY2999" s="18"/>
      <c r="BZ2999" s="146"/>
      <c r="CA2999" s="18"/>
      <c r="CB2999" s="18"/>
      <c r="CC2999" s="20"/>
      <c r="CD2999" s="13"/>
    </row>
    <row r="3000" spans="35:82">
      <c r="AI3000" s="19"/>
      <c r="AO3000" s="19"/>
      <c r="AY3000" s="145"/>
      <c r="AZ3000" s="16"/>
      <c r="BC3000" s="16"/>
      <c r="BD3000" s="20"/>
      <c r="BE3000" s="17"/>
      <c r="BF3000" s="20"/>
      <c r="BG3000" s="146"/>
      <c r="BH3000" s="146"/>
      <c r="BI3000" s="146"/>
      <c r="BJ3000" s="20"/>
      <c r="BK3000" s="20"/>
      <c r="BL3000" s="13"/>
      <c r="BP3000" s="20"/>
      <c r="BQ3000" s="13"/>
      <c r="BR3000" s="18"/>
      <c r="BS3000" s="16"/>
      <c r="BT3000" s="18"/>
      <c r="BU3000" s="18"/>
      <c r="BV3000" s="18"/>
      <c r="BW3000" s="20"/>
      <c r="BX3000" s="13"/>
      <c r="BY3000" s="18"/>
      <c r="BZ3000" s="146"/>
      <c r="CA3000" s="18"/>
      <c r="CB3000" s="18"/>
      <c r="CC3000" s="20"/>
      <c r="CD3000" s="13"/>
    </row>
    <row r="3001" spans="35:82">
      <c r="AI3001" s="19"/>
      <c r="AO3001" s="19"/>
      <c r="AY3001" s="145"/>
      <c r="AZ3001" s="16"/>
      <c r="BC3001" s="16"/>
      <c r="BD3001" s="20"/>
      <c r="BE3001" s="17"/>
      <c r="BF3001" s="20"/>
      <c r="BG3001" s="146"/>
      <c r="BH3001" s="146"/>
      <c r="BI3001" s="146"/>
      <c r="BJ3001" s="20"/>
      <c r="BK3001" s="20"/>
      <c r="BL3001" s="13"/>
      <c r="BP3001" s="20"/>
      <c r="BQ3001" s="13"/>
      <c r="BR3001" s="18"/>
      <c r="BS3001" s="16"/>
      <c r="BT3001" s="18"/>
      <c r="BU3001" s="18"/>
      <c r="BV3001" s="18"/>
      <c r="BW3001" s="20"/>
      <c r="BX3001" s="13"/>
      <c r="BY3001" s="18"/>
      <c r="BZ3001" s="146"/>
      <c r="CA3001" s="18"/>
      <c r="CB3001" s="18"/>
      <c r="CC3001" s="20"/>
      <c r="CD3001" s="13"/>
    </row>
    <row r="3002" spans="35:82">
      <c r="AI3002" s="19"/>
      <c r="AO3002" s="19"/>
      <c r="AY3002" s="145"/>
      <c r="AZ3002" s="16"/>
      <c r="BC3002" s="16"/>
      <c r="BD3002" s="20"/>
      <c r="BE3002" s="17"/>
      <c r="BF3002" s="20"/>
      <c r="BG3002" s="146"/>
      <c r="BH3002" s="146"/>
      <c r="BI3002" s="146"/>
      <c r="BJ3002" s="20"/>
      <c r="BK3002" s="20"/>
      <c r="BL3002" s="13"/>
      <c r="BP3002" s="20"/>
      <c r="BQ3002" s="13"/>
      <c r="BR3002" s="18"/>
      <c r="BS3002" s="16"/>
      <c r="BT3002" s="18"/>
      <c r="BU3002" s="18"/>
      <c r="BV3002" s="18"/>
      <c r="BW3002" s="20"/>
      <c r="BX3002" s="13"/>
      <c r="BY3002" s="18"/>
      <c r="BZ3002" s="146"/>
      <c r="CA3002" s="18"/>
      <c r="CB3002" s="18"/>
      <c r="CC3002" s="20"/>
      <c r="CD3002" s="13"/>
    </row>
    <row r="3003" spans="35:82">
      <c r="AI3003" s="19"/>
      <c r="AO3003" s="19"/>
      <c r="AY3003" s="145"/>
      <c r="AZ3003" s="16"/>
      <c r="BC3003" s="16"/>
      <c r="BD3003" s="20"/>
      <c r="BE3003" s="17"/>
      <c r="BF3003" s="20"/>
      <c r="BG3003" s="146"/>
      <c r="BH3003" s="146"/>
      <c r="BI3003" s="146"/>
      <c r="BJ3003" s="20"/>
      <c r="BK3003" s="20"/>
      <c r="BL3003" s="13"/>
      <c r="BP3003" s="20"/>
      <c r="BQ3003" s="13"/>
      <c r="BR3003" s="18"/>
      <c r="BS3003" s="16"/>
      <c r="BT3003" s="18"/>
      <c r="BU3003" s="18"/>
      <c r="BV3003" s="18"/>
      <c r="BW3003" s="20"/>
      <c r="BX3003" s="13"/>
      <c r="BY3003" s="18"/>
      <c r="BZ3003" s="146"/>
      <c r="CA3003" s="18"/>
      <c r="CB3003" s="18"/>
      <c r="CC3003" s="20"/>
      <c r="CD3003" s="13"/>
    </row>
    <row r="3004" spans="35:82">
      <c r="AI3004" s="19"/>
      <c r="AO3004" s="19"/>
      <c r="AY3004" s="145"/>
      <c r="AZ3004" s="16"/>
      <c r="BC3004" s="16"/>
      <c r="BD3004" s="20"/>
      <c r="BE3004" s="17"/>
      <c r="BF3004" s="20"/>
      <c r="BG3004" s="146"/>
      <c r="BH3004" s="146"/>
      <c r="BI3004" s="146"/>
      <c r="BJ3004" s="20"/>
      <c r="BK3004" s="20"/>
      <c r="BL3004" s="13"/>
      <c r="BP3004" s="20"/>
      <c r="BQ3004" s="13"/>
      <c r="BR3004" s="18"/>
      <c r="BS3004" s="16"/>
      <c r="BT3004" s="18"/>
      <c r="BU3004" s="18"/>
      <c r="BV3004" s="18"/>
      <c r="BW3004" s="20"/>
      <c r="BX3004" s="13"/>
      <c r="BY3004" s="18"/>
      <c r="BZ3004" s="146"/>
      <c r="CA3004" s="18"/>
      <c r="CB3004" s="18"/>
      <c r="CC3004" s="20"/>
      <c r="CD3004" s="13"/>
    </row>
    <row r="3005" spans="35:82">
      <c r="AI3005" s="19"/>
      <c r="AO3005" s="19"/>
      <c r="AY3005" s="145"/>
      <c r="AZ3005" s="16"/>
      <c r="BC3005" s="16"/>
      <c r="BD3005" s="20"/>
      <c r="BE3005" s="17"/>
      <c r="BF3005" s="20"/>
      <c r="BG3005" s="146"/>
      <c r="BH3005" s="146"/>
      <c r="BI3005" s="146"/>
      <c r="BJ3005" s="20"/>
      <c r="BK3005" s="20"/>
      <c r="BL3005" s="13"/>
      <c r="BP3005" s="20"/>
      <c r="BQ3005" s="13"/>
      <c r="BR3005" s="18"/>
      <c r="BS3005" s="16"/>
      <c r="BT3005" s="18"/>
      <c r="BU3005" s="18"/>
      <c r="BV3005" s="18"/>
      <c r="BW3005" s="20"/>
      <c r="BX3005" s="13"/>
      <c r="BY3005" s="18"/>
      <c r="BZ3005" s="146"/>
      <c r="CA3005" s="18"/>
      <c r="CB3005" s="18"/>
      <c r="CC3005" s="20"/>
      <c r="CD3005" s="13"/>
    </row>
    <row r="3006" spans="35:82">
      <c r="AI3006" s="19"/>
      <c r="AO3006" s="19"/>
      <c r="AY3006" s="145"/>
      <c r="AZ3006" s="16"/>
      <c r="BC3006" s="16"/>
      <c r="BD3006" s="20"/>
      <c r="BE3006" s="17"/>
      <c r="BF3006" s="20"/>
      <c r="BG3006" s="146"/>
      <c r="BH3006" s="146"/>
      <c r="BI3006" s="146"/>
      <c r="BJ3006" s="20"/>
      <c r="BK3006" s="20"/>
      <c r="BL3006" s="13"/>
      <c r="BP3006" s="20"/>
      <c r="BQ3006" s="13"/>
      <c r="BR3006" s="18"/>
      <c r="BS3006" s="16"/>
      <c r="BT3006" s="18"/>
      <c r="BU3006" s="18"/>
      <c r="BV3006" s="18"/>
      <c r="BW3006" s="20"/>
      <c r="BX3006" s="13"/>
      <c r="BY3006" s="18"/>
      <c r="BZ3006" s="146"/>
      <c r="CA3006" s="18"/>
      <c r="CB3006" s="18"/>
      <c r="CC3006" s="20"/>
      <c r="CD3006" s="13"/>
    </row>
    <row r="3007" spans="35:82">
      <c r="AI3007" s="19"/>
      <c r="AO3007" s="19"/>
      <c r="AY3007" s="145"/>
      <c r="AZ3007" s="16"/>
      <c r="BC3007" s="16"/>
      <c r="BD3007" s="20"/>
      <c r="BE3007" s="17"/>
      <c r="BF3007" s="20"/>
      <c r="BG3007" s="146"/>
      <c r="BH3007" s="146"/>
      <c r="BI3007" s="146"/>
      <c r="BJ3007" s="20"/>
      <c r="BK3007" s="20"/>
      <c r="BL3007" s="13"/>
      <c r="BP3007" s="20"/>
      <c r="BQ3007" s="13"/>
      <c r="BR3007" s="18"/>
      <c r="BS3007" s="16"/>
      <c r="BT3007" s="18"/>
      <c r="BU3007" s="18"/>
      <c r="BV3007" s="18"/>
      <c r="BW3007" s="20"/>
      <c r="BX3007" s="13"/>
      <c r="BY3007" s="18"/>
      <c r="BZ3007" s="146"/>
      <c r="CA3007" s="18"/>
      <c r="CB3007" s="18"/>
      <c r="CC3007" s="20"/>
      <c r="CD3007" s="13"/>
    </row>
    <row r="3008" spans="35:82">
      <c r="AI3008" s="19"/>
      <c r="AO3008" s="19"/>
      <c r="AY3008" s="145"/>
      <c r="AZ3008" s="16"/>
      <c r="BC3008" s="16"/>
      <c r="BD3008" s="20"/>
      <c r="BE3008" s="17"/>
      <c r="BF3008" s="20"/>
      <c r="BG3008" s="146"/>
      <c r="BH3008" s="146"/>
      <c r="BI3008" s="146"/>
      <c r="BJ3008" s="20"/>
      <c r="BK3008" s="20"/>
      <c r="BL3008" s="13"/>
      <c r="BP3008" s="20"/>
      <c r="BQ3008" s="13"/>
      <c r="BR3008" s="18"/>
      <c r="BS3008" s="16"/>
      <c r="BT3008" s="18"/>
      <c r="BU3008" s="18"/>
      <c r="BV3008" s="18"/>
      <c r="BW3008" s="20"/>
      <c r="BX3008" s="13"/>
      <c r="BY3008" s="18"/>
      <c r="BZ3008" s="146"/>
      <c r="CA3008" s="18"/>
      <c r="CB3008" s="18"/>
      <c r="CC3008" s="20"/>
      <c r="CD3008" s="13"/>
    </row>
    <row r="3009" spans="35:82">
      <c r="AI3009" s="19"/>
      <c r="AO3009" s="19"/>
      <c r="AY3009" s="145"/>
      <c r="AZ3009" s="16"/>
      <c r="BC3009" s="16"/>
      <c r="BD3009" s="20"/>
      <c r="BE3009" s="17"/>
      <c r="BF3009" s="20"/>
      <c r="BG3009" s="146"/>
      <c r="BH3009" s="146"/>
      <c r="BI3009" s="146"/>
      <c r="BJ3009" s="20"/>
      <c r="BK3009" s="20"/>
      <c r="BL3009" s="13"/>
      <c r="BP3009" s="20"/>
      <c r="BQ3009" s="13"/>
      <c r="BR3009" s="18"/>
      <c r="BS3009" s="16"/>
      <c r="BT3009" s="18"/>
      <c r="BU3009" s="18"/>
      <c r="BV3009" s="18"/>
      <c r="BW3009" s="20"/>
      <c r="BX3009" s="13"/>
      <c r="BY3009" s="18"/>
      <c r="BZ3009" s="146"/>
      <c r="CA3009" s="18"/>
      <c r="CB3009" s="18"/>
      <c r="CC3009" s="20"/>
      <c r="CD3009" s="13"/>
    </row>
    <row r="3010" spans="35:82">
      <c r="AI3010" s="19"/>
      <c r="AO3010" s="19"/>
      <c r="AY3010" s="145"/>
      <c r="AZ3010" s="16"/>
      <c r="BC3010" s="16"/>
      <c r="BD3010" s="20"/>
      <c r="BE3010" s="17"/>
      <c r="BF3010" s="20"/>
      <c r="BG3010" s="146"/>
      <c r="BH3010" s="146"/>
      <c r="BI3010" s="146"/>
      <c r="BJ3010" s="20"/>
      <c r="BK3010" s="20"/>
      <c r="BL3010" s="13"/>
      <c r="BP3010" s="20"/>
      <c r="BQ3010" s="13"/>
      <c r="BR3010" s="18"/>
      <c r="BS3010" s="16"/>
      <c r="BT3010" s="18"/>
      <c r="BU3010" s="18"/>
      <c r="BV3010" s="18"/>
      <c r="BW3010" s="20"/>
      <c r="BX3010" s="13"/>
      <c r="BY3010" s="18"/>
      <c r="BZ3010" s="146"/>
      <c r="CA3010" s="18"/>
      <c r="CB3010" s="18"/>
      <c r="CC3010" s="20"/>
      <c r="CD3010" s="13"/>
    </row>
    <row r="3011" spans="35:82">
      <c r="AI3011" s="19"/>
      <c r="AO3011" s="19"/>
      <c r="AY3011" s="145"/>
      <c r="AZ3011" s="16"/>
      <c r="BC3011" s="16"/>
      <c r="BD3011" s="20"/>
      <c r="BE3011" s="17"/>
      <c r="BF3011" s="20"/>
      <c r="BG3011" s="146"/>
      <c r="BH3011" s="146"/>
      <c r="BI3011" s="146"/>
      <c r="BJ3011" s="20"/>
      <c r="BK3011" s="20"/>
      <c r="BL3011" s="13"/>
      <c r="BP3011" s="20"/>
      <c r="BQ3011" s="13"/>
      <c r="BR3011" s="18"/>
      <c r="BS3011" s="16"/>
      <c r="BT3011" s="18"/>
      <c r="BU3011" s="18"/>
      <c r="BV3011" s="18"/>
      <c r="BW3011" s="20"/>
      <c r="BX3011" s="13"/>
      <c r="BY3011" s="18"/>
      <c r="BZ3011" s="146"/>
      <c r="CA3011" s="18"/>
      <c r="CB3011" s="18"/>
      <c r="CC3011" s="20"/>
      <c r="CD3011" s="13"/>
    </row>
    <row r="3012" spans="35:82">
      <c r="AI3012" s="19"/>
      <c r="AO3012" s="19"/>
      <c r="AY3012" s="145"/>
      <c r="AZ3012" s="16"/>
      <c r="BC3012" s="16"/>
      <c r="BD3012" s="20"/>
      <c r="BE3012" s="17"/>
      <c r="BF3012" s="20"/>
      <c r="BG3012" s="146"/>
      <c r="BH3012" s="146"/>
      <c r="BI3012" s="146"/>
      <c r="BJ3012" s="20"/>
      <c r="BK3012" s="20"/>
      <c r="BL3012" s="13"/>
      <c r="BP3012" s="20"/>
      <c r="BQ3012" s="13"/>
      <c r="BR3012" s="18"/>
      <c r="BS3012" s="16"/>
      <c r="BT3012" s="18"/>
      <c r="BU3012" s="18"/>
      <c r="BV3012" s="18"/>
      <c r="BW3012" s="20"/>
      <c r="BX3012" s="13"/>
      <c r="BY3012" s="18"/>
      <c r="BZ3012" s="146"/>
      <c r="CA3012" s="18"/>
      <c r="CB3012" s="18"/>
      <c r="CC3012" s="20"/>
      <c r="CD3012" s="13"/>
    </row>
    <row r="3013" spans="35:82">
      <c r="AI3013" s="19"/>
      <c r="AO3013" s="19"/>
      <c r="AY3013" s="145"/>
      <c r="AZ3013" s="16"/>
      <c r="BC3013" s="16"/>
      <c r="BD3013" s="20"/>
      <c r="BE3013" s="17"/>
      <c r="BF3013" s="20"/>
      <c r="BG3013" s="146"/>
      <c r="BH3013" s="146"/>
      <c r="BI3013" s="146"/>
      <c r="BJ3013" s="20"/>
      <c r="BK3013" s="20"/>
      <c r="BL3013" s="13"/>
      <c r="BP3013" s="20"/>
      <c r="BQ3013" s="13"/>
      <c r="BR3013" s="18"/>
      <c r="BS3013" s="16"/>
      <c r="BT3013" s="18"/>
      <c r="BU3013" s="18"/>
      <c r="BV3013" s="18"/>
      <c r="BW3013" s="20"/>
      <c r="BX3013" s="13"/>
      <c r="BY3013" s="18"/>
      <c r="BZ3013" s="146"/>
      <c r="CA3013" s="18"/>
      <c r="CB3013" s="18"/>
      <c r="CC3013" s="20"/>
      <c r="CD3013" s="13"/>
    </row>
    <row r="3014" spans="35:82">
      <c r="AI3014" s="19"/>
      <c r="AO3014" s="19"/>
      <c r="AY3014" s="145"/>
      <c r="AZ3014" s="16"/>
      <c r="BC3014" s="16"/>
      <c r="BD3014" s="20"/>
      <c r="BE3014" s="17"/>
      <c r="BF3014" s="20"/>
      <c r="BG3014" s="146"/>
      <c r="BH3014" s="146"/>
      <c r="BI3014" s="146"/>
      <c r="BJ3014" s="20"/>
      <c r="BK3014" s="20"/>
      <c r="BL3014" s="13"/>
      <c r="BP3014" s="20"/>
      <c r="BQ3014" s="13"/>
      <c r="BR3014" s="18"/>
      <c r="BS3014" s="16"/>
      <c r="BT3014" s="18"/>
      <c r="BU3014" s="18"/>
      <c r="BV3014" s="18"/>
      <c r="BW3014" s="20"/>
      <c r="BX3014" s="13"/>
      <c r="BY3014" s="18"/>
      <c r="BZ3014" s="146"/>
      <c r="CA3014" s="18"/>
      <c r="CB3014" s="18"/>
      <c r="CC3014" s="20"/>
      <c r="CD3014" s="13"/>
    </row>
    <row r="3015" spans="35:82">
      <c r="AI3015" s="19"/>
      <c r="AO3015" s="19"/>
      <c r="AY3015" s="145"/>
      <c r="AZ3015" s="16"/>
      <c r="BC3015" s="16"/>
      <c r="BD3015" s="20"/>
      <c r="BE3015" s="17"/>
      <c r="BF3015" s="20"/>
      <c r="BG3015" s="146"/>
      <c r="BH3015" s="146"/>
      <c r="BI3015" s="146"/>
      <c r="BJ3015" s="20"/>
      <c r="BK3015" s="20"/>
      <c r="BL3015" s="13"/>
      <c r="BP3015" s="20"/>
      <c r="BQ3015" s="13"/>
      <c r="BR3015" s="18"/>
      <c r="BS3015" s="16"/>
      <c r="BT3015" s="18"/>
      <c r="BU3015" s="18"/>
      <c r="BV3015" s="18"/>
      <c r="BW3015" s="20"/>
      <c r="BX3015" s="13"/>
      <c r="BY3015" s="18"/>
      <c r="BZ3015" s="146"/>
      <c r="CA3015" s="18"/>
      <c r="CB3015" s="18"/>
      <c r="CC3015" s="20"/>
      <c r="CD3015" s="13"/>
    </row>
    <row r="3016" spans="35:82">
      <c r="AI3016" s="19"/>
      <c r="AO3016" s="19"/>
      <c r="AY3016" s="145"/>
      <c r="AZ3016" s="16"/>
      <c r="BC3016" s="16"/>
      <c r="BD3016" s="20"/>
      <c r="BE3016" s="17"/>
      <c r="BF3016" s="20"/>
      <c r="BG3016" s="146"/>
      <c r="BH3016" s="146"/>
      <c r="BI3016" s="146"/>
      <c r="BJ3016" s="20"/>
      <c r="BK3016" s="20"/>
      <c r="BL3016" s="13"/>
      <c r="BP3016" s="20"/>
      <c r="BQ3016" s="13"/>
      <c r="BR3016" s="18"/>
      <c r="BS3016" s="16"/>
      <c r="BT3016" s="18"/>
      <c r="BU3016" s="18"/>
      <c r="BV3016" s="18"/>
      <c r="BW3016" s="20"/>
      <c r="BX3016" s="13"/>
      <c r="BY3016" s="18"/>
      <c r="BZ3016" s="146"/>
      <c r="CA3016" s="18"/>
      <c r="CB3016" s="18"/>
      <c r="CC3016" s="20"/>
      <c r="CD3016" s="13"/>
    </row>
    <row r="3017" spans="35:82">
      <c r="AI3017" s="19"/>
      <c r="AO3017" s="19"/>
      <c r="AY3017" s="145"/>
      <c r="AZ3017" s="16"/>
      <c r="BC3017" s="16"/>
      <c r="BD3017" s="20"/>
      <c r="BE3017" s="17"/>
      <c r="BF3017" s="20"/>
      <c r="BG3017" s="146"/>
      <c r="BH3017" s="146"/>
      <c r="BI3017" s="146"/>
      <c r="BJ3017" s="20"/>
      <c r="BK3017" s="20"/>
      <c r="BL3017" s="13"/>
      <c r="BP3017" s="20"/>
      <c r="BQ3017" s="13"/>
      <c r="BR3017" s="18"/>
      <c r="BS3017" s="16"/>
      <c r="BT3017" s="18"/>
      <c r="BU3017" s="18"/>
      <c r="BV3017" s="18"/>
      <c r="BW3017" s="20"/>
      <c r="BX3017" s="13"/>
      <c r="BY3017" s="18"/>
      <c r="BZ3017" s="146"/>
      <c r="CA3017" s="18"/>
      <c r="CB3017" s="18"/>
      <c r="CC3017" s="20"/>
      <c r="CD3017" s="13"/>
    </row>
    <row r="3018" spans="35:82">
      <c r="AI3018" s="19"/>
      <c r="AO3018" s="19"/>
      <c r="AY3018" s="145"/>
      <c r="AZ3018" s="16"/>
      <c r="BC3018" s="16"/>
      <c r="BD3018" s="20"/>
      <c r="BE3018" s="17"/>
      <c r="BF3018" s="20"/>
      <c r="BG3018" s="146"/>
      <c r="BH3018" s="146"/>
      <c r="BI3018" s="146"/>
      <c r="BJ3018" s="20"/>
      <c r="BK3018" s="20"/>
      <c r="BL3018" s="13"/>
      <c r="BP3018" s="20"/>
      <c r="BQ3018" s="13"/>
      <c r="BR3018" s="18"/>
      <c r="BS3018" s="16"/>
      <c r="BT3018" s="18"/>
      <c r="BU3018" s="18"/>
      <c r="BV3018" s="18"/>
      <c r="BW3018" s="20"/>
      <c r="BX3018" s="13"/>
      <c r="BY3018" s="18"/>
      <c r="BZ3018" s="146"/>
      <c r="CA3018" s="18"/>
      <c r="CB3018" s="18"/>
      <c r="CC3018" s="20"/>
      <c r="CD3018" s="13"/>
    </row>
    <row r="3019" spans="35:82">
      <c r="AI3019" s="19"/>
      <c r="AO3019" s="19"/>
      <c r="AY3019" s="145"/>
      <c r="AZ3019" s="16"/>
      <c r="BC3019" s="16"/>
      <c r="BD3019" s="20"/>
      <c r="BE3019" s="17"/>
      <c r="BF3019" s="20"/>
      <c r="BG3019" s="146"/>
      <c r="BH3019" s="146"/>
      <c r="BI3019" s="146"/>
      <c r="BJ3019" s="20"/>
      <c r="BK3019" s="20"/>
      <c r="BL3019" s="13"/>
      <c r="BP3019" s="20"/>
      <c r="BQ3019" s="13"/>
      <c r="BR3019" s="18"/>
      <c r="BS3019" s="16"/>
      <c r="BT3019" s="18"/>
      <c r="BU3019" s="18"/>
      <c r="BV3019" s="18"/>
      <c r="BW3019" s="20"/>
      <c r="BX3019" s="13"/>
      <c r="BY3019" s="18"/>
      <c r="BZ3019" s="146"/>
      <c r="CA3019" s="18"/>
      <c r="CB3019" s="18"/>
      <c r="CC3019" s="20"/>
      <c r="CD3019" s="13"/>
    </row>
    <row r="3020" spans="35:82">
      <c r="AI3020" s="19"/>
      <c r="AO3020" s="19"/>
      <c r="AY3020" s="145"/>
      <c r="AZ3020" s="16"/>
      <c r="BC3020" s="16"/>
      <c r="BD3020" s="20"/>
      <c r="BE3020" s="17"/>
      <c r="BF3020" s="20"/>
      <c r="BG3020" s="146"/>
      <c r="BH3020" s="146"/>
      <c r="BI3020" s="146"/>
      <c r="BJ3020" s="20"/>
      <c r="BK3020" s="20"/>
      <c r="BL3020" s="13"/>
      <c r="BP3020" s="20"/>
      <c r="BQ3020" s="13"/>
      <c r="BR3020" s="18"/>
      <c r="BS3020" s="16"/>
      <c r="BT3020" s="18"/>
      <c r="BU3020" s="18"/>
      <c r="BV3020" s="18"/>
      <c r="BW3020" s="20"/>
      <c r="BX3020" s="13"/>
      <c r="BY3020" s="18"/>
      <c r="BZ3020" s="146"/>
      <c r="CA3020" s="18"/>
      <c r="CB3020" s="18"/>
      <c r="CC3020" s="20"/>
      <c r="CD3020" s="13"/>
    </row>
    <row r="3021" spans="35:82">
      <c r="AI3021" s="19"/>
      <c r="AO3021" s="19"/>
      <c r="AY3021" s="145"/>
      <c r="AZ3021" s="16"/>
      <c r="BC3021" s="16"/>
      <c r="BD3021" s="20"/>
      <c r="BE3021" s="17"/>
      <c r="BF3021" s="20"/>
      <c r="BG3021" s="146"/>
      <c r="BH3021" s="146"/>
      <c r="BI3021" s="146"/>
      <c r="BJ3021" s="20"/>
      <c r="BK3021" s="20"/>
      <c r="BL3021" s="13"/>
      <c r="BP3021" s="20"/>
      <c r="BQ3021" s="13"/>
      <c r="BR3021" s="18"/>
      <c r="BS3021" s="16"/>
      <c r="BT3021" s="18"/>
      <c r="BU3021" s="18"/>
      <c r="BV3021" s="18"/>
      <c r="BW3021" s="20"/>
      <c r="BX3021" s="13"/>
      <c r="BY3021" s="18"/>
      <c r="BZ3021" s="146"/>
      <c r="CA3021" s="18"/>
      <c r="CB3021" s="18"/>
      <c r="CC3021" s="20"/>
      <c r="CD3021" s="13"/>
    </row>
    <row r="3022" spans="35:82">
      <c r="AI3022" s="19"/>
      <c r="AO3022" s="19"/>
      <c r="AY3022" s="145"/>
      <c r="AZ3022" s="16"/>
      <c r="BC3022" s="16"/>
      <c r="BD3022" s="20"/>
      <c r="BE3022" s="17"/>
      <c r="BF3022" s="20"/>
      <c r="BG3022" s="146"/>
      <c r="BH3022" s="146"/>
      <c r="BI3022" s="146"/>
      <c r="BJ3022" s="20"/>
      <c r="BK3022" s="20"/>
      <c r="BL3022" s="13"/>
      <c r="BP3022" s="20"/>
      <c r="BQ3022" s="13"/>
      <c r="BR3022" s="18"/>
      <c r="BS3022" s="16"/>
      <c r="BT3022" s="18"/>
      <c r="BU3022" s="18"/>
      <c r="BV3022" s="18"/>
      <c r="BW3022" s="20"/>
      <c r="BX3022" s="13"/>
      <c r="BY3022" s="18"/>
      <c r="BZ3022" s="146"/>
      <c r="CA3022" s="18"/>
      <c r="CB3022" s="18"/>
      <c r="CC3022" s="20"/>
      <c r="CD3022" s="13"/>
    </row>
    <row r="3023" spans="35:82">
      <c r="AI3023" s="19"/>
      <c r="AO3023" s="19"/>
      <c r="AY3023" s="145"/>
      <c r="AZ3023" s="16"/>
      <c r="BC3023" s="16"/>
      <c r="BD3023" s="20"/>
      <c r="BE3023" s="17"/>
      <c r="BF3023" s="20"/>
      <c r="BG3023" s="146"/>
      <c r="BH3023" s="146"/>
      <c r="BI3023" s="146"/>
      <c r="BJ3023" s="20"/>
      <c r="BK3023" s="20"/>
      <c r="BL3023" s="13"/>
      <c r="BP3023" s="20"/>
      <c r="BQ3023" s="13"/>
      <c r="BR3023" s="18"/>
      <c r="BS3023" s="16"/>
      <c r="BT3023" s="18"/>
      <c r="BU3023" s="18"/>
      <c r="BV3023" s="18"/>
      <c r="BW3023" s="20"/>
      <c r="BX3023" s="13"/>
      <c r="BY3023" s="18"/>
      <c r="BZ3023" s="146"/>
      <c r="CA3023" s="18"/>
      <c r="CB3023" s="18"/>
      <c r="CC3023" s="20"/>
      <c r="CD3023" s="13"/>
    </row>
    <row r="3024" spans="35:82">
      <c r="AI3024" s="19"/>
      <c r="AO3024" s="19"/>
      <c r="AY3024" s="145"/>
      <c r="AZ3024" s="16"/>
      <c r="BC3024" s="16"/>
      <c r="BD3024" s="20"/>
      <c r="BE3024" s="17"/>
      <c r="BF3024" s="20"/>
      <c r="BG3024" s="146"/>
      <c r="BH3024" s="146"/>
      <c r="BI3024" s="146"/>
      <c r="BJ3024" s="20"/>
      <c r="BK3024" s="20"/>
      <c r="BL3024" s="13"/>
      <c r="BP3024" s="20"/>
      <c r="BQ3024" s="13"/>
      <c r="BR3024" s="18"/>
      <c r="BS3024" s="16"/>
      <c r="BT3024" s="18"/>
      <c r="BU3024" s="18"/>
      <c r="BV3024" s="18"/>
      <c r="BW3024" s="20"/>
      <c r="BX3024" s="13"/>
      <c r="BY3024" s="18"/>
      <c r="BZ3024" s="146"/>
      <c r="CA3024" s="18"/>
      <c r="CB3024" s="18"/>
      <c r="CC3024" s="20"/>
      <c r="CD3024" s="13"/>
    </row>
    <row r="3025" spans="35:82">
      <c r="AI3025" s="19"/>
      <c r="AO3025" s="19"/>
      <c r="AY3025" s="145"/>
      <c r="AZ3025" s="16"/>
      <c r="BC3025" s="16"/>
      <c r="BD3025" s="20"/>
      <c r="BE3025" s="17"/>
      <c r="BF3025" s="20"/>
      <c r="BG3025" s="146"/>
      <c r="BH3025" s="146"/>
      <c r="BI3025" s="146"/>
      <c r="BJ3025" s="20"/>
      <c r="BK3025" s="20"/>
      <c r="BL3025" s="13"/>
      <c r="BP3025" s="20"/>
      <c r="BQ3025" s="13"/>
      <c r="BR3025" s="18"/>
      <c r="BS3025" s="16"/>
      <c r="BT3025" s="18"/>
      <c r="BU3025" s="18"/>
      <c r="BV3025" s="18"/>
      <c r="BW3025" s="20"/>
      <c r="BX3025" s="13"/>
      <c r="BY3025" s="18"/>
      <c r="BZ3025" s="146"/>
      <c r="CA3025" s="18"/>
      <c r="CB3025" s="18"/>
      <c r="CC3025" s="20"/>
      <c r="CD3025" s="13"/>
    </row>
    <row r="3026" spans="35:82">
      <c r="AI3026" s="19"/>
      <c r="AO3026" s="19"/>
      <c r="AY3026" s="145"/>
      <c r="AZ3026" s="16"/>
      <c r="BC3026" s="16"/>
      <c r="BD3026" s="20"/>
      <c r="BE3026" s="17"/>
      <c r="BF3026" s="20"/>
      <c r="BG3026" s="146"/>
      <c r="BH3026" s="146"/>
      <c r="BI3026" s="146"/>
      <c r="BJ3026" s="20"/>
      <c r="BK3026" s="20"/>
      <c r="BL3026" s="13"/>
      <c r="BP3026" s="20"/>
      <c r="BQ3026" s="13"/>
      <c r="BR3026" s="18"/>
      <c r="BS3026" s="16"/>
      <c r="BT3026" s="18"/>
      <c r="BU3026" s="18"/>
      <c r="BV3026" s="18"/>
      <c r="BW3026" s="20"/>
      <c r="BX3026" s="13"/>
      <c r="BY3026" s="18"/>
      <c r="BZ3026" s="146"/>
      <c r="CA3026" s="18"/>
      <c r="CB3026" s="18"/>
      <c r="CC3026" s="20"/>
      <c r="CD3026" s="13"/>
    </row>
    <row r="3027" spans="35:82">
      <c r="AI3027" s="19"/>
      <c r="AO3027" s="19"/>
      <c r="AY3027" s="145"/>
      <c r="AZ3027" s="16"/>
      <c r="BC3027" s="16"/>
      <c r="BD3027" s="20"/>
      <c r="BE3027" s="17"/>
      <c r="BF3027" s="20"/>
      <c r="BG3027" s="146"/>
      <c r="BH3027" s="146"/>
      <c r="BI3027" s="146"/>
      <c r="BJ3027" s="20"/>
      <c r="BK3027" s="20"/>
      <c r="BL3027" s="13"/>
      <c r="BP3027" s="20"/>
      <c r="BQ3027" s="13"/>
      <c r="BR3027" s="18"/>
      <c r="BS3027" s="16"/>
      <c r="BT3027" s="18"/>
      <c r="BU3027" s="18"/>
      <c r="BV3027" s="18"/>
      <c r="BW3027" s="20"/>
      <c r="BX3027" s="13"/>
      <c r="BY3027" s="18"/>
      <c r="BZ3027" s="146"/>
      <c r="CA3027" s="18"/>
      <c r="CB3027" s="18"/>
      <c r="CC3027" s="20"/>
      <c r="CD3027" s="13"/>
    </row>
    <row r="3028" spans="35:82">
      <c r="AI3028" s="19"/>
      <c r="AO3028" s="19"/>
      <c r="AY3028" s="145"/>
      <c r="AZ3028" s="16"/>
      <c r="BC3028" s="16"/>
      <c r="BD3028" s="20"/>
      <c r="BE3028" s="17"/>
      <c r="BF3028" s="20"/>
      <c r="BG3028" s="146"/>
      <c r="BH3028" s="146"/>
      <c r="BI3028" s="146"/>
      <c r="BJ3028" s="20"/>
      <c r="BK3028" s="20"/>
      <c r="BL3028" s="13"/>
      <c r="BP3028" s="20"/>
      <c r="BQ3028" s="13"/>
      <c r="BR3028" s="18"/>
      <c r="BS3028" s="16"/>
      <c r="BT3028" s="18"/>
      <c r="BU3028" s="18"/>
      <c r="BV3028" s="18"/>
      <c r="BW3028" s="20"/>
      <c r="BX3028" s="13"/>
      <c r="BY3028" s="18"/>
      <c r="BZ3028" s="146"/>
      <c r="CA3028" s="18"/>
      <c r="CB3028" s="18"/>
      <c r="CC3028" s="20"/>
      <c r="CD3028" s="13"/>
    </row>
    <row r="3029" spans="35:82">
      <c r="AI3029" s="19"/>
      <c r="AO3029" s="19"/>
      <c r="AY3029" s="145"/>
      <c r="AZ3029" s="16"/>
      <c r="BC3029" s="16"/>
      <c r="BD3029" s="20"/>
      <c r="BE3029" s="17"/>
      <c r="BF3029" s="20"/>
      <c r="BG3029" s="146"/>
      <c r="BH3029" s="146"/>
      <c r="BI3029" s="146"/>
      <c r="BJ3029" s="20"/>
      <c r="BK3029" s="20"/>
      <c r="BL3029" s="13"/>
      <c r="BP3029" s="20"/>
      <c r="BQ3029" s="13"/>
      <c r="BR3029" s="18"/>
      <c r="BS3029" s="16"/>
      <c r="BT3029" s="18"/>
      <c r="BU3029" s="18"/>
      <c r="BV3029" s="18"/>
      <c r="BW3029" s="20"/>
      <c r="BX3029" s="13"/>
      <c r="BY3029" s="18"/>
      <c r="BZ3029" s="146"/>
      <c r="CA3029" s="18"/>
      <c r="CB3029" s="18"/>
      <c r="CC3029" s="20"/>
      <c r="CD3029" s="13"/>
    </row>
    <row r="3030" spans="35:82">
      <c r="AI3030" s="19"/>
      <c r="AO3030" s="19"/>
      <c r="AY3030" s="145"/>
      <c r="AZ3030" s="16"/>
      <c r="BC3030" s="16"/>
      <c r="BD3030" s="20"/>
      <c r="BE3030" s="17"/>
      <c r="BF3030" s="20"/>
      <c r="BG3030" s="146"/>
      <c r="BH3030" s="146"/>
      <c r="BI3030" s="146"/>
      <c r="BJ3030" s="20"/>
      <c r="BK3030" s="20"/>
      <c r="BL3030" s="13"/>
      <c r="BP3030" s="20"/>
      <c r="BQ3030" s="13"/>
      <c r="BR3030" s="18"/>
      <c r="BS3030" s="16"/>
      <c r="BT3030" s="18"/>
      <c r="BU3030" s="18"/>
      <c r="BV3030" s="18"/>
      <c r="BW3030" s="20"/>
      <c r="BX3030" s="13"/>
      <c r="BY3030" s="18"/>
      <c r="BZ3030" s="146"/>
      <c r="CA3030" s="18"/>
      <c r="CB3030" s="18"/>
      <c r="CC3030" s="20"/>
      <c r="CD3030" s="13"/>
    </row>
    <row r="3031" spans="35:82">
      <c r="AI3031" s="19"/>
      <c r="AO3031" s="19"/>
      <c r="AY3031" s="145"/>
      <c r="AZ3031" s="16"/>
      <c r="BC3031" s="16"/>
      <c r="BD3031" s="20"/>
      <c r="BE3031" s="17"/>
      <c r="BF3031" s="20"/>
      <c r="BG3031" s="146"/>
      <c r="BH3031" s="146"/>
      <c r="BI3031" s="146"/>
      <c r="BJ3031" s="20"/>
      <c r="BK3031" s="20"/>
      <c r="BL3031" s="13"/>
      <c r="BP3031" s="20"/>
      <c r="BQ3031" s="13"/>
      <c r="BR3031" s="18"/>
      <c r="BS3031" s="16"/>
      <c r="BT3031" s="18"/>
      <c r="BU3031" s="18"/>
      <c r="BV3031" s="18"/>
      <c r="BW3031" s="20"/>
      <c r="BX3031" s="13"/>
      <c r="BY3031" s="18"/>
      <c r="BZ3031" s="146"/>
      <c r="CA3031" s="18"/>
      <c r="CB3031" s="18"/>
      <c r="CC3031" s="20"/>
      <c r="CD3031" s="13"/>
    </row>
    <row r="3032" spans="35:82">
      <c r="AI3032" s="19"/>
      <c r="AO3032" s="19"/>
      <c r="AY3032" s="145"/>
      <c r="AZ3032" s="16"/>
      <c r="BC3032" s="16"/>
      <c r="BD3032" s="20"/>
      <c r="BE3032" s="17"/>
      <c r="BF3032" s="20"/>
      <c r="BG3032" s="146"/>
      <c r="BH3032" s="146"/>
      <c r="BI3032" s="146"/>
      <c r="BJ3032" s="20"/>
      <c r="BK3032" s="20"/>
      <c r="BL3032" s="13"/>
      <c r="BP3032" s="20"/>
      <c r="BQ3032" s="13"/>
      <c r="BR3032" s="18"/>
      <c r="BS3032" s="16"/>
      <c r="BT3032" s="18"/>
      <c r="BU3032" s="18"/>
      <c r="BV3032" s="18"/>
      <c r="BW3032" s="20"/>
      <c r="BX3032" s="13"/>
      <c r="BY3032" s="18"/>
      <c r="BZ3032" s="146"/>
      <c r="CA3032" s="18"/>
      <c r="CB3032" s="18"/>
      <c r="CC3032" s="20"/>
      <c r="CD3032" s="13"/>
    </row>
    <row r="3033" spans="35:82">
      <c r="AI3033" s="19"/>
      <c r="AO3033" s="19"/>
      <c r="AY3033" s="145"/>
      <c r="AZ3033" s="16"/>
      <c r="BC3033" s="16"/>
      <c r="BD3033" s="20"/>
      <c r="BE3033" s="17"/>
      <c r="BF3033" s="20"/>
      <c r="BG3033" s="146"/>
      <c r="BH3033" s="146"/>
      <c r="BI3033" s="146"/>
      <c r="BJ3033" s="20"/>
      <c r="BK3033" s="20"/>
      <c r="BL3033" s="13"/>
      <c r="BP3033" s="20"/>
      <c r="BQ3033" s="13"/>
      <c r="BR3033" s="18"/>
      <c r="BS3033" s="16"/>
      <c r="BT3033" s="18"/>
      <c r="BU3033" s="18"/>
      <c r="BV3033" s="18"/>
      <c r="BW3033" s="20"/>
      <c r="BX3033" s="13"/>
      <c r="BY3033" s="18"/>
      <c r="BZ3033" s="146"/>
      <c r="CA3033" s="18"/>
      <c r="CB3033" s="18"/>
      <c r="CC3033" s="20"/>
      <c r="CD3033" s="13"/>
    </row>
    <row r="3034" spans="35:82">
      <c r="AI3034" s="19"/>
      <c r="AO3034" s="19"/>
      <c r="AY3034" s="145"/>
      <c r="AZ3034" s="16"/>
      <c r="BC3034" s="16"/>
      <c r="BD3034" s="20"/>
      <c r="BE3034" s="17"/>
      <c r="BF3034" s="20"/>
      <c r="BG3034" s="146"/>
      <c r="BH3034" s="146"/>
      <c r="BI3034" s="146"/>
      <c r="BJ3034" s="20"/>
      <c r="BK3034" s="20"/>
      <c r="BL3034" s="13"/>
      <c r="BP3034" s="20"/>
      <c r="BQ3034" s="13"/>
      <c r="BR3034" s="18"/>
      <c r="BS3034" s="16"/>
      <c r="BT3034" s="18"/>
      <c r="BU3034" s="18"/>
      <c r="BV3034" s="18"/>
      <c r="BW3034" s="20"/>
      <c r="BX3034" s="13"/>
      <c r="BY3034" s="18"/>
      <c r="BZ3034" s="146"/>
      <c r="CA3034" s="18"/>
      <c r="CB3034" s="18"/>
      <c r="CC3034" s="20"/>
      <c r="CD3034" s="13"/>
    </row>
    <row r="3035" spans="35:82">
      <c r="AI3035" s="19"/>
      <c r="AO3035" s="19"/>
      <c r="AY3035" s="145"/>
      <c r="AZ3035" s="16"/>
      <c r="BC3035" s="16"/>
      <c r="BD3035" s="20"/>
      <c r="BE3035" s="17"/>
      <c r="BF3035" s="20"/>
      <c r="BG3035" s="146"/>
      <c r="BH3035" s="146"/>
      <c r="BI3035" s="146"/>
      <c r="BJ3035" s="20"/>
      <c r="BK3035" s="20"/>
      <c r="BL3035" s="13"/>
      <c r="BP3035" s="20"/>
      <c r="BQ3035" s="13"/>
      <c r="BR3035" s="18"/>
      <c r="BS3035" s="16"/>
      <c r="BT3035" s="18"/>
      <c r="BU3035" s="18"/>
      <c r="BV3035" s="18"/>
      <c r="BW3035" s="20"/>
      <c r="BX3035" s="13"/>
      <c r="BY3035" s="18"/>
      <c r="BZ3035" s="146"/>
      <c r="CA3035" s="18"/>
      <c r="CB3035" s="18"/>
      <c r="CC3035" s="20"/>
      <c r="CD3035" s="13"/>
    </row>
    <row r="3036" spans="35:82">
      <c r="AI3036" s="19"/>
      <c r="AO3036" s="19"/>
      <c r="AY3036" s="145"/>
      <c r="AZ3036" s="16"/>
      <c r="BC3036" s="16"/>
      <c r="BD3036" s="20"/>
      <c r="BE3036" s="17"/>
      <c r="BF3036" s="20"/>
      <c r="BG3036" s="146"/>
      <c r="BH3036" s="146"/>
      <c r="BI3036" s="146"/>
      <c r="BJ3036" s="20"/>
      <c r="BK3036" s="20"/>
      <c r="BL3036" s="13"/>
      <c r="BP3036" s="20"/>
      <c r="BQ3036" s="13"/>
      <c r="BR3036" s="18"/>
      <c r="BS3036" s="16"/>
      <c r="BT3036" s="18"/>
      <c r="BU3036" s="18"/>
      <c r="BV3036" s="18"/>
      <c r="BW3036" s="20"/>
      <c r="BX3036" s="13"/>
      <c r="BY3036" s="18"/>
      <c r="BZ3036" s="146"/>
      <c r="CA3036" s="18"/>
      <c r="CB3036" s="18"/>
      <c r="CC3036" s="20"/>
      <c r="CD3036" s="13"/>
    </row>
    <row r="3037" spans="35:82">
      <c r="AI3037" s="19"/>
      <c r="AO3037" s="19"/>
      <c r="AY3037" s="145"/>
      <c r="AZ3037" s="16"/>
      <c r="BC3037" s="16"/>
      <c r="BD3037" s="20"/>
      <c r="BE3037" s="17"/>
      <c r="BF3037" s="20"/>
      <c r="BG3037" s="146"/>
      <c r="BH3037" s="146"/>
      <c r="BI3037" s="146"/>
      <c r="BJ3037" s="20"/>
      <c r="BK3037" s="20"/>
      <c r="BL3037" s="13"/>
      <c r="BP3037" s="20"/>
      <c r="BQ3037" s="13"/>
      <c r="BR3037" s="18"/>
      <c r="BS3037" s="16"/>
      <c r="BT3037" s="18"/>
      <c r="BU3037" s="18"/>
      <c r="BV3037" s="18"/>
      <c r="BW3037" s="20"/>
      <c r="BX3037" s="13"/>
      <c r="BY3037" s="18"/>
      <c r="BZ3037" s="146"/>
      <c r="CA3037" s="18"/>
      <c r="CB3037" s="18"/>
      <c r="CC3037" s="20"/>
      <c r="CD3037" s="13"/>
    </row>
    <row r="3038" spans="35:82">
      <c r="AI3038" s="19"/>
      <c r="AO3038" s="19"/>
      <c r="AY3038" s="145"/>
      <c r="AZ3038" s="16"/>
      <c r="BC3038" s="16"/>
      <c r="BD3038" s="20"/>
      <c r="BE3038" s="17"/>
      <c r="BF3038" s="20"/>
      <c r="BG3038" s="146"/>
      <c r="BH3038" s="146"/>
      <c r="BI3038" s="146"/>
      <c r="BJ3038" s="20"/>
      <c r="BK3038" s="20"/>
      <c r="BL3038" s="13"/>
      <c r="BP3038" s="20"/>
      <c r="BQ3038" s="13"/>
      <c r="BR3038" s="18"/>
      <c r="BS3038" s="16"/>
      <c r="BT3038" s="18"/>
      <c r="BU3038" s="18"/>
      <c r="BV3038" s="18"/>
      <c r="BW3038" s="20"/>
      <c r="BX3038" s="13"/>
      <c r="BY3038" s="18"/>
      <c r="BZ3038" s="146"/>
      <c r="CA3038" s="18"/>
      <c r="CB3038" s="18"/>
      <c r="CC3038" s="20"/>
      <c r="CD3038" s="13"/>
    </row>
    <row r="3039" spans="35:82">
      <c r="AI3039" s="19"/>
      <c r="AO3039" s="19"/>
      <c r="AY3039" s="145"/>
      <c r="AZ3039" s="16"/>
      <c r="BC3039" s="16"/>
      <c r="BD3039" s="20"/>
      <c r="BE3039" s="17"/>
      <c r="BF3039" s="20"/>
      <c r="BG3039" s="146"/>
      <c r="BH3039" s="146"/>
      <c r="BI3039" s="146"/>
      <c r="BJ3039" s="20"/>
      <c r="BK3039" s="20"/>
      <c r="BL3039" s="13"/>
      <c r="BP3039" s="20"/>
      <c r="BQ3039" s="13"/>
      <c r="BR3039" s="18"/>
      <c r="BS3039" s="16"/>
      <c r="BT3039" s="18"/>
      <c r="BU3039" s="18"/>
      <c r="BV3039" s="18"/>
      <c r="BW3039" s="20"/>
      <c r="BX3039" s="13"/>
      <c r="BY3039" s="18"/>
      <c r="BZ3039" s="146"/>
      <c r="CA3039" s="18"/>
      <c r="CB3039" s="18"/>
      <c r="CC3039" s="20"/>
      <c r="CD3039" s="13"/>
    </row>
    <row r="3040" spans="35:82">
      <c r="AI3040" s="19"/>
      <c r="AO3040" s="19"/>
      <c r="AY3040" s="145"/>
      <c r="AZ3040" s="16"/>
      <c r="BC3040" s="16"/>
      <c r="BD3040" s="20"/>
      <c r="BE3040" s="17"/>
      <c r="BF3040" s="20"/>
      <c r="BG3040" s="146"/>
      <c r="BH3040" s="146"/>
      <c r="BI3040" s="146"/>
      <c r="BJ3040" s="20"/>
      <c r="BK3040" s="20"/>
      <c r="BL3040" s="13"/>
      <c r="BP3040" s="20"/>
      <c r="BQ3040" s="13"/>
      <c r="BR3040" s="18"/>
      <c r="BS3040" s="16"/>
      <c r="BT3040" s="18"/>
      <c r="BU3040" s="18"/>
      <c r="BV3040" s="18"/>
      <c r="BW3040" s="20"/>
      <c r="BX3040" s="13"/>
      <c r="BY3040" s="18"/>
      <c r="BZ3040" s="146"/>
      <c r="CA3040" s="18"/>
      <c r="CB3040" s="18"/>
      <c r="CC3040" s="20"/>
      <c r="CD3040" s="13"/>
    </row>
    <row r="3041" spans="35:82">
      <c r="AI3041" s="19"/>
      <c r="AO3041" s="19"/>
      <c r="AY3041" s="145"/>
      <c r="AZ3041" s="16"/>
      <c r="BC3041" s="16"/>
      <c r="BD3041" s="20"/>
      <c r="BE3041" s="17"/>
      <c r="BF3041" s="20"/>
      <c r="BG3041" s="146"/>
      <c r="BH3041" s="146"/>
      <c r="BI3041" s="146"/>
      <c r="BJ3041" s="20"/>
      <c r="BK3041" s="20"/>
      <c r="BL3041" s="13"/>
      <c r="BP3041" s="20"/>
      <c r="BQ3041" s="13"/>
      <c r="BR3041" s="18"/>
      <c r="BS3041" s="16"/>
      <c r="BT3041" s="18"/>
      <c r="BU3041" s="18"/>
      <c r="BV3041" s="18"/>
      <c r="BW3041" s="20"/>
      <c r="BX3041" s="13"/>
      <c r="BY3041" s="18"/>
      <c r="BZ3041" s="146"/>
      <c r="CA3041" s="18"/>
      <c r="CB3041" s="18"/>
      <c r="CC3041" s="20"/>
      <c r="CD3041" s="13"/>
    </row>
    <row r="3042" spans="35:82">
      <c r="AI3042" s="19"/>
      <c r="AO3042" s="19"/>
      <c r="AY3042" s="145"/>
      <c r="AZ3042" s="16"/>
      <c r="BC3042" s="16"/>
      <c r="BD3042" s="20"/>
      <c r="BE3042" s="17"/>
      <c r="BF3042" s="20"/>
      <c r="BG3042" s="146"/>
      <c r="BH3042" s="146"/>
      <c r="BI3042" s="146"/>
      <c r="BJ3042" s="20"/>
      <c r="BK3042" s="20"/>
      <c r="BL3042" s="13"/>
      <c r="BP3042" s="20"/>
      <c r="BQ3042" s="13"/>
      <c r="BR3042" s="18"/>
      <c r="BS3042" s="16"/>
      <c r="BT3042" s="18"/>
      <c r="BU3042" s="18"/>
      <c r="BV3042" s="18"/>
      <c r="BW3042" s="20"/>
      <c r="BX3042" s="13"/>
      <c r="BY3042" s="18"/>
      <c r="BZ3042" s="146"/>
      <c r="CA3042" s="18"/>
      <c r="CB3042" s="18"/>
      <c r="CC3042" s="20"/>
      <c r="CD3042" s="13"/>
    </row>
    <row r="3043" spans="35:82">
      <c r="AI3043" s="19"/>
      <c r="AO3043" s="19"/>
      <c r="AY3043" s="145"/>
      <c r="AZ3043" s="16"/>
      <c r="BC3043" s="16"/>
      <c r="BD3043" s="20"/>
      <c r="BE3043" s="17"/>
      <c r="BF3043" s="20"/>
      <c r="BG3043" s="146"/>
      <c r="BH3043" s="146"/>
      <c r="BI3043" s="146"/>
      <c r="BJ3043" s="20"/>
      <c r="BK3043" s="20"/>
      <c r="BL3043" s="13"/>
      <c r="BP3043" s="20"/>
      <c r="BQ3043" s="13"/>
      <c r="BR3043" s="18"/>
      <c r="BS3043" s="16"/>
      <c r="BT3043" s="18"/>
      <c r="BU3043" s="18"/>
      <c r="BV3043" s="18"/>
      <c r="BW3043" s="20"/>
      <c r="BX3043" s="13"/>
      <c r="BY3043" s="18"/>
      <c r="BZ3043" s="146"/>
      <c r="CA3043" s="18"/>
      <c r="CB3043" s="18"/>
      <c r="CC3043" s="20"/>
      <c r="CD3043" s="13"/>
    </row>
    <row r="3044" spans="35:82">
      <c r="AI3044" s="19"/>
      <c r="AO3044" s="19"/>
      <c r="AY3044" s="145"/>
      <c r="AZ3044" s="16"/>
      <c r="BC3044" s="16"/>
      <c r="BD3044" s="20"/>
      <c r="BE3044" s="17"/>
      <c r="BF3044" s="20"/>
      <c r="BG3044" s="146"/>
      <c r="BH3044" s="146"/>
      <c r="BI3044" s="146"/>
      <c r="BJ3044" s="20"/>
      <c r="BK3044" s="20"/>
      <c r="BL3044" s="13"/>
      <c r="BP3044" s="20"/>
      <c r="BQ3044" s="13"/>
      <c r="BR3044" s="18"/>
      <c r="BS3044" s="16"/>
      <c r="BT3044" s="18"/>
      <c r="BU3044" s="18"/>
      <c r="BV3044" s="18"/>
      <c r="BW3044" s="20"/>
      <c r="BX3044" s="13"/>
      <c r="BY3044" s="18"/>
      <c r="BZ3044" s="146"/>
      <c r="CA3044" s="18"/>
      <c r="CB3044" s="18"/>
      <c r="CC3044" s="20"/>
      <c r="CD3044" s="13"/>
    </row>
    <row r="3045" spans="35:82">
      <c r="AI3045" s="19"/>
      <c r="AO3045" s="19"/>
      <c r="AY3045" s="145"/>
      <c r="AZ3045" s="16"/>
      <c r="BC3045" s="16"/>
      <c r="BD3045" s="20"/>
      <c r="BE3045" s="17"/>
      <c r="BF3045" s="20"/>
      <c r="BG3045" s="146"/>
      <c r="BH3045" s="146"/>
      <c r="BI3045" s="146"/>
      <c r="BJ3045" s="20"/>
      <c r="BK3045" s="20"/>
      <c r="BL3045" s="13"/>
      <c r="BP3045" s="20"/>
      <c r="BQ3045" s="13"/>
      <c r="BR3045" s="18"/>
      <c r="BS3045" s="16"/>
      <c r="BT3045" s="18"/>
      <c r="BU3045" s="18"/>
      <c r="BV3045" s="18"/>
      <c r="BW3045" s="20"/>
      <c r="BX3045" s="13"/>
      <c r="BY3045" s="18"/>
      <c r="BZ3045" s="146"/>
      <c r="CA3045" s="18"/>
      <c r="CB3045" s="18"/>
      <c r="CC3045" s="20"/>
      <c r="CD3045" s="13"/>
    </row>
    <row r="3046" spans="35:82">
      <c r="AI3046" s="19"/>
      <c r="AO3046" s="19"/>
      <c r="AY3046" s="145"/>
      <c r="AZ3046" s="16"/>
      <c r="BC3046" s="16"/>
      <c r="BD3046" s="20"/>
      <c r="BE3046" s="17"/>
      <c r="BF3046" s="20"/>
      <c r="BG3046" s="146"/>
      <c r="BH3046" s="146"/>
      <c r="BI3046" s="146"/>
      <c r="BJ3046" s="20"/>
      <c r="BK3046" s="20"/>
      <c r="BL3046" s="13"/>
      <c r="BP3046" s="20"/>
      <c r="BQ3046" s="13"/>
      <c r="BR3046" s="18"/>
      <c r="BS3046" s="16"/>
      <c r="BT3046" s="18"/>
      <c r="BU3046" s="18"/>
      <c r="BV3046" s="18"/>
      <c r="BW3046" s="20"/>
      <c r="BX3046" s="13"/>
      <c r="BY3046" s="18"/>
      <c r="BZ3046" s="146"/>
      <c r="CA3046" s="18"/>
      <c r="CB3046" s="18"/>
      <c r="CC3046" s="20"/>
      <c r="CD3046" s="13"/>
    </row>
    <row r="3047" spans="35:82">
      <c r="AI3047" s="19"/>
      <c r="AO3047" s="19"/>
      <c r="AY3047" s="145"/>
      <c r="AZ3047" s="16"/>
      <c r="BC3047" s="16"/>
      <c r="BD3047" s="20"/>
      <c r="BE3047" s="17"/>
      <c r="BF3047" s="20"/>
      <c r="BG3047" s="146"/>
      <c r="BH3047" s="146"/>
      <c r="BI3047" s="146"/>
      <c r="BJ3047" s="20"/>
      <c r="BK3047" s="20"/>
      <c r="BL3047" s="13"/>
      <c r="BP3047" s="20"/>
      <c r="BQ3047" s="13"/>
      <c r="BR3047" s="18"/>
      <c r="BS3047" s="16"/>
      <c r="BT3047" s="18"/>
      <c r="BU3047" s="18"/>
      <c r="BV3047" s="18"/>
      <c r="BW3047" s="20"/>
      <c r="BX3047" s="13"/>
      <c r="BY3047" s="18"/>
      <c r="BZ3047" s="146"/>
      <c r="CA3047" s="18"/>
      <c r="CB3047" s="18"/>
      <c r="CC3047" s="20"/>
      <c r="CD3047" s="13"/>
    </row>
    <row r="3048" spans="35:82">
      <c r="AI3048" s="19"/>
      <c r="AO3048" s="19"/>
      <c r="AY3048" s="145"/>
      <c r="AZ3048" s="16"/>
      <c r="BC3048" s="16"/>
      <c r="BD3048" s="20"/>
      <c r="BE3048" s="17"/>
      <c r="BF3048" s="20"/>
      <c r="BG3048" s="146"/>
      <c r="BH3048" s="146"/>
      <c r="BI3048" s="146"/>
      <c r="BJ3048" s="20"/>
      <c r="BK3048" s="20"/>
      <c r="BL3048" s="13"/>
      <c r="BP3048" s="20"/>
      <c r="BQ3048" s="13"/>
      <c r="BR3048" s="18"/>
      <c r="BS3048" s="16"/>
      <c r="BT3048" s="18"/>
      <c r="BU3048" s="18"/>
      <c r="BV3048" s="18"/>
      <c r="BW3048" s="20"/>
      <c r="BX3048" s="13"/>
      <c r="BY3048" s="18"/>
      <c r="BZ3048" s="146"/>
      <c r="CA3048" s="18"/>
      <c r="CB3048" s="18"/>
      <c r="CC3048" s="20"/>
      <c r="CD3048" s="13"/>
    </row>
    <row r="3049" spans="35:82">
      <c r="AI3049" s="19"/>
      <c r="AO3049" s="19"/>
      <c r="AY3049" s="145"/>
      <c r="AZ3049" s="16"/>
      <c r="BC3049" s="16"/>
      <c r="BD3049" s="20"/>
      <c r="BE3049" s="17"/>
      <c r="BF3049" s="20"/>
      <c r="BG3049" s="146"/>
      <c r="BH3049" s="146"/>
      <c r="BI3049" s="146"/>
      <c r="BJ3049" s="20"/>
      <c r="BK3049" s="20"/>
      <c r="BL3049" s="13"/>
      <c r="BP3049" s="20"/>
      <c r="BQ3049" s="13"/>
      <c r="BR3049" s="18"/>
      <c r="BS3049" s="16"/>
      <c r="BT3049" s="18"/>
      <c r="BU3049" s="18"/>
      <c r="BV3049" s="18"/>
      <c r="BW3049" s="20"/>
      <c r="BX3049" s="13"/>
      <c r="BY3049" s="18"/>
      <c r="BZ3049" s="146"/>
      <c r="CA3049" s="18"/>
      <c r="CB3049" s="18"/>
      <c r="CC3049" s="20"/>
      <c r="CD3049" s="13"/>
    </row>
    <row r="3050" spans="35:82">
      <c r="AI3050" s="19"/>
      <c r="AO3050" s="19"/>
      <c r="AY3050" s="145"/>
      <c r="AZ3050" s="16"/>
      <c r="BC3050" s="16"/>
      <c r="BD3050" s="20"/>
      <c r="BE3050" s="17"/>
      <c r="BF3050" s="20"/>
      <c r="BG3050" s="146"/>
      <c r="BH3050" s="146"/>
      <c r="BI3050" s="146"/>
      <c r="BJ3050" s="20"/>
      <c r="BK3050" s="20"/>
      <c r="BL3050" s="13"/>
      <c r="BP3050" s="20"/>
      <c r="BQ3050" s="13"/>
      <c r="BR3050" s="18"/>
      <c r="BS3050" s="16"/>
      <c r="BT3050" s="18"/>
      <c r="BU3050" s="18"/>
      <c r="BV3050" s="18"/>
      <c r="BW3050" s="20"/>
      <c r="BX3050" s="13"/>
      <c r="BY3050" s="18"/>
      <c r="BZ3050" s="146"/>
      <c r="CA3050" s="18"/>
      <c r="CB3050" s="18"/>
      <c r="CC3050" s="20"/>
      <c r="CD3050" s="13"/>
    </row>
    <row r="3051" spans="35:82">
      <c r="AI3051" s="19"/>
      <c r="AO3051" s="19"/>
      <c r="AY3051" s="145"/>
      <c r="AZ3051" s="16"/>
      <c r="BC3051" s="16"/>
      <c r="BD3051" s="20"/>
      <c r="BE3051" s="17"/>
      <c r="BF3051" s="20"/>
      <c r="BG3051" s="146"/>
      <c r="BH3051" s="146"/>
      <c r="BI3051" s="146"/>
      <c r="BJ3051" s="20"/>
      <c r="BK3051" s="20"/>
      <c r="BL3051" s="13"/>
      <c r="BP3051" s="20"/>
      <c r="BQ3051" s="13"/>
      <c r="BR3051" s="18"/>
      <c r="BS3051" s="16"/>
      <c r="BT3051" s="18"/>
      <c r="BU3051" s="18"/>
      <c r="BV3051" s="18"/>
      <c r="BW3051" s="20"/>
      <c r="BX3051" s="13"/>
      <c r="BY3051" s="18"/>
      <c r="BZ3051" s="146"/>
      <c r="CA3051" s="18"/>
      <c r="CB3051" s="18"/>
      <c r="CC3051" s="20"/>
      <c r="CD3051" s="13"/>
    </row>
    <row r="3052" spans="35:82">
      <c r="AI3052" s="19"/>
      <c r="AO3052" s="19"/>
      <c r="AY3052" s="145"/>
      <c r="AZ3052" s="16"/>
      <c r="BC3052" s="16"/>
      <c r="BD3052" s="20"/>
      <c r="BE3052" s="17"/>
      <c r="BF3052" s="20"/>
      <c r="BG3052" s="146"/>
      <c r="BH3052" s="146"/>
      <c r="BI3052" s="146"/>
      <c r="BJ3052" s="20"/>
      <c r="BK3052" s="20"/>
      <c r="BL3052" s="13"/>
      <c r="BP3052" s="20"/>
      <c r="BQ3052" s="13"/>
      <c r="BR3052" s="18"/>
      <c r="BS3052" s="16"/>
      <c r="BT3052" s="18"/>
      <c r="BU3052" s="18"/>
      <c r="BV3052" s="18"/>
      <c r="BW3052" s="20"/>
      <c r="BX3052" s="13"/>
      <c r="BY3052" s="18"/>
      <c r="BZ3052" s="146"/>
      <c r="CA3052" s="18"/>
      <c r="CB3052" s="18"/>
      <c r="CC3052" s="20"/>
      <c r="CD3052" s="13"/>
    </row>
    <row r="3053" spans="35:82">
      <c r="AI3053" s="19"/>
      <c r="AO3053" s="19"/>
      <c r="AY3053" s="145"/>
      <c r="AZ3053" s="16"/>
      <c r="BC3053" s="16"/>
      <c r="BD3053" s="20"/>
      <c r="BE3053" s="17"/>
      <c r="BF3053" s="20"/>
      <c r="BG3053" s="146"/>
      <c r="BH3053" s="146"/>
      <c r="BI3053" s="146"/>
      <c r="BJ3053" s="20"/>
      <c r="BK3053" s="20"/>
      <c r="BL3053" s="13"/>
      <c r="BP3053" s="20"/>
      <c r="BQ3053" s="13"/>
      <c r="BR3053" s="18"/>
      <c r="BS3053" s="16"/>
      <c r="BT3053" s="18"/>
      <c r="BU3053" s="18"/>
      <c r="BV3053" s="18"/>
      <c r="BW3053" s="20"/>
      <c r="BX3053" s="13"/>
      <c r="BY3053" s="18"/>
      <c r="BZ3053" s="146"/>
      <c r="CA3053" s="18"/>
      <c r="CB3053" s="18"/>
      <c r="CC3053" s="20"/>
      <c r="CD3053" s="13"/>
    </row>
    <row r="3054" spans="35:82">
      <c r="AI3054" s="19"/>
      <c r="AO3054" s="19"/>
      <c r="AY3054" s="145"/>
      <c r="AZ3054" s="16"/>
      <c r="BC3054" s="16"/>
      <c r="BD3054" s="20"/>
      <c r="BE3054" s="17"/>
      <c r="BF3054" s="20"/>
      <c r="BG3054" s="146"/>
      <c r="BH3054" s="146"/>
      <c r="BI3054" s="146"/>
      <c r="BJ3054" s="20"/>
      <c r="BK3054" s="20"/>
      <c r="BL3054" s="13"/>
      <c r="BP3054" s="20"/>
      <c r="BQ3054" s="13"/>
      <c r="BR3054" s="18"/>
      <c r="BS3054" s="16"/>
      <c r="BT3054" s="18"/>
      <c r="BU3054" s="18"/>
      <c r="BV3054" s="18"/>
      <c r="BW3054" s="20"/>
      <c r="BX3054" s="13"/>
      <c r="BY3054" s="18"/>
      <c r="BZ3054" s="146"/>
      <c r="CA3054" s="18"/>
      <c r="CB3054" s="18"/>
      <c r="CC3054" s="20"/>
      <c r="CD3054" s="13"/>
    </row>
    <row r="3055" spans="35:82">
      <c r="AI3055" s="19"/>
      <c r="AO3055" s="19"/>
      <c r="AY3055" s="145"/>
      <c r="AZ3055" s="16"/>
      <c r="BC3055" s="16"/>
      <c r="BD3055" s="20"/>
      <c r="BE3055" s="17"/>
      <c r="BF3055" s="20"/>
      <c r="BG3055" s="146"/>
      <c r="BH3055" s="146"/>
      <c r="BI3055" s="146"/>
      <c r="BJ3055" s="20"/>
      <c r="BK3055" s="20"/>
      <c r="BL3055" s="13"/>
      <c r="BP3055" s="20"/>
      <c r="BQ3055" s="13"/>
      <c r="BR3055" s="18"/>
      <c r="BS3055" s="16"/>
      <c r="BT3055" s="18"/>
      <c r="BU3055" s="18"/>
      <c r="BV3055" s="18"/>
      <c r="BW3055" s="20"/>
      <c r="BX3055" s="13"/>
      <c r="BY3055" s="18"/>
      <c r="BZ3055" s="146"/>
      <c r="CA3055" s="18"/>
      <c r="CB3055" s="18"/>
      <c r="CC3055" s="20"/>
      <c r="CD3055" s="13"/>
    </row>
    <row r="3056" spans="35:82">
      <c r="AI3056" s="19"/>
      <c r="AO3056" s="19"/>
      <c r="AY3056" s="145"/>
      <c r="AZ3056" s="16"/>
      <c r="BC3056" s="16"/>
      <c r="BD3056" s="20"/>
      <c r="BE3056" s="17"/>
      <c r="BF3056" s="20"/>
      <c r="BG3056" s="146"/>
      <c r="BH3056" s="146"/>
      <c r="BI3056" s="146"/>
      <c r="BJ3056" s="20"/>
      <c r="BK3056" s="20"/>
      <c r="BL3056" s="13"/>
      <c r="BP3056" s="20"/>
      <c r="BQ3056" s="13"/>
      <c r="BR3056" s="18"/>
      <c r="BS3056" s="16"/>
      <c r="BT3056" s="18"/>
      <c r="BU3056" s="18"/>
      <c r="BV3056" s="18"/>
      <c r="BW3056" s="20"/>
      <c r="BX3056" s="13"/>
      <c r="BY3056" s="18"/>
      <c r="BZ3056" s="146"/>
      <c r="CA3056" s="18"/>
      <c r="CB3056" s="18"/>
      <c r="CC3056" s="20"/>
      <c r="CD3056" s="13"/>
    </row>
    <row r="3057" spans="35:82">
      <c r="AI3057" s="19"/>
      <c r="AO3057" s="19"/>
      <c r="AY3057" s="145"/>
      <c r="AZ3057" s="16"/>
      <c r="BC3057" s="16"/>
      <c r="BD3057" s="20"/>
      <c r="BE3057" s="17"/>
      <c r="BF3057" s="20"/>
      <c r="BG3057" s="146"/>
      <c r="BH3057" s="146"/>
      <c r="BI3057" s="146"/>
      <c r="BJ3057" s="20"/>
      <c r="BK3057" s="20"/>
      <c r="BL3057" s="13"/>
      <c r="BP3057" s="20"/>
      <c r="BQ3057" s="13"/>
      <c r="BR3057" s="18"/>
      <c r="BS3057" s="16"/>
      <c r="BT3057" s="18"/>
      <c r="BU3057" s="18"/>
      <c r="BV3057" s="18"/>
      <c r="BW3057" s="20"/>
      <c r="BX3057" s="13"/>
      <c r="BY3057" s="18"/>
      <c r="BZ3057" s="146"/>
      <c r="CA3057" s="18"/>
      <c r="CB3057" s="18"/>
      <c r="CC3057" s="20"/>
      <c r="CD3057" s="13"/>
    </row>
    <row r="3058" spans="35:82">
      <c r="AI3058" s="19"/>
      <c r="AO3058" s="19"/>
      <c r="AY3058" s="145"/>
      <c r="AZ3058" s="16"/>
      <c r="BC3058" s="16"/>
      <c r="BD3058" s="20"/>
      <c r="BE3058" s="17"/>
      <c r="BF3058" s="20"/>
      <c r="BG3058" s="146"/>
      <c r="BH3058" s="146"/>
      <c r="BI3058" s="146"/>
      <c r="BJ3058" s="20"/>
      <c r="BK3058" s="20"/>
      <c r="BL3058" s="13"/>
      <c r="BP3058" s="20"/>
      <c r="BQ3058" s="13"/>
      <c r="BR3058" s="18"/>
      <c r="BS3058" s="16"/>
      <c r="BT3058" s="18"/>
      <c r="BU3058" s="18"/>
      <c r="BV3058" s="18"/>
      <c r="BW3058" s="20"/>
      <c r="BX3058" s="13"/>
      <c r="BY3058" s="18"/>
      <c r="BZ3058" s="146"/>
      <c r="CA3058" s="18"/>
      <c r="CB3058" s="18"/>
      <c r="CC3058" s="20"/>
      <c r="CD3058" s="13"/>
    </row>
    <row r="3059" spans="35:82">
      <c r="AI3059" s="19"/>
      <c r="AO3059" s="19"/>
      <c r="AY3059" s="145"/>
      <c r="AZ3059" s="16"/>
      <c r="BC3059" s="16"/>
      <c r="BD3059" s="20"/>
      <c r="BE3059" s="17"/>
      <c r="BF3059" s="20"/>
      <c r="BG3059" s="146"/>
      <c r="BH3059" s="146"/>
      <c r="BI3059" s="146"/>
      <c r="BJ3059" s="20"/>
      <c r="BK3059" s="20"/>
      <c r="BL3059" s="13"/>
      <c r="BP3059" s="20"/>
      <c r="BQ3059" s="13"/>
      <c r="BR3059" s="18"/>
      <c r="BS3059" s="16"/>
      <c r="BT3059" s="18"/>
      <c r="BU3059" s="18"/>
      <c r="BV3059" s="18"/>
      <c r="BW3059" s="20"/>
      <c r="BX3059" s="13"/>
      <c r="BY3059" s="18"/>
      <c r="BZ3059" s="146"/>
      <c r="CA3059" s="18"/>
      <c r="CB3059" s="18"/>
      <c r="CC3059" s="20"/>
      <c r="CD3059" s="13"/>
    </row>
    <row r="3060" spans="35:82">
      <c r="AI3060" s="19"/>
      <c r="AO3060" s="19"/>
      <c r="AY3060" s="145"/>
      <c r="AZ3060" s="16"/>
      <c r="BC3060" s="16"/>
      <c r="BD3060" s="20"/>
      <c r="BE3060" s="17"/>
      <c r="BF3060" s="20"/>
      <c r="BG3060" s="146"/>
      <c r="BH3060" s="146"/>
      <c r="BI3060" s="146"/>
      <c r="BJ3060" s="20"/>
      <c r="BK3060" s="20"/>
      <c r="BL3060" s="13"/>
      <c r="BP3060" s="20"/>
      <c r="BQ3060" s="13"/>
      <c r="BR3060" s="18"/>
      <c r="BS3060" s="16"/>
      <c r="BT3060" s="18"/>
      <c r="BU3060" s="18"/>
      <c r="BV3060" s="18"/>
      <c r="BW3060" s="20"/>
      <c r="BX3060" s="13"/>
      <c r="BY3060" s="18"/>
      <c r="BZ3060" s="146"/>
      <c r="CA3060" s="18"/>
      <c r="CB3060" s="18"/>
      <c r="CC3060" s="20"/>
      <c r="CD3060" s="13"/>
    </row>
    <row r="3061" spans="35:82">
      <c r="AI3061" s="19"/>
      <c r="AO3061" s="19"/>
      <c r="AY3061" s="145"/>
      <c r="AZ3061" s="16"/>
      <c r="BC3061" s="16"/>
      <c r="BD3061" s="20"/>
      <c r="BE3061" s="17"/>
      <c r="BF3061" s="20"/>
      <c r="BG3061" s="146"/>
      <c r="BH3061" s="146"/>
      <c r="BI3061" s="146"/>
      <c r="BJ3061" s="20"/>
      <c r="BK3061" s="20"/>
      <c r="BL3061" s="13"/>
      <c r="BP3061" s="20"/>
      <c r="BQ3061" s="13"/>
      <c r="BR3061" s="18"/>
      <c r="BS3061" s="16"/>
      <c r="BT3061" s="18"/>
      <c r="BU3061" s="18"/>
      <c r="BV3061" s="18"/>
      <c r="BW3061" s="20"/>
      <c r="BX3061" s="13"/>
      <c r="BY3061" s="18"/>
      <c r="BZ3061" s="146"/>
      <c r="CA3061" s="18"/>
      <c r="CB3061" s="18"/>
      <c r="CC3061" s="20"/>
      <c r="CD3061" s="13"/>
    </row>
    <row r="3062" spans="35:82">
      <c r="AI3062" s="19"/>
      <c r="AO3062" s="19"/>
      <c r="AY3062" s="145"/>
      <c r="AZ3062" s="16"/>
      <c r="BC3062" s="16"/>
      <c r="BD3062" s="20"/>
      <c r="BE3062" s="17"/>
      <c r="BF3062" s="20"/>
      <c r="BG3062" s="146"/>
      <c r="BH3062" s="146"/>
      <c r="BI3062" s="146"/>
      <c r="BJ3062" s="20"/>
      <c r="BK3062" s="20"/>
      <c r="BL3062" s="13"/>
      <c r="BP3062" s="20"/>
      <c r="BQ3062" s="13"/>
      <c r="BR3062" s="18"/>
      <c r="BS3062" s="16"/>
      <c r="BT3062" s="18"/>
      <c r="BU3062" s="18"/>
      <c r="BV3062" s="18"/>
      <c r="BW3062" s="20"/>
      <c r="BX3062" s="13"/>
      <c r="BY3062" s="18"/>
      <c r="BZ3062" s="146"/>
      <c r="CA3062" s="18"/>
      <c r="CB3062" s="18"/>
      <c r="CC3062" s="20"/>
      <c r="CD3062" s="13"/>
    </row>
    <row r="3063" spans="35:82">
      <c r="AI3063" s="19"/>
      <c r="AO3063" s="19"/>
      <c r="AY3063" s="145"/>
      <c r="AZ3063" s="16"/>
      <c r="BC3063" s="16"/>
      <c r="BD3063" s="20"/>
      <c r="BE3063" s="17"/>
      <c r="BF3063" s="20"/>
      <c r="BG3063" s="146"/>
      <c r="BH3063" s="146"/>
      <c r="BI3063" s="146"/>
      <c r="BJ3063" s="20"/>
      <c r="BK3063" s="20"/>
      <c r="BL3063" s="13"/>
      <c r="BP3063" s="20"/>
      <c r="BQ3063" s="13"/>
      <c r="BR3063" s="18"/>
      <c r="BS3063" s="16"/>
      <c r="BT3063" s="18"/>
      <c r="BU3063" s="18"/>
      <c r="BV3063" s="18"/>
      <c r="BW3063" s="20"/>
      <c r="BX3063" s="13"/>
      <c r="BY3063" s="18"/>
      <c r="BZ3063" s="146"/>
      <c r="CA3063" s="18"/>
      <c r="CB3063" s="18"/>
      <c r="CC3063" s="20"/>
      <c r="CD3063" s="13"/>
    </row>
    <row r="3064" spans="35:82">
      <c r="AI3064" s="19"/>
      <c r="AO3064" s="19"/>
      <c r="AY3064" s="145"/>
      <c r="AZ3064" s="16"/>
      <c r="BC3064" s="16"/>
      <c r="BD3064" s="20"/>
      <c r="BE3064" s="17"/>
      <c r="BF3064" s="20"/>
      <c r="BG3064" s="146"/>
      <c r="BH3064" s="146"/>
      <c r="BI3064" s="146"/>
      <c r="BJ3064" s="20"/>
      <c r="BK3064" s="20"/>
      <c r="BL3064" s="13"/>
      <c r="BP3064" s="20"/>
      <c r="BQ3064" s="13"/>
      <c r="BR3064" s="18"/>
      <c r="BS3064" s="16"/>
      <c r="BT3064" s="18"/>
      <c r="BU3064" s="18"/>
      <c r="BV3064" s="18"/>
      <c r="BW3064" s="20"/>
      <c r="BX3064" s="13"/>
      <c r="BY3064" s="18"/>
      <c r="BZ3064" s="146"/>
      <c r="CA3064" s="18"/>
      <c r="CB3064" s="18"/>
      <c r="CC3064" s="20"/>
      <c r="CD3064" s="13"/>
    </row>
    <row r="3065" spans="35:82">
      <c r="AI3065" s="19"/>
      <c r="AO3065" s="19"/>
      <c r="AY3065" s="145"/>
      <c r="AZ3065" s="16"/>
      <c r="BC3065" s="16"/>
      <c r="BD3065" s="20"/>
      <c r="BE3065" s="17"/>
      <c r="BF3065" s="20"/>
      <c r="BG3065" s="146"/>
      <c r="BH3065" s="146"/>
      <c r="BI3065" s="146"/>
      <c r="BJ3065" s="20"/>
      <c r="BK3065" s="20"/>
      <c r="BL3065" s="13"/>
      <c r="BP3065" s="20"/>
      <c r="BQ3065" s="13"/>
      <c r="BR3065" s="18"/>
      <c r="BS3065" s="16"/>
      <c r="BT3065" s="18"/>
      <c r="BU3065" s="18"/>
      <c r="BV3065" s="18"/>
      <c r="BW3065" s="20"/>
      <c r="BX3065" s="13"/>
      <c r="BY3065" s="18"/>
      <c r="BZ3065" s="146"/>
      <c r="CA3065" s="18"/>
      <c r="CB3065" s="18"/>
      <c r="CC3065" s="20"/>
      <c r="CD3065" s="13"/>
    </row>
    <row r="3066" spans="35:82">
      <c r="AI3066" s="19"/>
      <c r="AO3066" s="19"/>
      <c r="AY3066" s="145"/>
      <c r="AZ3066" s="16"/>
      <c r="BC3066" s="16"/>
      <c r="BD3066" s="20"/>
      <c r="BE3066" s="17"/>
      <c r="BF3066" s="20"/>
      <c r="BG3066" s="146"/>
      <c r="BH3066" s="146"/>
      <c r="BI3066" s="146"/>
      <c r="BJ3066" s="20"/>
      <c r="BK3066" s="20"/>
      <c r="BL3066" s="13"/>
      <c r="BP3066" s="20"/>
      <c r="BQ3066" s="13"/>
      <c r="BR3066" s="18"/>
      <c r="BS3066" s="16"/>
      <c r="BT3066" s="18"/>
      <c r="BU3066" s="18"/>
      <c r="BV3066" s="18"/>
      <c r="BW3066" s="20"/>
      <c r="BX3066" s="13"/>
      <c r="BY3066" s="18"/>
      <c r="BZ3066" s="146"/>
      <c r="CA3066" s="18"/>
      <c r="CB3066" s="18"/>
      <c r="CC3066" s="20"/>
      <c r="CD3066" s="13"/>
    </row>
    <row r="3067" spans="35:82">
      <c r="AI3067" s="19"/>
      <c r="AO3067" s="19"/>
      <c r="AY3067" s="145"/>
      <c r="AZ3067" s="16"/>
      <c r="BC3067" s="16"/>
      <c r="BD3067" s="20"/>
      <c r="BE3067" s="17"/>
      <c r="BF3067" s="20"/>
      <c r="BG3067" s="146"/>
      <c r="BH3067" s="146"/>
      <c r="BI3067" s="146"/>
      <c r="BJ3067" s="20"/>
      <c r="BK3067" s="20"/>
      <c r="BL3067" s="13"/>
      <c r="BP3067" s="20"/>
      <c r="BQ3067" s="13"/>
      <c r="BR3067" s="18"/>
      <c r="BS3067" s="16"/>
      <c r="BT3067" s="18"/>
      <c r="BU3067" s="18"/>
      <c r="BV3067" s="18"/>
      <c r="BW3067" s="20"/>
      <c r="BX3067" s="13"/>
      <c r="BY3067" s="18"/>
      <c r="BZ3067" s="146"/>
      <c r="CA3067" s="18"/>
      <c r="CB3067" s="18"/>
      <c r="CC3067" s="20"/>
      <c r="CD3067" s="13"/>
    </row>
    <row r="3068" spans="35:82">
      <c r="AI3068" s="19"/>
      <c r="AO3068" s="19"/>
      <c r="AY3068" s="145"/>
      <c r="AZ3068" s="16"/>
      <c r="BC3068" s="16"/>
      <c r="BD3068" s="20"/>
      <c r="BE3068" s="17"/>
      <c r="BF3068" s="20"/>
      <c r="BG3068" s="146"/>
      <c r="BH3068" s="146"/>
      <c r="BI3068" s="146"/>
      <c r="BJ3068" s="20"/>
      <c r="BK3068" s="20"/>
      <c r="BL3068" s="13"/>
      <c r="BP3068" s="20"/>
      <c r="BQ3068" s="13"/>
      <c r="BR3068" s="18"/>
      <c r="BS3068" s="16"/>
      <c r="BT3068" s="18"/>
      <c r="BU3068" s="18"/>
      <c r="BV3068" s="18"/>
      <c r="BW3068" s="20"/>
      <c r="BX3068" s="13"/>
      <c r="BY3068" s="18"/>
      <c r="BZ3068" s="146"/>
      <c r="CA3068" s="18"/>
      <c r="CB3068" s="18"/>
      <c r="CC3068" s="20"/>
      <c r="CD3068" s="13"/>
    </row>
    <row r="3069" spans="35:82">
      <c r="AI3069" s="19"/>
      <c r="AO3069" s="19"/>
      <c r="AY3069" s="145"/>
      <c r="AZ3069" s="16"/>
      <c r="BC3069" s="16"/>
      <c r="BD3069" s="20"/>
      <c r="BE3069" s="17"/>
      <c r="BF3069" s="20"/>
      <c r="BG3069" s="146"/>
      <c r="BH3069" s="146"/>
      <c r="BI3069" s="146"/>
      <c r="BJ3069" s="20"/>
      <c r="BK3069" s="20"/>
      <c r="BL3069" s="13"/>
      <c r="BP3069" s="20"/>
      <c r="BQ3069" s="13"/>
      <c r="BR3069" s="18"/>
      <c r="BS3069" s="16"/>
      <c r="BT3069" s="18"/>
      <c r="BU3069" s="18"/>
      <c r="BV3069" s="18"/>
      <c r="BW3069" s="20"/>
      <c r="BX3069" s="13"/>
      <c r="BY3069" s="18"/>
      <c r="BZ3069" s="146"/>
      <c r="CA3069" s="18"/>
      <c r="CB3069" s="18"/>
      <c r="CC3069" s="20"/>
      <c r="CD3069" s="13"/>
    </row>
    <row r="3070" spans="35:82">
      <c r="AI3070" s="19"/>
      <c r="AO3070" s="19"/>
      <c r="AY3070" s="145"/>
      <c r="AZ3070" s="16"/>
      <c r="BC3070" s="16"/>
      <c r="BD3070" s="20"/>
      <c r="BE3070" s="17"/>
      <c r="BF3070" s="20"/>
      <c r="BG3070" s="146"/>
      <c r="BH3070" s="146"/>
      <c r="BI3070" s="146"/>
      <c r="BJ3070" s="20"/>
      <c r="BK3070" s="20"/>
      <c r="BL3070" s="13"/>
      <c r="BP3070" s="20"/>
      <c r="BQ3070" s="13"/>
      <c r="BR3070" s="18"/>
      <c r="BS3070" s="16"/>
      <c r="BT3070" s="18"/>
      <c r="BU3070" s="18"/>
      <c r="BV3070" s="18"/>
      <c r="BW3070" s="20"/>
      <c r="BX3070" s="13"/>
      <c r="BY3070" s="18"/>
      <c r="BZ3070" s="146"/>
      <c r="CA3070" s="18"/>
      <c r="CB3070" s="18"/>
      <c r="CC3070" s="20"/>
      <c r="CD3070" s="13"/>
    </row>
    <row r="3071" spans="35:82">
      <c r="AI3071" s="19"/>
      <c r="AO3071" s="19"/>
      <c r="AY3071" s="145"/>
      <c r="AZ3071" s="16"/>
      <c r="BC3071" s="16"/>
      <c r="BD3071" s="20"/>
      <c r="BE3071" s="17"/>
      <c r="BF3071" s="20"/>
      <c r="BG3071" s="146"/>
      <c r="BH3071" s="146"/>
      <c r="BI3071" s="146"/>
      <c r="BJ3071" s="20"/>
      <c r="BK3071" s="20"/>
      <c r="BL3071" s="13"/>
      <c r="BP3071" s="20"/>
      <c r="BQ3071" s="13"/>
      <c r="BR3071" s="18"/>
      <c r="BS3071" s="16"/>
      <c r="BT3071" s="18"/>
      <c r="BU3071" s="18"/>
      <c r="BV3071" s="18"/>
      <c r="BW3071" s="20"/>
      <c r="BX3071" s="13"/>
      <c r="BY3071" s="18"/>
      <c r="BZ3071" s="146"/>
      <c r="CA3071" s="18"/>
      <c r="CB3071" s="18"/>
      <c r="CC3071" s="20"/>
      <c r="CD3071" s="13"/>
    </row>
    <row r="3072" spans="35:82">
      <c r="AI3072" s="19"/>
      <c r="AO3072" s="19"/>
      <c r="AY3072" s="145"/>
      <c r="AZ3072" s="16"/>
      <c r="BC3072" s="16"/>
      <c r="BD3072" s="20"/>
      <c r="BE3072" s="17"/>
      <c r="BF3072" s="20"/>
      <c r="BG3072" s="146"/>
      <c r="BH3072" s="146"/>
      <c r="BI3072" s="146"/>
      <c r="BJ3072" s="20"/>
      <c r="BK3072" s="20"/>
      <c r="BL3072" s="13"/>
      <c r="BP3072" s="20"/>
      <c r="BQ3072" s="13"/>
      <c r="BR3072" s="18"/>
      <c r="BS3072" s="16"/>
      <c r="BT3072" s="18"/>
      <c r="BU3072" s="18"/>
      <c r="BV3072" s="18"/>
      <c r="BW3072" s="20"/>
      <c r="BX3072" s="13"/>
      <c r="BY3072" s="18"/>
      <c r="BZ3072" s="146"/>
      <c r="CA3072" s="18"/>
      <c r="CB3072" s="18"/>
      <c r="CC3072" s="20"/>
      <c r="CD3072" s="13"/>
    </row>
    <row r="3073" spans="35:82">
      <c r="AI3073" s="19"/>
      <c r="AO3073" s="19"/>
      <c r="AY3073" s="145"/>
      <c r="AZ3073" s="16"/>
      <c r="BC3073" s="16"/>
      <c r="BD3073" s="20"/>
      <c r="BE3073" s="17"/>
      <c r="BF3073" s="20"/>
      <c r="BG3073" s="146"/>
      <c r="BH3073" s="146"/>
      <c r="BI3073" s="146"/>
      <c r="BJ3073" s="20"/>
      <c r="BK3073" s="20"/>
      <c r="BL3073" s="13"/>
      <c r="BP3073" s="20"/>
      <c r="BQ3073" s="13"/>
      <c r="BR3073" s="18"/>
      <c r="BS3073" s="16"/>
      <c r="BT3073" s="18"/>
      <c r="BU3073" s="18"/>
      <c r="BV3073" s="18"/>
      <c r="BW3073" s="20"/>
      <c r="BX3073" s="13"/>
      <c r="BY3073" s="18"/>
      <c r="BZ3073" s="146"/>
      <c r="CA3073" s="18"/>
      <c r="CB3073" s="18"/>
      <c r="CC3073" s="20"/>
      <c r="CD3073" s="13"/>
    </row>
    <row r="3074" spans="35:82">
      <c r="AI3074" s="19"/>
      <c r="AO3074" s="19"/>
      <c r="AY3074" s="145"/>
      <c r="AZ3074" s="16"/>
      <c r="BC3074" s="16"/>
      <c r="BD3074" s="20"/>
      <c r="BE3074" s="17"/>
      <c r="BF3074" s="20"/>
      <c r="BG3074" s="146"/>
      <c r="BH3074" s="146"/>
      <c r="BI3074" s="146"/>
      <c r="BJ3074" s="20"/>
      <c r="BK3074" s="20"/>
      <c r="BL3074" s="13"/>
      <c r="BP3074" s="20"/>
      <c r="BQ3074" s="13"/>
      <c r="BR3074" s="18"/>
      <c r="BS3074" s="16"/>
      <c r="BT3074" s="18"/>
      <c r="BU3074" s="18"/>
      <c r="BV3074" s="18"/>
      <c r="BW3074" s="20"/>
      <c r="BX3074" s="13"/>
      <c r="BY3074" s="18"/>
      <c r="BZ3074" s="146"/>
      <c r="CA3074" s="18"/>
      <c r="CB3074" s="18"/>
      <c r="CC3074" s="20"/>
      <c r="CD3074" s="13"/>
    </row>
    <row r="3075" spans="35:82">
      <c r="AI3075" s="19"/>
      <c r="AO3075" s="19"/>
      <c r="AY3075" s="145"/>
      <c r="AZ3075" s="16"/>
      <c r="BC3075" s="16"/>
      <c r="BD3075" s="20"/>
      <c r="BE3075" s="17"/>
      <c r="BF3075" s="20"/>
      <c r="BG3075" s="146"/>
      <c r="BH3075" s="146"/>
      <c r="BI3075" s="146"/>
      <c r="BJ3075" s="20"/>
      <c r="BK3075" s="20"/>
      <c r="BL3075" s="13"/>
      <c r="BP3075" s="20"/>
      <c r="BQ3075" s="13"/>
      <c r="BR3075" s="18"/>
      <c r="BS3075" s="16"/>
      <c r="BT3075" s="18"/>
      <c r="BU3075" s="18"/>
      <c r="BV3075" s="18"/>
      <c r="BW3075" s="20"/>
      <c r="BX3075" s="13"/>
      <c r="BY3075" s="18"/>
      <c r="BZ3075" s="146"/>
      <c r="CA3075" s="18"/>
      <c r="CB3075" s="18"/>
      <c r="CC3075" s="20"/>
      <c r="CD3075" s="13"/>
    </row>
    <row r="3076" spans="35:82">
      <c r="AI3076" s="19"/>
      <c r="AO3076" s="19"/>
      <c r="AY3076" s="145"/>
      <c r="AZ3076" s="16"/>
      <c r="BC3076" s="16"/>
      <c r="BD3076" s="20"/>
      <c r="BE3076" s="17"/>
      <c r="BF3076" s="20"/>
      <c r="BG3076" s="146"/>
      <c r="BH3076" s="146"/>
      <c r="BI3076" s="146"/>
      <c r="BJ3076" s="20"/>
      <c r="BK3076" s="20"/>
      <c r="BL3076" s="13"/>
      <c r="BP3076" s="20"/>
      <c r="BQ3076" s="13"/>
      <c r="BR3076" s="18"/>
      <c r="BS3076" s="16"/>
      <c r="BT3076" s="18"/>
      <c r="BU3076" s="18"/>
      <c r="BV3076" s="18"/>
      <c r="BW3076" s="20"/>
      <c r="BX3076" s="13"/>
      <c r="BY3076" s="18"/>
      <c r="BZ3076" s="146"/>
      <c r="CA3076" s="18"/>
      <c r="CB3076" s="18"/>
      <c r="CC3076" s="20"/>
      <c r="CD3076" s="13"/>
    </row>
    <row r="3077" spans="35:82">
      <c r="AI3077" s="19"/>
      <c r="AO3077" s="19"/>
      <c r="AY3077" s="145"/>
      <c r="AZ3077" s="16"/>
      <c r="BC3077" s="16"/>
      <c r="BD3077" s="20"/>
      <c r="BE3077" s="17"/>
      <c r="BF3077" s="20"/>
      <c r="BG3077" s="146"/>
      <c r="BH3077" s="146"/>
      <c r="BI3077" s="146"/>
      <c r="BJ3077" s="20"/>
      <c r="BK3077" s="20"/>
      <c r="BL3077" s="13"/>
      <c r="BP3077" s="20"/>
      <c r="BQ3077" s="13"/>
      <c r="BR3077" s="18"/>
      <c r="BS3077" s="16"/>
      <c r="BT3077" s="18"/>
      <c r="BU3077" s="18"/>
      <c r="BV3077" s="18"/>
      <c r="BW3077" s="20"/>
      <c r="BX3077" s="13"/>
      <c r="BY3077" s="18"/>
      <c r="BZ3077" s="146"/>
      <c r="CA3077" s="18"/>
      <c r="CB3077" s="18"/>
      <c r="CC3077" s="20"/>
      <c r="CD3077" s="13"/>
    </row>
    <row r="3078" spans="35:82">
      <c r="AI3078" s="19"/>
      <c r="AO3078" s="19"/>
      <c r="AY3078" s="145"/>
      <c r="AZ3078" s="16"/>
      <c r="BC3078" s="16"/>
      <c r="BD3078" s="20"/>
      <c r="BE3078" s="17"/>
      <c r="BF3078" s="20"/>
      <c r="BG3078" s="146"/>
      <c r="BH3078" s="146"/>
      <c r="BI3078" s="146"/>
      <c r="BJ3078" s="20"/>
      <c r="BK3078" s="20"/>
      <c r="BL3078" s="13"/>
      <c r="BP3078" s="20"/>
      <c r="BQ3078" s="13"/>
      <c r="BR3078" s="18"/>
      <c r="BS3078" s="16"/>
      <c r="BT3078" s="18"/>
      <c r="BU3078" s="18"/>
      <c r="BV3078" s="18"/>
      <c r="BW3078" s="20"/>
      <c r="BX3078" s="13"/>
      <c r="BY3078" s="18"/>
      <c r="BZ3078" s="146"/>
      <c r="CA3078" s="18"/>
      <c r="CB3078" s="18"/>
      <c r="CC3078" s="20"/>
      <c r="CD3078" s="13"/>
    </row>
    <row r="3079" spans="35:82">
      <c r="AI3079" s="19"/>
      <c r="AO3079" s="19"/>
      <c r="AY3079" s="145"/>
      <c r="AZ3079" s="16"/>
      <c r="BC3079" s="16"/>
      <c r="BD3079" s="20"/>
      <c r="BE3079" s="17"/>
      <c r="BF3079" s="20"/>
      <c r="BG3079" s="146"/>
      <c r="BH3079" s="146"/>
      <c r="BI3079" s="146"/>
      <c r="BJ3079" s="20"/>
      <c r="BK3079" s="20"/>
      <c r="BL3079" s="13"/>
      <c r="BP3079" s="20"/>
      <c r="BQ3079" s="13"/>
      <c r="BR3079" s="18"/>
      <c r="BS3079" s="16"/>
      <c r="BT3079" s="18"/>
      <c r="BU3079" s="18"/>
      <c r="BV3079" s="18"/>
      <c r="BW3079" s="20"/>
      <c r="BX3079" s="13"/>
      <c r="BY3079" s="18"/>
      <c r="BZ3079" s="146"/>
      <c r="CA3079" s="18"/>
      <c r="CB3079" s="18"/>
      <c r="CC3079" s="20"/>
      <c r="CD3079" s="13"/>
    </row>
    <row r="3080" spans="35:82">
      <c r="AI3080" s="19"/>
      <c r="AO3080" s="19"/>
      <c r="AY3080" s="145"/>
      <c r="AZ3080" s="16"/>
      <c r="BC3080" s="16"/>
      <c r="BD3080" s="20"/>
      <c r="BE3080" s="17"/>
      <c r="BF3080" s="20"/>
      <c r="BG3080" s="146"/>
      <c r="BH3080" s="146"/>
      <c r="BI3080" s="146"/>
      <c r="BJ3080" s="20"/>
      <c r="BK3080" s="20"/>
      <c r="BL3080" s="13"/>
      <c r="BP3080" s="20"/>
      <c r="BQ3080" s="13"/>
      <c r="BR3080" s="18"/>
      <c r="BS3080" s="16"/>
      <c r="BT3080" s="18"/>
      <c r="BU3080" s="18"/>
      <c r="BV3080" s="18"/>
      <c r="BW3080" s="20"/>
      <c r="BX3080" s="13"/>
      <c r="BY3080" s="18"/>
      <c r="BZ3080" s="146"/>
      <c r="CA3080" s="18"/>
      <c r="CB3080" s="18"/>
      <c r="CC3080" s="20"/>
      <c r="CD3080" s="13"/>
    </row>
    <row r="3081" spans="35:82">
      <c r="AI3081" s="19"/>
      <c r="AO3081" s="19"/>
      <c r="AY3081" s="145"/>
      <c r="AZ3081" s="16"/>
      <c r="BC3081" s="16"/>
      <c r="BD3081" s="20"/>
      <c r="BE3081" s="17"/>
      <c r="BF3081" s="20"/>
      <c r="BG3081" s="146"/>
      <c r="BH3081" s="146"/>
      <c r="BI3081" s="146"/>
      <c r="BJ3081" s="20"/>
      <c r="BK3081" s="20"/>
      <c r="BL3081" s="13"/>
      <c r="BP3081" s="20"/>
      <c r="BQ3081" s="13"/>
      <c r="BR3081" s="18"/>
      <c r="BS3081" s="16"/>
      <c r="BT3081" s="18"/>
      <c r="BU3081" s="18"/>
      <c r="BV3081" s="18"/>
      <c r="BW3081" s="20"/>
      <c r="BX3081" s="13"/>
      <c r="BY3081" s="18"/>
      <c r="BZ3081" s="146"/>
      <c r="CA3081" s="18"/>
      <c r="CB3081" s="18"/>
      <c r="CC3081" s="20"/>
      <c r="CD3081" s="13"/>
    </row>
    <row r="3082" spans="35:82">
      <c r="AI3082" s="19"/>
      <c r="AO3082" s="19"/>
      <c r="AY3082" s="145"/>
      <c r="AZ3082" s="16"/>
      <c r="BC3082" s="16"/>
      <c r="BD3082" s="20"/>
      <c r="BE3082" s="17"/>
      <c r="BF3082" s="20"/>
      <c r="BG3082" s="146"/>
      <c r="BH3082" s="146"/>
      <c r="BI3082" s="146"/>
      <c r="BJ3082" s="20"/>
      <c r="BK3082" s="20"/>
      <c r="BL3082" s="13"/>
      <c r="BP3082" s="20"/>
      <c r="BQ3082" s="13"/>
      <c r="BR3082" s="18"/>
      <c r="BS3082" s="16"/>
      <c r="BT3082" s="18"/>
      <c r="BU3082" s="18"/>
      <c r="BV3082" s="18"/>
      <c r="BW3082" s="20"/>
      <c r="BX3082" s="13"/>
      <c r="BY3082" s="18"/>
      <c r="BZ3082" s="146"/>
      <c r="CA3082" s="18"/>
      <c r="CB3082" s="18"/>
      <c r="CC3082" s="20"/>
      <c r="CD3082" s="13"/>
    </row>
    <row r="3083" spans="35:82">
      <c r="AI3083" s="19"/>
      <c r="AO3083" s="19"/>
      <c r="AY3083" s="145"/>
      <c r="AZ3083" s="16"/>
      <c r="BC3083" s="16"/>
      <c r="BD3083" s="20"/>
      <c r="BE3083" s="17"/>
      <c r="BF3083" s="20"/>
      <c r="BG3083" s="146"/>
      <c r="BH3083" s="146"/>
      <c r="BI3083" s="146"/>
      <c r="BJ3083" s="20"/>
      <c r="BK3083" s="20"/>
      <c r="BL3083" s="13"/>
      <c r="BP3083" s="20"/>
      <c r="BQ3083" s="13"/>
      <c r="BR3083" s="18"/>
      <c r="BS3083" s="16"/>
      <c r="BT3083" s="18"/>
      <c r="BU3083" s="18"/>
      <c r="BV3083" s="18"/>
      <c r="BW3083" s="20"/>
      <c r="BX3083" s="13"/>
      <c r="BY3083" s="18"/>
      <c r="BZ3083" s="146"/>
      <c r="CA3083" s="18"/>
      <c r="CB3083" s="18"/>
      <c r="CC3083" s="20"/>
      <c r="CD3083" s="13"/>
    </row>
    <row r="3084" spans="35:82">
      <c r="AI3084" s="19"/>
      <c r="AO3084" s="19"/>
      <c r="AY3084" s="145"/>
      <c r="AZ3084" s="16"/>
      <c r="BC3084" s="16"/>
      <c r="BD3084" s="20"/>
      <c r="BE3084" s="17"/>
      <c r="BF3084" s="20"/>
      <c r="BG3084" s="146"/>
      <c r="BH3084" s="146"/>
      <c r="BI3084" s="146"/>
      <c r="BJ3084" s="20"/>
      <c r="BK3084" s="20"/>
      <c r="BL3084" s="13"/>
      <c r="BP3084" s="20"/>
      <c r="BQ3084" s="13"/>
      <c r="BR3084" s="18"/>
      <c r="BS3084" s="16"/>
      <c r="BT3084" s="18"/>
      <c r="BU3084" s="18"/>
      <c r="BV3084" s="18"/>
      <c r="BW3084" s="20"/>
      <c r="BX3084" s="13"/>
      <c r="BY3084" s="18"/>
      <c r="BZ3084" s="146"/>
      <c r="CA3084" s="18"/>
      <c r="CB3084" s="18"/>
      <c r="CC3084" s="20"/>
      <c r="CD3084" s="13"/>
    </row>
    <row r="3085" spans="35:82">
      <c r="AI3085" s="19"/>
      <c r="AO3085" s="19"/>
      <c r="AY3085" s="145"/>
      <c r="AZ3085" s="16"/>
      <c r="BC3085" s="16"/>
      <c r="BD3085" s="20"/>
      <c r="BE3085" s="17"/>
      <c r="BF3085" s="20"/>
      <c r="BG3085" s="146"/>
      <c r="BH3085" s="146"/>
      <c r="BI3085" s="146"/>
      <c r="BJ3085" s="20"/>
      <c r="BK3085" s="20"/>
      <c r="BL3085" s="13"/>
      <c r="BP3085" s="20"/>
      <c r="BQ3085" s="13"/>
      <c r="BR3085" s="18"/>
      <c r="BS3085" s="16"/>
      <c r="BT3085" s="18"/>
      <c r="BU3085" s="18"/>
      <c r="BV3085" s="18"/>
      <c r="BW3085" s="20"/>
      <c r="BX3085" s="13"/>
      <c r="BY3085" s="18"/>
      <c r="BZ3085" s="146"/>
      <c r="CA3085" s="18"/>
      <c r="CB3085" s="18"/>
      <c r="CC3085" s="20"/>
      <c r="CD3085" s="13"/>
    </row>
    <row r="3086" spans="35:82">
      <c r="AI3086" s="19"/>
      <c r="AO3086" s="19"/>
      <c r="AY3086" s="145"/>
      <c r="AZ3086" s="16"/>
      <c r="BC3086" s="16"/>
      <c r="BD3086" s="20"/>
      <c r="BE3086" s="17"/>
      <c r="BF3086" s="20"/>
      <c r="BG3086" s="146"/>
      <c r="BH3086" s="146"/>
      <c r="BI3086" s="146"/>
      <c r="BJ3086" s="20"/>
      <c r="BK3086" s="20"/>
      <c r="BL3086" s="13"/>
      <c r="BP3086" s="20"/>
      <c r="BQ3086" s="13"/>
      <c r="BR3086" s="18"/>
      <c r="BS3086" s="16"/>
      <c r="BT3086" s="18"/>
      <c r="BU3086" s="18"/>
      <c r="BV3086" s="18"/>
      <c r="BW3086" s="20"/>
      <c r="BX3086" s="13"/>
      <c r="BY3086" s="18"/>
      <c r="BZ3086" s="146"/>
      <c r="CA3086" s="18"/>
      <c r="CB3086" s="18"/>
      <c r="CC3086" s="20"/>
      <c r="CD3086" s="13"/>
    </row>
    <row r="3087" spans="35:82">
      <c r="AI3087" s="19"/>
      <c r="AO3087" s="19"/>
      <c r="AY3087" s="145"/>
      <c r="AZ3087" s="16"/>
      <c r="BC3087" s="16"/>
      <c r="BD3087" s="20"/>
      <c r="BE3087" s="17"/>
      <c r="BF3087" s="20"/>
      <c r="BG3087" s="146"/>
      <c r="BH3087" s="146"/>
      <c r="BI3087" s="146"/>
      <c r="BJ3087" s="20"/>
      <c r="BK3087" s="20"/>
      <c r="BL3087" s="13"/>
      <c r="BP3087" s="20"/>
      <c r="BQ3087" s="13"/>
      <c r="BR3087" s="18"/>
      <c r="BS3087" s="16"/>
      <c r="BT3087" s="18"/>
      <c r="BU3087" s="18"/>
      <c r="BV3087" s="18"/>
      <c r="BW3087" s="20"/>
      <c r="BX3087" s="13"/>
      <c r="BY3087" s="18"/>
      <c r="BZ3087" s="146"/>
      <c r="CA3087" s="18"/>
      <c r="CB3087" s="18"/>
      <c r="CC3087" s="20"/>
      <c r="CD3087" s="13"/>
    </row>
    <row r="3088" spans="35:82">
      <c r="AI3088" s="19"/>
      <c r="AO3088" s="19"/>
      <c r="AY3088" s="145"/>
      <c r="AZ3088" s="16"/>
      <c r="BC3088" s="16"/>
      <c r="BD3088" s="20"/>
      <c r="BE3088" s="17"/>
      <c r="BF3088" s="20"/>
      <c r="BG3088" s="146"/>
      <c r="BH3088" s="146"/>
      <c r="BI3088" s="146"/>
      <c r="BJ3088" s="20"/>
      <c r="BK3088" s="20"/>
      <c r="BL3088" s="13"/>
      <c r="BP3088" s="20"/>
      <c r="BQ3088" s="13"/>
      <c r="BR3088" s="18"/>
      <c r="BS3088" s="16"/>
      <c r="BT3088" s="18"/>
      <c r="BU3088" s="18"/>
      <c r="BV3088" s="18"/>
      <c r="BW3088" s="20"/>
      <c r="BX3088" s="13"/>
      <c r="BY3088" s="18"/>
      <c r="BZ3088" s="146"/>
      <c r="CA3088" s="18"/>
      <c r="CB3088" s="18"/>
      <c r="CC3088" s="20"/>
      <c r="CD3088" s="13"/>
    </row>
    <row r="3089" spans="35:82">
      <c r="AI3089" s="19"/>
      <c r="AO3089" s="19"/>
      <c r="AY3089" s="145"/>
      <c r="AZ3089" s="16"/>
      <c r="BC3089" s="16"/>
      <c r="BD3089" s="20"/>
      <c r="BE3089" s="17"/>
      <c r="BF3089" s="20"/>
      <c r="BG3089" s="146"/>
      <c r="BH3089" s="146"/>
      <c r="BI3089" s="146"/>
      <c r="BJ3089" s="20"/>
      <c r="BK3089" s="20"/>
      <c r="BL3089" s="13"/>
      <c r="BP3089" s="20"/>
      <c r="BQ3089" s="13"/>
      <c r="BR3089" s="18"/>
      <c r="BS3089" s="16"/>
      <c r="BT3089" s="18"/>
      <c r="BU3089" s="18"/>
      <c r="BV3089" s="18"/>
      <c r="BW3089" s="20"/>
      <c r="BX3089" s="13"/>
      <c r="BY3089" s="18"/>
      <c r="BZ3089" s="146"/>
      <c r="CA3089" s="18"/>
      <c r="CB3089" s="18"/>
      <c r="CC3089" s="20"/>
      <c r="CD3089" s="13"/>
    </row>
    <row r="3090" spans="35:82">
      <c r="AI3090" s="19"/>
      <c r="AO3090" s="19"/>
      <c r="AY3090" s="145"/>
      <c r="AZ3090" s="16"/>
      <c r="BC3090" s="16"/>
      <c r="BD3090" s="20"/>
      <c r="BE3090" s="17"/>
      <c r="BF3090" s="20"/>
      <c r="BG3090" s="146"/>
      <c r="BH3090" s="146"/>
      <c r="BI3090" s="146"/>
      <c r="BJ3090" s="20"/>
      <c r="BK3090" s="20"/>
      <c r="BL3090" s="13"/>
      <c r="BP3090" s="20"/>
      <c r="BQ3090" s="13"/>
      <c r="BR3090" s="18"/>
      <c r="BS3090" s="16"/>
      <c r="BT3090" s="18"/>
      <c r="BU3090" s="18"/>
      <c r="BV3090" s="18"/>
      <c r="BW3090" s="20"/>
      <c r="BX3090" s="13"/>
      <c r="BY3090" s="18"/>
      <c r="BZ3090" s="146"/>
      <c r="CA3090" s="18"/>
      <c r="CB3090" s="18"/>
      <c r="CC3090" s="20"/>
      <c r="CD3090" s="13"/>
    </row>
    <row r="3091" spans="35:82">
      <c r="AI3091" s="19"/>
      <c r="AO3091" s="19"/>
      <c r="AY3091" s="145"/>
      <c r="AZ3091" s="16"/>
      <c r="BC3091" s="16"/>
      <c r="BD3091" s="20"/>
      <c r="BE3091" s="17"/>
      <c r="BF3091" s="20"/>
      <c r="BG3091" s="146"/>
      <c r="BH3091" s="146"/>
      <c r="BI3091" s="146"/>
      <c r="BJ3091" s="20"/>
      <c r="BK3091" s="20"/>
      <c r="BL3091" s="13"/>
      <c r="BP3091" s="20"/>
      <c r="BQ3091" s="13"/>
      <c r="BR3091" s="18"/>
      <c r="BS3091" s="16"/>
      <c r="BT3091" s="18"/>
      <c r="BU3091" s="18"/>
      <c r="BV3091" s="18"/>
      <c r="BW3091" s="20"/>
      <c r="BX3091" s="13"/>
      <c r="BY3091" s="18"/>
      <c r="BZ3091" s="146"/>
      <c r="CA3091" s="18"/>
      <c r="CB3091" s="18"/>
      <c r="CC3091" s="20"/>
      <c r="CD3091" s="13"/>
    </row>
    <row r="3092" spans="35:82">
      <c r="AI3092" s="19"/>
      <c r="AO3092" s="19"/>
      <c r="AY3092" s="145"/>
      <c r="AZ3092" s="16"/>
      <c r="BC3092" s="16"/>
      <c r="BD3092" s="20"/>
      <c r="BE3092" s="17"/>
      <c r="BF3092" s="20"/>
      <c r="BG3092" s="146"/>
      <c r="BH3092" s="146"/>
      <c r="BI3092" s="146"/>
      <c r="BJ3092" s="20"/>
      <c r="BK3092" s="20"/>
      <c r="BL3092" s="13"/>
      <c r="BP3092" s="20"/>
      <c r="BQ3092" s="13"/>
      <c r="BR3092" s="18"/>
      <c r="BS3092" s="16"/>
      <c r="BT3092" s="18"/>
      <c r="BU3092" s="18"/>
      <c r="BV3092" s="18"/>
      <c r="BW3092" s="20"/>
      <c r="BX3092" s="13"/>
      <c r="BY3092" s="18"/>
      <c r="BZ3092" s="146"/>
      <c r="CA3092" s="18"/>
      <c r="CB3092" s="18"/>
      <c r="CC3092" s="20"/>
      <c r="CD3092" s="13"/>
    </row>
    <row r="3093" spans="35:82">
      <c r="AI3093" s="19"/>
      <c r="AO3093" s="19"/>
      <c r="AY3093" s="145"/>
      <c r="AZ3093" s="16"/>
      <c r="BC3093" s="16"/>
      <c r="BD3093" s="20"/>
      <c r="BE3093" s="17"/>
      <c r="BF3093" s="20"/>
      <c r="BG3093" s="146"/>
      <c r="BH3093" s="146"/>
      <c r="BI3093" s="146"/>
      <c r="BJ3093" s="20"/>
      <c r="BK3093" s="20"/>
      <c r="BL3093" s="13"/>
      <c r="BP3093" s="20"/>
      <c r="BQ3093" s="13"/>
      <c r="BR3093" s="18"/>
      <c r="BS3093" s="16"/>
      <c r="BT3093" s="18"/>
      <c r="BU3093" s="18"/>
      <c r="BV3093" s="18"/>
      <c r="BW3093" s="20"/>
      <c r="BX3093" s="13"/>
      <c r="BY3093" s="18"/>
      <c r="BZ3093" s="146"/>
      <c r="CA3093" s="18"/>
      <c r="CB3093" s="18"/>
      <c r="CC3093" s="20"/>
      <c r="CD3093" s="13"/>
    </row>
    <row r="3094" spans="35:82">
      <c r="AI3094" s="19"/>
      <c r="AO3094" s="19"/>
      <c r="AY3094" s="145"/>
      <c r="AZ3094" s="16"/>
      <c r="BC3094" s="16"/>
      <c r="BD3094" s="20"/>
      <c r="BE3094" s="17"/>
      <c r="BF3094" s="20"/>
      <c r="BG3094" s="146"/>
      <c r="BH3094" s="146"/>
      <c r="BI3094" s="146"/>
      <c r="BJ3094" s="20"/>
      <c r="BK3094" s="20"/>
      <c r="BL3094" s="13"/>
      <c r="BP3094" s="20"/>
      <c r="BQ3094" s="13"/>
      <c r="BR3094" s="18"/>
      <c r="BS3094" s="16"/>
      <c r="BT3094" s="18"/>
      <c r="BU3094" s="18"/>
      <c r="BV3094" s="18"/>
      <c r="BW3094" s="20"/>
      <c r="BX3094" s="13"/>
      <c r="BY3094" s="18"/>
      <c r="BZ3094" s="146"/>
      <c r="CA3094" s="18"/>
      <c r="CB3094" s="18"/>
      <c r="CC3094" s="20"/>
      <c r="CD3094" s="13"/>
    </row>
    <row r="3095" spans="35:82">
      <c r="AI3095" s="19"/>
      <c r="AO3095" s="19"/>
      <c r="AY3095" s="145"/>
      <c r="AZ3095" s="16"/>
      <c r="BC3095" s="16"/>
      <c r="BD3095" s="20"/>
      <c r="BE3095" s="17"/>
      <c r="BF3095" s="20"/>
      <c r="BG3095" s="146"/>
      <c r="BH3095" s="146"/>
      <c r="BI3095" s="146"/>
      <c r="BJ3095" s="20"/>
      <c r="BK3095" s="20"/>
      <c r="BL3095" s="13"/>
      <c r="BP3095" s="20"/>
      <c r="BQ3095" s="13"/>
      <c r="BR3095" s="18"/>
      <c r="BS3095" s="16"/>
      <c r="BT3095" s="18"/>
      <c r="BU3095" s="18"/>
      <c r="BV3095" s="18"/>
      <c r="BW3095" s="20"/>
      <c r="BX3095" s="13"/>
      <c r="BY3095" s="18"/>
      <c r="BZ3095" s="146"/>
      <c r="CA3095" s="18"/>
      <c r="CB3095" s="18"/>
      <c r="CC3095" s="20"/>
      <c r="CD3095" s="13"/>
    </row>
    <row r="3096" spans="35:82">
      <c r="AI3096" s="19"/>
      <c r="AO3096" s="19"/>
      <c r="AY3096" s="145"/>
      <c r="AZ3096" s="16"/>
      <c r="BC3096" s="16"/>
      <c r="BD3096" s="20"/>
      <c r="BE3096" s="17"/>
      <c r="BF3096" s="20"/>
      <c r="BG3096" s="146"/>
      <c r="BH3096" s="146"/>
      <c r="BI3096" s="146"/>
      <c r="BJ3096" s="20"/>
      <c r="BK3096" s="20"/>
      <c r="BL3096" s="13"/>
      <c r="BP3096" s="20"/>
      <c r="BQ3096" s="13"/>
      <c r="BR3096" s="18"/>
      <c r="BS3096" s="16"/>
      <c r="BT3096" s="18"/>
      <c r="BU3096" s="18"/>
      <c r="BV3096" s="18"/>
      <c r="BW3096" s="20"/>
      <c r="BX3096" s="13"/>
      <c r="BY3096" s="18"/>
      <c r="BZ3096" s="146"/>
      <c r="CA3096" s="18"/>
      <c r="CB3096" s="18"/>
      <c r="CC3096" s="20"/>
      <c r="CD3096" s="13"/>
    </row>
    <row r="3097" spans="35:82">
      <c r="AI3097" s="19"/>
      <c r="AO3097" s="19"/>
      <c r="AY3097" s="145"/>
      <c r="AZ3097" s="16"/>
      <c r="BC3097" s="16"/>
      <c r="BD3097" s="20"/>
      <c r="BE3097" s="17"/>
      <c r="BF3097" s="20"/>
      <c r="BG3097" s="146"/>
      <c r="BH3097" s="146"/>
      <c r="BI3097" s="146"/>
      <c r="BJ3097" s="20"/>
      <c r="BK3097" s="20"/>
      <c r="BL3097" s="13"/>
      <c r="BP3097" s="20"/>
      <c r="BQ3097" s="13"/>
      <c r="BR3097" s="18"/>
      <c r="BS3097" s="16"/>
      <c r="BT3097" s="18"/>
      <c r="BU3097" s="18"/>
      <c r="BV3097" s="18"/>
      <c r="BW3097" s="20"/>
      <c r="BX3097" s="13"/>
      <c r="BY3097" s="18"/>
      <c r="BZ3097" s="146"/>
      <c r="CA3097" s="18"/>
      <c r="CB3097" s="18"/>
      <c r="CC3097" s="20"/>
      <c r="CD3097" s="13"/>
    </row>
    <row r="3098" spans="35:82">
      <c r="AI3098" s="19"/>
      <c r="AO3098" s="19"/>
      <c r="AY3098" s="145"/>
      <c r="AZ3098" s="16"/>
      <c r="BC3098" s="16"/>
      <c r="BD3098" s="20"/>
      <c r="BE3098" s="17"/>
      <c r="BF3098" s="20"/>
      <c r="BG3098" s="146"/>
      <c r="BH3098" s="146"/>
      <c r="BI3098" s="146"/>
      <c r="BJ3098" s="20"/>
      <c r="BK3098" s="20"/>
      <c r="BL3098" s="13"/>
      <c r="BP3098" s="20"/>
      <c r="BQ3098" s="13"/>
      <c r="BR3098" s="18"/>
      <c r="BS3098" s="16"/>
      <c r="BT3098" s="18"/>
      <c r="BU3098" s="18"/>
      <c r="BV3098" s="18"/>
      <c r="BW3098" s="20"/>
      <c r="BX3098" s="13"/>
      <c r="BY3098" s="18"/>
      <c r="BZ3098" s="146"/>
      <c r="CA3098" s="18"/>
      <c r="CB3098" s="18"/>
      <c r="CC3098" s="20"/>
      <c r="CD3098" s="13"/>
    </row>
    <row r="3099" spans="35:82">
      <c r="AI3099" s="19"/>
      <c r="AO3099" s="19"/>
      <c r="AY3099" s="145"/>
      <c r="AZ3099" s="16"/>
      <c r="BC3099" s="16"/>
      <c r="BD3099" s="20"/>
      <c r="BE3099" s="17"/>
      <c r="BF3099" s="20"/>
      <c r="BG3099" s="146"/>
      <c r="BH3099" s="146"/>
      <c r="BI3099" s="146"/>
      <c r="BJ3099" s="20"/>
      <c r="BK3099" s="20"/>
      <c r="BL3099" s="13"/>
      <c r="BP3099" s="20"/>
      <c r="BQ3099" s="13"/>
      <c r="BR3099" s="18"/>
      <c r="BS3099" s="16"/>
      <c r="BT3099" s="18"/>
      <c r="BU3099" s="18"/>
      <c r="BV3099" s="18"/>
      <c r="BW3099" s="20"/>
      <c r="BX3099" s="13"/>
      <c r="BY3099" s="18"/>
      <c r="BZ3099" s="146"/>
      <c r="CA3099" s="18"/>
      <c r="CB3099" s="18"/>
      <c r="CC3099" s="20"/>
      <c r="CD3099" s="13"/>
    </row>
    <row r="3100" spans="35:82">
      <c r="AI3100" s="19"/>
      <c r="AO3100" s="19"/>
      <c r="AY3100" s="145"/>
      <c r="AZ3100" s="16"/>
      <c r="BC3100" s="16"/>
      <c r="BD3100" s="20"/>
      <c r="BE3100" s="17"/>
      <c r="BF3100" s="20"/>
      <c r="BG3100" s="146"/>
      <c r="BH3100" s="146"/>
      <c r="BI3100" s="146"/>
      <c r="BJ3100" s="20"/>
      <c r="BK3100" s="20"/>
      <c r="BL3100" s="13"/>
      <c r="BP3100" s="20"/>
      <c r="BQ3100" s="13"/>
      <c r="BR3100" s="18"/>
      <c r="BS3100" s="16"/>
      <c r="BT3100" s="18"/>
      <c r="BU3100" s="18"/>
      <c r="BV3100" s="18"/>
      <c r="BW3100" s="20"/>
      <c r="BX3100" s="13"/>
      <c r="BY3100" s="18"/>
      <c r="BZ3100" s="146"/>
      <c r="CA3100" s="18"/>
      <c r="CB3100" s="18"/>
      <c r="CC3100" s="20"/>
      <c r="CD3100" s="13"/>
    </row>
    <row r="3101" spans="35:82">
      <c r="AI3101" s="19"/>
      <c r="AO3101" s="19"/>
      <c r="AY3101" s="145"/>
      <c r="AZ3101" s="16"/>
      <c r="BC3101" s="16"/>
      <c r="BD3101" s="20"/>
      <c r="BE3101" s="17"/>
      <c r="BF3101" s="20"/>
      <c r="BG3101" s="146"/>
      <c r="BH3101" s="146"/>
      <c r="BI3101" s="146"/>
      <c r="BJ3101" s="20"/>
      <c r="BK3101" s="20"/>
      <c r="BL3101" s="13"/>
      <c r="BP3101" s="20"/>
      <c r="BQ3101" s="13"/>
      <c r="BR3101" s="18"/>
      <c r="BS3101" s="16"/>
      <c r="BT3101" s="18"/>
      <c r="BU3101" s="18"/>
      <c r="BV3101" s="18"/>
      <c r="BW3101" s="20"/>
      <c r="BX3101" s="13"/>
      <c r="BY3101" s="18"/>
      <c r="BZ3101" s="146"/>
      <c r="CA3101" s="18"/>
      <c r="CB3101" s="18"/>
      <c r="CC3101" s="20"/>
      <c r="CD3101" s="13"/>
    </row>
    <row r="3102" spans="35:82">
      <c r="AI3102" s="19"/>
      <c r="AO3102" s="19"/>
      <c r="AY3102" s="145"/>
      <c r="AZ3102" s="16"/>
      <c r="BC3102" s="16"/>
      <c r="BD3102" s="20"/>
      <c r="BE3102" s="17"/>
      <c r="BF3102" s="20"/>
      <c r="BG3102" s="146"/>
      <c r="BH3102" s="146"/>
      <c r="BI3102" s="146"/>
      <c r="BJ3102" s="20"/>
      <c r="BK3102" s="20"/>
      <c r="BL3102" s="13"/>
      <c r="BP3102" s="20"/>
      <c r="BQ3102" s="13"/>
      <c r="BR3102" s="18"/>
      <c r="BS3102" s="16"/>
      <c r="BT3102" s="18"/>
      <c r="BU3102" s="18"/>
      <c r="BV3102" s="18"/>
      <c r="BW3102" s="20"/>
      <c r="BX3102" s="13"/>
      <c r="BY3102" s="18"/>
      <c r="BZ3102" s="146"/>
      <c r="CA3102" s="18"/>
      <c r="CB3102" s="18"/>
      <c r="CC3102" s="20"/>
      <c r="CD3102" s="13"/>
    </row>
    <row r="3103" spans="35:82">
      <c r="AI3103" s="19"/>
      <c r="AO3103" s="19"/>
      <c r="AY3103" s="145"/>
      <c r="AZ3103" s="16"/>
      <c r="BC3103" s="16"/>
      <c r="BD3103" s="20"/>
      <c r="BE3103" s="17"/>
      <c r="BF3103" s="20"/>
      <c r="BG3103" s="146"/>
      <c r="BH3103" s="146"/>
      <c r="BI3103" s="146"/>
      <c r="BJ3103" s="20"/>
      <c r="BK3103" s="20"/>
      <c r="BL3103" s="13"/>
      <c r="BP3103" s="20"/>
      <c r="BQ3103" s="13"/>
      <c r="BR3103" s="18"/>
      <c r="BS3103" s="16"/>
      <c r="BT3103" s="18"/>
      <c r="BU3103" s="18"/>
      <c r="BV3103" s="18"/>
      <c r="BW3103" s="20"/>
      <c r="BX3103" s="13"/>
      <c r="BY3103" s="18"/>
      <c r="BZ3103" s="146"/>
      <c r="CA3103" s="18"/>
      <c r="CB3103" s="18"/>
      <c r="CC3103" s="20"/>
      <c r="CD3103" s="13"/>
    </row>
    <row r="3104" spans="35:82">
      <c r="AI3104" s="19"/>
      <c r="AO3104" s="19"/>
      <c r="AY3104" s="145"/>
      <c r="AZ3104" s="16"/>
      <c r="BC3104" s="16"/>
      <c r="BD3104" s="20"/>
      <c r="BE3104" s="17"/>
      <c r="BF3104" s="20"/>
      <c r="BG3104" s="146"/>
      <c r="BH3104" s="146"/>
      <c r="BI3104" s="146"/>
      <c r="BJ3104" s="20"/>
      <c r="BK3104" s="20"/>
      <c r="BL3104" s="13"/>
      <c r="BP3104" s="20"/>
      <c r="BQ3104" s="13"/>
      <c r="BR3104" s="18"/>
      <c r="BS3104" s="16"/>
      <c r="BT3104" s="18"/>
      <c r="BU3104" s="18"/>
      <c r="BV3104" s="18"/>
      <c r="BW3104" s="20"/>
      <c r="BX3104" s="13"/>
      <c r="BY3104" s="18"/>
      <c r="BZ3104" s="146"/>
      <c r="CA3104" s="18"/>
      <c r="CB3104" s="18"/>
      <c r="CC3104" s="20"/>
      <c r="CD3104" s="13"/>
    </row>
    <row r="3105" spans="35:82">
      <c r="AI3105" s="19"/>
      <c r="AO3105" s="19"/>
      <c r="AY3105" s="145"/>
      <c r="AZ3105" s="16"/>
      <c r="BC3105" s="16"/>
      <c r="BD3105" s="20"/>
      <c r="BE3105" s="17"/>
      <c r="BF3105" s="20"/>
      <c r="BG3105" s="146"/>
      <c r="BH3105" s="146"/>
      <c r="BI3105" s="146"/>
      <c r="BJ3105" s="20"/>
      <c r="BK3105" s="20"/>
      <c r="BL3105" s="13"/>
      <c r="BP3105" s="20"/>
      <c r="BQ3105" s="13"/>
      <c r="BR3105" s="18"/>
      <c r="BS3105" s="16"/>
      <c r="BT3105" s="18"/>
      <c r="BU3105" s="18"/>
      <c r="BV3105" s="18"/>
      <c r="BW3105" s="20"/>
      <c r="BX3105" s="13"/>
      <c r="BY3105" s="18"/>
      <c r="BZ3105" s="146"/>
      <c r="CA3105" s="18"/>
      <c r="CB3105" s="18"/>
      <c r="CC3105" s="20"/>
      <c r="CD3105" s="13"/>
    </row>
    <row r="3106" spans="35:82">
      <c r="AI3106" s="19"/>
      <c r="AO3106" s="19"/>
      <c r="AY3106" s="145"/>
      <c r="AZ3106" s="16"/>
      <c r="BC3106" s="16"/>
      <c r="BD3106" s="20"/>
      <c r="BE3106" s="17"/>
      <c r="BF3106" s="20"/>
      <c r="BG3106" s="146"/>
      <c r="BH3106" s="146"/>
      <c r="BI3106" s="146"/>
      <c r="BJ3106" s="20"/>
      <c r="BK3106" s="20"/>
      <c r="BL3106" s="13"/>
      <c r="BP3106" s="20"/>
      <c r="BQ3106" s="13"/>
      <c r="BR3106" s="18"/>
      <c r="BS3106" s="16"/>
      <c r="BT3106" s="18"/>
      <c r="BU3106" s="18"/>
      <c r="BV3106" s="18"/>
      <c r="BW3106" s="20"/>
      <c r="BX3106" s="13"/>
      <c r="BY3106" s="18"/>
      <c r="BZ3106" s="146"/>
      <c r="CA3106" s="18"/>
      <c r="CB3106" s="18"/>
      <c r="CC3106" s="20"/>
      <c r="CD3106" s="13"/>
    </row>
    <row r="3107" spans="35:82">
      <c r="AI3107" s="19"/>
      <c r="AO3107" s="19"/>
      <c r="AY3107" s="145"/>
      <c r="AZ3107" s="16"/>
      <c r="BC3107" s="16"/>
      <c r="BD3107" s="20"/>
      <c r="BE3107" s="17"/>
      <c r="BF3107" s="20"/>
      <c r="BG3107" s="146"/>
      <c r="BH3107" s="146"/>
      <c r="BI3107" s="146"/>
      <c r="BJ3107" s="20"/>
      <c r="BK3107" s="20"/>
      <c r="BL3107" s="13"/>
      <c r="BP3107" s="20"/>
      <c r="BQ3107" s="13"/>
      <c r="BR3107" s="18"/>
      <c r="BS3107" s="16"/>
      <c r="BT3107" s="18"/>
      <c r="BU3107" s="18"/>
      <c r="BV3107" s="18"/>
      <c r="BW3107" s="20"/>
      <c r="BX3107" s="13"/>
      <c r="BY3107" s="18"/>
      <c r="BZ3107" s="146"/>
      <c r="CA3107" s="18"/>
      <c r="CB3107" s="18"/>
      <c r="CC3107" s="20"/>
      <c r="CD3107" s="13"/>
    </row>
    <row r="3108" spans="35:82">
      <c r="AI3108" s="19"/>
      <c r="AO3108" s="19"/>
      <c r="AY3108" s="145"/>
      <c r="AZ3108" s="16"/>
      <c r="BC3108" s="16"/>
      <c r="BD3108" s="20"/>
      <c r="BE3108" s="17"/>
      <c r="BF3108" s="20"/>
      <c r="BG3108" s="146"/>
      <c r="BH3108" s="146"/>
      <c r="BI3108" s="146"/>
      <c r="BJ3108" s="20"/>
      <c r="BK3108" s="20"/>
      <c r="BL3108" s="13"/>
      <c r="BP3108" s="20"/>
      <c r="BQ3108" s="13"/>
      <c r="BR3108" s="18"/>
      <c r="BS3108" s="16"/>
      <c r="BT3108" s="18"/>
      <c r="BU3108" s="18"/>
      <c r="BV3108" s="18"/>
      <c r="BW3108" s="20"/>
      <c r="BX3108" s="13"/>
      <c r="BY3108" s="18"/>
      <c r="BZ3108" s="146"/>
      <c r="CA3108" s="18"/>
      <c r="CB3108" s="18"/>
      <c r="CC3108" s="20"/>
      <c r="CD3108" s="13"/>
    </row>
    <row r="3109" spans="35:82">
      <c r="AI3109" s="19"/>
      <c r="AO3109" s="19"/>
      <c r="AY3109" s="145"/>
      <c r="AZ3109" s="16"/>
      <c r="BC3109" s="16"/>
      <c r="BD3109" s="20"/>
      <c r="BE3109" s="17"/>
      <c r="BF3109" s="20"/>
      <c r="BG3109" s="146"/>
      <c r="BH3109" s="146"/>
      <c r="BI3109" s="146"/>
      <c r="BJ3109" s="20"/>
      <c r="BK3109" s="20"/>
      <c r="BL3109" s="13"/>
      <c r="BP3109" s="20"/>
      <c r="BQ3109" s="13"/>
      <c r="BR3109" s="18"/>
      <c r="BS3109" s="16"/>
      <c r="BT3109" s="18"/>
      <c r="BU3109" s="18"/>
      <c r="BV3109" s="18"/>
      <c r="BW3109" s="20"/>
      <c r="BX3109" s="13"/>
      <c r="BY3109" s="18"/>
      <c r="BZ3109" s="146"/>
      <c r="CA3109" s="18"/>
      <c r="CB3109" s="18"/>
      <c r="CC3109" s="20"/>
      <c r="CD3109" s="13"/>
    </row>
    <row r="3110" spans="35:82">
      <c r="AI3110" s="19"/>
      <c r="AO3110" s="19"/>
      <c r="AY3110" s="145"/>
      <c r="AZ3110" s="16"/>
      <c r="BC3110" s="16"/>
      <c r="BD3110" s="20"/>
      <c r="BE3110" s="17"/>
      <c r="BF3110" s="20"/>
      <c r="BG3110" s="146"/>
      <c r="BH3110" s="146"/>
      <c r="BI3110" s="146"/>
      <c r="BJ3110" s="20"/>
      <c r="BK3110" s="20"/>
      <c r="BL3110" s="13"/>
      <c r="BP3110" s="20"/>
      <c r="BQ3110" s="13"/>
      <c r="BR3110" s="18"/>
      <c r="BS3110" s="16"/>
      <c r="BT3110" s="18"/>
      <c r="BU3110" s="18"/>
      <c r="BV3110" s="18"/>
      <c r="BW3110" s="20"/>
      <c r="BX3110" s="13"/>
      <c r="BY3110" s="18"/>
      <c r="BZ3110" s="146"/>
      <c r="CA3110" s="18"/>
      <c r="CB3110" s="18"/>
      <c r="CC3110" s="20"/>
      <c r="CD3110" s="13"/>
    </row>
    <row r="3111" spans="35:82">
      <c r="AI3111" s="19"/>
      <c r="AO3111" s="19"/>
      <c r="AY3111" s="145"/>
      <c r="AZ3111" s="16"/>
      <c r="BC3111" s="16"/>
      <c r="BD3111" s="20"/>
      <c r="BE3111" s="17"/>
      <c r="BF3111" s="20"/>
      <c r="BG3111" s="146"/>
      <c r="BH3111" s="146"/>
      <c r="BI3111" s="146"/>
      <c r="BJ3111" s="20"/>
      <c r="BK3111" s="20"/>
      <c r="BL3111" s="13"/>
      <c r="BP3111" s="20"/>
      <c r="BQ3111" s="13"/>
      <c r="BR3111" s="18"/>
      <c r="BS3111" s="16"/>
      <c r="BT3111" s="18"/>
      <c r="BU3111" s="18"/>
      <c r="BV3111" s="18"/>
      <c r="BW3111" s="20"/>
      <c r="BX3111" s="13"/>
      <c r="BY3111" s="18"/>
      <c r="BZ3111" s="146"/>
      <c r="CA3111" s="18"/>
      <c r="CB3111" s="18"/>
      <c r="CC3111" s="20"/>
      <c r="CD3111" s="13"/>
    </row>
    <row r="3112" spans="35:82">
      <c r="AI3112" s="19"/>
      <c r="AO3112" s="19"/>
      <c r="AY3112" s="145"/>
      <c r="AZ3112" s="16"/>
      <c r="BC3112" s="16"/>
      <c r="BD3112" s="20"/>
      <c r="BE3112" s="17"/>
      <c r="BF3112" s="20"/>
      <c r="BG3112" s="146"/>
      <c r="BH3112" s="146"/>
      <c r="BI3112" s="146"/>
      <c r="BJ3112" s="20"/>
      <c r="BK3112" s="20"/>
      <c r="BL3112" s="13"/>
      <c r="BP3112" s="20"/>
      <c r="BQ3112" s="13"/>
      <c r="BR3112" s="18"/>
      <c r="BS3112" s="16"/>
      <c r="BT3112" s="18"/>
      <c r="BU3112" s="18"/>
      <c r="BV3112" s="18"/>
      <c r="BW3112" s="20"/>
      <c r="BX3112" s="13"/>
      <c r="BY3112" s="18"/>
      <c r="BZ3112" s="146"/>
      <c r="CA3112" s="18"/>
      <c r="CB3112" s="18"/>
      <c r="CC3112" s="20"/>
      <c r="CD3112" s="13"/>
    </row>
    <row r="3113" spans="35:82">
      <c r="AI3113" s="19"/>
      <c r="AO3113" s="19"/>
      <c r="AY3113" s="145"/>
      <c r="AZ3113" s="16"/>
      <c r="BC3113" s="16"/>
      <c r="BD3113" s="20"/>
      <c r="BE3113" s="17"/>
      <c r="BF3113" s="20"/>
      <c r="BG3113" s="146"/>
      <c r="BH3113" s="146"/>
      <c r="BI3113" s="146"/>
      <c r="BJ3113" s="20"/>
      <c r="BK3113" s="20"/>
      <c r="BL3113" s="13"/>
      <c r="BP3113" s="20"/>
      <c r="BQ3113" s="13"/>
      <c r="BR3113" s="18"/>
      <c r="BS3113" s="16"/>
      <c r="BT3113" s="18"/>
      <c r="BU3113" s="18"/>
      <c r="BV3113" s="18"/>
      <c r="BW3113" s="20"/>
      <c r="BX3113" s="13"/>
      <c r="BY3113" s="18"/>
      <c r="BZ3113" s="146"/>
      <c r="CA3113" s="18"/>
      <c r="CB3113" s="18"/>
      <c r="CC3113" s="20"/>
      <c r="CD3113" s="13"/>
    </row>
    <row r="3114" spans="35:82">
      <c r="AI3114" s="19"/>
      <c r="AO3114" s="19"/>
      <c r="AY3114" s="145"/>
      <c r="AZ3114" s="16"/>
      <c r="BC3114" s="16"/>
      <c r="BD3114" s="20"/>
      <c r="BE3114" s="17"/>
      <c r="BF3114" s="20"/>
      <c r="BG3114" s="146"/>
      <c r="BH3114" s="146"/>
      <c r="BI3114" s="146"/>
      <c r="BJ3114" s="20"/>
      <c r="BK3114" s="20"/>
      <c r="BL3114" s="13"/>
      <c r="BP3114" s="20"/>
      <c r="BQ3114" s="13"/>
      <c r="BR3114" s="18"/>
      <c r="BS3114" s="16"/>
      <c r="BT3114" s="18"/>
      <c r="BU3114" s="18"/>
      <c r="BV3114" s="18"/>
      <c r="BW3114" s="20"/>
      <c r="BX3114" s="13"/>
      <c r="BY3114" s="18"/>
      <c r="BZ3114" s="146"/>
      <c r="CA3114" s="18"/>
      <c r="CB3114" s="18"/>
      <c r="CC3114" s="20"/>
      <c r="CD3114" s="13"/>
    </row>
    <row r="3115" spans="35:82">
      <c r="AI3115" s="19"/>
      <c r="AO3115" s="19"/>
      <c r="AY3115" s="145"/>
      <c r="AZ3115" s="16"/>
      <c r="BC3115" s="16"/>
      <c r="BD3115" s="20"/>
      <c r="BE3115" s="17"/>
      <c r="BF3115" s="20"/>
      <c r="BG3115" s="146"/>
      <c r="BH3115" s="146"/>
      <c r="BI3115" s="146"/>
      <c r="BJ3115" s="20"/>
      <c r="BK3115" s="20"/>
      <c r="BL3115" s="13"/>
      <c r="BP3115" s="20"/>
      <c r="BQ3115" s="13"/>
      <c r="BR3115" s="18"/>
      <c r="BS3115" s="16"/>
      <c r="BT3115" s="18"/>
      <c r="BU3115" s="18"/>
      <c r="BV3115" s="18"/>
      <c r="BW3115" s="20"/>
      <c r="BX3115" s="13"/>
      <c r="BY3115" s="18"/>
      <c r="BZ3115" s="146"/>
      <c r="CA3115" s="18"/>
      <c r="CB3115" s="18"/>
      <c r="CC3115" s="20"/>
      <c r="CD3115" s="13"/>
    </row>
    <row r="3116" spans="35:82">
      <c r="AI3116" s="19"/>
      <c r="AO3116" s="19"/>
      <c r="AY3116" s="145"/>
      <c r="AZ3116" s="16"/>
      <c r="BC3116" s="16"/>
      <c r="BD3116" s="20"/>
      <c r="BE3116" s="17"/>
      <c r="BF3116" s="20"/>
      <c r="BG3116" s="146"/>
      <c r="BH3116" s="146"/>
      <c r="BI3116" s="146"/>
      <c r="BJ3116" s="20"/>
      <c r="BK3116" s="20"/>
      <c r="BL3116" s="13"/>
      <c r="BP3116" s="20"/>
      <c r="BQ3116" s="13"/>
      <c r="BR3116" s="18"/>
      <c r="BS3116" s="16"/>
      <c r="BT3116" s="18"/>
      <c r="BU3116" s="18"/>
      <c r="BV3116" s="18"/>
      <c r="BW3116" s="20"/>
      <c r="BX3116" s="13"/>
      <c r="BY3116" s="18"/>
      <c r="BZ3116" s="146"/>
      <c r="CA3116" s="18"/>
      <c r="CB3116" s="18"/>
      <c r="CC3116" s="20"/>
      <c r="CD3116" s="13"/>
    </row>
    <row r="3117" spans="35:82">
      <c r="AI3117" s="19"/>
      <c r="AO3117" s="19"/>
      <c r="AY3117" s="145"/>
      <c r="AZ3117" s="16"/>
      <c r="BC3117" s="16"/>
      <c r="BD3117" s="20"/>
      <c r="BE3117" s="17"/>
      <c r="BF3117" s="20"/>
      <c r="BG3117" s="146"/>
      <c r="BH3117" s="146"/>
      <c r="BI3117" s="146"/>
      <c r="BJ3117" s="20"/>
      <c r="BK3117" s="20"/>
      <c r="BL3117" s="13"/>
      <c r="BP3117" s="20"/>
      <c r="BQ3117" s="13"/>
      <c r="BR3117" s="18"/>
      <c r="BS3117" s="16"/>
      <c r="BT3117" s="18"/>
      <c r="BU3117" s="18"/>
      <c r="BV3117" s="18"/>
      <c r="BW3117" s="20"/>
      <c r="BX3117" s="13"/>
      <c r="BY3117" s="18"/>
      <c r="BZ3117" s="146"/>
      <c r="CA3117" s="18"/>
      <c r="CB3117" s="18"/>
      <c r="CC3117" s="20"/>
      <c r="CD3117" s="13"/>
    </row>
    <row r="3118" spans="35:82">
      <c r="AI3118" s="19"/>
      <c r="AO3118" s="19"/>
      <c r="AY3118" s="145"/>
      <c r="AZ3118" s="16"/>
      <c r="BC3118" s="16"/>
      <c r="BD3118" s="20"/>
      <c r="BE3118" s="17"/>
      <c r="BF3118" s="20"/>
      <c r="BG3118" s="146"/>
      <c r="BH3118" s="146"/>
      <c r="BI3118" s="146"/>
      <c r="BJ3118" s="20"/>
      <c r="BK3118" s="20"/>
      <c r="BL3118" s="13"/>
      <c r="BP3118" s="20"/>
      <c r="BQ3118" s="13"/>
      <c r="BR3118" s="18"/>
      <c r="BS3118" s="16"/>
      <c r="BT3118" s="18"/>
      <c r="BU3118" s="18"/>
      <c r="BV3118" s="18"/>
      <c r="BW3118" s="20"/>
      <c r="BX3118" s="13"/>
      <c r="BY3118" s="18"/>
      <c r="BZ3118" s="146"/>
      <c r="CA3118" s="18"/>
      <c r="CB3118" s="18"/>
      <c r="CC3118" s="20"/>
      <c r="CD3118" s="13"/>
    </row>
    <row r="3119" spans="35:82">
      <c r="AI3119" s="19"/>
      <c r="AO3119" s="19"/>
      <c r="AY3119" s="145"/>
      <c r="AZ3119" s="16"/>
      <c r="BC3119" s="16"/>
      <c r="BD3119" s="20"/>
      <c r="BE3119" s="17"/>
      <c r="BF3119" s="20"/>
      <c r="BG3119" s="146"/>
      <c r="BH3119" s="146"/>
      <c r="BI3119" s="146"/>
      <c r="BJ3119" s="20"/>
      <c r="BK3119" s="20"/>
      <c r="BL3119" s="13"/>
      <c r="BP3119" s="20"/>
      <c r="BQ3119" s="13"/>
      <c r="BR3119" s="18"/>
      <c r="BS3119" s="16"/>
      <c r="BT3119" s="18"/>
      <c r="BU3119" s="18"/>
      <c r="BV3119" s="18"/>
      <c r="BW3119" s="20"/>
      <c r="BX3119" s="13"/>
      <c r="BY3119" s="18"/>
      <c r="BZ3119" s="146"/>
      <c r="CA3119" s="18"/>
      <c r="CB3119" s="18"/>
      <c r="CC3119" s="20"/>
      <c r="CD3119" s="13"/>
    </row>
    <row r="3120" spans="35:82">
      <c r="AI3120" s="19"/>
      <c r="AO3120" s="19"/>
      <c r="AY3120" s="145"/>
      <c r="AZ3120" s="16"/>
      <c r="BC3120" s="16"/>
      <c r="BD3120" s="20"/>
      <c r="BE3120" s="17"/>
      <c r="BF3120" s="20"/>
      <c r="BG3120" s="146"/>
      <c r="BH3120" s="146"/>
      <c r="BI3120" s="146"/>
      <c r="BJ3120" s="20"/>
      <c r="BK3120" s="20"/>
      <c r="BL3120" s="13"/>
      <c r="BP3120" s="20"/>
      <c r="BQ3120" s="13"/>
      <c r="BR3120" s="18"/>
      <c r="BS3120" s="16"/>
      <c r="BT3120" s="18"/>
      <c r="BU3120" s="18"/>
      <c r="BV3120" s="18"/>
      <c r="BW3120" s="20"/>
      <c r="BX3120" s="13"/>
      <c r="BY3120" s="18"/>
      <c r="BZ3120" s="146"/>
      <c r="CA3120" s="18"/>
      <c r="CB3120" s="18"/>
      <c r="CC3120" s="20"/>
      <c r="CD3120" s="13"/>
    </row>
    <row r="3121" spans="35:82">
      <c r="AI3121" s="19"/>
      <c r="AO3121" s="19"/>
      <c r="AY3121" s="145"/>
      <c r="AZ3121" s="16"/>
      <c r="BC3121" s="16"/>
      <c r="BD3121" s="20"/>
      <c r="BE3121" s="17"/>
      <c r="BF3121" s="20"/>
      <c r="BG3121" s="146"/>
      <c r="BH3121" s="146"/>
      <c r="BI3121" s="146"/>
      <c r="BJ3121" s="20"/>
      <c r="BK3121" s="20"/>
      <c r="BL3121" s="13"/>
      <c r="BP3121" s="20"/>
      <c r="BQ3121" s="13"/>
      <c r="BR3121" s="18"/>
      <c r="BS3121" s="16"/>
      <c r="BT3121" s="18"/>
      <c r="BU3121" s="18"/>
      <c r="BV3121" s="18"/>
      <c r="BW3121" s="20"/>
      <c r="BX3121" s="13"/>
      <c r="BY3121" s="18"/>
      <c r="BZ3121" s="146"/>
      <c r="CA3121" s="18"/>
      <c r="CB3121" s="18"/>
      <c r="CC3121" s="20"/>
      <c r="CD3121" s="13"/>
    </row>
    <row r="3122" spans="35:82">
      <c r="AI3122" s="19"/>
      <c r="AO3122" s="19"/>
      <c r="AY3122" s="145"/>
      <c r="AZ3122" s="16"/>
      <c r="BC3122" s="16"/>
      <c r="BD3122" s="20"/>
      <c r="BE3122" s="17"/>
      <c r="BF3122" s="20"/>
      <c r="BG3122" s="146"/>
      <c r="BH3122" s="146"/>
      <c r="BI3122" s="146"/>
      <c r="BJ3122" s="20"/>
      <c r="BK3122" s="20"/>
      <c r="BL3122" s="13"/>
      <c r="BP3122" s="20"/>
      <c r="BQ3122" s="13"/>
      <c r="BR3122" s="18"/>
      <c r="BS3122" s="16"/>
      <c r="BT3122" s="18"/>
      <c r="BU3122" s="18"/>
      <c r="BV3122" s="18"/>
      <c r="BW3122" s="20"/>
      <c r="BX3122" s="13"/>
      <c r="BY3122" s="18"/>
      <c r="BZ3122" s="146"/>
      <c r="CA3122" s="18"/>
      <c r="CB3122" s="18"/>
      <c r="CC3122" s="20"/>
      <c r="CD3122" s="13"/>
    </row>
    <row r="3123" spans="35:82">
      <c r="AI3123" s="19"/>
      <c r="AO3123" s="19"/>
      <c r="AY3123" s="145"/>
      <c r="AZ3123" s="16"/>
      <c r="BC3123" s="16"/>
      <c r="BD3123" s="20"/>
      <c r="BE3123" s="17"/>
      <c r="BF3123" s="20"/>
      <c r="BG3123" s="146"/>
      <c r="BH3123" s="146"/>
      <c r="BI3123" s="146"/>
      <c r="BJ3123" s="20"/>
      <c r="BK3123" s="20"/>
      <c r="BL3123" s="13"/>
      <c r="BP3123" s="20"/>
      <c r="BQ3123" s="13"/>
      <c r="BR3123" s="18"/>
      <c r="BS3123" s="16"/>
      <c r="BT3123" s="18"/>
      <c r="BU3123" s="18"/>
      <c r="BV3123" s="18"/>
      <c r="BW3123" s="20"/>
      <c r="BX3123" s="13"/>
      <c r="BY3123" s="18"/>
      <c r="BZ3123" s="146"/>
      <c r="CA3123" s="18"/>
      <c r="CB3123" s="18"/>
      <c r="CC3123" s="20"/>
      <c r="CD3123" s="13"/>
    </row>
    <row r="3124" spans="35:82">
      <c r="AI3124" s="19"/>
      <c r="AO3124" s="19"/>
      <c r="AY3124" s="145"/>
      <c r="AZ3124" s="16"/>
      <c r="BC3124" s="16"/>
      <c r="BD3124" s="20"/>
      <c r="BE3124" s="17"/>
      <c r="BF3124" s="20"/>
      <c r="BG3124" s="146"/>
      <c r="BH3124" s="146"/>
      <c r="BI3124" s="146"/>
      <c r="BJ3124" s="20"/>
      <c r="BK3124" s="20"/>
      <c r="BL3124" s="13"/>
      <c r="BP3124" s="20"/>
      <c r="BQ3124" s="13"/>
      <c r="BR3124" s="18"/>
      <c r="BS3124" s="16"/>
      <c r="BT3124" s="18"/>
      <c r="BU3124" s="18"/>
      <c r="BV3124" s="18"/>
      <c r="BW3124" s="20"/>
      <c r="BX3124" s="13"/>
      <c r="BY3124" s="18"/>
      <c r="BZ3124" s="146"/>
      <c r="CA3124" s="18"/>
      <c r="CB3124" s="18"/>
      <c r="CC3124" s="20"/>
      <c r="CD3124" s="13"/>
    </row>
    <row r="3125" spans="35:82">
      <c r="AI3125" s="19"/>
      <c r="AO3125" s="19"/>
      <c r="AY3125" s="145"/>
      <c r="AZ3125" s="16"/>
      <c r="BC3125" s="16"/>
      <c r="BD3125" s="20"/>
      <c r="BE3125" s="17"/>
      <c r="BF3125" s="20"/>
      <c r="BG3125" s="146"/>
      <c r="BH3125" s="146"/>
      <c r="BI3125" s="146"/>
      <c r="BJ3125" s="20"/>
      <c r="BK3125" s="20"/>
      <c r="BL3125" s="13"/>
      <c r="BP3125" s="20"/>
      <c r="BQ3125" s="13"/>
      <c r="BR3125" s="18"/>
      <c r="BS3125" s="16"/>
      <c r="BT3125" s="18"/>
      <c r="BU3125" s="18"/>
      <c r="BV3125" s="18"/>
      <c r="BW3125" s="20"/>
      <c r="BX3125" s="13"/>
      <c r="BY3125" s="18"/>
      <c r="BZ3125" s="146"/>
      <c r="CA3125" s="18"/>
      <c r="CB3125" s="18"/>
      <c r="CC3125" s="20"/>
      <c r="CD3125" s="13"/>
    </row>
    <row r="3126" spans="35:82">
      <c r="AI3126" s="19"/>
      <c r="AO3126" s="19"/>
      <c r="AY3126" s="145"/>
      <c r="AZ3126" s="16"/>
      <c r="BC3126" s="16"/>
      <c r="BD3126" s="20"/>
      <c r="BE3126" s="17"/>
      <c r="BF3126" s="20"/>
      <c r="BG3126" s="146"/>
      <c r="BH3126" s="146"/>
      <c r="BI3126" s="146"/>
      <c r="BJ3126" s="20"/>
      <c r="BK3126" s="20"/>
      <c r="BL3126" s="13"/>
      <c r="BP3126" s="20"/>
      <c r="BQ3126" s="13"/>
      <c r="BR3126" s="18"/>
      <c r="BS3126" s="16"/>
      <c r="BT3126" s="18"/>
      <c r="BU3126" s="18"/>
      <c r="BV3126" s="18"/>
      <c r="BW3126" s="20"/>
      <c r="BX3126" s="13"/>
      <c r="BY3126" s="18"/>
      <c r="BZ3126" s="146"/>
      <c r="CA3126" s="18"/>
      <c r="CB3126" s="18"/>
      <c r="CC3126" s="20"/>
      <c r="CD3126" s="13"/>
    </row>
    <row r="3127" spans="35:82">
      <c r="AI3127" s="19"/>
      <c r="AO3127" s="19"/>
      <c r="AY3127" s="145"/>
      <c r="AZ3127" s="16"/>
      <c r="BC3127" s="16"/>
      <c r="BD3127" s="20"/>
      <c r="BE3127" s="17"/>
      <c r="BF3127" s="20"/>
      <c r="BG3127" s="146"/>
      <c r="BH3127" s="146"/>
      <c r="BI3127" s="146"/>
      <c r="BJ3127" s="20"/>
      <c r="BK3127" s="20"/>
      <c r="BL3127" s="13"/>
      <c r="BP3127" s="20"/>
      <c r="BQ3127" s="13"/>
      <c r="BR3127" s="18"/>
      <c r="BS3127" s="16"/>
      <c r="BT3127" s="18"/>
      <c r="BU3127" s="18"/>
      <c r="BV3127" s="18"/>
      <c r="BW3127" s="20"/>
      <c r="BX3127" s="13"/>
      <c r="BY3127" s="18"/>
      <c r="BZ3127" s="146"/>
      <c r="CA3127" s="18"/>
      <c r="CB3127" s="18"/>
      <c r="CC3127" s="20"/>
      <c r="CD3127" s="13"/>
    </row>
    <row r="3128" spans="35:82">
      <c r="AI3128" s="19"/>
      <c r="AO3128" s="19"/>
      <c r="AY3128" s="145"/>
      <c r="AZ3128" s="16"/>
      <c r="BC3128" s="16"/>
      <c r="BD3128" s="20"/>
      <c r="BE3128" s="17"/>
      <c r="BF3128" s="20"/>
      <c r="BG3128" s="146"/>
      <c r="BH3128" s="146"/>
      <c r="BI3128" s="146"/>
      <c r="BJ3128" s="20"/>
      <c r="BK3128" s="20"/>
      <c r="BL3128" s="13"/>
      <c r="BP3128" s="20"/>
      <c r="BQ3128" s="13"/>
      <c r="BR3128" s="18"/>
      <c r="BS3128" s="16"/>
      <c r="BT3128" s="18"/>
      <c r="BU3128" s="18"/>
      <c r="BV3128" s="18"/>
      <c r="BW3128" s="20"/>
      <c r="BX3128" s="13"/>
      <c r="BY3128" s="18"/>
      <c r="BZ3128" s="146"/>
      <c r="CA3128" s="18"/>
      <c r="CB3128" s="18"/>
      <c r="CC3128" s="20"/>
      <c r="CD3128" s="13"/>
    </row>
    <row r="3129" spans="35:82">
      <c r="AI3129" s="19"/>
      <c r="AO3129" s="19"/>
      <c r="AY3129" s="145"/>
      <c r="AZ3129" s="16"/>
      <c r="BC3129" s="16"/>
      <c r="BD3129" s="20"/>
      <c r="BE3129" s="17"/>
      <c r="BF3129" s="20"/>
      <c r="BG3129" s="146"/>
      <c r="BH3129" s="146"/>
      <c r="BI3129" s="146"/>
      <c r="BJ3129" s="20"/>
      <c r="BK3129" s="20"/>
      <c r="BL3129" s="13"/>
      <c r="BP3129" s="20"/>
      <c r="BQ3129" s="13"/>
      <c r="BR3129" s="18"/>
      <c r="BS3129" s="16"/>
      <c r="BT3129" s="18"/>
      <c r="BU3129" s="18"/>
      <c r="BV3129" s="18"/>
      <c r="BW3129" s="20"/>
      <c r="BX3129" s="13"/>
      <c r="BY3129" s="18"/>
      <c r="BZ3129" s="146"/>
      <c r="CA3129" s="18"/>
      <c r="CB3129" s="18"/>
      <c r="CC3129" s="20"/>
      <c r="CD3129" s="13"/>
    </row>
    <row r="3130" spans="35:82">
      <c r="AI3130" s="19"/>
      <c r="AO3130" s="19"/>
      <c r="AY3130" s="145"/>
      <c r="AZ3130" s="16"/>
      <c r="BC3130" s="16"/>
      <c r="BD3130" s="20"/>
      <c r="BE3130" s="17"/>
      <c r="BF3130" s="20"/>
      <c r="BG3130" s="146"/>
      <c r="BH3130" s="146"/>
      <c r="BI3130" s="146"/>
      <c r="BJ3130" s="20"/>
      <c r="BK3130" s="20"/>
      <c r="BL3130" s="13"/>
      <c r="BP3130" s="20"/>
      <c r="BQ3130" s="13"/>
      <c r="BR3130" s="18"/>
      <c r="BS3130" s="16"/>
      <c r="BT3130" s="18"/>
      <c r="BU3130" s="18"/>
      <c r="BV3130" s="18"/>
      <c r="BW3130" s="20"/>
      <c r="BX3130" s="13"/>
      <c r="BY3130" s="18"/>
      <c r="BZ3130" s="146"/>
      <c r="CA3130" s="18"/>
      <c r="CB3130" s="18"/>
      <c r="CC3130" s="20"/>
      <c r="CD3130" s="13"/>
    </row>
    <row r="3131" spans="35:82">
      <c r="AI3131" s="19"/>
      <c r="AO3131" s="19"/>
      <c r="AY3131" s="145"/>
      <c r="AZ3131" s="16"/>
      <c r="BC3131" s="16"/>
      <c r="BD3131" s="20"/>
      <c r="BE3131" s="17"/>
      <c r="BF3131" s="20"/>
      <c r="BG3131" s="146"/>
      <c r="BH3131" s="146"/>
      <c r="BI3131" s="146"/>
      <c r="BJ3131" s="20"/>
      <c r="BK3131" s="20"/>
      <c r="BL3131" s="13"/>
      <c r="BP3131" s="20"/>
      <c r="BQ3131" s="13"/>
      <c r="BR3131" s="18"/>
      <c r="BS3131" s="16"/>
      <c r="BT3131" s="18"/>
      <c r="BU3131" s="18"/>
      <c r="BV3131" s="18"/>
      <c r="BW3131" s="20"/>
      <c r="BX3131" s="13"/>
      <c r="BY3131" s="18"/>
      <c r="BZ3131" s="146"/>
      <c r="CA3131" s="18"/>
      <c r="CB3131" s="18"/>
      <c r="CC3131" s="20"/>
      <c r="CD3131" s="13"/>
    </row>
    <row r="3132" spans="35:82">
      <c r="AI3132" s="19"/>
      <c r="AO3132" s="19"/>
      <c r="AY3132" s="145"/>
      <c r="AZ3132" s="16"/>
      <c r="BC3132" s="16"/>
      <c r="BD3132" s="20"/>
      <c r="BE3132" s="17"/>
      <c r="BF3132" s="20"/>
      <c r="BG3132" s="146"/>
      <c r="BH3132" s="146"/>
      <c r="BI3132" s="146"/>
      <c r="BJ3132" s="20"/>
      <c r="BK3132" s="20"/>
      <c r="BL3132" s="13"/>
      <c r="BP3132" s="20"/>
      <c r="BQ3132" s="13"/>
      <c r="BR3132" s="18"/>
      <c r="BS3132" s="16"/>
      <c r="BT3132" s="18"/>
      <c r="BU3132" s="18"/>
      <c r="BV3132" s="18"/>
      <c r="BW3132" s="20"/>
      <c r="BX3132" s="13"/>
      <c r="BY3132" s="18"/>
      <c r="BZ3132" s="146"/>
      <c r="CA3132" s="18"/>
      <c r="CB3132" s="18"/>
      <c r="CC3132" s="20"/>
      <c r="CD3132" s="13"/>
    </row>
    <row r="3133" spans="35:82">
      <c r="AI3133" s="19"/>
      <c r="AO3133" s="19"/>
      <c r="AY3133" s="145"/>
      <c r="AZ3133" s="16"/>
      <c r="BC3133" s="16"/>
      <c r="BD3133" s="20"/>
      <c r="BE3133" s="17"/>
      <c r="BF3133" s="20"/>
      <c r="BG3133" s="146"/>
      <c r="BH3133" s="146"/>
      <c r="BI3133" s="146"/>
      <c r="BJ3133" s="20"/>
      <c r="BK3133" s="20"/>
      <c r="BL3133" s="13"/>
      <c r="BP3133" s="20"/>
      <c r="BQ3133" s="13"/>
      <c r="BR3133" s="18"/>
      <c r="BS3133" s="16"/>
      <c r="BT3133" s="18"/>
      <c r="BU3133" s="18"/>
      <c r="BV3133" s="18"/>
      <c r="BW3133" s="20"/>
      <c r="BX3133" s="13"/>
      <c r="BY3133" s="18"/>
      <c r="BZ3133" s="146"/>
      <c r="CA3133" s="18"/>
      <c r="CB3133" s="18"/>
      <c r="CC3133" s="20"/>
      <c r="CD3133" s="13"/>
    </row>
    <row r="3134" spans="35:82">
      <c r="AI3134" s="19"/>
      <c r="AO3134" s="19"/>
      <c r="AY3134" s="145"/>
      <c r="AZ3134" s="16"/>
      <c r="BC3134" s="16"/>
      <c r="BD3134" s="20"/>
      <c r="BE3134" s="17"/>
      <c r="BF3134" s="20"/>
      <c r="BG3134" s="146"/>
      <c r="BH3134" s="146"/>
      <c r="BI3134" s="146"/>
      <c r="BJ3134" s="20"/>
      <c r="BK3134" s="20"/>
      <c r="BL3134" s="13"/>
      <c r="BP3134" s="20"/>
      <c r="BQ3134" s="13"/>
      <c r="BR3134" s="18"/>
      <c r="BS3134" s="16"/>
      <c r="BT3134" s="18"/>
      <c r="BU3134" s="18"/>
      <c r="BV3134" s="18"/>
      <c r="BW3134" s="20"/>
      <c r="BX3134" s="13"/>
      <c r="BY3134" s="18"/>
      <c r="BZ3134" s="146"/>
      <c r="CA3134" s="18"/>
      <c r="CB3134" s="18"/>
      <c r="CC3134" s="20"/>
      <c r="CD3134" s="13"/>
    </row>
    <row r="3135" spans="35:82">
      <c r="AI3135" s="19"/>
      <c r="AO3135" s="19"/>
      <c r="AY3135" s="145"/>
      <c r="AZ3135" s="16"/>
      <c r="BC3135" s="16"/>
      <c r="BD3135" s="20"/>
      <c r="BE3135" s="17"/>
      <c r="BF3135" s="20"/>
      <c r="BG3135" s="146"/>
      <c r="BH3135" s="146"/>
      <c r="BI3135" s="146"/>
      <c r="BJ3135" s="20"/>
      <c r="BK3135" s="20"/>
      <c r="BL3135" s="13"/>
      <c r="BP3135" s="20"/>
      <c r="BQ3135" s="13"/>
      <c r="BR3135" s="18"/>
      <c r="BS3135" s="16"/>
      <c r="BT3135" s="18"/>
      <c r="BU3135" s="18"/>
      <c r="BV3135" s="18"/>
      <c r="BW3135" s="20"/>
      <c r="BX3135" s="13"/>
      <c r="BY3135" s="18"/>
      <c r="BZ3135" s="146"/>
      <c r="CA3135" s="18"/>
      <c r="CB3135" s="18"/>
      <c r="CC3135" s="20"/>
      <c r="CD3135" s="13"/>
    </row>
    <row r="3136" spans="35:82">
      <c r="AI3136" s="19"/>
      <c r="AO3136" s="19"/>
      <c r="AY3136" s="145"/>
      <c r="AZ3136" s="16"/>
      <c r="BC3136" s="16"/>
      <c r="BD3136" s="20"/>
      <c r="BE3136" s="17"/>
      <c r="BF3136" s="20"/>
      <c r="BG3136" s="146"/>
      <c r="BH3136" s="146"/>
      <c r="BI3136" s="146"/>
      <c r="BJ3136" s="20"/>
      <c r="BK3136" s="20"/>
      <c r="BL3136" s="13"/>
      <c r="BP3136" s="20"/>
      <c r="BQ3136" s="13"/>
      <c r="BR3136" s="18"/>
      <c r="BS3136" s="16"/>
      <c r="BT3136" s="18"/>
      <c r="BU3136" s="18"/>
      <c r="BV3136" s="18"/>
      <c r="BW3136" s="20"/>
      <c r="BX3136" s="13"/>
      <c r="BY3136" s="18"/>
      <c r="BZ3136" s="146"/>
      <c r="CA3136" s="18"/>
      <c r="CB3136" s="18"/>
      <c r="CC3136" s="20"/>
      <c r="CD3136" s="13"/>
    </row>
    <row r="3137" spans="35:82">
      <c r="AI3137" s="19"/>
      <c r="AO3137" s="19"/>
      <c r="AY3137" s="145"/>
      <c r="AZ3137" s="16"/>
      <c r="BC3137" s="16"/>
      <c r="BD3137" s="20"/>
      <c r="BE3137" s="17"/>
      <c r="BF3137" s="20"/>
      <c r="BG3137" s="146"/>
      <c r="BH3137" s="146"/>
      <c r="BI3137" s="146"/>
      <c r="BJ3137" s="20"/>
      <c r="BK3137" s="20"/>
      <c r="BL3137" s="13"/>
      <c r="BP3137" s="20"/>
      <c r="BQ3137" s="13"/>
      <c r="BR3137" s="18"/>
      <c r="BS3137" s="16"/>
      <c r="BT3137" s="18"/>
      <c r="BU3137" s="18"/>
      <c r="BV3137" s="18"/>
      <c r="BW3137" s="20"/>
      <c r="BX3137" s="13"/>
      <c r="BY3137" s="18"/>
      <c r="BZ3137" s="146"/>
      <c r="CA3137" s="18"/>
      <c r="CB3137" s="18"/>
      <c r="CC3137" s="20"/>
      <c r="CD3137" s="13"/>
    </row>
    <row r="3138" spans="35:82">
      <c r="AI3138" s="19"/>
      <c r="AO3138" s="19"/>
      <c r="AY3138" s="145"/>
      <c r="AZ3138" s="16"/>
      <c r="BC3138" s="16"/>
      <c r="BD3138" s="20"/>
      <c r="BE3138" s="17"/>
      <c r="BF3138" s="20"/>
      <c r="BG3138" s="146"/>
      <c r="BH3138" s="146"/>
      <c r="BI3138" s="146"/>
      <c r="BJ3138" s="20"/>
      <c r="BK3138" s="20"/>
      <c r="BL3138" s="13"/>
      <c r="BP3138" s="20"/>
      <c r="BQ3138" s="13"/>
      <c r="BR3138" s="18"/>
      <c r="BS3138" s="16"/>
      <c r="BT3138" s="18"/>
      <c r="BU3138" s="18"/>
      <c r="BV3138" s="18"/>
      <c r="BW3138" s="20"/>
      <c r="BX3138" s="13"/>
      <c r="BY3138" s="18"/>
      <c r="BZ3138" s="146"/>
      <c r="CA3138" s="18"/>
      <c r="CB3138" s="18"/>
      <c r="CC3138" s="20"/>
      <c r="CD3138" s="13"/>
    </row>
    <row r="3139" spans="35:82">
      <c r="AI3139" s="19"/>
      <c r="AO3139" s="19"/>
      <c r="AY3139" s="145"/>
      <c r="AZ3139" s="16"/>
      <c r="BC3139" s="16"/>
      <c r="BD3139" s="20"/>
      <c r="BE3139" s="17"/>
      <c r="BF3139" s="20"/>
      <c r="BG3139" s="146"/>
      <c r="BH3139" s="146"/>
      <c r="BI3139" s="146"/>
      <c r="BJ3139" s="20"/>
      <c r="BK3139" s="20"/>
      <c r="BL3139" s="13"/>
      <c r="BP3139" s="20"/>
      <c r="BQ3139" s="13"/>
      <c r="BR3139" s="18"/>
      <c r="BS3139" s="16"/>
      <c r="BT3139" s="18"/>
      <c r="BU3139" s="18"/>
      <c r="BV3139" s="18"/>
      <c r="BW3139" s="20"/>
      <c r="BX3139" s="13"/>
      <c r="BY3139" s="18"/>
      <c r="BZ3139" s="146"/>
      <c r="CA3139" s="18"/>
      <c r="CB3139" s="18"/>
      <c r="CC3139" s="20"/>
      <c r="CD3139" s="13"/>
    </row>
    <row r="3140" spans="35:82">
      <c r="AI3140" s="19"/>
      <c r="AO3140" s="19"/>
      <c r="AY3140" s="145"/>
      <c r="AZ3140" s="16"/>
      <c r="BC3140" s="16"/>
      <c r="BD3140" s="20"/>
      <c r="BE3140" s="17"/>
      <c r="BF3140" s="20"/>
      <c r="BG3140" s="146"/>
      <c r="BH3140" s="146"/>
      <c r="BI3140" s="146"/>
      <c r="BJ3140" s="20"/>
      <c r="BK3140" s="20"/>
      <c r="BL3140" s="13"/>
      <c r="BP3140" s="20"/>
      <c r="BQ3140" s="13"/>
      <c r="BR3140" s="18"/>
      <c r="BS3140" s="16"/>
      <c r="BT3140" s="18"/>
      <c r="BU3140" s="18"/>
      <c r="BV3140" s="18"/>
      <c r="BW3140" s="20"/>
      <c r="BX3140" s="13"/>
      <c r="BY3140" s="18"/>
      <c r="BZ3140" s="146"/>
      <c r="CA3140" s="18"/>
      <c r="CB3140" s="18"/>
      <c r="CC3140" s="20"/>
      <c r="CD3140" s="13"/>
    </row>
    <row r="3141" spans="35:82">
      <c r="AI3141" s="19"/>
      <c r="AO3141" s="19"/>
      <c r="AY3141" s="145"/>
      <c r="AZ3141" s="16"/>
      <c r="BC3141" s="16"/>
      <c r="BD3141" s="20"/>
      <c r="BE3141" s="17"/>
      <c r="BF3141" s="20"/>
      <c r="BG3141" s="146"/>
      <c r="BH3141" s="146"/>
      <c r="BI3141" s="146"/>
      <c r="BJ3141" s="20"/>
      <c r="BK3141" s="20"/>
      <c r="BL3141" s="13"/>
      <c r="BP3141" s="20"/>
      <c r="BQ3141" s="13"/>
      <c r="BR3141" s="18"/>
      <c r="BS3141" s="16"/>
      <c r="BT3141" s="18"/>
      <c r="BU3141" s="18"/>
      <c r="BV3141" s="18"/>
      <c r="BW3141" s="20"/>
      <c r="BX3141" s="13"/>
      <c r="BY3141" s="18"/>
      <c r="BZ3141" s="146"/>
      <c r="CA3141" s="18"/>
      <c r="CB3141" s="18"/>
      <c r="CC3141" s="20"/>
      <c r="CD3141" s="13"/>
    </row>
    <row r="3142" spans="35:82">
      <c r="AI3142" s="19"/>
      <c r="AO3142" s="19"/>
      <c r="AY3142" s="145"/>
      <c r="AZ3142" s="16"/>
      <c r="BC3142" s="16"/>
      <c r="BD3142" s="20"/>
      <c r="BE3142" s="17"/>
      <c r="BF3142" s="20"/>
      <c r="BG3142" s="146"/>
      <c r="BH3142" s="146"/>
      <c r="BI3142" s="146"/>
      <c r="BJ3142" s="20"/>
      <c r="BK3142" s="20"/>
      <c r="BL3142" s="13"/>
      <c r="BP3142" s="20"/>
      <c r="BQ3142" s="13"/>
      <c r="BR3142" s="18"/>
      <c r="BS3142" s="16"/>
      <c r="BT3142" s="18"/>
      <c r="BU3142" s="18"/>
      <c r="BV3142" s="18"/>
      <c r="BW3142" s="20"/>
      <c r="BX3142" s="13"/>
      <c r="BY3142" s="18"/>
      <c r="BZ3142" s="146"/>
      <c r="CA3142" s="18"/>
      <c r="CB3142" s="18"/>
      <c r="CC3142" s="20"/>
      <c r="CD3142" s="13"/>
    </row>
    <row r="3143" spans="35:82">
      <c r="AI3143" s="19"/>
      <c r="AO3143" s="19"/>
      <c r="AY3143" s="145"/>
      <c r="AZ3143" s="16"/>
      <c r="BC3143" s="16"/>
      <c r="BD3143" s="20"/>
      <c r="BE3143" s="17"/>
      <c r="BF3143" s="20"/>
      <c r="BG3143" s="146"/>
      <c r="BH3143" s="146"/>
      <c r="BI3143" s="146"/>
      <c r="BJ3143" s="20"/>
      <c r="BK3143" s="20"/>
      <c r="BL3143" s="13"/>
      <c r="BP3143" s="20"/>
      <c r="BQ3143" s="13"/>
      <c r="BR3143" s="18"/>
      <c r="BS3143" s="16"/>
      <c r="BT3143" s="18"/>
      <c r="BU3143" s="18"/>
      <c r="BV3143" s="18"/>
      <c r="BW3143" s="20"/>
      <c r="BX3143" s="13"/>
      <c r="BY3143" s="18"/>
      <c r="BZ3143" s="146"/>
      <c r="CA3143" s="18"/>
      <c r="CB3143" s="18"/>
      <c r="CC3143" s="20"/>
      <c r="CD3143" s="13"/>
    </row>
    <row r="3144" spans="35:82">
      <c r="AI3144" s="19"/>
      <c r="AO3144" s="19"/>
      <c r="AY3144" s="145"/>
      <c r="AZ3144" s="16"/>
      <c r="BC3144" s="16"/>
      <c r="BD3144" s="20"/>
      <c r="BE3144" s="17"/>
      <c r="BF3144" s="20"/>
      <c r="BG3144" s="146"/>
      <c r="BH3144" s="146"/>
      <c r="BI3144" s="146"/>
      <c r="BJ3144" s="20"/>
      <c r="BK3144" s="20"/>
      <c r="BL3144" s="13"/>
      <c r="BP3144" s="20"/>
      <c r="BQ3144" s="13"/>
      <c r="BR3144" s="18"/>
      <c r="BS3144" s="16"/>
      <c r="BT3144" s="18"/>
      <c r="BU3144" s="18"/>
      <c r="BV3144" s="18"/>
      <c r="BW3144" s="20"/>
      <c r="BX3144" s="13"/>
      <c r="BY3144" s="18"/>
      <c r="BZ3144" s="146"/>
      <c r="CA3144" s="18"/>
      <c r="CB3144" s="18"/>
      <c r="CC3144" s="20"/>
      <c r="CD3144" s="13"/>
    </row>
    <row r="3145" spans="35:82">
      <c r="AI3145" s="19"/>
      <c r="AO3145" s="19"/>
      <c r="AY3145" s="145"/>
      <c r="AZ3145" s="16"/>
      <c r="BC3145" s="16"/>
      <c r="BD3145" s="20"/>
      <c r="BE3145" s="17"/>
      <c r="BF3145" s="20"/>
      <c r="BG3145" s="146"/>
      <c r="BH3145" s="146"/>
      <c r="BI3145" s="146"/>
      <c r="BJ3145" s="20"/>
      <c r="BK3145" s="20"/>
      <c r="BL3145" s="13"/>
      <c r="BP3145" s="20"/>
      <c r="BQ3145" s="13"/>
      <c r="BR3145" s="18"/>
      <c r="BS3145" s="16"/>
      <c r="BT3145" s="18"/>
      <c r="BU3145" s="18"/>
      <c r="BV3145" s="18"/>
      <c r="BW3145" s="20"/>
      <c r="BX3145" s="13"/>
      <c r="BY3145" s="18"/>
      <c r="BZ3145" s="146"/>
      <c r="CA3145" s="18"/>
      <c r="CB3145" s="18"/>
      <c r="CC3145" s="20"/>
      <c r="CD3145" s="13"/>
    </row>
    <row r="3146" spans="35:82">
      <c r="AI3146" s="19"/>
      <c r="AO3146" s="19"/>
      <c r="AY3146" s="145"/>
      <c r="AZ3146" s="16"/>
      <c r="BC3146" s="16"/>
      <c r="BD3146" s="20"/>
      <c r="BE3146" s="17"/>
      <c r="BF3146" s="20"/>
      <c r="BG3146" s="146"/>
      <c r="BH3146" s="146"/>
      <c r="BI3146" s="146"/>
      <c r="BJ3146" s="20"/>
      <c r="BK3146" s="20"/>
      <c r="BL3146" s="13"/>
      <c r="BP3146" s="20"/>
      <c r="BQ3146" s="13"/>
      <c r="BR3146" s="18"/>
      <c r="BS3146" s="16"/>
      <c r="BT3146" s="18"/>
      <c r="BU3146" s="18"/>
      <c r="BV3146" s="18"/>
      <c r="BW3146" s="20"/>
      <c r="BX3146" s="13"/>
      <c r="BY3146" s="18"/>
      <c r="BZ3146" s="146"/>
      <c r="CA3146" s="18"/>
      <c r="CB3146" s="18"/>
      <c r="CC3146" s="20"/>
      <c r="CD3146" s="13"/>
    </row>
    <row r="3147" spans="35:82">
      <c r="AI3147" s="19"/>
      <c r="AO3147" s="19"/>
      <c r="AY3147" s="145"/>
      <c r="AZ3147" s="16"/>
      <c r="BC3147" s="16"/>
      <c r="BD3147" s="20"/>
      <c r="BE3147" s="17"/>
      <c r="BF3147" s="20"/>
      <c r="BG3147" s="146"/>
      <c r="BH3147" s="146"/>
      <c r="BI3147" s="146"/>
      <c r="BJ3147" s="20"/>
      <c r="BK3147" s="20"/>
      <c r="BL3147" s="13"/>
      <c r="BP3147" s="20"/>
      <c r="BQ3147" s="13"/>
      <c r="BR3147" s="18"/>
      <c r="BS3147" s="16"/>
      <c r="BT3147" s="18"/>
      <c r="BU3147" s="18"/>
      <c r="BV3147" s="18"/>
      <c r="BW3147" s="20"/>
      <c r="BX3147" s="13"/>
      <c r="BY3147" s="18"/>
      <c r="BZ3147" s="146"/>
      <c r="CA3147" s="18"/>
      <c r="CB3147" s="18"/>
      <c r="CC3147" s="20"/>
      <c r="CD3147" s="13"/>
    </row>
    <row r="3148" spans="35:82">
      <c r="AI3148" s="19"/>
      <c r="AO3148" s="19"/>
      <c r="AY3148" s="145"/>
      <c r="AZ3148" s="16"/>
      <c r="BC3148" s="16"/>
      <c r="BD3148" s="20"/>
      <c r="BE3148" s="17"/>
      <c r="BF3148" s="20"/>
      <c r="BG3148" s="146"/>
      <c r="BH3148" s="146"/>
      <c r="BI3148" s="146"/>
      <c r="BJ3148" s="20"/>
      <c r="BK3148" s="20"/>
      <c r="BL3148" s="13"/>
      <c r="BP3148" s="20"/>
      <c r="BQ3148" s="13"/>
      <c r="BR3148" s="18"/>
      <c r="BS3148" s="16"/>
      <c r="BT3148" s="18"/>
      <c r="BU3148" s="18"/>
      <c r="BV3148" s="18"/>
      <c r="BW3148" s="20"/>
      <c r="BX3148" s="13"/>
      <c r="BY3148" s="18"/>
      <c r="BZ3148" s="146"/>
      <c r="CA3148" s="18"/>
      <c r="CB3148" s="18"/>
      <c r="CC3148" s="20"/>
      <c r="CD3148" s="13"/>
    </row>
    <row r="3149" spans="35:82">
      <c r="AI3149" s="19"/>
      <c r="AO3149" s="19"/>
      <c r="AY3149" s="145"/>
      <c r="AZ3149" s="16"/>
      <c r="BC3149" s="16"/>
      <c r="BD3149" s="20"/>
      <c r="BE3149" s="17"/>
      <c r="BF3149" s="20"/>
      <c r="BG3149" s="146"/>
      <c r="BH3149" s="146"/>
      <c r="BI3149" s="146"/>
      <c r="BJ3149" s="20"/>
      <c r="BK3149" s="20"/>
      <c r="BL3149" s="13"/>
      <c r="BP3149" s="20"/>
      <c r="BQ3149" s="13"/>
      <c r="BR3149" s="18"/>
      <c r="BS3149" s="16"/>
      <c r="BT3149" s="18"/>
      <c r="BU3149" s="18"/>
      <c r="BV3149" s="18"/>
      <c r="BW3149" s="20"/>
      <c r="BX3149" s="13"/>
      <c r="BY3149" s="18"/>
      <c r="BZ3149" s="146"/>
      <c r="CA3149" s="18"/>
      <c r="CB3149" s="18"/>
      <c r="CC3149" s="20"/>
      <c r="CD3149" s="13"/>
    </row>
    <row r="3150" spans="35:82">
      <c r="AI3150" s="19"/>
      <c r="AO3150" s="19"/>
      <c r="AY3150" s="145"/>
      <c r="AZ3150" s="16"/>
      <c r="BC3150" s="16"/>
      <c r="BD3150" s="20"/>
      <c r="BE3150" s="17"/>
      <c r="BF3150" s="20"/>
      <c r="BG3150" s="146"/>
      <c r="BH3150" s="146"/>
      <c r="BI3150" s="146"/>
      <c r="BJ3150" s="20"/>
      <c r="BK3150" s="20"/>
      <c r="BL3150" s="13"/>
      <c r="BP3150" s="20"/>
      <c r="BQ3150" s="13"/>
      <c r="BR3150" s="18"/>
      <c r="BS3150" s="16"/>
      <c r="BT3150" s="18"/>
      <c r="BU3150" s="18"/>
      <c r="BV3150" s="18"/>
      <c r="BW3150" s="20"/>
      <c r="BX3150" s="13"/>
      <c r="BY3150" s="18"/>
      <c r="BZ3150" s="146"/>
      <c r="CA3150" s="18"/>
      <c r="CB3150" s="18"/>
      <c r="CC3150" s="20"/>
      <c r="CD3150" s="13"/>
    </row>
    <row r="3151" spans="35:82">
      <c r="AI3151" s="19"/>
      <c r="AO3151" s="19"/>
      <c r="AY3151" s="145"/>
      <c r="AZ3151" s="16"/>
      <c r="BC3151" s="16"/>
      <c r="BD3151" s="20"/>
      <c r="BE3151" s="17"/>
      <c r="BF3151" s="20"/>
      <c r="BG3151" s="146"/>
      <c r="BH3151" s="146"/>
      <c r="BI3151" s="146"/>
      <c r="BJ3151" s="20"/>
      <c r="BK3151" s="20"/>
      <c r="BL3151" s="13"/>
      <c r="BP3151" s="20"/>
      <c r="BQ3151" s="13"/>
      <c r="BR3151" s="18"/>
      <c r="BS3151" s="16"/>
      <c r="BT3151" s="18"/>
      <c r="BU3151" s="18"/>
      <c r="BV3151" s="18"/>
      <c r="BW3151" s="20"/>
      <c r="BX3151" s="13"/>
      <c r="BY3151" s="18"/>
      <c r="BZ3151" s="146"/>
      <c r="CA3151" s="18"/>
      <c r="CB3151" s="18"/>
      <c r="CC3151" s="20"/>
      <c r="CD3151" s="13"/>
    </row>
    <row r="3152" spans="35:82">
      <c r="AI3152" s="19"/>
      <c r="AO3152" s="19"/>
      <c r="AY3152" s="145"/>
      <c r="AZ3152" s="16"/>
      <c r="BC3152" s="16"/>
      <c r="BD3152" s="20"/>
      <c r="BE3152" s="17"/>
      <c r="BF3152" s="20"/>
      <c r="BG3152" s="146"/>
      <c r="BH3152" s="146"/>
      <c r="BI3152" s="146"/>
      <c r="BJ3152" s="20"/>
      <c r="BK3152" s="20"/>
      <c r="BL3152" s="13"/>
      <c r="BP3152" s="20"/>
      <c r="BQ3152" s="13"/>
      <c r="BR3152" s="18"/>
      <c r="BS3152" s="16"/>
      <c r="BT3152" s="18"/>
      <c r="BU3152" s="18"/>
      <c r="BV3152" s="18"/>
      <c r="BW3152" s="20"/>
      <c r="BX3152" s="13"/>
      <c r="BY3152" s="18"/>
      <c r="BZ3152" s="146"/>
      <c r="CA3152" s="18"/>
      <c r="CB3152" s="18"/>
      <c r="CC3152" s="20"/>
      <c r="CD3152" s="13"/>
    </row>
    <row r="3153" spans="35:82">
      <c r="AI3153" s="19"/>
      <c r="AO3153" s="19"/>
      <c r="AY3153" s="145"/>
      <c r="AZ3153" s="16"/>
      <c r="BC3153" s="16"/>
      <c r="BD3153" s="20"/>
      <c r="BE3153" s="17"/>
      <c r="BF3153" s="20"/>
      <c r="BG3153" s="146"/>
      <c r="BH3153" s="146"/>
      <c r="BI3153" s="146"/>
      <c r="BJ3153" s="20"/>
      <c r="BK3153" s="20"/>
      <c r="BL3153" s="13"/>
      <c r="BP3153" s="20"/>
      <c r="BQ3153" s="13"/>
      <c r="BR3153" s="18"/>
      <c r="BS3153" s="16"/>
      <c r="BT3153" s="18"/>
      <c r="BU3153" s="18"/>
      <c r="BV3153" s="18"/>
      <c r="BW3153" s="20"/>
      <c r="BX3153" s="13"/>
      <c r="BY3153" s="18"/>
      <c r="BZ3153" s="146"/>
      <c r="CA3153" s="18"/>
      <c r="CB3153" s="18"/>
      <c r="CC3153" s="20"/>
      <c r="CD3153" s="13"/>
    </row>
    <row r="3154" spans="35:82">
      <c r="AI3154" s="19"/>
      <c r="AO3154" s="19"/>
      <c r="AY3154" s="145"/>
      <c r="AZ3154" s="16"/>
      <c r="BC3154" s="16"/>
      <c r="BD3154" s="20"/>
      <c r="BE3154" s="17"/>
      <c r="BF3154" s="20"/>
      <c r="BG3154" s="146"/>
      <c r="BH3154" s="146"/>
      <c r="BI3154" s="146"/>
      <c r="BJ3154" s="20"/>
      <c r="BK3154" s="20"/>
      <c r="BL3154" s="13"/>
      <c r="BP3154" s="20"/>
      <c r="BQ3154" s="13"/>
      <c r="BR3154" s="18"/>
      <c r="BS3154" s="16"/>
      <c r="BT3154" s="18"/>
      <c r="BU3154" s="18"/>
      <c r="BV3154" s="18"/>
      <c r="BW3154" s="20"/>
      <c r="BX3154" s="13"/>
      <c r="BY3154" s="18"/>
      <c r="BZ3154" s="146"/>
      <c r="CA3154" s="18"/>
      <c r="CB3154" s="18"/>
      <c r="CC3154" s="20"/>
      <c r="CD3154" s="13"/>
    </row>
    <row r="3155" spans="35:82">
      <c r="AI3155" s="19"/>
      <c r="AO3155" s="19"/>
      <c r="AY3155" s="145"/>
      <c r="AZ3155" s="16"/>
      <c r="BC3155" s="16"/>
      <c r="BD3155" s="20"/>
      <c r="BE3155" s="17"/>
      <c r="BF3155" s="20"/>
      <c r="BG3155" s="146"/>
      <c r="BH3155" s="146"/>
      <c r="BI3155" s="146"/>
      <c r="BJ3155" s="20"/>
      <c r="BK3155" s="20"/>
      <c r="BL3155" s="13"/>
      <c r="BP3155" s="20"/>
      <c r="BQ3155" s="13"/>
      <c r="BR3155" s="18"/>
      <c r="BS3155" s="16"/>
      <c r="BT3155" s="18"/>
      <c r="BU3155" s="18"/>
      <c r="BV3155" s="18"/>
      <c r="BW3155" s="20"/>
      <c r="BX3155" s="13"/>
      <c r="BY3155" s="18"/>
      <c r="BZ3155" s="146"/>
      <c r="CA3155" s="18"/>
      <c r="CB3155" s="18"/>
      <c r="CC3155" s="20"/>
      <c r="CD3155" s="13"/>
    </row>
    <row r="3156" spans="35:82">
      <c r="AI3156" s="19"/>
      <c r="AO3156" s="19"/>
      <c r="AY3156" s="145"/>
      <c r="AZ3156" s="16"/>
      <c r="BC3156" s="16"/>
      <c r="BD3156" s="20"/>
      <c r="BE3156" s="17"/>
      <c r="BF3156" s="20"/>
      <c r="BG3156" s="146"/>
      <c r="BH3156" s="146"/>
      <c r="BI3156" s="146"/>
      <c r="BJ3156" s="20"/>
      <c r="BK3156" s="20"/>
      <c r="BL3156" s="13"/>
      <c r="BP3156" s="20"/>
      <c r="BQ3156" s="13"/>
      <c r="BR3156" s="18"/>
      <c r="BS3156" s="16"/>
      <c r="BT3156" s="18"/>
      <c r="BU3156" s="18"/>
      <c r="BV3156" s="18"/>
      <c r="BW3156" s="20"/>
      <c r="BX3156" s="13"/>
      <c r="BY3156" s="18"/>
      <c r="BZ3156" s="146"/>
      <c r="CA3156" s="18"/>
      <c r="CB3156" s="18"/>
      <c r="CC3156" s="20"/>
      <c r="CD3156" s="13"/>
    </row>
  </sheetData>
  <mergeCells count="104">
    <mergeCell ref="B61:J61"/>
    <mergeCell ref="K61:N61"/>
    <mergeCell ref="O61:Q61"/>
    <mergeCell ref="B62:J67"/>
    <mergeCell ref="O62:Q62"/>
    <mergeCell ref="AA8:CD8"/>
    <mergeCell ref="AA9:CD9"/>
    <mergeCell ref="G21:N21"/>
    <mergeCell ref="BF18:BF19"/>
    <mergeCell ref="BH18:BH19"/>
    <mergeCell ref="BI18:BI19"/>
    <mergeCell ref="B8:J9"/>
    <mergeCell ref="K8:N9"/>
    <mergeCell ref="AF13:AG13"/>
    <mergeCell ref="B10:D10"/>
    <mergeCell ref="AB11:AC11"/>
    <mergeCell ref="AF11:AG11"/>
    <mergeCell ref="AB12:AC12"/>
    <mergeCell ref="AF12:AG12"/>
    <mergeCell ref="C21:D21"/>
    <mergeCell ref="E21:F21"/>
    <mergeCell ref="E22:E23"/>
    <mergeCell ref="F22:F23"/>
    <mergeCell ref="AF14:AG14"/>
    <mergeCell ref="AO18:AO19"/>
    <mergeCell ref="BY16:CD17"/>
    <mergeCell ref="BY18:BY19"/>
    <mergeCell ref="CC18:CC19"/>
    <mergeCell ref="B30:D30"/>
    <mergeCell ref="G26:G27"/>
    <mergeCell ref="E26:E27"/>
    <mergeCell ref="BJ18:BJ19"/>
    <mergeCell ref="AA16:AY17"/>
    <mergeCell ref="AA18:AA19"/>
    <mergeCell ref="AB18:AB19"/>
    <mergeCell ref="AR18:AR19"/>
    <mergeCell ref="BD18:BD19"/>
    <mergeCell ref="AZ16:BL17"/>
    <mergeCell ref="BK18:BK19"/>
    <mergeCell ref="BL18:BL19"/>
    <mergeCell ref="AZ18:AZ19"/>
    <mergeCell ref="BA18:BA19"/>
    <mergeCell ref="BB18:BB19"/>
    <mergeCell ref="BC18:BC19"/>
    <mergeCell ref="BG18:BG19"/>
    <mergeCell ref="CD18:CD19"/>
    <mergeCell ref="BZ18:CA18"/>
    <mergeCell ref="BR16:BX17"/>
    <mergeCell ref="BW18:BW19"/>
    <mergeCell ref="BX18:BX19"/>
    <mergeCell ref="BQ18:BQ19"/>
    <mergeCell ref="DF13:DG13"/>
    <mergeCell ref="DF14:DG14"/>
    <mergeCell ref="DA16:DY17"/>
    <mergeCell ref="DZ16:EL17"/>
    <mergeCell ref="EH18:EH19"/>
    <mergeCell ref="EI18:EI19"/>
    <mergeCell ref="EJ18:EJ19"/>
    <mergeCell ref="BM18:BM19"/>
    <mergeCell ref="BN18:BN19"/>
    <mergeCell ref="BO18:BO19"/>
    <mergeCell ref="BP18:BP19"/>
    <mergeCell ref="BR18:BR19"/>
    <mergeCell ref="BS18:BS19"/>
    <mergeCell ref="BT18:BT19"/>
    <mergeCell ref="BU18:BU19"/>
    <mergeCell ref="BV18:BV19"/>
    <mergeCell ref="DA8:FD8"/>
    <mergeCell ref="DA9:FD9"/>
    <mergeCell ref="DB11:DC11"/>
    <mergeCell ref="DF11:DG11"/>
    <mergeCell ref="DB12:DC12"/>
    <mergeCell ref="DF12:DG12"/>
    <mergeCell ref="EK18:EK19"/>
    <mergeCell ref="EL18:EL19"/>
    <mergeCell ref="EM18:EM19"/>
    <mergeCell ref="EN18:EN19"/>
    <mergeCell ref="EO18:EO19"/>
    <mergeCell ref="ER16:EX17"/>
    <mergeCell ref="EY16:FD17"/>
    <mergeCell ref="DA18:DA19"/>
    <mergeCell ref="DB18:DB19"/>
    <mergeCell ref="DO18:DO19"/>
    <mergeCell ref="DR18:DR19"/>
    <mergeCell ref="DZ18:DZ19"/>
    <mergeCell ref="EA18:EA19"/>
    <mergeCell ref="EB18:EB19"/>
    <mergeCell ref="EC18:EC19"/>
    <mergeCell ref="ED18:ED19"/>
    <mergeCell ref="EF18:EF19"/>
    <mergeCell ref="EG18:EG19"/>
    <mergeCell ref="EZ18:FA18"/>
    <mergeCell ref="FC18:FC19"/>
    <mergeCell ref="FD18:FD19"/>
    <mergeCell ref="EU18:EU19"/>
    <mergeCell ref="EV18:EV19"/>
    <mergeCell ref="EW18:EW19"/>
    <mergeCell ref="EX18:EX19"/>
    <mergeCell ref="EY18:EY19"/>
    <mergeCell ref="EP18:EP19"/>
    <mergeCell ref="EQ18:EQ19"/>
    <mergeCell ref="ER18:ER19"/>
    <mergeCell ref="ES18:ES19"/>
    <mergeCell ref="ET18:ET19"/>
  </mergeCells>
  <conditionalFormatting sqref="N43 BL20:BL3156 BQ20:BQ3156 BX20:BX3156 CD20:CD3156 N48:N59">
    <cfRule type="containsText" dxfId="9" priority="86" operator="containsText" text="Check">
      <formula>NOT(ISERROR(SEARCH("Check",N20)))</formula>
    </cfRule>
    <cfRule type="containsText" dxfId="8" priority="87" operator="containsText" text="OK">
      <formula>NOT(ISERROR(SEARCH("OK",N20)))</formula>
    </cfRule>
  </conditionalFormatting>
  <conditionalFormatting sqref="N39">
    <cfRule type="containsText" dxfId="7" priority="41" operator="containsText" text="Check">
      <formula>NOT(ISERROR(SEARCH("Check",N39)))</formula>
    </cfRule>
    <cfRule type="containsText" dxfId="6" priority="42" operator="containsText" text="OK">
      <formula>NOT(ISERROR(SEARCH("OK",N39)))</formula>
    </cfRule>
  </conditionalFormatting>
  <conditionalFormatting sqref="BX3157:BX1000003">
    <cfRule type="containsText" dxfId="5" priority="34" operator="containsText" text="Check">
      <formula>NOT(ISERROR(SEARCH("Check",BX3157)))</formula>
    </cfRule>
    <cfRule type="cellIs" dxfId="4" priority="35" operator="equal">
      <formula>"OK"</formula>
    </cfRule>
  </conditionalFormatting>
  <conditionalFormatting sqref="CD3157:CD1000003">
    <cfRule type="containsText" dxfId="3" priority="25" operator="containsText" text="Check">
      <formula>NOT(ISERROR(SEARCH("Check",CD3157)))</formula>
    </cfRule>
    <cfRule type="cellIs" dxfId="2" priority="26" operator="equal">
      <formula>"OK"</formula>
    </cfRule>
  </conditionalFormatting>
  <conditionalFormatting sqref="BK1:BK1048576">
    <cfRule type="top10" dxfId="1" priority="6" rank="1"/>
  </conditionalFormatting>
  <conditionalFormatting sqref="BP1:BP1048576">
    <cfRule type="top10" dxfId="0" priority="5" rank="1"/>
  </conditionalFormatting>
  <dataValidations disablePrompts="1" count="3">
    <dataValidation type="list" allowBlank="1" showInputMessage="1" showErrorMessage="1" sqref="F18:F19" xr:uid="{00000000-0002-0000-0200-000000000000}">
      <formula1>"1,2,3"</formula1>
    </dataValidation>
    <dataValidation allowBlank="1" showInputMessage="1" showErrorMessage="1" prompt="Tài liệu: Ví dụ tính toán kết cấu thép theo TCVN 5575:2024" sqref="M24" xr:uid="{00000000-0002-0000-0200-000001000000}"/>
    <dataValidation type="list" allowBlank="1" showInputMessage="1" showErrorMessage="1" sqref="K61:N61" xr:uid="{00000000-0002-0000-0200-000002000000}">
      <formula1>$O$63:$O$67</formula1>
    </dataValidation>
  </dataValidations>
  <printOptions horizontalCentered="1"/>
  <pageMargins left="0.5" right="0.5" top="0.5" bottom="0.5" header="0.31496062992125984" footer="0.31496062992125984"/>
  <pageSetup scale="35" fitToHeight="0" orientation="portrait" r:id="rId1"/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3000000}">
          <x14:formula1>
            <xm:f>Data!$A$3:$A$99</xm:f>
          </x14:formula1>
          <xm:sqref>C21:D21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2026-09-15T15:24:13Z</cp:lastPrinted>
  <dcterms:created xsi:type="dcterms:W3CDTF">2023-12-24T09:13:35Z</dcterms:created>
  <dcterms:modified xsi:type="dcterms:W3CDTF">2026-09-15T16:33:39Z</dcterms:modified>
</cp:coreProperties>
</file>