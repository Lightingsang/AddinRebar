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Update Send Duy\edit\"/>
    </mc:Choice>
  </mc:AlternateContent>
  <bookViews>
    <workbookView xWindow="-28920" yWindow="-120" windowWidth="29040" windowHeight="15720"/>
  </bookViews>
  <sheets>
    <sheet name="Cal" sheetId="1" r:id="rId1"/>
  </sheets>
  <functionGroups builtInGroupCount="18"/>
  <externalReferences>
    <externalReference r:id="rId2"/>
    <externalReference r:id="rId3"/>
    <externalReference r:id="rId4"/>
  </externalReferences>
  <definedNames>
    <definedName name="_xlnm._FilterDatabase" localSheetId="0" hidden="1">Cal!$H$12:$J$13</definedName>
    <definedName name="B">'[1]1'!$G$30</definedName>
    <definedName name="bfb">'[2]2 (2)'!$H$11</definedName>
    <definedName name="bft">'[2]2 (2)'!$F$11</definedName>
    <definedName name="BL_CAST">[3]BT!$B$35:$F$42</definedName>
    <definedName name="BL_CHEM">[3]BT!$B$49:$H$54</definedName>
    <definedName name="BL_EX">[3]BT!$B$61:$H$63</definedName>
    <definedName name="BT_1">[2]BT!$I$43:$K$50</definedName>
    <definedName name="BT_2">[2]BT!$I$51:$K$58</definedName>
    <definedName name="CoT">'[2]2 (2)'!$B$20</definedName>
    <definedName name="Decking">#REF!</definedName>
    <definedName name="Ec">'[2]2'!$J$26</definedName>
    <definedName name="Es">'[2]2'!$J$23</definedName>
    <definedName name="fc">'[2]2'!$J$25</definedName>
    <definedName name="Fy">'[2]2'!$J$22</definedName>
    <definedName name="Fyyy">'[2]2 (2)'!$F$15</definedName>
    <definedName name="goc">'[1]1'!$J$37</definedName>
    <definedName name="h">'[1]1'!$L$36</definedName>
    <definedName name="h_1">'[1]1'!$L$34</definedName>
    <definedName name="h_2">'[1]1'!$L$35</definedName>
    <definedName name="i">'[1]1'!$K$36</definedName>
    <definedName name="i_1">'[1]1'!$K$34</definedName>
    <definedName name="i_2">'[1]1'!$K$35</definedName>
    <definedName name="LANG">'[2]DESIGN SHEET OF BMB'!$O$4</definedName>
    <definedName name="Lm">'[1]1'!$G$40</definedName>
    <definedName name="nn">'[1]DESIGN SHEET OF BMB'!$Q$4</definedName>
    <definedName name="_xlnm.Print_Area" localSheetId="0">Cal!$A$4:$N$65</definedName>
    <definedName name="QC_XAGO">#REF!</definedName>
    <definedName name="Sym">[1]Autoload!$AN$7</definedName>
    <definedName name="tfb">'[2]2 (2)'!$I$11</definedName>
    <definedName name="tft">'[2]2 (2)'!$G$11</definedName>
    <definedName name="tw">'[2]2 (2)'!$E$11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8" i="1" l="1"/>
  <c r="I38" i="1"/>
  <c r="I35" i="1" l="1"/>
  <c r="I36" i="1" l="1"/>
  <c r="W13" i="1" l="1"/>
  <c r="W12" i="1"/>
  <c r="W11" i="1"/>
  <c r="K34" i="1"/>
  <c r="I34" i="1"/>
  <c r="I23" i="1"/>
  <c r="I19" i="1"/>
  <c r="O50" i="1" l="1"/>
  <c r="I24" i="1"/>
  <c r="I25" i="1" s="1"/>
  <c r="I13" i="1"/>
  <c r="U12" i="1"/>
  <c r="R13" i="1"/>
  <c r="Q11" i="1"/>
  <c r="W50" i="1" a="1"/>
  <c r="S50" i="1" a="1"/>
  <c r="Q50" i="1" a="1"/>
  <c r="R50" i="1" a="1"/>
  <c r="U50" i="1" a="1"/>
  <c r="V50" i="1" a="1"/>
  <c r="T50" i="1" a="1"/>
  <c r="P50" i="1" a="1"/>
  <c r="V50" i="1" l="1"/>
  <c r="T50" i="1"/>
  <c r="D56" i="1" s="1"/>
  <c r="Q50" i="1"/>
  <c r="R50" i="1"/>
  <c r="P50" i="1"/>
  <c r="D52" i="1" s="1"/>
  <c r="S50" i="1"/>
  <c r="W50" i="1"/>
  <c r="U50" i="1"/>
  <c r="U11" i="1"/>
  <c r="T11" i="1"/>
  <c r="S11" i="1"/>
  <c r="R11" i="1"/>
  <c r="Q13" i="1"/>
  <c r="T12" i="1"/>
  <c r="S12" i="1"/>
  <c r="R12" i="1"/>
  <c r="U13" i="1"/>
  <c r="T13" i="1"/>
  <c r="Q12" i="1"/>
  <c r="I16" i="1" s="1"/>
  <c r="I37" i="1" s="1"/>
  <c r="J55" i="1" s="1"/>
  <c r="S13" i="1"/>
  <c r="K63" i="1" l="1"/>
  <c r="I82" i="1" s="1"/>
  <c r="K55" i="1"/>
  <c r="I74" i="1" s="1"/>
  <c r="J52" i="1"/>
  <c r="H71" i="1" s="1"/>
  <c r="K58" i="1"/>
  <c r="I77" i="1" s="1"/>
  <c r="K57" i="1"/>
  <c r="I76" i="1" s="1"/>
  <c r="F52" i="1"/>
  <c r="F71" i="1" s="1"/>
  <c r="J63" i="1"/>
  <c r="H82" i="1" s="1"/>
  <c r="H74" i="1"/>
  <c r="E52" i="1"/>
  <c r="E71" i="1" s="1"/>
  <c r="K62" i="1"/>
  <c r="I81" i="1" s="1"/>
  <c r="K54" i="1"/>
  <c r="I73" i="1" s="1"/>
  <c r="J56" i="1"/>
  <c r="H75" i="1" s="1"/>
  <c r="J62" i="1"/>
  <c r="H81" i="1" s="1"/>
  <c r="J54" i="1"/>
  <c r="H73" i="1" s="1"/>
  <c r="K61" i="1"/>
  <c r="I80" i="1" s="1"/>
  <c r="K53" i="1"/>
  <c r="I72" i="1" s="1"/>
  <c r="K59" i="1"/>
  <c r="I78" i="1" s="1"/>
  <c r="J61" i="1"/>
  <c r="H80" i="1" s="1"/>
  <c r="J53" i="1"/>
  <c r="H72" i="1" s="1"/>
  <c r="K60" i="1"/>
  <c r="I79" i="1" s="1"/>
  <c r="K52" i="1"/>
  <c r="I71" i="1" s="1"/>
  <c r="J58" i="1"/>
  <c r="H77" i="1" s="1"/>
  <c r="J57" i="1"/>
  <c r="H76" i="1" s="1"/>
  <c r="J60" i="1"/>
  <c r="H79" i="1" s="1"/>
  <c r="K56" i="1"/>
  <c r="I75" i="1" s="1"/>
  <c r="J59" i="1"/>
  <c r="H78" i="1" s="1"/>
  <c r="D53" i="1"/>
  <c r="E53" i="1" s="1"/>
  <c r="E72" i="1" s="1"/>
  <c r="K16" i="1"/>
  <c r="F53" i="1" l="1"/>
  <c r="F72" i="1" s="1"/>
  <c r="D54" i="1"/>
  <c r="F54" i="1" l="1"/>
  <c r="F73" i="1" s="1"/>
  <c r="E54" i="1"/>
  <c r="E73" i="1" s="1"/>
  <c r="D55" i="1"/>
  <c r="E55" i="1" l="1"/>
  <c r="E74" i="1" s="1"/>
  <c r="F55" i="1"/>
  <c r="F74" i="1" s="1"/>
  <c r="F56" i="1" l="1"/>
  <c r="F75" i="1" s="1"/>
  <c r="E56" i="1"/>
  <c r="E75" i="1" s="1"/>
  <c r="D57" i="1"/>
  <c r="F57" i="1" l="1"/>
  <c r="F76" i="1" s="1"/>
  <c r="E57" i="1"/>
  <c r="E76" i="1" s="1"/>
  <c r="D58" i="1"/>
  <c r="D59" i="1" l="1"/>
  <c r="F59" i="1" s="1"/>
  <c r="F78" i="1" s="1"/>
  <c r="F58" i="1"/>
  <c r="F77" i="1" s="1"/>
  <c r="E58" i="1"/>
  <c r="E77" i="1" s="1"/>
  <c r="E59" i="1" l="1"/>
  <c r="E78" i="1" s="1"/>
</calcChain>
</file>

<file path=xl/comments1.xml><?xml version="1.0" encoding="utf-8"?>
<comments xmlns="http://schemas.openxmlformats.org/spreadsheetml/2006/main">
  <authors>
    <author>Alex Tomanovich</author>
    <author>Huynh Vu Minh Toan</author>
    <author>toan.hvm</author>
    <author>Bob Dalpiaz</author>
    <author>4892</author>
  </authors>
  <commentList>
    <comment ref="I14" authorId="0" shapeId="0">
      <text>
        <r>
          <rPr>
            <b/>
            <sz val="8"/>
            <color indexed="81"/>
            <rFont val="Tahoma"/>
            <family val="2"/>
          </rPr>
          <t xml:space="preserve">                                                                          TABLE 1-1</t>
        </r>
        <r>
          <rPr>
            <b/>
            <u/>
            <sz val="8"/>
            <color indexed="81"/>
            <rFont val="Tahoma"/>
            <family val="2"/>
          </rPr>
          <t xml:space="preserve">
Occupancy Category of Buildings and Other Structures for Flood, Wind, Snow, Earthquake, and Ice Loads</t>
        </r>
        <r>
          <rPr>
            <sz val="8"/>
            <color indexed="81"/>
            <rFont val="Tahoma"/>
            <family val="2"/>
          </rPr>
          <t xml:space="preserve">                                                                                                      
</t>
        </r>
        <r>
          <rPr>
            <b/>
            <u/>
            <sz val="8"/>
            <color indexed="81"/>
            <rFont val="Tahoma"/>
            <family val="2"/>
          </rPr>
          <t xml:space="preserve">Nature of Occupancy                                                                                                                    Occupancy Category </t>
        </r>
        <r>
          <rPr>
            <sz val="8"/>
            <color indexed="81"/>
            <rFont val="Tahoma"/>
            <family val="2"/>
          </rPr>
          <t xml:space="preserve">
Buildings and structures that represent a low hazard to human life in the event of failure including,                  I
  but not limited to:
     - Agriculture facilities                                                                                                             
     - Certain temporary facilities
</t>
        </r>
        <r>
          <rPr>
            <u/>
            <sz val="8"/>
            <color indexed="81"/>
            <rFont val="Tahoma"/>
            <family val="2"/>
          </rPr>
          <t xml:space="preserve">     - Minor storage facilities                                                                                                                                              </t>
        </r>
        <r>
          <rPr>
            <sz val="8"/>
            <color indexed="81"/>
            <rFont val="Tahoma"/>
            <family val="2"/>
          </rPr>
          <t xml:space="preserve">       
</t>
        </r>
        <r>
          <rPr>
            <u/>
            <sz val="8"/>
            <color indexed="81"/>
            <rFont val="Tahoma"/>
            <family val="2"/>
          </rPr>
          <t xml:space="preserve">Buildings and other structures except those listed in Categories I, III and IV                                                      II        </t>
        </r>
        <r>
          <rPr>
            <sz val="8"/>
            <color indexed="81"/>
            <rFont val="Tahoma"/>
            <family val="2"/>
          </rPr>
          <t xml:space="preserve">
Buildings and other structures that represent a substantial hazard to human life in the event of                       III      
  failure including, but not limited to:
     - Buildings and other structures where more than 300 people congregate in one area
     - Buildings and other structures with day-care facilities with capacity greater than 150
     - Elementary or secondary school facilities with capacity greater than 250
     - Colleges &amp; adult education facilities with a capacity greater than 500
     - Health care facilities with a capacity greater than 50 resident patients but not having surgery
         or emergency treatment facilities
     - Jails and detention facilities
Buildings and other structures, not includes in Occupancy Category IV, with potential to cause 
  substantial economic impact and/or mass disruption of day-to-day civilian life in event of failure, 
  including, but not limited to:
     - Power generating stations, water treatment facilities, sewage treatment facilities, and
         telecommunication centers
     - Buildings and structures not included in Category IV containing sufficient quantities of toxic,
</t>
        </r>
        <r>
          <rPr>
            <u/>
            <sz val="8"/>
            <color indexed="81"/>
            <rFont val="Tahoma"/>
            <family val="2"/>
          </rPr>
          <t xml:space="preserve">         explosive, or other hazardous materials dangerous to the public if released                                                        </t>
        </r>
        <r>
          <rPr>
            <sz val="8"/>
            <color indexed="81"/>
            <rFont val="Tahoma"/>
            <family val="2"/>
          </rPr>
          <t xml:space="preserve">
Buildings and other structures designated as essential facilities including, but not limited to:                              IV
     - Hospitals and health care facilities having surgery or emergency treatment facilities
     - Fire, rescue and police stations and emergency vehicle garages
     - Designated earthquake, hurricane or other emergency shelters
     - Designated emergency preparedness, communication, and operation centers and other
         facilities required for emergency response 
     - Power-generating stations and other public utility facilities required in an emergency
     - Ancillary structures required for operation of Category IV structures during an emergency
     - Aviation control towers, air traffic control centers and emergency aircraft hangars
     - Water storage facilities and pump structures required to maintain water pressure for fire suppression
     - Buildings and other structures having critical national defense functions
     - Buildings and structures containing extremely hazardous materials where quantity of material 
         exceeds a threshold quantity established by authority having jurisdiction </t>
        </r>
      </text>
    </comment>
    <comment ref="I15" authorId="1" shapeId="0">
      <text>
        <r>
          <rPr>
            <b/>
            <sz val="9"/>
            <color indexed="81"/>
            <rFont val="Tahoma"/>
            <family val="2"/>
          </rPr>
          <t>Huynh Vu Minh Toan:</t>
        </r>
        <r>
          <rPr>
            <sz val="9"/>
            <color indexed="81"/>
            <rFont val="Tahoma"/>
            <family val="2"/>
          </rPr>
          <t xml:space="preserve">
Risk Category I - 300 years
Risk Category II - 700 years
Risk Category III - 1700 years
Risk Category IV - 3000 years
</t>
        </r>
      </text>
    </comment>
    <comment ref="I17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Surface Roughness Categories for the purpose of assigning Exposure Category are defined as follows:
Surface Roughness "B":
Urban and suburban areas, wooded areas or other terrain with numerous closely spaced obstructions having the size of single family dwellings or larger.
Surface Roughness "C":
Open terrain with scattered obstructions having heights generally &lt; 30 ft.  This category includes flat open country, grass lands, and all water surfaces in hurricane prone regions.
Surface Roughness "D":
Flat, unobstructed areas and water surfaces outside hurricane prone regions.  This category includes smooth mud flats, salt flats, and unbroken ice.
Exposure Categories are defined as follows:
Exposure "B":
Exposure B shall apply where the ground surface roughness condition, as defined by Surface Roughness B, prevails in the upwind direction for a distance of at least 2600 ft. or 20 times the building height, whichever is greater.
   Exception: For buildings whose mean roof height &lt;= 30 ft., the upwind 
   distance may be reduced to 1500 ft.
Exposure "C":
Exposure C shall apply for all cases where exposures B and D do not apply.
Exposure "D":
Exposure D shall apply where the ground surface roughness, as defined by Surface Roughness D, prevails in the upwind direction for a distance &gt;= 5,000 ft. or 20 times the building height, whichever is greater.  Exposure D shall extend into downwind areas of Surface Roughness B or C for a distance of 600 ft. or 20 times the height of the building, whichever is greater.</t>
        </r>
      </text>
    </comment>
    <comment ref="I24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The building Mean Roof Height, h, is determined as follows:
  For buildings with roof angle &gt; 10 degrees:  h = (hr+he)/2
  For buildings with roof angle &lt;= 10 degrees:  h = he</t>
        </r>
      </text>
    </comment>
    <comment ref="I26" authorId="3" shapeId="0">
      <text>
        <r>
          <rPr>
            <sz val="8"/>
            <color indexed="81"/>
            <rFont val="Tahoma"/>
            <family val="2"/>
          </rPr>
          <t>The</t>
        </r>
        <r>
          <rPr>
            <b/>
            <sz val="8"/>
            <color indexed="81"/>
            <rFont val="Tahoma"/>
            <family val="2"/>
          </rPr>
          <t xml:space="preserve"> Topographic Factor, Kzt</t>
        </r>
        <r>
          <rPr>
            <sz val="8"/>
            <color indexed="81"/>
            <rFont val="Tahoma"/>
            <family val="2"/>
          </rPr>
          <t>, accounts for effect of wind speed-up over isolated hills and escarpments (</t>
        </r>
        <r>
          <rPr>
            <b/>
            <sz val="8"/>
            <color indexed="81"/>
            <rFont val="Tahoma"/>
            <family val="2"/>
          </rPr>
          <t>Sect. 6.5.7</t>
        </r>
        <r>
          <rPr>
            <sz val="8"/>
            <color indexed="81"/>
            <rFont val="Tahoma"/>
            <family val="2"/>
          </rPr>
          <t xml:space="preserve"> and </t>
        </r>
        <r>
          <rPr>
            <b/>
            <sz val="8"/>
            <color indexed="81"/>
            <rFont val="Tahoma"/>
            <family val="2"/>
          </rPr>
          <t>Fig. 6-4</t>
        </r>
        <r>
          <rPr>
            <sz val="8"/>
            <color indexed="81"/>
            <rFont val="Tahoma"/>
            <family val="2"/>
          </rPr>
          <t xml:space="preserve">).
</t>
        </r>
        <r>
          <rPr>
            <b/>
            <sz val="8"/>
            <color indexed="81"/>
            <rFont val="Tahoma"/>
            <family val="2"/>
          </rPr>
          <t>Kzt = (1+K1*K2*K3)^2</t>
        </r>
        <r>
          <rPr>
            <sz val="8"/>
            <color indexed="81"/>
            <rFont val="Tahoma"/>
            <family val="2"/>
          </rPr>
          <t xml:space="preserve">   (Eq. 6-3), where:
H   = height of hill or escarpment relative to the upwind terrain, in feet.
Lh  = Distance upwind of crest to where the difference in ground elevation is    
         half the height of hill or escarpment, in feet.
K1 = factor to account for shape of topographic feature and maximum   
        speed-up effect.
K2 = factor to account for reduction in speed-up with distance upwind or     
        downwind of crest.
K3 = factor to account for reduction in speed-up with height above local terrain.
x = distance (upwind or downwind) from the crest to the building site, in feet.
z = height above local ground level, in feet.
</t>
        </r>
        <r>
          <rPr>
            <b/>
            <sz val="8"/>
            <color indexed="81"/>
            <rFont val="Tahoma"/>
            <family val="2"/>
          </rPr>
          <t>The effect of wind speed-up shall not be required to be considered (Kzt = 1.0) when H/Lh &lt; 0.2, or H &lt; 15' for Exposures 'C' and 'D', or H &lt; 60' for Exposure 'B'.</t>
        </r>
      </text>
    </comment>
    <comment ref="I27" authorId="4" shapeId="0">
      <text>
        <r>
          <rPr>
            <b/>
            <u/>
            <sz val="8"/>
            <color indexed="81"/>
            <rFont val="Tahoma"/>
            <family val="2"/>
          </rPr>
          <t xml:space="preserve">Wind Directionality Factor, Kd (Table 6-4)
             </t>
        </r>
        <r>
          <rPr>
            <u/>
            <sz val="8"/>
            <color indexed="81"/>
            <rFont val="Tahoma"/>
            <family val="2"/>
          </rPr>
          <t xml:space="preserve">Structure Type                                  Kd  
</t>
        </r>
        <r>
          <rPr>
            <sz val="8"/>
            <color indexed="81"/>
            <rFont val="Tahoma"/>
            <family val="2"/>
          </rPr>
          <t xml:space="preserve">
Buildings
    Main Wind-Force Resisting System           0.85
    Components and Cladding                        0.85
Note:  this factor shall only be applied when
           used in conjunction with load combinations
           specified in Sect. 2.3 and 2.4.
           Otherwise, use Kd = 1.0. </t>
        </r>
      </text>
    </comment>
    <comment ref="I34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  <comment ref="K34" authorId="2" shapeId="0">
      <text>
        <r>
          <rPr>
            <b/>
            <sz val="9"/>
            <color indexed="81"/>
            <rFont val="Tahoma"/>
            <family val="2"/>
          </rPr>
          <t>toan.hvm:</t>
        </r>
        <r>
          <rPr>
            <sz val="9"/>
            <color indexed="81"/>
            <rFont val="Tahoma"/>
            <family val="2"/>
          </rPr>
          <t xml:space="preserve">
Terrain Exposure Constants (Table 6-2)
    Exposure Category           a           zg (ft)
                B                          7.0         1,200
                C                          9.5           900
                D                         11.5          700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<sst xmlns="http://schemas.openxmlformats.org/spreadsheetml/2006/main" count="172" uniqueCount="114">
  <si>
    <t>Velocity pressure exposure coefficient</t>
  </si>
  <si>
    <t>Item
Hạng mục</t>
  </si>
  <si>
    <t>WIND LOADING ANALYSIS
PHÂN TÍCH TẢI TRỌNG GIÓ</t>
  </si>
  <si>
    <t>I/ Input Data / Dữ liệu thiết kế:</t>
  </si>
  <si>
    <t>Tiêu chuẩn thiết kế:</t>
  </si>
  <si>
    <t>Vùng</t>
  </si>
  <si>
    <t>I</t>
  </si>
  <si>
    <t>II</t>
  </si>
  <si>
    <t>III</t>
  </si>
  <si>
    <t>IV</t>
  </si>
  <si>
    <t>V</t>
  </si>
  <si>
    <t>Chu kỳ lặp</t>
  </si>
  <si>
    <t>Hệ số</t>
  </si>
  <si>
    <t>-</t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</si>
  <si>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3s,50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</si>
  <si>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3s,300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</si>
  <si>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3s,700</t>
    </r>
  </si>
  <si>
    <r>
      <t>V</t>
    </r>
    <r>
      <rPr>
        <b/>
        <vertAlign val="subscript"/>
        <sz val="11"/>
        <color theme="1"/>
        <rFont val="Calibri"/>
        <family val="2"/>
        <scheme val="minor"/>
      </rPr>
      <t>3s,1700</t>
    </r>
  </si>
  <si>
    <t>Vận tốc gió 3s (m/s)</t>
  </si>
  <si>
    <t>Zone / Vùng gió</t>
  </si>
  <si>
    <t>(QCVN 02:2022)</t>
  </si>
  <si>
    <t>Wind Speed / Tốc độ gió</t>
  </si>
  <si>
    <r>
      <t>V</t>
    </r>
    <r>
      <rPr>
        <vertAlign val="subscript"/>
        <sz val="11"/>
        <color theme="1"/>
        <rFont val="Calibri"/>
        <family val="2"/>
        <scheme val="minor"/>
      </rPr>
      <t>3s,50</t>
    </r>
    <r>
      <rPr>
        <sz val="11"/>
        <color theme="1"/>
        <rFont val="Calibri"/>
        <family val="2"/>
        <scheme val="minor"/>
      </rPr>
      <t xml:space="preserve"> =</t>
    </r>
  </si>
  <si>
    <t>m/s</t>
  </si>
  <si>
    <t>V =</t>
  </si>
  <si>
    <t>years / năm</t>
  </si>
  <si>
    <t>Return period wind speed / Chu kỳ lặp</t>
  </si>
  <si>
    <t>Exposure / Dạng địa hình</t>
  </si>
  <si>
    <t>B</t>
  </si>
  <si>
    <t>C</t>
  </si>
  <si>
    <t xml:space="preserve">Building classification / Cấp công trình </t>
  </si>
  <si>
    <t>m</t>
  </si>
  <si>
    <t>Slope of roof / Độ dốc mái</t>
  </si>
  <si>
    <t>I =</t>
  </si>
  <si>
    <t>i =</t>
  </si>
  <si>
    <t>%</t>
  </si>
  <si>
    <t>Góc nghiêng mái / Angle of roof</t>
  </si>
  <si>
    <t>a</t>
  </si>
  <si>
    <t>a =</t>
  </si>
  <si>
    <t>Horizontal dimension of roof / Bề rộng mái</t>
  </si>
  <si>
    <t>Highest point on the roof / Điểm cao nhất trên mái</t>
  </si>
  <si>
    <t>Roof eave height / Điểm thấp nhất trên mái</t>
  </si>
  <si>
    <t>Mean roof height / Chiều cao mái tính toán</t>
  </si>
  <si>
    <t>h =</t>
  </si>
  <si>
    <t>Hurricane Region / Vùng bão ?</t>
  </si>
  <si>
    <t>N</t>
  </si>
  <si>
    <r>
      <t>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 xml:space="preserve"> =</t>
    </r>
  </si>
  <si>
    <t>Gust eff. Factor / Hệ số gió giật</t>
  </si>
  <si>
    <t>G =</t>
  </si>
  <si>
    <t>Wind Directionality Factor / Hệ số hướng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</si>
  <si>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</t>
    </r>
  </si>
  <si>
    <t>Topographic Factor / Hệ số địa hình</t>
  </si>
  <si>
    <t>Terrain Exposure constants / Hệ số địa hình</t>
  </si>
  <si>
    <t>D</t>
  </si>
  <si>
    <t>Địa hình</t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</si>
  <si>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(m)</t>
    </r>
  </si>
  <si>
    <r>
      <rPr>
        <sz val="11"/>
        <color theme="1"/>
        <rFont val="Symbol"/>
        <family val="1"/>
        <charset val="2"/>
      </rPr>
      <t>a</t>
    </r>
    <r>
      <rPr>
        <sz val="17.600000000000001"/>
        <color theme="1"/>
        <rFont val="Calibri"/>
        <family val="2"/>
      </rPr>
      <t xml:space="preserve"> </t>
    </r>
    <r>
      <rPr>
        <sz val="11"/>
        <color theme="1"/>
        <rFont val="Calibri"/>
        <family val="2"/>
      </rPr>
      <t>=</t>
    </r>
  </si>
  <si>
    <r>
      <t>z</t>
    </r>
    <r>
      <rPr>
        <vertAlign val="subscript"/>
        <sz val="11"/>
        <color theme="1"/>
        <rFont val="Calibri"/>
        <family val="2"/>
        <scheme val="minor"/>
      </rPr>
      <t>g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</si>
  <si>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</t>
    </r>
  </si>
  <si>
    <t>Importance factor / Hệ số tầm quan trọng</t>
  </si>
  <si>
    <t>Y</t>
  </si>
  <si>
    <t>Velocity pressure at height z</t>
  </si>
  <si>
    <r>
      <t>kN/m</t>
    </r>
    <r>
      <rPr>
        <vertAlign val="superscript"/>
        <sz val="11"/>
        <color theme="1"/>
        <rFont val="Calibri"/>
        <family val="2"/>
        <scheme val="minor"/>
      </rPr>
      <t>2</t>
    </r>
  </si>
  <si>
    <t>km/h</t>
  </si>
  <si>
    <t>II/ Main wind force resisting system / Tải trọng gió tác dụng lên hệ khung</t>
  </si>
  <si>
    <t>Design wind speed / Tốc độ gió thiết kế</t>
  </si>
  <si>
    <t>1E</t>
  </si>
  <si>
    <t>2E</t>
  </si>
  <si>
    <t>Enclosure Classification</t>
  </si>
  <si>
    <t>Partially Enclosed Buildings</t>
  </si>
  <si>
    <t>Enclosed Buildings</t>
  </si>
  <si>
    <t>Roof Angle</t>
  </si>
  <si>
    <t>LOAD CASE A</t>
  </si>
  <si>
    <t>Building Surface</t>
  </si>
  <si>
    <t>3E</t>
  </si>
  <si>
    <t>4E</t>
  </si>
  <si>
    <t>Factory
Nhà xưởng</t>
  </si>
  <si>
    <r>
      <t>q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= 0.613.K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zt</t>
    </r>
    <r>
      <rPr>
        <sz val="11"/>
        <color theme="1"/>
        <rFont val="Calibri"/>
        <family val="2"/>
        <scheme val="minor"/>
      </rPr>
      <t>.K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.V</t>
    </r>
    <r>
      <rPr>
        <vertAlign val="superscript"/>
        <sz val="11"/>
        <color theme="1"/>
        <rFont val="Calibri"/>
        <family val="2"/>
        <scheme val="minor"/>
      </rPr>
      <t xml:space="preserve">2 </t>
    </r>
    <r>
      <rPr>
        <sz val="11"/>
        <color theme="1"/>
        <rFont val="Calibri"/>
        <family val="2"/>
        <scheme val="minor"/>
      </rPr>
      <t>=</t>
    </r>
  </si>
  <si>
    <t>Enclosure Classification / Phân loại</t>
  </si>
  <si>
    <t>Gcpi +1</t>
  </si>
  <si>
    <t>Gcpi +2</t>
  </si>
  <si>
    <t>Surface</t>
  </si>
  <si>
    <t>Zone 1</t>
  </si>
  <si>
    <t>Zone 2</t>
  </si>
  <si>
    <t>Zone 3</t>
  </si>
  <si>
    <t>Zone 4</t>
  </si>
  <si>
    <t>Zone 5</t>
  </si>
  <si>
    <t>Zone 6</t>
  </si>
  <si>
    <t>Zone 1E</t>
  </si>
  <si>
    <t>Zone 2E</t>
  </si>
  <si>
    <t>Zone 3E</t>
  </si>
  <si>
    <t>Zone 4E</t>
  </si>
  <si>
    <t>MWFRS Wind Load for Load Case A</t>
  </si>
  <si>
    <t>MWFRS Wind Load for Load Case B</t>
  </si>
  <si>
    <r>
      <t>(w/ +GC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>)</t>
    </r>
  </si>
  <si>
    <r>
      <t>(w/ -GC</t>
    </r>
    <r>
      <rPr>
        <vertAlign val="subscript"/>
        <sz val="11"/>
        <color theme="1"/>
        <rFont val="Calibri"/>
        <family val="2"/>
        <scheme val="minor"/>
      </rPr>
      <t>pi</t>
    </r>
    <r>
      <rPr>
        <sz val="11"/>
        <color theme="1"/>
        <rFont val="Calibri"/>
        <family val="2"/>
        <scheme val="minor"/>
      </rPr>
      <t>)</t>
    </r>
  </si>
  <si>
    <t>Net Pressures (kPa)</t>
  </si>
  <si>
    <r>
      <t>GC</t>
    </r>
    <r>
      <rPr>
        <vertAlign val="subscript"/>
        <sz val="11"/>
        <color theme="1"/>
        <rFont val="Calibri"/>
        <family val="2"/>
        <scheme val="minor"/>
      </rPr>
      <t>pi -</t>
    </r>
    <r>
      <rPr>
        <sz val="11"/>
        <color theme="1"/>
        <rFont val="Calibri"/>
        <family val="2"/>
        <scheme val="minor"/>
      </rPr>
      <t xml:space="preserve"> =</t>
    </r>
  </si>
  <si>
    <t>Zone 5E</t>
  </si>
  <si>
    <t>Zone 6E</t>
  </si>
  <si>
    <r>
      <t>H</t>
    </r>
    <r>
      <rPr>
        <vertAlign val="subscript"/>
        <sz val="11"/>
        <color theme="1"/>
        <rFont val="Calibri"/>
        <family val="2"/>
        <scheme val="minor"/>
      </rPr>
      <t>r</t>
    </r>
    <r>
      <rPr>
        <sz val="11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</si>
  <si>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</si>
  <si>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r>
      <t>GC</t>
    </r>
    <r>
      <rPr>
        <vertAlign val="subscript"/>
        <sz val="11"/>
        <color theme="1"/>
        <rFont val="Calibri"/>
        <family val="2"/>
        <scheme val="minor"/>
      </rPr>
      <t>pf</t>
    </r>
  </si>
  <si>
    <t>Wind Load for Load Case A</t>
  </si>
  <si>
    <t>Wind Load for Load Case B</t>
  </si>
  <si>
    <t>Áp lực gió lên khung</t>
  </si>
  <si>
    <t>ASCE 7 Minimum Design Loads For Buildings And Other Structures</t>
  </si>
  <si>
    <r>
      <t>GC</t>
    </r>
    <r>
      <rPr>
        <vertAlign val="subscript"/>
        <sz val="11"/>
        <color theme="1"/>
        <rFont val="Calibri"/>
        <family val="2"/>
        <scheme val="minor"/>
      </rPr>
      <t xml:space="preserve">pi + </t>
    </r>
    <r>
      <rPr>
        <sz val="11"/>
        <color theme="1"/>
        <rFont val="Calibri"/>
        <family val="2"/>
        <scheme val="minor"/>
      </rPr>
      <t>=</t>
    </r>
  </si>
  <si>
    <t>Internal Pressure Coefficient / Hệ số áp lực trong</t>
  </si>
  <si>
    <t>B =</t>
  </si>
  <si>
    <t>Length dimension of roof / Chiều dài mái</t>
  </si>
  <si>
    <t>L =</t>
  </si>
  <si>
    <t>Height above ground level / Chiều cao so với mặt đất</t>
  </si>
  <si>
    <t>z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</si>
</sst>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rgb="FF0000CC"/>
      <name val="Arial"/>
      <family val="2"/>
    </font>
    <font>
      <sz val="10"/>
      <name val="Arial"/>
      <family val="2"/>
    </font>
    <font>
      <b/>
      <sz val="10"/>
      <color rgb="FF0070C0"/>
      <name val="Arial"/>
      <family val="2"/>
    </font>
    <font>
      <vertAlign val="subscript"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8"/>
      <color indexed="81"/>
      <name val="Tahoma"/>
      <family val="2"/>
    </font>
    <font>
      <b/>
      <u/>
      <sz val="8"/>
      <color indexed="81"/>
      <name val="Tahoma"/>
      <family val="2"/>
    </font>
    <font>
      <sz val="8"/>
      <color indexed="81"/>
      <name val="Tahoma"/>
      <family val="2"/>
    </font>
    <font>
      <u/>
      <sz val="8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ymbol"/>
      <family val="1"/>
      <charset val="2"/>
    </font>
    <font>
      <sz val="11"/>
      <name val="Calibri"/>
      <family val="2"/>
      <scheme val="minor"/>
    </font>
    <font>
      <sz val="11"/>
      <color indexed="12"/>
      <name val="Calibri"/>
      <family val="2"/>
      <scheme val="minor"/>
    </font>
    <font>
      <sz val="17.600000000000001"/>
      <color theme="1"/>
      <name val="Calibri"/>
      <family val="2"/>
    </font>
    <font>
      <sz val="11"/>
      <color theme="1"/>
      <name val="Calibri"/>
      <family val="1"/>
      <charset val="2"/>
    </font>
    <font>
      <vertAlign val="superscript"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name val="Arial"/>
      <family val="2"/>
    </font>
    <font>
      <sz val="10"/>
      <color indexed="8"/>
      <name val="Arial"/>
      <family val="2"/>
    </font>
    <font>
      <sz val="11"/>
      <color rgb="FFC00000"/>
      <name val="Calibri"/>
      <family val="2"/>
      <scheme val="minor"/>
    </font>
    <font>
      <sz val="16"/>
      <color rgb="FF0000CC"/>
      <name val="Calibri"/>
      <family val="2"/>
      <scheme val="minor"/>
    </font>
    <font>
      <b/>
      <sz val="14"/>
      <color rgb="FFC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0" fontId="5" fillId="0" borderId="0" applyNumberFormat="0" applyFill="0" applyBorder="0" applyAlignment="0" applyProtection="0"/>
  </cellStyleXfs>
  <cellXfs count="116">
    <xf numFmtId="0" fontId="0" fillId="0" borderId="0" xfId="0"/>
    <xf numFmtId="2" fontId="0" fillId="0" borderId="3" xfId="0" applyNumberForma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2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0" fillId="0" borderId="1" xfId="0" applyBorder="1"/>
    <xf numFmtId="0" fontId="0" fillId="0" borderId="10" xfId="0" applyBorder="1"/>
    <xf numFmtId="0" fontId="0" fillId="0" borderId="1" xfId="0" applyBorder="1" applyAlignment="1">
      <alignment horizontal="left" indent="1"/>
    </xf>
    <xf numFmtId="0" fontId="0" fillId="0" borderId="5" xfId="0" applyBorder="1"/>
    <xf numFmtId="0" fontId="0" fillId="0" borderId="6" xfId="0" applyBorder="1"/>
    <xf numFmtId="0" fontId="0" fillId="0" borderId="11" xfId="0" applyBorder="1"/>
    <xf numFmtId="0" fontId="2" fillId="0" borderId="0" xfId="0" applyFont="1" applyAlignment="1">
      <alignment horizontal="center" vertical="center"/>
    </xf>
    <xf numFmtId="0" fontId="23" fillId="5" borderId="3" xfId="2" applyFont="1" applyFill="1" applyBorder="1" applyAlignment="1">
      <alignment horizontal="center" vertical="center"/>
    </xf>
    <xf numFmtId="0" fontId="22" fillId="5" borderId="8" xfId="2" applyFont="1" applyFill="1" applyBorder="1" applyAlignment="1">
      <alignment horizontal="right" vertical="center"/>
    </xf>
    <xf numFmtId="0" fontId="23" fillId="5" borderId="7" xfId="2" applyFont="1" applyFill="1" applyBorder="1" applyAlignment="1">
      <alignment horizontal="center" vertical="center"/>
    </xf>
    <xf numFmtId="2" fontId="24" fillId="5" borderId="3" xfId="2" applyNumberFormat="1" applyFont="1" applyFill="1" applyBorder="1" applyAlignment="1">
      <alignment horizontal="center" vertical="center"/>
    </xf>
    <xf numFmtId="0" fontId="25" fillId="5" borderId="3" xfId="2" applyFont="1" applyFill="1" applyBorder="1" applyAlignment="1">
      <alignment horizontal="center" vertical="center"/>
    </xf>
    <xf numFmtId="0" fontId="24" fillId="5" borderId="3" xfId="2" applyFont="1" applyFill="1" applyBorder="1" applyAlignment="1">
      <alignment horizontal="center" vertical="center"/>
    </xf>
    <xf numFmtId="0" fontId="22" fillId="5" borderId="3" xfId="2" quotePrefix="1" applyFont="1" applyFill="1" applyBorder="1" applyAlignment="1">
      <alignment horizontal="center" vertical="center"/>
    </xf>
    <xf numFmtId="0" fontId="22" fillId="5" borderId="3" xfId="2" applyFont="1" applyFill="1" applyBorder="1" applyAlignment="1">
      <alignment horizontal="center" vertical="center"/>
    </xf>
    <xf numFmtId="2" fontId="22" fillId="5" borderId="3" xfId="2" applyNumberFormat="1" applyFont="1" applyFill="1" applyBorder="1" applyAlignment="1">
      <alignment horizontal="center" vertical="center"/>
    </xf>
    <xf numFmtId="4" fontId="22" fillId="5" borderId="3" xfId="2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2" fillId="5" borderId="5" xfId="2" applyFont="1" applyFill="1" applyBorder="1" applyAlignment="1">
      <alignment vertical="center"/>
    </xf>
    <xf numFmtId="0" fontId="22" fillId="5" borderId="6" xfId="2" applyFont="1" applyFill="1" applyBorder="1" applyAlignment="1">
      <alignment vertical="center"/>
    </xf>
    <xf numFmtId="0" fontId="22" fillId="5" borderId="4" xfId="2" applyFont="1" applyFill="1" applyBorder="1" applyAlignment="1">
      <alignment vertical="center"/>
    </xf>
    <xf numFmtId="0" fontId="22" fillId="5" borderId="2" xfId="2" applyFont="1" applyFill="1" applyBorder="1" applyAlignment="1">
      <alignment vertical="center"/>
    </xf>
    <xf numFmtId="0" fontId="0" fillId="5" borderId="3" xfId="0" applyFill="1" applyBorder="1" applyAlignment="1" applyProtection="1">
      <alignment horizontal="center"/>
      <protection hidden="1"/>
    </xf>
    <xf numFmtId="2" fontId="5" fillId="5" borderId="3" xfId="0" applyNumberFormat="1" applyFont="1" applyFill="1" applyBorder="1" applyAlignment="1" applyProtection="1">
      <alignment horizontal="center"/>
      <protection hidden="1"/>
    </xf>
    <xf numFmtId="2" fontId="28" fillId="0" borderId="3" xfId="0" applyNumberFormat="1" applyFont="1" applyBorder="1" applyAlignment="1">
      <alignment horizontal="center" vertical="center"/>
    </xf>
    <xf numFmtId="0" fontId="5" fillId="5" borderId="16" xfId="0" applyFont="1" applyFill="1" applyBorder="1" applyAlignment="1" applyProtection="1">
      <alignment horizontal="center"/>
      <protection hidden="1"/>
    </xf>
    <xf numFmtId="2" fontId="5" fillId="5" borderId="16" xfId="0" applyNumberFormat="1" applyFont="1" applyFill="1" applyBorder="1" applyAlignment="1" applyProtection="1">
      <alignment horizontal="center"/>
      <protection hidden="1"/>
    </xf>
    <xf numFmtId="0" fontId="0" fillId="5" borderId="17" xfId="0" applyFill="1" applyBorder="1" applyAlignment="1" applyProtection="1">
      <alignment horizontal="center"/>
      <protection hidden="1"/>
    </xf>
    <xf numFmtId="2" fontId="5" fillId="5" borderId="17" xfId="0" applyNumberFormat="1" applyFont="1" applyFill="1" applyBorder="1" applyAlignment="1" applyProtection="1">
      <alignment horizontal="center"/>
      <protection hidden="1"/>
    </xf>
    <xf numFmtId="0" fontId="0" fillId="5" borderId="18" xfId="0" applyFill="1" applyBorder="1" applyAlignment="1" applyProtection="1">
      <alignment horizontal="center"/>
      <protection hidden="1"/>
    </xf>
    <xf numFmtId="2" fontId="5" fillId="5" borderId="18" xfId="0" applyNumberFormat="1" applyFont="1" applyFill="1" applyBorder="1" applyAlignment="1" applyProtection="1">
      <alignment horizontal="center"/>
      <protection hidden="1"/>
    </xf>
    <xf numFmtId="0" fontId="0" fillId="5" borderId="16" xfId="0" applyFill="1" applyBorder="1" applyAlignment="1" applyProtection="1">
      <alignment horizontal="center"/>
      <protection hidden="1"/>
    </xf>
    <xf numFmtId="0" fontId="27" fillId="5" borderId="17" xfId="0" applyFont="1" applyFill="1" applyBorder="1" applyAlignment="1" applyProtection="1">
      <alignment horizontal="center"/>
      <protection hidden="1"/>
    </xf>
    <xf numFmtId="0" fontId="27" fillId="5" borderId="18" xfId="0" applyFont="1" applyFill="1" applyBorder="1" applyAlignment="1" applyProtection="1">
      <alignment horizontal="center"/>
      <protection hidden="1"/>
    </xf>
    <xf numFmtId="2" fontId="5" fillId="5" borderId="19" xfId="0" applyNumberFormat="1" applyFont="1" applyFill="1" applyBorder="1" applyAlignment="1" applyProtection="1">
      <alignment horizontal="center"/>
      <protection hidden="1"/>
    </xf>
    <xf numFmtId="2" fontId="5" fillId="5" borderId="20" xfId="0" applyNumberFormat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left" vertical="center"/>
      <protection hidden="1"/>
    </xf>
    <xf numFmtId="0" fontId="9" fillId="0" borderId="0" xfId="0" applyFont="1" applyAlignment="1">
      <alignment horizontal="center" vertical="center"/>
    </xf>
    <xf numFmtId="0" fontId="18" fillId="5" borderId="0" xfId="0" applyFont="1" applyFill="1" applyAlignment="1" applyProtection="1">
      <alignment horizontal="center"/>
      <protection locked="0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0" fontId="16" fillId="0" borderId="0" xfId="0" applyFon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2" fontId="18" fillId="5" borderId="0" xfId="0" applyNumberFormat="1" applyFont="1" applyFill="1" applyAlignment="1" applyProtection="1">
      <alignment horizontal="center"/>
      <protection locked="0"/>
    </xf>
    <xf numFmtId="0" fontId="20" fillId="0" borderId="0" xfId="0" applyFont="1" applyAlignment="1">
      <alignment horizontal="right"/>
    </xf>
    <xf numFmtId="165" fontId="0" fillId="0" borderId="0" xfId="0" applyNumberFormat="1" applyAlignment="1">
      <alignment horizontal="center" vertical="center"/>
    </xf>
    <xf numFmtId="0" fontId="0" fillId="5" borderId="3" xfId="0" applyFill="1" applyBorder="1" applyAlignment="1" applyProtection="1">
      <alignment horizontal="center" vertical="center"/>
      <protection hidden="1"/>
    </xf>
    <xf numFmtId="2" fontId="5" fillId="5" borderId="3" xfId="0" applyNumberFormat="1" applyFont="1" applyFill="1" applyBorder="1" applyAlignment="1" applyProtection="1">
      <alignment horizontal="center" vertical="center"/>
      <protection hidden="1"/>
    </xf>
    <xf numFmtId="0" fontId="5" fillId="5" borderId="15" xfId="0" applyFont="1" applyFill="1" applyBorder="1" applyAlignment="1" applyProtection="1">
      <alignment horizontal="center"/>
      <protection hidden="1"/>
    </xf>
    <xf numFmtId="0" fontId="0" fillId="5" borderId="15" xfId="0" applyFill="1" applyBorder="1" applyAlignment="1" applyProtection="1">
      <alignment horizontal="center"/>
      <protection hidden="1"/>
    </xf>
    <xf numFmtId="0" fontId="0" fillId="5" borderId="26" xfId="0" applyFill="1" applyBorder="1" applyAlignment="1" applyProtection="1">
      <alignment horizontal="center"/>
      <protection hidden="1"/>
    </xf>
    <xf numFmtId="2" fontId="5" fillId="5" borderId="27" xfId="0" applyNumberFormat="1" applyFont="1" applyFill="1" applyBorder="1" applyAlignment="1" applyProtection="1">
      <alignment horizontal="center"/>
      <protection hidden="1"/>
    </xf>
    <xf numFmtId="0" fontId="0" fillId="5" borderId="4" xfId="0" applyFill="1" applyBorder="1" applyAlignment="1" applyProtection="1">
      <alignment horizontal="center"/>
      <protection hidden="1"/>
    </xf>
    <xf numFmtId="2" fontId="5" fillId="5" borderId="4" xfId="0" applyNumberFormat="1" applyFont="1" applyFill="1" applyBorder="1" applyAlignment="1" applyProtection="1">
      <alignment horizontal="center"/>
      <protection hidden="1"/>
    </xf>
    <xf numFmtId="2" fontId="5" fillId="5" borderId="29" xfId="0" applyNumberFormat="1" applyFont="1" applyFill="1" applyBorder="1" applyAlignment="1" applyProtection="1">
      <alignment horizontal="center"/>
      <protection hidden="1"/>
    </xf>
    <xf numFmtId="0" fontId="0" fillId="5" borderId="15" xfId="0" applyFill="1" applyBorder="1" applyAlignment="1" applyProtection="1">
      <alignment horizontal="center" vertical="center"/>
      <protection hidden="1"/>
    </xf>
    <xf numFmtId="0" fontId="0" fillId="5" borderId="25" xfId="0" applyFill="1" applyBorder="1" applyAlignment="1" applyProtection="1">
      <alignment horizontal="center" vertical="center"/>
      <protection hidden="1"/>
    </xf>
    <xf numFmtId="2" fontId="5" fillId="5" borderId="25" xfId="0" applyNumberFormat="1" applyFont="1" applyFill="1" applyBorder="1" applyAlignment="1" applyProtection="1">
      <alignment horizontal="center" vertical="center"/>
      <protection hidden="1"/>
    </xf>
    <xf numFmtId="0" fontId="27" fillId="5" borderId="15" xfId="0" applyFont="1" applyFill="1" applyBorder="1" applyAlignment="1" applyProtection="1">
      <alignment horizontal="center" vertical="center"/>
      <protection hidden="1"/>
    </xf>
    <xf numFmtId="0" fontId="27" fillId="5" borderId="26" xfId="0" applyFont="1" applyFill="1" applyBorder="1" applyAlignment="1" applyProtection="1">
      <alignment horizontal="center" vertical="center"/>
      <protection hidden="1"/>
    </xf>
    <xf numFmtId="2" fontId="5" fillId="5" borderId="27" xfId="0" applyNumberFormat="1" applyFont="1" applyFill="1" applyBorder="1" applyAlignment="1" applyProtection="1">
      <alignment horizontal="center" vertical="center"/>
      <protection hidden="1"/>
    </xf>
    <xf numFmtId="2" fontId="5" fillId="5" borderId="28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23" fillId="5" borderId="3" xfId="2" applyFont="1" applyFill="1" applyBorder="1" applyAlignment="1">
      <alignment horizontal="center" vertical="center" wrapText="1"/>
    </xf>
    <xf numFmtId="0" fontId="23" fillId="5" borderId="3" xfId="2" applyFont="1" applyFill="1" applyBorder="1" applyAlignment="1">
      <alignment horizontal="center" vertical="center"/>
    </xf>
    <xf numFmtId="0" fontId="23" fillId="5" borderId="4" xfId="2" applyFont="1" applyFill="1" applyBorder="1" applyAlignment="1">
      <alignment horizontal="center"/>
    </xf>
    <xf numFmtId="0" fontId="23" fillId="5" borderId="2" xfId="2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26" fillId="5" borderId="21" xfId="0" applyFont="1" applyFill="1" applyBorder="1" applyAlignment="1" applyProtection="1">
      <alignment horizontal="center"/>
      <protection hidden="1"/>
    </xf>
    <xf numFmtId="0" fontId="26" fillId="5" borderId="22" xfId="0" applyFont="1" applyFill="1" applyBorder="1" applyAlignment="1" applyProtection="1">
      <alignment horizontal="center"/>
      <protection hidden="1"/>
    </xf>
    <xf numFmtId="0" fontId="29" fillId="0" borderId="33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3" fillId="3" borderId="12" xfId="0" applyFont="1" applyFill="1" applyBorder="1" applyAlignment="1" applyProtection="1">
      <alignment horizontal="center" vertical="center" wrapText="1"/>
      <protection hidden="1"/>
    </xf>
    <xf numFmtId="0" fontId="3" fillId="3" borderId="13" xfId="0" applyFont="1" applyFill="1" applyBorder="1" applyAlignment="1" applyProtection="1">
      <alignment horizontal="center" vertical="center" wrapText="1"/>
      <protection hidden="1"/>
    </xf>
    <xf numFmtId="0" fontId="3" fillId="3" borderId="1" xfId="0" applyFont="1" applyFill="1" applyBorder="1" applyAlignment="1" applyProtection="1">
      <alignment horizontal="center" vertical="center" wrapText="1"/>
      <protection hidden="1"/>
    </xf>
    <xf numFmtId="0" fontId="3" fillId="3" borderId="0" xfId="0" applyFont="1" applyFill="1" applyAlignment="1" applyProtection="1">
      <alignment horizontal="center" vertical="center" wrapText="1"/>
      <protection hidden="1"/>
    </xf>
    <xf numFmtId="0" fontId="4" fillId="2" borderId="13" xfId="0" applyFont="1" applyFill="1" applyBorder="1" applyAlignment="1" applyProtection="1">
      <alignment horizontal="center" vertical="center" wrapText="1"/>
      <protection hidden="1"/>
    </xf>
    <xf numFmtId="0" fontId="4" fillId="2" borderId="0" xfId="0" applyFont="1" applyFill="1" applyAlignment="1" applyProtection="1">
      <alignment horizontal="center" vertical="center" wrapText="1"/>
      <protection hidden="1"/>
    </xf>
    <xf numFmtId="0" fontId="4" fillId="2" borderId="14" xfId="0" applyFont="1" applyFill="1" applyBorder="1" applyAlignment="1" applyProtection="1">
      <alignment horizontal="center" vertical="center" wrapText="1"/>
      <protection hidden="1"/>
    </xf>
    <xf numFmtId="0" fontId="4" fillId="2" borderId="10" xfId="0" applyFont="1" applyFill="1" applyBorder="1" applyAlignment="1" applyProtection="1">
      <alignment horizontal="center" vertical="center" wrapText="1"/>
      <protection hidden="1"/>
    </xf>
    <xf numFmtId="0" fontId="0" fillId="5" borderId="15" xfId="0" applyFill="1" applyBorder="1" applyAlignment="1" applyProtection="1">
      <alignment horizontal="center" vertical="center"/>
      <protection hidden="1"/>
    </xf>
    <xf numFmtId="0" fontId="26" fillId="5" borderId="30" xfId="0" applyFont="1" applyFill="1" applyBorder="1" applyAlignment="1" applyProtection="1">
      <alignment horizontal="center" vertical="center"/>
      <protection hidden="1"/>
    </xf>
    <xf numFmtId="0" fontId="26" fillId="5" borderId="31" xfId="0" applyFont="1" applyFill="1" applyBorder="1" applyAlignment="1" applyProtection="1">
      <alignment horizontal="center" vertical="center"/>
      <protection hidden="1"/>
    </xf>
    <xf numFmtId="0" fontId="26" fillId="5" borderId="32" xfId="0" applyFont="1" applyFill="1" applyBorder="1" applyAlignment="1" applyProtection="1">
      <alignment horizontal="center" vertical="center"/>
      <protection hidden="1"/>
    </xf>
    <xf numFmtId="0" fontId="5" fillId="5" borderId="3" xfId="0" applyFont="1" applyFill="1" applyBorder="1" applyAlignment="1" applyProtection="1">
      <alignment horizontal="center" vertical="center"/>
      <protection hidden="1"/>
    </xf>
    <xf numFmtId="0" fontId="5" fillId="5" borderId="25" xfId="0" applyFont="1" applyFill="1" applyBorder="1" applyAlignment="1" applyProtection="1">
      <alignment horizontal="center" vertical="center"/>
      <protection hidden="1"/>
    </xf>
    <xf numFmtId="0" fontId="30" fillId="0" borderId="37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/>
    </xf>
    <xf numFmtId="0" fontId="30" fillId="0" borderId="39" xfId="0" applyFont="1" applyBorder="1" applyAlignment="1">
      <alignment horizontal="center" vertical="center"/>
    </xf>
    <xf numFmtId="0" fontId="30" fillId="0" borderId="40" xfId="0" applyFont="1" applyBorder="1" applyAlignment="1">
      <alignment horizontal="center" vertical="center"/>
    </xf>
    <xf numFmtId="0" fontId="30" fillId="0" borderId="36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6" fillId="4" borderId="4" xfId="1" applyFont="1" applyFill="1" applyBorder="1" applyAlignment="1" applyProtection="1">
      <alignment horizontal="left" vertical="center" indent="1"/>
      <protection hidden="1"/>
    </xf>
    <xf numFmtId="0" fontId="6" fillId="4" borderId="2" xfId="1" applyFont="1" applyFill="1" applyBorder="1" applyAlignment="1" applyProtection="1">
      <alignment horizontal="left" vertical="center" indent="1"/>
      <protection hidden="1"/>
    </xf>
    <xf numFmtId="0" fontId="26" fillId="5" borderId="3" xfId="0" applyFont="1" applyFill="1" applyBorder="1" applyAlignment="1" applyProtection="1">
      <alignment horizontal="center"/>
      <protection hidden="1"/>
    </xf>
    <xf numFmtId="0" fontId="0" fillId="5" borderId="7" xfId="0" applyFill="1" applyBorder="1" applyAlignment="1" applyProtection="1">
      <alignment horizontal="center" vertical="center"/>
      <protection hidden="1"/>
    </xf>
    <xf numFmtId="0" fontId="0" fillId="5" borderId="9" xfId="0" applyFill="1" applyBorder="1" applyAlignment="1" applyProtection="1">
      <alignment horizontal="center" vertical="center"/>
      <protection hidden="1"/>
    </xf>
    <xf numFmtId="0" fontId="5" fillId="5" borderId="4" xfId="0" applyFont="1" applyFill="1" applyBorder="1" applyAlignment="1" applyProtection="1">
      <alignment horizontal="center"/>
      <protection hidden="1"/>
    </xf>
    <xf numFmtId="0" fontId="5" fillId="5" borderId="8" xfId="0" applyFont="1" applyFill="1" applyBorder="1" applyAlignment="1" applyProtection="1">
      <alignment horizontal="center"/>
      <protection hidden="1"/>
    </xf>
    <xf numFmtId="0" fontId="0" fillId="5" borderId="23" xfId="0" applyFill="1" applyBorder="1" applyAlignment="1" applyProtection="1">
      <alignment horizontal="center" vertical="center"/>
      <protection hidden="1"/>
    </xf>
    <xf numFmtId="0" fontId="0" fillId="5" borderId="24" xfId="0" applyFill="1" applyBorder="1" applyAlignment="1" applyProtection="1">
      <alignment horizontal="center" vertical="center"/>
      <protection hidden="1"/>
    </xf>
    <xf numFmtId="0" fontId="5" fillId="5" borderId="2" xfId="0" applyFont="1" applyFill="1" applyBorder="1" applyAlignment="1" applyProtection="1">
      <alignment horizontal="center"/>
      <protection hidden="1"/>
    </xf>
    <xf numFmtId="0" fontId="18" fillId="5" borderId="0" xfId="0" applyFont="1" applyFill="1" applyAlignment="1" applyProtection="1">
      <alignment horizontal="center"/>
      <protection locked="0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512886</xdr:colOff>
      <xdr:row>23</xdr:row>
      <xdr:rowOff>36635</xdr:rowOff>
    </xdr:from>
    <xdr:to>
      <xdr:col>31</xdr:col>
      <xdr:colOff>301119</xdr:colOff>
      <xdr:row>59</xdr:row>
      <xdr:rowOff>164175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1915993-A44B-4C31-B4B0-30E8CEC81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3424" y="4293577"/>
          <a:ext cx="4653310" cy="52783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toan.hvm/Downloads/1A%20-%20LOAD%20APPLICATION%20AND%20PURLIN%20-%20Under%2018m%20-%20R22.2%20(Uncrack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2.1-FILE%20TINH%20HIEN%20HANH\2%20-%20COMPOSITE%20BEAM%20&amp;%20DECKING%20-%20R22.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14.%20NGHIEN%20CUU\14.2.%20FILE%20TINH\7.COMPOSITE%20BEAM-DECKING\THAM%20KHAO\4%20-%20BASE%20PLATE%20CONNECTION%20-%20R20.1%20-%20NO%20PAS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SHEET OF BMB"/>
      <sheetName val="1-TM"/>
      <sheetName val="1"/>
      <sheetName val="1-Parapet"/>
      <sheetName val="1-Autoload"/>
      <sheetName val="1-Canopy"/>
      <sheetName val="2"/>
      <sheetName val="3-TM"/>
      <sheetName val="3"/>
      <sheetName val="3-1A"/>
      <sheetName val="3-1B"/>
      <sheetName val="3-2A"/>
      <sheetName val="3-2B"/>
      <sheetName val="3-3A"/>
      <sheetName val="3-3B"/>
      <sheetName val="3-4A"/>
      <sheetName val="3-4B"/>
      <sheetName val="3-5"/>
      <sheetName val="4-TM"/>
      <sheetName val="4"/>
      <sheetName val="4-1A"/>
      <sheetName val="4-1B"/>
      <sheetName val="4-2A"/>
      <sheetName val="4-2B"/>
      <sheetName val="4-3A"/>
      <sheetName val="4-3B"/>
      <sheetName val="4-4A"/>
      <sheetName val="4-4B"/>
      <sheetName val="4-5"/>
      <sheetName val="5"/>
      <sheetName val="6A"/>
      <sheetName val="6-A"/>
      <sheetName val="6-B"/>
      <sheetName val="6B"/>
      <sheetName val="6-A (2)"/>
      <sheetName val="6-B (2)"/>
      <sheetName val="7"/>
      <sheetName val="7-1A"/>
      <sheetName val="7-1B"/>
      <sheetName val="7-2A"/>
      <sheetName val="7-2B"/>
      <sheetName val="7-3"/>
      <sheetName val="8"/>
      <sheetName val="8-1A"/>
      <sheetName val="8-1B"/>
      <sheetName val="8-2A"/>
      <sheetName val="8-2B"/>
      <sheetName val="8-3"/>
      <sheetName val="9"/>
      <sheetName val="Autoload"/>
      <sheetName val="ControlPanel"/>
      <sheetName val="BT"/>
      <sheetName val="10"/>
      <sheetName val="GEN-TUBE."/>
      <sheetName val="DETAIL-TUBE"/>
      <sheetName val="DTHH-XG"/>
      <sheetName val="NL-C1"/>
      <sheetName val="NL-RL"/>
      <sheetName val="NL-C2"/>
      <sheetName val="NL-CV2"/>
      <sheetName val="NL-C3"/>
      <sheetName val="NL-CV3"/>
      <sheetName val="NL-C4"/>
      <sheetName val="NL-C5"/>
      <sheetName val="NL-CV5"/>
    </sheetNames>
    <sheetDataSet>
      <sheetData sheetId="0">
        <row r="2">
          <cell r="E2" t="str">
            <v>#1A</v>
          </cell>
        </row>
        <row r="4">
          <cell r="Q4">
            <v>2</v>
          </cell>
        </row>
      </sheetData>
      <sheetData sheetId="1"/>
      <sheetData sheetId="2">
        <row r="30">
          <cell r="G30">
            <v>10</v>
          </cell>
        </row>
        <row r="34">
          <cell r="K34">
            <v>8.5307656099481335</v>
          </cell>
          <cell r="L34">
            <v>13</v>
          </cell>
        </row>
        <row r="35">
          <cell r="K35">
            <v>14.036243467926477</v>
          </cell>
          <cell r="L35">
            <v>16.5</v>
          </cell>
        </row>
        <row r="36">
          <cell r="K36">
            <v>5.710593137499643</v>
          </cell>
          <cell r="L36">
            <v>13</v>
          </cell>
        </row>
        <row r="37">
          <cell r="J37">
            <v>9.9668652491162038E-2</v>
          </cell>
        </row>
        <row r="40">
          <cell r="G40">
            <v>8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>
        <row r="7">
          <cell r="AN7" t="b">
            <v>0</v>
          </cell>
        </row>
      </sheetData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SHEET OF BMB"/>
      <sheetName val="INPUT"/>
      <sheetName val="1"/>
      <sheetName val="2"/>
      <sheetName val="ControlPanel"/>
      <sheetName val="3"/>
      <sheetName val="2 (2)"/>
      <sheetName val="2-1"/>
      <sheetName val="2-2"/>
      <sheetName val="2-3"/>
      <sheetName val="2-4"/>
      <sheetName val="NL1"/>
      <sheetName val="NL2"/>
      <sheetName val="NL3"/>
      <sheetName val="NL4"/>
      <sheetName val="NL5"/>
      <sheetName val="BT"/>
    </sheetNames>
    <sheetDataSet>
      <sheetData sheetId="0">
        <row r="4">
          <cell r="O4">
            <v>1</v>
          </cell>
        </row>
      </sheetData>
      <sheetData sheetId="1" refreshError="1"/>
      <sheetData sheetId="2" refreshError="1"/>
      <sheetData sheetId="3">
        <row r="22">
          <cell r="J22">
            <v>0.23499999999999999</v>
          </cell>
        </row>
        <row r="23">
          <cell r="J23">
            <v>200</v>
          </cell>
        </row>
        <row r="25">
          <cell r="J25">
            <v>0.02</v>
          </cell>
        </row>
        <row r="26">
          <cell r="J26">
            <v>21.02</v>
          </cell>
        </row>
      </sheetData>
      <sheetData sheetId="4" refreshError="1"/>
      <sheetData sheetId="5" refreshError="1"/>
      <sheetData sheetId="6">
        <row r="11">
          <cell r="D11">
            <v>746</v>
          </cell>
          <cell r="E11">
            <v>8</v>
          </cell>
          <cell r="F11">
            <v>184</v>
          </cell>
          <cell r="G11">
            <v>12</v>
          </cell>
          <cell r="H11">
            <v>184</v>
          </cell>
          <cell r="I11">
            <v>12</v>
          </cell>
        </row>
        <row r="15">
          <cell r="F15">
            <v>34.5</v>
          </cell>
        </row>
        <row r="20">
          <cell r="B20" t="str">
            <v>Nén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43">
          <cell r="I43">
            <v>0.75</v>
          </cell>
          <cell r="J43">
            <v>0.95</v>
          </cell>
          <cell r="K43">
            <v>1.1499999999999999</v>
          </cell>
        </row>
        <row r="44">
          <cell r="I44">
            <v>22307.955468750002</v>
          </cell>
          <cell r="J44">
            <v>28222.320343749998</v>
          </cell>
          <cell r="K44">
            <v>34122.214218749999</v>
          </cell>
        </row>
        <row r="45">
          <cell r="I45">
            <v>912.81</v>
          </cell>
          <cell r="J45">
            <v>1156.2259999999999</v>
          </cell>
          <cell r="K45">
            <v>1399.6419999999998</v>
          </cell>
        </row>
        <row r="46">
          <cell r="I46">
            <v>24.438771999375557</v>
          </cell>
          <cell r="J46">
            <v>24.408999921944325</v>
          </cell>
          <cell r="K46">
            <v>24.379244277286624</v>
          </cell>
        </row>
        <row r="47">
          <cell r="I47">
            <v>465733.8478670076</v>
          </cell>
          <cell r="J47">
            <v>587915.08345706481</v>
          </cell>
          <cell r="K47">
            <v>709261.11303491704</v>
          </cell>
        </row>
        <row r="48">
          <cell r="I48">
            <v>18220.323681461236</v>
          </cell>
          <cell r="J48">
            <v>22973.509501928493</v>
          </cell>
          <cell r="K48">
            <v>27683.067615610616</v>
          </cell>
        </row>
        <row r="49">
          <cell r="I49">
            <v>250.65000000000003</v>
          </cell>
          <cell r="J49">
            <v>317.49</v>
          </cell>
          <cell r="K49">
            <v>384.33000000000004</v>
          </cell>
        </row>
        <row r="50">
          <cell r="I50">
            <v>320.25</v>
          </cell>
          <cell r="J50">
            <v>405.65</v>
          </cell>
          <cell r="K50">
            <v>491.04999999999995</v>
          </cell>
        </row>
        <row r="51">
          <cell r="I51">
            <v>0.75</v>
          </cell>
          <cell r="J51">
            <v>0.95</v>
          </cell>
          <cell r="K51">
            <v>1.1499999999999999</v>
          </cell>
        </row>
        <row r="52">
          <cell r="I52">
            <v>32371.837500000001</v>
          </cell>
          <cell r="J52">
            <v>40957.131500000003</v>
          </cell>
          <cell r="K52">
            <v>49522.553499999995</v>
          </cell>
        </row>
        <row r="53">
          <cell r="I53">
            <v>900</v>
          </cell>
          <cell r="J53">
            <v>1140</v>
          </cell>
          <cell r="K53">
            <v>1380</v>
          </cell>
        </row>
        <row r="54">
          <cell r="I54">
            <v>35.968708333333332</v>
          </cell>
          <cell r="J54">
            <v>35.927308333333336</v>
          </cell>
          <cell r="K54">
            <v>35.885908333333326</v>
          </cell>
        </row>
        <row r="55">
          <cell r="I55">
            <v>922823.3059765622</v>
          </cell>
          <cell r="J55">
            <v>1168943.8944601126</v>
          </cell>
          <cell r="K55">
            <v>1415088.5847612484</v>
          </cell>
        </row>
        <row r="56">
          <cell r="I56">
            <v>23643.165946380086</v>
          </cell>
          <cell r="J56">
            <v>29917.158112179695</v>
          </cell>
          <cell r="K56">
            <v>36178.485156212839</v>
          </cell>
        </row>
        <row r="57">
          <cell r="I57">
            <v>379.34999999999997</v>
          </cell>
          <cell r="J57">
            <v>480.50999999999993</v>
          </cell>
          <cell r="K57">
            <v>581.66999999999996</v>
          </cell>
        </row>
        <row r="58">
          <cell r="I58">
            <v>243</v>
          </cell>
          <cell r="J58">
            <v>307.8</v>
          </cell>
          <cell r="K58">
            <v>372.59999999999997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IGN SHEET"/>
      <sheetName val="ControlPanel"/>
      <sheetName val="PINNED"/>
      <sheetName val="FIXED"/>
      <sheetName val="PARTIALLY FIXED"/>
      <sheetName val="B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5">
          <cell r="B35" t="str">
            <v>M16</v>
          </cell>
          <cell r="C35">
            <v>400</v>
          </cell>
          <cell r="D35">
            <v>275</v>
          </cell>
          <cell r="E35">
            <v>24</v>
          </cell>
          <cell r="F35">
            <v>297.76870275008986</v>
          </cell>
        </row>
        <row r="36">
          <cell r="B36" t="str">
            <v>M20</v>
          </cell>
          <cell r="C36">
            <v>500</v>
          </cell>
          <cell r="D36">
            <v>375</v>
          </cell>
          <cell r="E36">
            <v>30</v>
          </cell>
          <cell r="F36">
            <v>465.26359804701536</v>
          </cell>
        </row>
        <row r="37">
          <cell r="B37" t="str">
            <v>M24</v>
          </cell>
          <cell r="C37">
            <v>600</v>
          </cell>
          <cell r="D37">
            <v>460</v>
          </cell>
          <cell r="E37">
            <v>36</v>
          </cell>
          <cell r="F37">
            <v>669.97958118770225</v>
          </cell>
        </row>
        <row r="38">
          <cell r="B38" t="str">
            <v>M27</v>
          </cell>
          <cell r="C38">
            <v>700</v>
          </cell>
          <cell r="D38">
            <v>560</v>
          </cell>
          <cell r="E38">
            <v>41</v>
          </cell>
          <cell r="F38">
            <v>883.23344264490152</v>
          </cell>
        </row>
        <row r="39">
          <cell r="B39" t="str">
            <v>M30</v>
          </cell>
          <cell r="C39">
            <v>800</v>
          </cell>
          <cell r="D39">
            <v>650</v>
          </cell>
          <cell r="E39">
            <v>46</v>
          </cell>
          <cell r="F39">
            <v>1125.6514073501687</v>
          </cell>
        </row>
        <row r="40">
          <cell r="B40" t="str">
            <v>M36</v>
          </cell>
          <cell r="C40">
            <v>900</v>
          </cell>
          <cell r="D40">
            <v>750</v>
          </cell>
          <cell r="E40">
            <v>55</v>
          </cell>
          <cell r="F40">
            <v>1601.8508266848337</v>
          </cell>
        </row>
        <row r="41">
          <cell r="B41" t="str">
            <v>M42</v>
          </cell>
          <cell r="C41">
            <v>1000</v>
          </cell>
          <cell r="D41">
            <v>830</v>
          </cell>
          <cell r="E41">
            <v>65</v>
          </cell>
          <cell r="F41">
            <v>2273.5149707561541</v>
          </cell>
        </row>
        <row r="42">
          <cell r="B42" t="str">
            <v>M48</v>
          </cell>
          <cell r="C42">
            <v>1200</v>
          </cell>
          <cell r="D42">
            <v>1030</v>
          </cell>
          <cell r="E42">
            <v>75</v>
          </cell>
          <cell r="F42">
            <v>3061.8355278197459</v>
          </cell>
        </row>
        <row r="49">
          <cell r="B49" t="str">
            <v>M12</v>
          </cell>
          <cell r="C49">
            <v>120</v>
          </cell>
          <cell r="D49">
            <v>110</v>
          </cell>
          <cell r="E49">
            <v>46.012499999999996</v>
          </cell>
          <cell r="F49">
            <v>28.912499999999998</v>
          </cell>
          <cell r="G49">
            <v>22.387499999999999</v>
          </cell>
          <cell r="H49">
            <v>16.143750000000001</v>
          </cell>
        </row>
        <row r="50">
          <cell r="B50" t="str">
            <v>M16</v>
          </cell>
          <cell r="C50">
            <v>190</v>
          </cell>
          <cell r="D50">
            <v>125</v>
          </cell>
          <cell r="E50">
            <v>81.8</v>
          </cell>
          <cell r="F50">
            <v>51.4</v>
          </cell>
          <cell r="G50">
            <v>39.799999999999997</v>
          </cell>
          <cell r="H50">
            <v>28.7</v>
          </cell>
        </row>
        <row r="51">
          <cell r="B51" t="str">
            <v>M20</v>
          </cell>
          <cell r="C51">
            <v>260</v>
          </cell>
          <cell r="D51">
            <v>170</v>
          </cell>
          <cell r="E51">
            <v>131.69999999999999</v>
          </cell>
          <cell r="F51">
            <v>80.3</v>
          </cell>
          <cell r="G51">
            <v>64.099999999999994</v>
          </cell>
          <cell r="H51">
            <v>44.8</v>
          </cell>
        </row>
        <row r="52">
          <cell r="B52" t="str">
            <v>M24</v>
          </cell>
          <cell r="C52">
            <v>300</v>
          </cell>
          <cell r="D52">
            <v>210</v>
          </cell>
          <cell r="E52">
            <v>184.4</v>
          </cell>
          <cell r="F52">
            <v>115.6</v>
          </cell>
          <cell r="G52">
            <v>89.7</v>
          </cell>
          <cell r="H52">
            <v>64.599999999999994</v>
          </cell>
        </row>
        <row r="53">
          <cell r="B53" t="str">
            <v>M27</v>
          </cell>
          <cell r="C53">
            <v>340</v>
          </cell>
          <cell r="D53">
            <v>250</v>
          </cell>
          <cell r="E53">
            <v>246.9</v>
          </cell>
          <cell r="F53">
            <v>150.4</v>
          </cell>
          <cell r="G53">
            <v>120.2</v>
          </cell>
          <cell r="H53">
            <v>84.1</v>
          </cell>
        </row>
        <row r="54">
          <cell r="B54" t="str">
            <v>M30</v>
          </cell>
          <cell r="C54">
            <v>380</v>
          </cell>
          <cell r="D54">
            <v>280</v>
          </cell>
          <cell r="E54">
            <v>289.2</v>
          </cell>
          <cell r="F54">
            <v>183.8</v>
          </cell>
          <cell r="G54">
            <v>140.69999999999999</v>
          </cell>
          <cell r="H54">
            <v>102.6</v>
          </cell>
        </row>
        <row r="61">
          <cell r="B61" t="str">
            <v>M12</v>
          </cell>
          <cell r="C61">
            <v>106</v>
          </cell>
          <cell r="D61">
            <v>50</v>
          </cell>
          <cell r="E61">
            <v>22</v>
          </cell>
          <cell r="F61">
            <v>32.9</v>
          </cell>
          <cell r="G61">
            <v>22</v>
          </cell>
          <cell r="H61">
            <v>32.9</v>
          </cell>
        </row>
        <row r="62">
          <cell r="B62" t="str">
            <v>M16</v>
          </cell>
          <cell r="C62">
            <v>145</v>
          </cell>
          <cell r="D62">
            <v>65</v>
          </cell>
          <cell r="E62">
            <v>35.4</v>
          </cell>
          <cell r="F62">
            <v>57.9</v>
          </cell>
          <cell r="G62">
            <v>35.4</v>
          </cell>
          <cell r="H62">
            <v>57.9</v>
          </cell>
        </row>
        <row r="63">
          <cell r="B63" t="str">
            <v>M20</v>
          </cell>
          <cell r="C63">
            <v>184</v>
          </cell>
          <cell r="D63">
            <v>105</v>
          </cell>
          <cell r="E63">
            <v>48.3</v>
          </cell>
          <cell r="F63">
            <v>70.400000000000006</v>
          </cell>
          <cell r="G63">
            <v>48.3</v>
          </cell>
          <cell r="H63">
            <v>70.400000000000006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W82"/>
  <sheetViews>
    <sheetView showGridLines="0" tabSelected="1" view="pageBreakPreview" zoomScale="130" zoomScaleNormal="145" zoomScaleSheetLayoutView="130" workbookViewId="0">
      <selection activeCell="L29" sqref="L29"/>
    </sheetView>
  </sheetViews>
  <sheetFormatPr defaultRowHeight="15"/>
  <cols>
    <col min="1" max="1" width="2.7109375" customWidth="1"/>
    <col min="2" max="2" width="8.7109375" customWidth="1"/>
    <col min="3" max="4" width="7.7109375" customWidth="1"/>
    <col min="5" max="6" width="9.28515625" customWidth="1"/>
    <col min="7" max="7" width="8.7109375" customWidth="1"/>
    <col min="8" max="9" width="7.7109375" customWidth="1"/>
    <col min="10" max="11" width="9.28515625" customWidth="1"/>
    <col min="12" max="13" width="8.7109375" customWidth="1"/>
    <col min="14" max="14" width="4.5703125" customWidth="1"/>
    <col min="18" max="18" width="10.85546875" bestFit="1" customWidth="1"/>
    <col min="22" max="22" width="11.5703125" customWidth="1"/>
  </cols>
  <sheetData>
    <row r="2" spans="2:23" hidden="1"/>
    <row r="3" spans="2:23" hidden="1"/>
    <row r="5" spans="2:23" ht="15" customHeight="1">
      <c r="B5" s="85" t="s">
        <v>2</v>
      </c>
      <c r="C5" s="86"/>
      <c r="D5" s="86"/>
      <c r="E5" s="86"/>
      <c r="F5" s="86"/>
      <c r="G5" s="86"/>
      <c r="H5" s="86"/>
      <c r="I5" s="86"/>
      <c r="J5" s="89" t="s">
        <v>1</v>
      </c>
      <c r="K5" s="89"/>
      <c r="L5" s="89" t="s">
        <v>76</v>
      </c>
      <c r="M5" s="91"/>
    </row>
    <row r="6" spans="2:23" ht="15" customHeight="1">
      <c r="B6" s="87"/>
      <c r="C6" s="88"/>
      <c r="D6" s="88"/>
      <c r="E6" s="88"/>
      <c r="F6" s="88"/>
      <c r="G6" s="88"/>
      <c r="H6" s="88"/>
      <c r="I6" s="88"/>
      <c r="J6" s="90"/>
      <c r="K6" s="90"/>
      <c r="L6" s="90"/>
      <c r="M6" s="92"/>
    </row>
    <row r="7" spans="2:23" ht="15" customHeight="1">
      <c r="B7" s="87"/>
      <c r="C7" s="88"/>
      <c r="D7" s="88"/>
      <c r="E7" s="88"/>
      <c r="F7" s="88"/>
      <c r="G7" s="88"/>
      <c r="H7" s="88"/>
      <c r="I7" s="88"/>
      <c r="J7" s="90"/>
      <c r="K7" s="90"/>
      <c r="L7" s="90"/>
      <c r="M7" s="92"/>
    </row>
    <row r="8" spans="2:23">
      <c r="B8" s="8"/>
      <c r="D8" s="74" t="s">
        <v>4</v>
      </c>
      <c r="E8" s="46" t="s">
        <v>106</v>
      </c>
      <c r="M8" s="9"/>
      <c r="P8" s="79" t="s">
        <v>18</v>
      </c>
      <c r="Q8" s="79"/>
      <c r="R8" s="79"/>
      <c r="S8" s="79"/>
      <c r="T8" s="79"/>
      <c r="U8" s="79"/>
      <c r="V8" s="79"/>
      <c r="W8" s="79"/>
    </row>
    <row r="9" spans="2:23" ht="15" customHeight="1">
      <c r="B9" s="8"/>
      <c r="M9" s="9"/>
      <c r="P9" s="2" t="s">
        <v>5</v>
      </c>
      <c r="Q9" s="2" t="s">
        <v>6</v>
      </c>
      <c r="R9" s="2" t="s">
        <v>7</v>
      </c>
      <c r="S9" s="2" t="s">
        <v>8</v>
      </c>
      <c r="T9" s="2" t="s">
        <v>9</v>
      </c>
      <c r="U9" s="2" t="s">
        <v>10</v>
      </c>
      <c r="V9" s="3" t="s">
        <v>11</v>
      </c>
      <c r="W9" s="2" t="s">
        <v>12</v>
      </c>
    </row>
    <row r="10" spans="2:23" ht="18">
      <c r="B10" s="105" t="s">
        <v>3</v>
      </c>
      <c r="C10" s="106"/>
      <c r="D10" s="106"/>
      <c r="E10" s="106"/>
      <c r="M10" s="9"/>
      <c r="P10" s="2" t="s">
        <v>14</v>
      </c>
      <c r="Q10" s="1">
        <v>36</v>
      </c>
      <c r="R10" s="1">
        <v>44</v>
      </c>
      <c r="S10" s="1">
        <v>50</v>
      </c>
      <c r="T10" s="1">
        <v>55</v>
      </c>
      <c r="U10" s="1">
        <v>61</v>
      </c>
      <c r="V10" s="3">
        <v>50</v>
      </c>
      <c r="W10" s="5" t="s">
        <v>13</v>
      </c>
    </row>
    <row r="11" spans="2:23" ht="18">
      <c r="B11" s="8"/>
      <c r="M11" s="9"/>
      <c r="P11" s="2" t="s">
        <v>15</v>
      </c>
      <c r="Q11" s="1">
        <f>Q10*$W$11</f>
        <v>42.452315172444344</v>
      </c>
      <c r="R11" s="1">
        <f t="shared" ref="R11:U11" si="0">R10*$W$11</f>
        <v>51.886162988543084</v>
      </c>
      <c r="S11" s="1">
        <f t="shared" si="0"/>
        <v>58.961548850617142</v>
      </c>
      <c r="T11" s="1">
        <f t="shared" si="0"/>
        <v>64.857703735678854</v>
      </c>
      <c r="U11" s="1">
        <f t="shared" si="0"/>
        <v>71.933089597752911</v>
      </c>
      <c r="V11" s="2">
        <v>300</v>
      </c>
      <c r="W11" s="4">
        <f>(0.36+0.1*LN(12*V11))/(0.36+0.1*LN(12*$V$10))</f>
        <v>1.1792309770123428</v>
      </c>
    </row>
    <row r="12" spans="2:23" ht="18">
      <c r="B12" s="10" t="s">
        <v>19</v>
      </c>
      <c r="I12" s="47" t="s">
        <v>7</v>
      </c>
      <c r="J12" t="s">
        <v>20</v>
      </c>
      <c r="M12" s="9"/>
      <c r="P12" s="2" t="s">
        <v>16</v>
      </c>
      <c r="Q12" s="1">
        <f>Q10*$W$12</f>
        <v>45.503524296240059</v>
      </c>
      <c r="R12" s="1">
        <f t="shared" ref="R12:U12" si="1">R10*$W$12</f>
        <v>55.615418584293401</v>
      </c>
      <c r="S12" s="1">
        <f t="shared" si="1"/>
        <v>63.199339300333413</v>
      </c>
      <c r="T12" s="1">
        <f t="shared" si="1"/>
        <v>69.51927323036675</v>
      </c>
      <c r="U12" s="1">
        <f t="shared" si="1"/>
        <v>77.103193946406762</v>
      </c>
      <c r="V12" s="2">
        <v>700</v>
      </c>
      <c r="W12" s="4">
        <f>(0.36+0.1*LN(12*V12))/(0.36+0.1*LN(12*$V$10))</f>
        <v>1.2639867860066683</v>
      </c>
    </row>
    <row r="13" spans="2:23" ht="18">
      <c r="B13" s="10" t="s">
        <v>21</v>
      </c>
      <c r="H13" s="27" t="s">
        <v>22</v>
      </c>
      <c r="I13" s="26">
        <f>HLOOKUP($I$12,$Q$9:$U$13,2,FALSE)</f>
        <v>44</v>
      </c>
      <c r="J13" t="s">
        <v>23</v>
      </c>
      <c r="M13" s="9"/>
      <c r="P13" s="2" t="s">
        <v>17</v>
      </c>
      <c r="Q13" s="1">
        <f>Q10*$W$13</f>
        <v>48.698796857087316</v>
      </c>
      <c r="R13" s="1">
        <f t="shared" ref="R13:U13" si="2">R10*$W$13</f>
        <v>59.520751714217823</v>
      </c>
      <c r="S13" s="1">
        <f t="shared" si="2"/>
        <v>67.637217857065707</v>
      </c>
      <c r="T13" s="1">
        <f t="shared" si="2"/>
        <v>74.400939642772286</v>
      </c>
      <c r="U13" s="1">
        <f t="shared" si="2"/>
        <v>82.51740578562017</v>
      </c>
      <c r="V13" s="2">
        <v>1700</v>
      </c>
      <c r="W13" s="4">
        <f>(0.36+0.1*LN(12*V13))/(0.36+0.1*LN(12*$V$10))</f>
        <v>1.3527443571413142</v>
      </c>
    </row>
    <row r="14" spans="2:23">
      <c r="B14" s="10" t="s">
        <v>30</v>
      </c>
      <c r="I14" s="48" t="s">
        <v>7</v>
      </c>
      <c r="M14" s="9"/>
    </row>
    <row r="15" spans="2:23" ht="18">
      <c r="B15" s="10" t="s">
        <v>26</v>
      </c>
      <c r="I15" s="47">
        <v>700</v>
      </c>
      <c r="J15" t="s">
        <v>25</v>
      </c>
      <c r="M15" s="9"/>
      <c r="P15" s="2" t="s">
        <v>54</v>
      </c>
      <c r="Q15" s="7" t="s">
        <v>37</v>
      </c>
      <c r="R15" s="6" t="s">
        <v>55</v>
      </c>
      <c r="T15" s="6"/>
      <c r="U15" s="6" t="s">
        <v>45</v>
      </c>
      <c r="V15" s="6" t="s">
        <v>60</v>
      </c>
    </row>
    <row r="16" spans="2:23">
      <c r="B16" s="10" t="s">
        <v>65</v>
      </c>
      <c r="H16" s="27" t="s">
        <v>24</v>
      </c>
      <c r="I16" s="49">
        <f>HLOOKUP($I$12,$Q$9:$U$13,MATCH($I$15,$V$10:$V$13,0)+1,FALSE)</f>
        <v>55.615418584293401</v>
      </c>
      <c r="J16" t="s">
        <v>23</v>
      </c>
      <c r="K16" s="50">
        <f>I16*3.6</f>
        <v>200.21550690345626</v>
      </c>
      <c r="L16" s="51" t="s">
        <v>63</v>
      </c>
      <c r="M16" s="9"/>
      <c r="P16" s="2" t="s">
        <v>28</v>
      </c>
      <c r="Q16" s="6">
        <v>7</v>
      </c>
      <c r="R16" s="6">
        <v>365.76</v>
      </c>
      <c r="T16" s="6" t="s">
        <v>6</v>
      </c>
      <c r="U16" s="6">
        <v>0.87</v>
      </c>
      <c r="V16" s="6">
        <v>0.77</v>
      </c>
    </row>
    <row r="17" spans="2:22">
      <c r="B17" s="10" t="s">
        <v>27</v>
      </c>
      <c r="I17" s="47" t="s">
        <v>29</v>
      </c>
      <c r="M17" s="9"/>
      <c r="P17" s="2" t="s">
        <v>29</v>
      </c>
      <c r="Q17" s="6">
        <v>9.5</v>
      </c>
      <c r="R17" s="6">
        <v>274.32</v>
      </c>
      <c r="T17" s="6" t="s">
        <v>7</v>
      </c>
      <c r="U17" s="6">
        <v>1</v>
      </c>
      <c r="V17" s="6">
        <v>1</v>
      </c>
    </row>
    <row r="18" spans="2:22">
      <c r="B18" s="10" t="s">
        <v>32</v>
      </c>
      <c r="H18" s="27" t="s">
        <v>34</v>
      </c>
      <c r="I18" s="47">
        <v>5</v>
      </c>
      <c r="J18" t="s">
        <v>35</v>
      </c>
      <c r="M18" s="9"/>
      <c r="P18" s="2" t="s">
        <v>53</v>
      </c>
      <c r="Q18" s="6">
        <v>11.5</v>
      </c>
      <c r="R18" s="6">
        <v>213.36</v>
      </c>
      <c r="T18" s="6" t="s">
        <v>8</v>
      </c>
      <c r="U18" s="6">
        <v>1.1499999999999999</v>
      </c>
      <c r="V18" s="6">
        <v>1.1499999999999999</v>
      </c>
    </row>
    <row r="19" spans="2:22">
      <c r="B19" s="10" t="s">
        <v>36</v>
      </c>
      <c r="H19" s="52" t="s">
        <v>38</v>
      </c>
      <c r="I19" s="53">
        <f>DEGREES(ATAN(I18/100))</f>
        <v>2.8624052261117479</v>
      </c>
      <c r="M19" s="9"/>
      <c r="T19" s="6" t="s">
        <v>9</v>
      </c>
      <c r="U19" s="6">
        <v>1.1499999999999999</v>
      </c>
      <c r="V19" s="6">
        <v>1.1499999999999999</v>
      </c>
    </row>
    <row r="20" spans="2:22">
      <c r="B20" s="10" t="s">
        <v>39</v>
      </c>
      <c r="H20" s="27" t="s">
        <v>109</v>
      </c>
      <c r="I20" s="47">
        <v>40.5</v>
      </c>
      <c r="J20" t="s">
        <v>31</v>
      </c>
      <c r="M20" s="9"/>
    </row>
    <row r="21" spans="2:22">
      <c r="B21" s="10" t="s">
        <v>110</v>
      </c>
      <c r="H21" s="27" t="s">
        <v>111</v>
      </c>
      <c r="I21" s="47">
        <v>120</v>
      </c>
      <c r="J21" t="s">
        <v>31</v>
      </c>
      <c r="M21" s="9"/>
      <c r="P21" s="14"/>
    </row>
    <row r="22" spans="2:22" ht="18">
      <c r="B22" s="10" t="s">
        <v>40</v>
      </c>
      <c r="H22" s="27" t="s">
        <v>100</v>
      </c>
      <c r="I22" s="47">
        <v>6</v>
      </c>
      <c r="J22" t="s">
        <v>31</v>
      </c>
      <c r="M22" s="9"/>
      <c r="P22" s="14"/>
    </row>
    <row r="23" spans="2:22" ht="18">
      <c r="B23" s="10" t="s">
        <v>41</v>
      </c>
      <c r="H23" s="27" t="s">
        <v>101</v>
      </c>
      <c r="I23" s="54">
        <f>I22-I18/100*I20</f>
        <v>3.9750000000000001</v>
      </c>
      <c r="J23" t="s">
        <v>31</v>
      </c>
      <c r="M23" s="9"/>
    </row>
    <row r="24" spans="2:22">
      <c r="B24" s="10" t="s">
        <v>42</v>
      </c>
      <c r="H24" s="27" t="s">
        <v>43</v>
      </c>
      <c r="I24" s="54">
        <f>IF(I19&gt;10,(I22+I23)/2,I23)</f>
        <v>3.9750000000000001</v>
      </c>
      <c r="M24" s="9"/>
    </row>
    <row r="25" spans="2:22">
      <c r="B25" s="10" t="s">
        <v>112</v>
      </c>
      <c r="H25" s="27" t="s">
        <v>113</v>
      </c>
      <c r="I25" s="54">
        <f>IF(I17="B",MAX(I24,9.1),I24)</f>
        <v>3.9750000000000001</v>
      </c>
      <c r="J25" t="s">
        <v>31</v>
      </c>
      <c r="M25" s="9"/>
    </row>
    <row r="26" spans="2:22" ht="18">
      <c r="B26" s="10" t="s">
        <v>51</v>
      </c>
      <c r="H26" s="27" t="s">
        <v>46</v>
      </c>
      <c r="I26" s="55">
        <v>1</v>
      </c>
      <c r="M26" s="9"/>
    </row>
    <row r="27" spans="2:22" ht="18">
      <c r="B27" s="10" t="s">
        <v>49</v>
      </c>
      <c r="H27" s="27" t="s">
        <v>50</v>
      </c>
      <c r="I27" s="55">
        <v>0.85</v>
      </c>
      <c r="M27" s="9"/>
    </row>
    <row r="28" spans="2:22">
      <c r="B28" s="10" t="s">
        <v>47</v>
      </c>
      <c r="H28" s="27" t="s">
        <v>48</v>
      </c>
      <c r="I28" s="55">
        <v>0.85</v>
      </c>
      <c r="M28" s="9"/>
    </row>
    <row r="29" spans="2:22">
      <c r="B29" s="10" t="s">
        <v>44</v>
      </c>
      <c r="I29" s="48" t="s">
        <v>45</v>
      </c>
      <c r="M29" s="9"/>
    </row>
    <row r="30" spans="2:22">
      <c r="B30" s="10" t="s">
        <v>78</v>
      </c>
      <c r="H30" s="115" t="s">
        <v>70</v>
      </c>
      <c r="I30" s="115"/>
      <c r="J30" s="115"/>
      <c r="M30" s="9"/>
    </row>
    <row r="31" spans="2:22">
      <c r="B31" s="8"/>
      <c r="M31" s="9"/>
    </row>
    <row r="32" spans="2:22" ht="15" customHeight="1">
      <c r="B32" s="105" t="s">
        <v>64</v>
      </c>
      <c r="C32" s="106"/>
      <c r="D32" s="106"/>
      <c r="E32" s="106"/>
      <c r="F32" s="106"/>
      <c r="G32" s="106"/>
      <c r="H32" s="106"/>
      <c r="I32" s="106"/>
      <c r="M32" s="9"/>
    </row>
    <row r="33" spans="2:23">
      <c r="B33" s="8"/>
      <c r="M33" s="9"/>
      <c r="O33" t="s">
        <v>69</v>
      </c>
    </row>
    <row r="34" spans="2:23" ht="15" customHeight="1">
      <c r="B34" s="10" t="s">
        <v>52</v>
      </c>
      <c r="H34" s="56" t="s">
        <v>56</v>
      </c>
      <c r="I34" s="26">
        <f>VLOOKUP(I17,$P$16:$R$18,2,FALSE)</f>
        <v>9.5</v>
      </c>
      <c r="J34" s="27" t="s">
        <v>57</v>
      </c>
      <c r="K34" s="26">
        <f>VLOOKUP(I17,$P$16:$R$18,3,FALSE)</f>
        <v>274.32</v>
      </c>
      <c r="L34" t="s">
        <v>31</v>
      </c>
      <c r="M34" s="9"/>
      <c r="O34" t="s">
        <v>70</v>
      </c>
    </row>
    <row r="35" spans="2:23" ht="15" customHeight="1">
      <c r="B35" s="10" t="s">
        <v>0</v>
      </c>
      <c r="H35" s="27" t="s">
        <v>58</v>
      </c>
      <c r="I35" s="57">
        <f>IF($I$17="B",IF($I$24&lt;9.1,2.01*(9.1/$K$34)^(2/$I$34),2.01*($I$24/$K$34)^(2/$I$34)),IF(OR($I$17="C",$I$17="D"),IF($I$24&lt;4.6,2.01*(4.6/$K$34)^(2/$I$34),2.01*($I$24/$K$34)^(2/$I$34))))</f>
        <v>0.84997599281233649</v>
      </c>
      <c r="M35" s="9"/>
    </row>
    <row r="36" spans="2:23" hidden="1">
      <c r="B36" s="10" t="s">
        <v>59</v>
      </c>
      <c r="H36" s="27" t="s">
        <v>33</v>
      </c>
      <c r="I36" s="53">
        <f>VLOOKUP(I14,$T$16:$V$19,1+MATCH(I29,$U$15:$V$15,0),FALSE)</f>
        <v>1</v>
      </c>
      <c r="M36" s="9"/>
    </row>
    <row r="37" spans="2:23" ht="18">
      <c r="B37" s="10" t="s">
        <v>61</v>
      </c>
      <c r="H37" s="27" t="s">
        <v>77</v>
      </c>
      <c r="I37" s="57">
        <f>0.613*I35*I26*I27*1*I16^2/1000</f>
        <v>1.3698609328055529</v>
      </c>
      <c r="J37" t="s">
        <v>62</v>
      </c>
      <c r="M37" s="9"/>
      <c r="O37" s="77" t="s">
        <v>68</v>
      </c>
      <c r="P37" s="78"/>
      <c r="Q37" s="78"/>
      <c r="R37" s="78"/>
      <c r="S37" s="17" t="s">
        <v>79</v>
      </c>
      <c r="T37" s="17" t="s">
        <v>80</v>
      </c>
    </row>
    <row r="38" spans="2:23" ht="18">
      <c r="B38" s="10" t="s">
        <v>108</v>
      </c>
      <c r="H38" s="27" t="s">
        <v>107</v>
      </c>
      <c r="I38" s="26">
        <f>VLOOKUP(H30,$R$38:$S$39,2,FALSE)</f>
        <v>0.18</v>
      </c>
      <c r="J38" s="27" t="s">
        <v>97</v>
      </c>
      <c r="K38">
        <f>VLOOKUP(H30,$R$38:$T$39,3,FALSE)</f>
        <v>-0.18</v>
      </c>
      <c r="M38" s="9"/>
      <c r="O38" s="30"/>
      <c r="P38" s="31"/>
      <c r="Q38" s="31"/>
      <c r="R38" s="16" t="s">
        <v>69</v>
      </c>
      <c r="S38" s="18">
        <v>0.55000000000000004</v>
      </c>
      <c r="T38" s="18">
        <v>-0.55000000000000004</v>
      </c>
    </row>
    <row r="39" spans="2:23" ht="15.75">
      <c r="B39" s="8"/>
      <c r="M39" s="9"/>
      <c r="O39" s="30"/>
      <c r="P39" s="31"/>
      <c r="Q39" s="31"/>
      <c r="R39" s="16" t="s">
        <v>70</v>
      </c>
      <c r="S39" s="18">
        <v>0.18</v>
      </c>
      <c r="T39" s="18">
        <v>-0.18</v>
      </c>
    </row>
    <row r="40" spans="2:23" ht="15" hidden="1" customHeight="1">
      <c r="B40" s="8"/>
      <c r="M40" s="9"/>
      <c r="O40" s="28"/>
      <c r="P40" s="29"/>
      <c r="Q40" s="29"/>
      <c r="R40" s="29"/>
    </row>
    <row r="41" spans="2:23" ht="15.75" hidden="1">
      <c r="B41" s="8"/>
      <c r="M41" s="9"/>
      <c r="O41" s="75" t="s">
        <v>71</v>
      </c>
      <c r="P41" s="76" t="s">
        <v>72</v>
      </c>
      <c r="Q41" s="76"/>
      <c r="R41" s="76"/>
      <c r="S41" s="76"/>
      <c r="T41" s="76"/>
      <c r="U41" s="76"/>
      <c r="V41" s="76"/>
      <c r="W41" s="76"/>
    </row>
    <row r="42" spans="2:23" ht="15.75" hidden="1">
      <c r="B42" s="8"/>
      <c r="M42" s="9"/>
      <c r="O42" s="75"/>
      <c r="P42" s="76" t="s">
        <v>73</v>
      </c>
      <c r="Q42" s="76"/>
      <c r="R42" s="76"/>
      <c r="S42" s="76"/>
      <c r="T42" s="76"/>
      <c r="U42" s="76"/>
      <c r="V42" s="76"/>
      <c r="W42" s="76"/>
    </row>
    <row r="43" spans="2:23" ht="15.75" hidden="1">
      <c r="B43" s="8"/>
      <c r="M43" s="9"/>
      <c r="O43" s="75"/>
      <c r="P43" s="15">
        <v>1</v>
      </c>
      <c r="Q43" s="15">
        <v>2</v>
      </c>
      <c r="R43" s="15">
        <v>3</v>
      </c>
      <c r="S43" s="15">
        <v>4</v>
      </c>
      <c r="T43" s="19" t="s">
        <v>66</v>
      </c>
      <c r="U43" s="15" t="s">
        <v>67</v>
      </c>
      <c r="V43" s="15" t="s">
        <v>74</v>
      </c>
      <c r="W43" s="15" t="s">
        <v>75</v>
      </c>
    </row>
    <row r="44" spans="2:23" ht="15.75" hidden="1">
      <c r="B44" s="8"/>
      <c r="M44" s="9"/>
      <c r="O44" s="20">
        <v>0</v>
      </c>
      <c r="P44" s="21">
        <v>0.4</v>
      </c>
      <c r="Q44" s="22">
        <v>-0.69</v>
      </c>
      <c r="R44" s="22">
        <v>-0.37</v>
      </c>
      <c r="S44" s="22">
        <v>-0.28999999999999998</v>
      </c>
      <c r="T44" s="20">
        <v>0.61</v>
      </c>
      <c r="U44" s="22">
        <v>-1.07</v>
      </c>
      <c r="V44" s="22">
        <v>-0.53</v>
      </c>
      <c r="W44" s="22">
        <v>-0.43</v>
      </c>
    </row>
    <row r="45" spans="2:23" ht="15.75" hidden="1">
      <c r="B45" s="8"/>
      <c r="M45" s="9"/>
      <c r="O45" s="20">
        <v>5</v>
      </c>
      <c r="P45" s="21">
        <v>0.4</v>
      </c>
      <c r="Q45" s="22">
        <v>-0.69</v>
      </c>
      <c r="R45" s="22">
        <v>-0.37</v>
      </c>
      <c r="S45" s="22">
        <v>-0.28999999999999998</v>
      </c>
      <c r="T45" s="20">
        <v>0.61</v>
      </c>
      <c r="U45" s="22">
        <v>-1.07</v>
      </c>
      <c r="V45" s="22">
        <v>-0.53</v>
      </c>
      <c r="W45" s="22">
        <v>-0.43</v>
      </c>
    </row>
    <row r="46" spans="2:23" ht="15.75" hidden="1">
      <c r="B46" s="8"/>
      <c r="M46" s="9"/>
      <c r="O46" s="20">
        <v>20</v>
      </c>
      <c r="P46" s="22">
        <v>0.53</v>
      </c>
      <c r="Q46" s="22">
        <v>-0.69</v>
      </c>
      <c r="R46" s="22">
        <v>-0.48</v>
      </c>
      <c r="S46" s="22">
        <v>-0.43</v>
      </c>
      <c r="T46" s="23">
        <v>0.8</v>
      </c>
      <c r="U46" s="22">
        <v>-1.07</v>
      </c>
      <c r="V46" s="22">
        <v>-0.69</v>
      </c>
      <c r="W46" s="22">
        <v>-0.64</v>
      </c>
    </row>
    <row r="47" spans="2:23" ht="15.75" hidden="1">
      <c r="B47" s="8"/>
      <c r="M47" s="9"/>
      <c r="O47" s="20">
        <v>30</v>
      </c>
      <c r="P47" s="22">
        <v>0.56000000000000005</v>
      </c>
      <c r="Q47" s="22">
        <v>0.21</v>
      </c>
      <c r="R47" s="22">
        <v>-0.43</v>
      </c>
      <c r="S47" s="22">
        <v>-0.37</v>
      </c>
      <c r="T47" s="24">
        <v>0.69</v>
      </c>
      <c r="U47" s="22">
        <v>0.27</v>
      </c>
      <c r="V47" s="22">
        <v>-0.53</v>
      </c>
      <c r="W47" s="22">
        <v>-0.48</v>
      </c>
    </row>
    <row r="48" spans="2:23" ht="15.75" hidden="1">
      <c r="B48" s="8"/>
      <c r="M48" s="9"/>
      <c r="O48" s="20">
        <v>45</v>
      </c>
      <c r="P48" s="22">
        <v>0.56000000000000005</v>
      </c>
      <c r="Q48" s="22">
        <v>0.21</v>
      </c>
      <c r="R48" s="22">
        <v>-0.43</v>
      </c>
      <c r="S48" s="22">
        <v>-0.37</v>
      </c>
      <c r="T48" s="24">
        <v>0.69</v>
      </c>
      <c r="U48" s="22">
        <v>0.27</v>
      </c>
      <c r="V48" s="22">
        <v>-0.53</v>
      </c>
      <c r="W48" s="22">
        <v>-0.48</v>
      </c>
    </row>
    <row r="49" spans="2:23" ht="15.75">
      <c r="B49" s="8"/>
      <c r="C49" s="107" t="s">
        <v>92</v>
      </c>
      <c r="D49" s="107"/>
      <c r="E49" s="107"/>
      <c r="F49" s="107"/>
      <c r="H49" s="107" t="s">
        <v>93</v>
      </c>
      <c r="I49" s="107"/>
      <c r="J49" s="107"/>
      <c r="K49" s="107"/>
      <c r="M49" s="9"/>
      <c r="O49" s="20">
        <v>90</v>
      </c>
      <c r="P49" s="22">
        <v>0.56000000000000005</v>
      </c>
      <c r="Q49" s="22">
        <v>0.56000000000000005</v>
      </c>
      <c r="R49" s="22">
        <v>-0.37</v>
      </c>
      <c r="S49" s="22">
        <v>-0.37</v>
      </c>
      <c r="T49" s="22">
        <v>0.69</v>
      </c>
      <c r="U49" s="22">
        <v>0.69</v>
      </c>
      <c r="V49" s="22">
        <v>-0.48</v>
      </c>
      <c r="W49" s="22">
        <v>-0.48</v>
      </c>
    </row>
    <row r="50" spans="2:23">
      <c r="B50" s="8"/>
      <c r="C50" s="108" t="s">
        <v>81</v>
      </c>
      <c r="D50" s="108" t="s">
        <v>102</v>
      </c>
      <c r="E50" s="110" t="s">
        <v>96</v>
      </c>
      <c r="F50" s="111"/>
      <c r="H50" s="108" t="s">
        <v>81</v>
      </c>
      <c r="I50" s="108" t="s">
        <v>102</v>
      </c>
      <c r="J50" s="110" t="s">
        <v>96</v>
      </c>
      <c r="K50" s="111"/>
      <c r="L50" s="26"/>
      <c r="M50" s="25"/>
      <c r="O50" s="34">
        <f>I19</f>
        <v>2.8624052261117479</v>
      </c>
      <c r="P50" s="34" cm="1">
        <f t="array" ref="P50">noisuy1chieu($O$50,$O$44:$O$49,P44:P49)</f>
        <v>0.40000000596046448</v>
      </c>
      <c r="Q50" s="34" cm="1">
        <f t="array" ref="Q50">noisuy1chieu($O$50,$O$44:$O$49,Q44:Q49)</f>
        <v>-0.68999999761581421</v>
      </c>
      <c r="R50" s="34" cm="1">
        <f t="array" ref="R50">noisuy1chieu($O$50,$O$44:$O$49,R44:R49)</f>
        <v>-0.37000000476837158</v>
      </c>
      <c r="S50" s="34" cm="1">
        <f t="array" ref="S50">noisuy1chieu($O$50,$O$44:$O$49,S44:S49)</f>
        <v>-0.28999999165534973</v>
      </c>
      <c r="T50" s="34" cm="1">
        <f t="array" ref="T50">noisuy1chieu($O$50,$O$44:$O$49,T44:T49)</f>
        <v>0.61000001430511475</v>
      </c>
      <c r="U50" s="34" cm="1">
        <f t="array" ref="U50">noisuy1chieu($O$50,$O$44:$O$49,U44:U49)</f>
        <v>-1.0700000524520874</v>
      </c>
      <c r="V50" s="34" cm="1">
        <f t="array" ref="V50">noisuy1chieu($O$50,$O$44:$O$49,V44:V49)</f>
        <v>-0.52999997138977051</v>
      </c>
      <c r="W50" s="34" cm="1">
        <f t="array" ref="W50">noisuy1chieu($O$50,$O$44:$O$49,W44:W49)</f>
        <v>-0.43000000715255737</v>
      </c>
    </row>
    <row r="51" spans="2:23" ht="18">
      <c r="B51" s="8"/>
      <c r="C51" s="109"/>
      <c r="D51" s="109"/>
      <c r="E51" s="32" t="s">
        <v>94</v>
      </c>
      <c r="F51" s="32" t="s">
        <v>95</v>
      </c>
      <c r="H51" s="109"/>
      <c r="I51" s="109"/>
      <c r="J51" s="32" t="s">
        <v>94</v>
      </c>
      <c r="K51" s="32" t="s">
        <v>95</v>
      </c>
      <c r="M51" s="9"/>
    </row>
    <row r="52" spans="2:23">
      <c r="B52" s="8"/>
      <c r="C52" s="35" t="s">
        <v>82</v>
      </c>
      <c r="D52" s="36">
        <f>P50</f>
        <v>0.40000000596046448</v>
      </c>
      <c r="E52" s="36">
        <f t="shared" ref="E52:E59" si="3">$I$37*(D52-$I$38)</f>
        <v>0.30136941338222906</v>
      </c>
      <c r="F52" s="36">
        <f t="shared" ref="F52:F59" si="4">$I$37*(D52-$K$38)</f>
        <v>0.794519349192228</v>
      </c>
      <c r="H52" s="41" t="s">
        <v>82</v>
      </c>
      <c r="I52" s="36">
        <v>-0.45</v>
      </c>
      <c r="J52" s="36">
        <f t="shared" ref="J52:J63" si="5">$I$37*(I52-$I$38)</f>
        <v>-0.86301238766749833</v>
      </c>
      <c r="K52" s="36">
        <f t="shared" ref="K52:K63" si="6">$I$37*(I52-$K$38)</f>
        <v>-0.36986245185749927</v>
      </c>
      <c r="M52" s="9"/>
    </row>
    <row r="53" spans="2:23">
      <c r="B53" s="8"/>
      <c r="C53" s="37" t="s">
        <v>83</v>
      </c>
      <c r="D53" s="38">
        <f>Q50</f>
        <v>-0.68999999761581421</v>
      </c>
      <c r="E53" s="38">
        <f t="shared" si="3"/>
        <v>-1.1917790082748279</v>
      </c>
      <c r="F53" s="38">
        <f t="shared" si="4"/>
        <v>-0.69862907246482908</v>
      </c>
      <c r="H53" s="37" t="s">
        <v>83</v>
      </c>
      <c r="I53" s="38">
        <v>-0.69</v>
      </c>
      <c r="J53" s="38">
        <f t="shared" si="5"/>
        <v>-1.1917790115408309</v>
      </c>
      <c r="K53" s="38">
        <f t="shared" si="6"/>
        <v>-0.69862907573083199</v>
      </c>
      <c r="M53" s="9"/>
    </row>
    <row r="54" spans="2:23">
      <c r="B54" s="8"/>
      <c r="C54" s="37" t="s">
        <v>84</v>
      </c>
      <c r="D54" s="38">
        <f>R50</f>
        <v>-0.37000000476837158</v>
      </c>
      <c r="E54" s="38">
        <f t="shared" si="3"/>
        <v>-0.75342351957505993</v>
      </c>
      <c r="F54" s="38">
        <f t="shared" si="4"/>
        <v>-0.26027358376506099</v>
      </c>
      <c r="H54" s="37" t="s">
        <v>84</v>
      </c>
      <c r="I54" s="38">
        <v>-0.37</v>
      </c>
      <c r="J54" s="38">
        <f t="shared" si="5"/>
        <v>-0.7534235130430541</v>
      </c>
      <c r="K54" s="38">
        <f t="shared" si="6"/>
        <v>-0.26027357723305505</v>
      </c>
      <c r="M54" s="9"/>
    </row>
    <row r="55" spans="2:23">
      <c r="B55" s="8"/>
      <c r="C55" s="39" t="s">
        <v>85</v>
      </c>
      <c r="D55" s="40">
        <f>S50</f>
        <v>-0.28999999165534973</v>
      </c>
      <c r="E55" s="40">
        <f t="shared" si="3"/>
        <v>-0.64383462698759941</v>
      </c>
      <c r="F55" s="40">
        <f t="shared" si="4"/>
        <v>-0.15068469117760042</v>
      </c>
      <c r="H55" s="37" t="s">
        <v>85</v>
      </c>
      <c r="I55" s="38">
        <v>-0.45</v>
      </c>
      <c r="J55" s="38">
        <f>$I$37*(I55-$I$38)</f>
        <v>-0.86301238766749833</v>
      </c>
      <c r="K55" s="38">
        <f t="shared" si="6"/>
        <v>-0.36986245185749927</v>
      </c>
      <c r="M55" s="9"/>
    </row>
    <row r="56" spans="2:23">
      <c r="B56" s="8"/>
      <c r="C56" s="41" t="s">
        <v>88</v>
      </c>
      <c r="D56" s="36">
        <f>T50</f>
        <v>0.61000001430511475</v>
      </c>
      <c r="E56" s="36">
        <f t="shared" si="3"/>
        <v>0.58904022070240558</v>
      </c>
      <c r="F56" s="36">
        <f t="shared" si="4"/>
        <v>1.0821901565124046</v>
      </c>
      <c r="H56" s="42" t="s">
        <v>86</v>
      </c>
      <c r="I56" s="38">
        <v>0.4</v>
      </c>
      <c r="J56" s="38">
        <f t="shared" si="5"/>
        <v>0.30136940521722166</v>
      </c>
      <c r="K56" s="38">
        <f t="shared" si="6"/>
        <v>0.79451934102722077</v>
      </c>
      <c r="M56" s="9"/>
    </row>
    <row r="57" spans="2:23">
      <c r="B57" s="8"/>
      <c r="C57" s="37" t="s">
        <v>89</v>
      </c>
      <c r="D57" s="38">
        <f>U50</f>
        <v>-1.0700000524520874</v>
      </c>
      <c r="E57" s="38">
        <f t="shared" si="3"/>
        <v>-1.7123262378590063</v>
      </c>
      <c r="F57" s="38">
        <f t="shared" si="4"/>
        <v>-1.2191763020490076</v>
      </c>
      <c r="H57" s="43" t="s">
        <v>87</v>
      </c>
      <c r="I57" s="40">
        <v>-0.28999999999999998</v>
      </c>
      <c r="J57" s="40">
        <f t="shared" si="5"/>
        <v>-0.64383463841860977</v>
      </c>
      <c r="K57" s="40">
        <f t="shared" si="6"/>
        <v>-0.1506847026086108</v>
      </c>
      <c r="M57" s="9"/>
    </row>
    <row r="58" spans="2:23">
      <c r="B58" s="8"/>
      <c r="C58" s="37" t="s">
        <v>90</v>
      </c>
      <c r="D58" s="38">
        <f>V50</f>
        <v>-0.52999997138977051</v>
      </c>
      <c r="E58" s="38">
        <f t="shared" si="3"/>
        <v>-0.97260122309990682</v>
      </c>
      <c r="F58" s="38">
        <f t="shared" si="4"/>
        <v>-0.47945128728990788</v>
      </c>
      <c r="H58" s="41" t="s">
        <v>88</v>
      </c>
      <c r="I58" s="44">
        <v>-0.48</v>
      </c>
      <c r="J58" s="36">
        <f t="shared" si="5"/>
        <v>-0.90410821565166477</v>
      </c>
      <c r="K58" s="36">
        <f t="shared" si="6"/>
        <v>-0.41095827984166583</v>
      </c>
      <c r="M58" s="9"/>
    </row>
    <row r="59" spans="2:23">
      <c r="B59" s="8"/>
      <c r="C59" s="39" t="s">
        <v>91</v>
      </c>
      <c r="D59" s="40">
        <f>W50</f>
        <v>-0.43000000715255737</v>
      </c>
      <c r="E59" s="40">
        <f t="shared" si="3"/>
        <v>-0.83561517880939606</v>
      </c>
      <c r="F59" s="40">
        <f t="shared" si="4"/>
        <v>-0.34246524299939712</v>
      </c>
      <c r="H59" s="37" t="s">
        <v>89</v>
      </c>
      <c r="I59" s="45">
        <v>-1.07</v>
      </c>
      <c r="J59" s="38">
        <f t="shared" si="5"/>
        <v>-1.7123261660069411</v>
      </c>
      <c r="K59" s="38">
        <f t="shared" si="6"/>
        <v>-1.2191762301969422</v>
      </c>
      <c r="M59" s="9"/>
    </row>
    <row r="60" spans="2:23">
      <c r="B60" s="8"/>
      <c r="H60" s="37" t="s">
        <v>90</v>
      </c>
      <c r="I60" s="45">
        <v>-0.53</v>
      </c>
      <c r="J60" s="38">
        <f t="shared" si="5"/>
        <v>-0.97260126229194255</v>
      </c>
      <c r="K60" s="38">
        <f t="shared" si="6"/>
        <v>-0.47945132648194355</v>
      </c>
      <c r="M60" s="9"/>
    </row>
    <row r="61" spans="2:23">
      <c r="B61" s="8"/>
      <c r="H61" s="37" t="s">
        <v>91</v>
      </c>
      <c r="I61" s="45">
        <v>-0.48</v>
      </c>
      <c r="J61" s="38">
        <f t="shared" si="5"/>
        <v>-0.90410821565166477</v>
      </c>
      <c r="K61" s="38">
        <f t="shared" si="6"/>
        <v>-0.41095827984166583</v>
      </c>
      <c r="M61" s="9"/>
    </row>
    <row r="62" spans="2:23" ht="15" customHeight="1">
      <c r="B62" s="8"/>
      <c r="H62" s="42" t="s">
        <v>98</v>
      </c>
      <c r="I62" s="38">
        <v>0.61</v>
      </c>
      <c r="J62" s="38">
        <f t="shared" si="5"/>
        <v>0.58904020110638777</v>
      </c>
      <c r="K62" s="38">
        <f t="shared" si="6"/>
        <v>1.0821901369163869</v>
      </c>
      <c r="M62" s="9"/>
    </row>
    <row r="63" spans="2:23">
      <c r="B63" s="8"/>
      <c r="H63" s="43" t="s">
        <v>99</v>
      </c>
      <c r="I63" s="40">
        <v>-0.43</v>
      </c>
      <c r="J63" s="40">
        <f t="shared" si="5"/>
        <v>-0.83561516901138722</v>
      </c>
      <c r="K63" s="40">
        <f t="shared" si="6"/>
        <v>-0.34246523320138822</v>
      </c>
      <c r="M63" s="9"/>
    </row>
    <row r="64" spans="2:23"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3"/>
    </row>
    <row r="65" spans="3:9" ht="15.75" thickBot="1"/>
    <row r="66" spans="3:9" ht="15" customHeight="1">
      <c r="C66" s="99" t="s">
        <v>105</v>
      </c>
      <c r="D66" s="100"/>
      <c r="E66" s="100"/>
      <c r="F66" s="100"/>
      <c r="G66" s="100"/>
      <c r="H66" s="100"/>
      <c r="I66" s="101"/>
    </row>
    <row r="67" spans="3:9" ht="15.75" customHeight="1" thickBot="1">
      <c r="C67" s="102"/>
      <c r="D67" s="103"/>
      <c r="E67" s="103"/>
      <c r="F67" s="103"/>
      <c r="G67" s="103"/>
      <c r="H67" s="103"/>
      <c r="I67" s="104"/>
    </row>
    <row r="68" spans="3:9">
      <c r="C68" s="82">
        <v>10</v>
      </c>
      <c r="D68" s="80" t="s">
        <v>103</v>
      </c>
      <c r="E68" s="81"/>
      <c r="F68" s="81"/>
      <c r="G68" s="94" t="s">
        <v>104</v>
      </c>
      <c r="H68" s="95"/>
      <c r="I68" s="96"/>
    </row>
    <row r="69" spans="3:9">
      <c r="C69" s="83"/>
      <c r="D69" s="112" t="s">
        <v>81</v>
      </c>
      <c r="E69" s="110" t="s">
        <v>96</v>
      </c>
      <c r="F69" s="114"/>
      <c r="G69" s="93" t="s">
        <v>81</v>
      </c>
      <c r="H69" s="97" t="s">
        <v>96</v>
      </c>
      <c r="I69" s="98"/>
    </row>
    <row r="70" spans="3:9" ht="18">
      <c r="C70" s="83"/>
      <c r="D70" s="113"/>
      <c r="E70" s="32" t="s">
        <v>94</v>
      </c>
      <c r="F70" s="64" t="s">
        <v>95</v>
      </c>
      <c r="G70" s="93"/>
      <c r="H70" s="58" t="s">
        <v>94</v>
      </c>
      <c r="I70" s="68" t="s">
        <v>95</v>
      </c>
    </row>
    <row r="71" spans="3:9">
      <c r="C71" s="83"/>
      <c r="D71" s="60" t="s">
        <v>82</v>
      </c>
      <c r="E71" s="33">
        <f>E52*$C$68</f>
        <v>3.0136941338222907</v>
      </c>
      <c r="F71" s="65">
        <f>F52*$C$68</f>
        <v>7.9451934919222804</v>
      </c>
      <c r="G71" s="67" t="s">
        <v>82</v>
      </c>
      <c r="H71" s="59">
        <f t="shared" ref="H71:H82" si="7">J52*$C$68</f>
        <v>-8.6301238766749826</v>
      </c>
      <c r="I71" s="69">
        <f t="shared" ref="I71:I82" si="8">K52*$C$68</f>
        <v>-3.6986245185749929</v>
      </c>
    </row>
    <row r="72" spans="3:9">
      <c r="C72" s="83"/>
      <c r="D72" s="61" t="s">
        <v>83</v>
      </c>
      <c r="E72" s="33">
        <f t="shared" ref="E72:F78" si="9">E53*$C$68</f>
        <v>-11.917790082748279</v>
      </c>
      <c r="F72" s="65">
        <f t="shared" si="9"/>
        <v>-6.986290724648291</v>
      </c>
      <c r="G72" s="67" t="s">
        <v>83</v>
      </c>
      <c r="H72" s="59">
        <f t="shared" si="7"/>
        <v>-11.917790115408309</v>
      </c>
      <c r="I72" s="69">
        <f t="shared" si="8"/>
        <v>-6.9862907573083195</v>
      </c>
    </row>
    <row r="73" spans="3:9">
      <c r="C73" s="83"/>
      <c r="D73" s="61" t="s">
        <v>84</v>
      </c>
      <c r="E73" s="33">
        <f t="shared" si="9"/>
        <v>-7.5342351957505995</v>
      </c>
      <c r="F73" s="65">
        <f t="shared" si="9"/>
        <v>-2.6027358376506098</v>
      </c>
      <c r="G73" s="67" t="s">
        <v>84</v>
      </c>
      <c r="H73" s="59">
        <f t="shared" si="7"/>
        <v>-7.5342351304305408</v>
      </c>
      <c r="I73" s="69">
        <f t="shared" si="8"/>
        <v>-2.6027357723305506</v>
      </c>
    </row>
    <row r="74" spans="3:9">
      <c r="C74" s="83"/>
      <c r="D74" s="61" t="s">
        <v>85</v>
      </c>
      <c r="E74" s="33">
        <f t="shared" si="9"/>
        <v>-6.4383462698759946</v>
      </c>
      <c r="F74" s="65">
        <f t="shared" si="9"/>
        <v>-1.5068469117760042</v>
      </c>
      <c r="G74" s="67" t="s">
        <v>85</v>
      </c>
      <c r="H74" s="59">
        <f t="shared" si="7"/>
        <v>-8.6301238766749826</v>
      </c>
      <c r="I74" s="69">
        <f t="shared" si="8"/>
        <v>-3.6986245185749929</v>
      </c>
    </row>
    <row r="75" spans="3:9">
      <c r="C75" s="83"/>
      <c r="D75" s="61" t="s">
        <v>88</v>
      </c>
      <c r="E75" s="33">
        <f t="shared" si="9"/>
        <v>5.8904022070240556</v>
      </c>
      <c r="F75" s="65">
        <f t="shared" si="9"/>
        <v>10.821901565124046</v>
      </c>
      <c r="G75" s="70" t="s">
        <v>86</v>
      </c>
      <c r="H75" s="59">
        <f t="shared" si="7"/>
        <v>3.0136940521722169</v>
      </c>
      <c r="I75" s="69">
        <f t="shared" si="8"/>
        <v>7.9451934102722079</v>
      </c>
    </row>
    <row r="76" spans="3:9">
      <c r="C76" s="83"/>
      <c r="D76" s="61" t="s">
        <v>89</v>
      </c>
      <c r="E76" s="33">
        <f t="shared" si="9"/>
        <v>-17.123262378590063</v>
      </c>
      <c r="F76" s="65">
        <f t="shared" si="9"/>
        <v>-12.191763020490075</v>
      </c>
      <c r="G76" s="70" t="s">
        <v>87</v>
      </c>
      <c r="H76" s="59">
        <f t="shared" si="7"/>
        <v>-6.4383463841860973</v>
      </c>
      <c r="I76" s="69">
        <f t="shared" si="8"/>
        <v>-1.506847026086108</v>
      </c>
    </row>
    <row r="77" spans="3:9">
      <c r="C77" s="83"/>
      <c r="D77" s="61" t="s">
        <v>90</v>
      </c>
      <c r="E77" s="33">
        <f t="shared" si="9"/>
        <v>-9.7260122309990678</v>
      </c>
      <c r="F77" s="65">
        <f t="shared" si="9"/>
        <v>-4.7945128728990785</v>
      </c>
      <c r="G77" s="67" t="s">
        <v>88</v>
      </c>
      <c r="H77" s="59">
        <f t="shared" si="7"/>
        <v>-9.0410821565166479</v>
      </c>
      <c r="I77" s="69">
        <f t="shared" si="8"/>
        <v>-4.1095827984166586</v>
      </c>
    </row>
    <row r="78" spans="3:9" ht="15.75" thickBot="1">
      <c r="C78" s="84"/>
      <c r="D78" s="62" t="s">
        <v>91</v>
      </c>
      <c r="E78" s="63">
        <f t="shared" si="9"/>
        <v>-8.3561517880939604</v>
      </c>
      <c r="F78" s="66">
        <f t="shared" si="9"/>
        <v>-3.4246524299939711</v>
      </c>
      <c r="G78" s="67" t="s">
        <v>89</v>
      </c>
      <c r="H78" s="59">
        <f t="shared" si="7"/>
        <v>-17.12326166006941</v>
      </c>
      <c r="I78" s="69">
        <f t="shared" si="8"/>
        <v>-12.191762301969423</v>
      </c>
    </row>
    <row r="79" spans="3:9">
      <c r="G79" s="67" t="s">
        <v>90</v>
      </c>
      <c r="H79" s="59">
        <f t="shared" si="7"/>
        <v>-9.7260126229194253</v>
      </c>
      <c r="I79" s="69">
        <f t="shared" si="8"/>
        <v>-4.794513264819436</v>
      </c>
    </row>
    <row r="80" spans="3:9">
      <c r="G80" s="67" t="s">
        <v>91</v>
      </c>
      <c r="H80" s="59">
        <f t="shared" si="7"/>
        <v>-9.0410821565166479</v>
      </c>
      <c r="I80" s="69">
        <f t="shared" si="8"/>
        <v>-4.1095827984166586</v>
      </c>
    </row>
    <row r="81" spans="7:9">
      <c r="G81" s="70" t="s">
        <v>98</v>
      </c>
      <c r="H81" s="59">
        <f t="shared" si="7"/>
        <v>5.8904020110638777</v>
      </c>
      <c r="I81" s="69">
        <f t="shared" si="8"/>
        <v>10.821901369163868</v>
      </c>
    </row>
    <row r="82" spans="7:9" ht="15.75" thickBot="1">
      <c r="G82" s="71" t="s">
        <v>99</v>
      </c>
      <c r="H82" s="72">
        <f t="shared" si="7"/>
        <v>-8.3561516901138724</v>
      </c>
      <c r="I82" s="73">
        <f t="shared" si="8"/>
        <v>-3.4246523320138822</v>
      </c>
    </row>
  </sheetData>
  <mergeCells count="27">
    <mergeCell ref="H30:J30"/>
    <mergeCell ref="J50:K50"/>
    <mergeCell ref="H50:H51"/>
    <mergeCell ref="I50:I51"/>
    <mergeCell ref="D69:D70"/>
    <mergeCell ref="E69:F69"/>
    <mergeCell ref="D68:F68"/>
    <mergeCell ref="C68:C78"/>
    <mergeCell ref="B5:I7"/>
    <mergeCell ref="J5:K7"/>
    <mergeCell ref="L5:M7"/>
    <mergeCell ref="G69:G70"/>
    <mergeCell ref="G68:I68"/>
    <mergeCell ref="H69:I69"/>
    <mergeCell ref="C66:I67"/>
    <mergeCell ref="B10:E10"/>
    <mergeCell ref="B32:I32"/>
    <mergeCell ref="C49:F49"/>
    <mergeCell ref="H49:K49"/>
    <mergeCell ref="C50:C51"/>
    <mergeCell ref="D50:D51"/>
    <mergeCell ref="E50:F50"/>
    <mergeCell ref="O41:O43"/>
    <mergeCell ref="P41:W41"/>
    <mergeCell ref="P42:W42"/>
    <mergeCell ref="O37:R37"/>
    <mergeCell ref="P8:W8"/>
  </mergeCells>
  <dataValidations count="6">
    <dataValidation type="list" allowBlank="1" showInputMessage="1" showErrorMessage="1" sqref="I12">
      <formula1>$Q$9:$U$9</formula1>
    </dataValidation>
    <dataValidation type="list" allowBlank="1" showInputMessage="1" showErrorMessage="1" sqref="I15">
      <formula1>$V$10:$V$13</formula1>
    </dataValidation>
    <dataValidation type="list" allowBlank="1" showInputMessage="1" showErrorMessage="1" sqref="I17">
      <formula1>"B,C,D"</formula1>
    </dataValidation>
    <dataValidation type="list" allowBlank="1" showInputMessage="1" showErrorMessage="1" errorTitle="Warning!" error="Invalid building category_x000a_Must input either I, II, III, or IV" sqref="I14">
      <formula1>$T$16:$T$19</formula1>
    </dataValidation>
    <dataValidation type="list" allowBlank="1" showInputMessage="1" showErrorMessage="1" prompt="Is location in a hurricane prone or non-hurricane prone region?" sqref="I29">
      <formula1>$M$15:$M$16</formula1>
    </dataValidation>
    <dataValidation type="list" allowBlank="1" showInputMessage="1" showErrorMessage="1" sqref="H30">
      <formula1>$R$38:$R$39</formula1>
    </dataValidation>
  </dataValidations>
  <pageMargins left="0.7" right="0.7" top="0.75" bottom="0.75" header="0.3" footer="0.3"/>
  <pageSetup paperSize="9" scale="71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DELL</cp:lastModifiedBy>
  <dcterms:created xsi:type="dcterms:W3CDTF">2015-06-05T18:17:20Z</dcterms:created>
  <dcterms:modified xsi:type="dcterms:W3CDTF">2025-05-19T10:33:23Z</dcterms:modified>
</cp:coreProperties>
</file>