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897e0139b14c7e2/03 Spreadsheet/01 CALCULATION REPORT/00 UPDATED SEND DUY/"/>
    </mc:Choice>
  </mc:AlternateContent>
  <xr:revisionPtr revIDLastSave="1" documentId="13_ncr:1_{A82A2576-2F55-441A-B809-80AAD1A6BE2C}" xr6:coauthVersionLast="47" xr6:coauthVersionMax="47" xr10:uidLastSave="{3FEF0460-F907-43A8-B247-F7215886111E}"/>
  <bookViews>
    <workbookView xWindow="-28920" yWindow="-120" windowWidth="29040" windowHeight="15720" tabRatio="934" activeTab="2" xr2:uid="{00000000-000D-0000-FFFF-FFFF00000000}"/>
  </bookViews>
  <sheets>
    <sheet name="GustFactor" sheetId="151" r:id="rId1"/>
    <sheet name="MODEL" sheetId="150" r:id="rId2"/>
    <sheet name="TCVN" sheetId="149" r:id="rId3"/>
  </sheets>
  <functionGroups builtInGroupCount="19"/>
  <externalReferences>
    <externalReference r:id="rId4"/>
  </externalReferences>
  <definedNames>
    <definedName name="_Fill" hidden="1">#REF!</definedName>
    <definedName name="_IND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AA">#REF!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Titles" localSheetId="0">GustFactor!#REF!</definedName>
    <definedName name="Shape">#REF!</definedName>
    <definedName name="Site_terrain_type">#REF!</definedName>
    <definedName name="Structural_type">#REF!</definedName>
    <definedName name="Structure">#REF!</definedName>
    <definedName name="Stype">#REF!</definedName>
    <definedName name="Type_of_surfac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4" i="151" l="1"/>
  <c r="J54" i="151"/>
  <c r="L53" i="151"/>
  <c r="H21" i="151" s="1"/>
  <c r="J53" i="151"/>
  <c r="L52" i="151"/>
  <c r="J52" i="151"/>
  <c r="K36" i="151"/>
  <c r="E36" i="151"/>
  <c r="K30" i="151"/>
  <c r="K29" i="151"/>
  <c r="K42" i="151" s="1"/>
  <c r="K45" i="151" s="1"/>
  <c r="B28" i="151"/>
  <c r="H24" i="151"/>
  <c r="H20" i="151"/>
  <c r="H19" i="151"/>
  <c r="H18" i="151"/>
  <c r="H23" i="151" s="1"/>
  <c r="H17" i="151"/>
  <c r="H22" i="151" s="1"/>
  <c r="H16" i="151"/>
  <c r="H15" i="151"/>
  <c r="H14" i="151"/>
  <c r="H13" i="151"/>
  <c r="H12" i="151"/>
  <c r="H25" i="151" s="1"/>
  <c r="H11" i="151"/>
  <c r="H10" i="151"/>
  <c r="E7" i="151"/>
  <c r="C57" i="149"/>
  <c r="P25" i="149"/>
  <c r="AD31" i="149"/>
  <c r="AE31" i="149" s="1"/>
  <c r="Z30" i="149" s="1"/>
  <c r="P29" i="149"/>
  <c r="H87" i="149"/>
  <c r="C47" i="149"/>
  <c r="Q34" i="149"/>
  <c r="C34" i="149"/>
  <c r="M22" i="149"/>
  <c r="AD47" i="149" s="1"/>
  <c r="X102" i="149"/>
  <c r="X126" i="149" s="1"/>
  <c r="X101" i="149"/>
  <c r="X125" i="149" s="1"/>
  <c r="X100" i="149"/>
  <c r="X63" i="149"/>
  <c r="X83" i="149" s="1"/>
  <c r="X62" i="149"/>
  <c r="X82" i="149" s="1"/>
  <c r="X61" i="149"/>
  <c r="X81" i="149" s="1"/>
  <c r="K17" i="149"/>
  <c r="K16" i="149"/>
  <c r="L87" i="149"/>
  <c r="O87" i="149"/>
  <c r="C55" i="149"/>
  <c r="C54" i="149"/>
  <c r="C53" i="149"/>
  <c r="C52" i="149"/>
  <c r="C51" i="149"/>
  <c r="C50" i="149"/>
  <c r="C46" i="149"/>
  <c r="C44" i="149"/>
  <c r="C43" i="149"/>
  <c r="Q42" i="149"/>
  <c r="C42" i="149"/>
  <c r="Q41" i="149"/>
  <c r="C41" i="149"/>
  <c r="Q40" i="149"/>
  <c r="C40" i="149"/>
  <c r="Q39" i="149"/>
  <c r="C39" i="149"/>
  <c r="Q38" i="149"/>
  <c r="C38" i="149"/>
  <c r="Q37" i="149"/>
  <c r="C37" i="149"/>
  <c r="C36" i="149"/>
  <c r="C35" i="149"/>
  <c r="Q33" i="149"/>
  <c r="C33" i="149"/>
  <c r="W31" i="149"/>
  <c r="W30" i="149"/>
  <c r="P30" i="149"/>
  <c r="Q28" i="149"/>
  <c r="J30" i="149"/>
  <c r="M29" i="149"/>
  <c r="J29" i="149"/>
  <c r="N28" i="149"/>
  <c r="J28" i="149"/>
  <c r="N27" i="149"/>
  <c r="J27" i="149"/>
  <c r="E27" i="149"/>
  <c r="E28" i="149" s="1"/>
  <c r="I26" i="149"/>
  <c r="C26" i="149"/>
  <c r="C25" i="149"/>
  <c r="M23" i="149"/>
  <c r="J23" i="149"/>
  <c r="J21" i="149"/>
  <c r="J22" i="149"/>
  <c r="J20" i="149"/>
  <c r="J19" i="149"/>
  <c r="J18" i="149"/>
  <c r="C17" i="149"/>
  <c r="C16" i="149"/>
  <c r="C15" i="149"/>
  <c r="AJ47" i="149"/>
  <c r="AI47" i="149"/>
  <c r="AE47" i="149"/>
  <c r="AH47" i="149"/>
  <c r="AF47" i="149"/>
  <c r="AG47" i="149"/>
  <c r="K40" i="151" l="1"/>
  <c r="K39" i="151" s="1"/>
  <c r="E40" i="151"/>
  <c r="E39" i="151" s="1"/>
  <c r="E37" i="151"/>
  <c r="K41" i="151"/>
  <c r="K44" i="151" s="1"/>
  <c r="E41" i="151"/>
  <c r="E44" i="151" s="1"/>
  <c r="E43" i="151"/>
  <c r="E46" i="151" s="1"/>
  <c r="E42" i="151"/>
  <c r="E45" i="151" s="1"/>
  <c r="K43" i="151"/>
  <c r="K46" i="151" s="1"/>
  <c r="K37" i="151"/>
  <c r="X103" i="149"/>
  <c r="X127" i="149" s="1"/>
  <c r="Y37" i="149"/>
  <c r="O50" i="149"/>
  <c r="M50" i="149"/>
  <c r="K50" i="149"/>
  <c r="I50" i="149"/>
  <c r="W37" i="149"/>
  <c r="G50" i="149"/>
  <c r="U37" i="149"/>
  <c r="AF31" i="149"/>
  <c r="Z31" i="149" s="1"/>
  <c r="K51" i="149" s="1"/>
  <c r="X84" i="149"/>
  <c r="X124" i="149"/>
  <c r="X64" i="149"/>
  <c r="AL47" i="149"/>
  <c r="AQ47" i="149"/>
  <c r="M30" i="149"/>
  <c r="I36" i="149"/>
  <c r="G36" i="149"/>
  <c r="K36" i="149"/>
  <c r="G35" i="149"/>
  <c r="G39" i="149" s="1"/>
  <c r="I35" i="149"/>
  <c r="I39" i="149" s="1"/>
  <c r="K35" i="149"/>
  <c r="K39" i="149" s="1"/>
  <c r="AU47" i="149"/>
  <c r="AV47" i="149"/>
  <c r="AO47" i="149"/>
  <c r="AR47" i="149"/>
  <c r="AS47" i="149"/>
  <c r="AT47" i="149"/>
  <c r="AN47" i="149"/>
  <c r="AM47" i="149"/>
  <c r="E33" i="151" l="1"/>
  <c r="E38" i="151"/>
  <c r="K38" i="151"/>
  <c r="K33" i="151" s="1"/>
  <c r="U38" i="149"/>
  <c r="G40" i="149"/>
  <c r="G51" i="149"/>
  <c r="I40" i="149"/>
  <c r="I42" i="149" s="1"/>
  <c r="Y38" i="149"/>
  <c r="I51" i="149"/>
  <c r="M51" i="149"/>
  <c r="W38" i="149"/>
  <c r="K40" i="149"/>
  <c r="O51" i="149"/>
  <c r="I48" i="149"/>
  <c r="G48" i="149"/>
  <c r="O48" i="149"/>
  <c r="M48" i="149"/>
  <c r="K48" i="149"/>
  <c r="U35" i="149"/>
  <c r="W35" i="149"/>
  <c r="Y35" i="149"/>
  <c r="M31" i="149"/>
  <c r="K41" i="149" s="1"/>
  <c r="U40" i="149" l="1"/>
  <c r="O52" i="149"/>
  <c r="G53" i="149"/>
  <c r="G42" i="149"/>
  <c r="K53" i="149"/>
  <c r="G52" i="149"/>
  <c r="K42" i="149"/>
  <c r="K44" i="149" s="1"/>
  <c r="H106" i="149" s="1"/>
  <c r="I52" i="149"/>
  <c r="U39" i="149"/>
  <c r="U41" i="149" s="1"/>
  <c r="I53" i="149"/>
  <c r="O49" i="149"/>
  <c r="O55" i="149" s="1"/>
  <c r="M49" i="149"/>
  <c r="M55" i="149" s="1"/>
  <c r="K49" i="149"/>
  <c r="K55" i="149" s="1"/>
  <c r="H69" i="149" s="1"/>
  <c r="I49" i="149"/>
  <c r="I54" i="149" s="1"/>
  <c r="H74" i="149" s="1"/>
  <c r="G49" i="149"/>
  <c r="G55" i="149" s="1"/>
  <c r="Y36" i="149"/>
  <c r="Y42" i="149" s="1"/>
  <c r="H133" i="149" s="1"/>
  <c r="W36" i="149"/>
  <c r="U36" i="149"/>
  <c r="K38" i="149"/>
  <c r="I38" i="149"/>
  <c r="G38" i="149"/>
  <c r="G44" i="149" s="1"/>
  <c r="K37" i="149"/>
  <c r="K43" i="149" s="1"/>
  <c r="H105" i="149" s="1"/>
  <c r="I37" i="149"/>
  <c r="I43" i="149" s="1"/>
  <c r="K112" i="149" s="1"/>
  <c r="G37" i="149"/>
  <c r="Y39" i="149"/>
  <c r="K52" i="149"/>
  <c r="W39" i="149"/>
  <c r="W41" i="149" s="1"/>
  <c r="K125" i="149" s="1"/>
  <c r="O53" i="149"/>
  <c r="G41" i="149"/>
  <c r="W40" i="149"/>
  <c r="W42" i="149" s="1"/>
  <c r="K126" i="149" s="1"/>
  <c r="M53" i="149"/>
  <c r="M52" i="149"/>
  <c r="Y40" i="149"/>
  <c r="I41" i="149"/>
  <c r="U42" i="149"/>
  <c r="I44" i="149"/>
  <c r="K113" i="149" s="1"/>
  <c r="G43" i="149" l="1"/>
  <c r="O54" i="149"/>
  <c r="M54" i="149"/>
  <c r="K54" i="149"/>
  <c r="H68" i="149" s="1"/>
  <c r="O88" i="149" s="1"/>
  <c r="I55" i="149"/>
  <c r="H75" i="149" s="1"/>
  <c r="O95" i="149" s="1"/>
  <c r="Y41" i="149"/>
  <c r="H132" i="149" s="1"/>
  <c r="G54" i="149"/>
  <c r="O82" i="149" s="1"/>
  <c r="N68" i="149"/>
  <c r="H88" i="149" s="1"/>
  <c r="H126" i="149"/>
  <c r="O126" i="149" s="1"/>
  <c r="H125" i="149"/>
  <c r="O125" i="149" s="1"/>
  <c r="H113" i="149"/>
  <c r="O113" i="149" s="1"/>
  <c r="N69" i="149"/>
  <c r="H89" i="149" s="1"/>
  <c r="K68" i="149"/>
  <c r="L88" i="149" s="1"/>
  <c r="H112" i="149"/>
  <c r="O112" i="149" s="1"/>
  <c r="K69" i="149"/>
  <c r="L89" i="149" s="1"/>
  <c r="H63" i="149"/>
  <c r="O83" i="149"/>
  <c r="O89" i="149"/>
  <c r="O94" i="149"/>
  <c r="H62" i="149" l="1"/>
</calcChain>
</file>

<file path=xl/sharedStrings.xml><?xml version="1.0" encoding="utf-8"?>
<sst xmlns="http://schemas.openxmlformats.org/spreadsheetml/2006/main" count="404" uniqueCount="279">
  <si>
    <t>C</t>
  </si>
  <si>
    <t>B</t>
  </si>
  <si>
    <t>II</t>
  </si>
  <si>
    <t>III</t>
  </si>
  <si>
    <t>IV</t>
  </si>
  <si>
    <t>I</t>
  </si>
  <si>
    <t>Project's code:</t>
  </si>
  <si>
    <t>Rev. No.</t>
  </si>
  <si>
    <t>Project:</t>
  </si>
  <si>
    <t>Date:</t>
  </si>
  <si>
    <t>The owner:</t>
  </si>
  <si>
    <t>V</t>
  </si>
  <si>
    <t>Zone</t>
  </si>
  <si>
    <t>W3s,20</t>
  </si>
  <si>
    <t>A</t>
  </si>
  <si>
    <t xml:space="preserve">Terrain </t>
  </si>
  <si>
    <t>zg</t>
  </si>
  <si>
    <t>zmin</t>
  </si>
  <si>
    <t>a</t>
  </si>
  <si>
    <t>k(ze)max</t>
  </si>
  <si>
    <t>Wind pressure acting on the surfaces:</t>
  </si>
  <si>
    <t>F</t>
  </si>
  <si>
    <t>G</t>
  </si>
  <si>
    <t>H</t>
  </si>
  <si>
    <t>Góc dốc</t>
  </si>
  <si>
    <r>
      <t xml:space="preserve">Góc hướng gió </t>
    </r>
    <r>
      <rPr>
        <sz val="10"/>
        <color indexed="12"/>
        <rFont val="Symbol"/>
        <family val="1"/>
        <charset val="2"/>
      </rPr>
      <t>q</t>
    </r>
    <r>
      <rPr>
        <sz val="10"/>
        <color indexed="12"/>
        <rFont val="Arial"/>
        <family val="2"/>
      </rPr>
      <t>=0</t>
    </r>
    <r>
      <rPr>
        <vertAlign val="superscript"/>
        <sz val="10"/>
        <color rgb="FF0000FF"/>
        <rFont val="Arial"/>
        <family val="2"/>
      </rPr>
      <t>0</t>
    </r>
  </si>
  <si>
    <t>Tất cả giá trị âm</t>
  </si>
  <si>
    <t>Tất cả giá trị dương</t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</si>
  <si>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180</t>
    </r>
    <r>
      <rPr>
        <vertAlign val="superscript"/>
        <sz val="10"/>
        <color rgb="FF0000FF"/>
        <rFont val="Arial"/>
        <family val="2"/>
      </rPr>
      <t>0</t>
    </r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</si>
  <si>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90</t>
    </r>
    <r>
      <rPr>
        <vertAlign val="superscript"/>
        <sz val="10"/>
        <color rgb="FF0000FF"/>
        <rFont val="Arial"/>
        <family val="2"/>
      </rPr>
      <t>0</t>
    </r>
  </si>
  <si>
    <t>Fup</t>
  </si>
  <si>
    <t>Fdown</t>
  </si>
  <si>
    <t>BUILDING (STRUCTURE) DATA</t>
  </si>
  <si>
    <t>SITE DATA</t>
  </si>
  <si>
    <t>Structure:</t>
  </si>
  <si>
    <t>Site terrain type:</t>
  </si>
  <si>
    <t>Structural type:</t>
  </si>
  <si>
    <t>COEFFICIENTS AND FACTORS</t>
  </si>
  <si>
    <t>Monopitch roofs</t>
  </si>
  <si>
    <r>
      <t>c</t>
    </r>
    <r>
      <rPr>
        <vertAlign val="subscript"/>
        <sz val="11"/>
        <color theme="1"/>
        <rFont val="Calibri"/>
        <family val="2"/>
        <scheme val="minor"/>
      </rPr>
      <t>pe</t>
    </r>
    <r>
      <rPr>
        <sz val="11"/>
        <color theme="1"/>
        <rFont val="Calibri"/>
        <family val="2"/>
        <scheme val="minor"/>
      </rPr>
      <t xml:space="preserve"> =</t>
    </r>
  </si>
  <si>
    <t/>
  </si>
  <si>
    <t>Steel building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</si>
  <si>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</si>
  <si>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</si>
  <si>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</si>
  <si>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</si>
  <si>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</si>
  <si>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</si>
  <si>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Case 1</t>
  </si>
  <si>
    <t>Case 2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</si>
  <si>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</si>
  <si>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k </t>
    </r>
    <r>
      <rPr>
        <sz val="11"/>
        <color theme="1"/>
        <rFont val="Calibri"/>
        <family val="2"/>
        <scheme val="minor"/>
      </rPr>
      <t>(kPa)=</t>
    </r>
  </si>
  <si>
    <r>
      <t>F</t>
    </r>
    <r>
      <rPr>
        <vertAlign val="subscript"/>
        <sz val="11"/>
        <color theme="1"/>
        <rFont val="Calibri"/>
        <family val="2"/>
        <scheme val="minor"/>
      </rPr>
      <t>up</t>
    </r>
  </si>
  <si>
    <r>
      <t>F</t>
    </r>
    <r>
      <rPr>
        <vertAlign val="subscript"/>
        <sz val="11"/>
        <color theme="1"/>
        <rFont val="Calibri"/>
        <family val="2"/>
        <scheme val="minor"/>
      </rPr>
      <t>low</t>
    </r>
  </si>
  <si>
    <t>b (m) =</t>
  </si>
  <si>
    <t>h (m) =</t>
  </si>
  <si>
    <t>e = min (b ; 2h) =</t>
  </si>
  <si>
    <t>(m)</t>
  </si>
  <si>
    <t>d (m) =</t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</si>
  <si>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</si>
  <si>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</si>
  <si>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t>EN</t>
  </si>
  <si>
    <t>VN</t>
  </si>
  <si>
    <t>Mã dự án</t>
  </si>
  <si>
    <t>Dự án</t>
  </si>
  <si>
    <t>Chủ đầu tư</t>
  </si>
  <si>
    <t>Item</t>
  </si>
  <si>
    <t>Hạng mục</t>
  </si>
  <si>
    <t>Hiệu chỉnh</t>
  </si>
  <si>
    <t>Ngày</t>
  </si>
  <si>
    <t>Design</t>
  </si>
  <si>
    <t>Thiết kế</t>
  </si>
  <si>
    <t>Check</t>
  </si>
  <si>
    <t>Kiểm tra</t>
  </si>
  <si>
    <t>Design code:</t>
  </si>
  <si>
    <t>Tiêu chuẩn thiết kế:</t>
  </si>
  <si>
    <t>TCVN 2737:2023 Loads and Action - Design standard</t>
  </si>
  <si>
    <t>TCVN 2737:2023 Tải trọng và tác động - Tiêu chuẩn thiết kế</t>
  </si>
  <si>
    <t>Section F.2.1 Flat roofs are defined as having a angle</t>
  </si>
  <si>
    <t>Mục F.2.1 Mái bằng khi có góc dốc</t>
  </si>
  <si>
    <t>KÍCH THƯỚC HÌNH HỌC</t>
  </si>
  <si>
    <t>Kết cấu:</t>
  </si>
  <si>
    <t>Flat roof</t>
  </si>
  <si>
    <t>Mái bằng</t>
  </si>
  <si>
    <t>Loại kết cấu:</t>
  </si>
  <si>
    <t>Type of roof:</t>
  </si>
  <si>
    <t>Loại mái:</t>
  </si>
  <si>
    <t>Roof / building width</t>
  </si>
  <si>
    <t>Chiều rộng nhà / mái</t>
  </si>
  <si>
    <t>Roof / building length</t>
  </si>
  <si>
    <t>Chiều dài nhà / mái</t>
  </si>
  <si>
    <t>Building height</t>
  </si>
  <si>
    <t>Chiều cao nhà</t>
  </si>
  <si>
    <t>Parapet height</t>
  </si>
  <si>
    <t>Chiều cao tường chắn</t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</si>
  <si>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</si>
  <si>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</si>
  <si>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</si>
  <si>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</si>
  <si>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</si>
  <si>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</si>
  <si>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DỮ LIỆU CÔNG TRÌNH</t>
  </si>
  <si>
    <t>Vùng</t>
  </si>
  <si>
    <t>Dạng địa hình</t>
  </si>
  <si>
    <t>HỆ SỐ</t>
  </si>
  <si>
    <t>Internal pressure coefficient</t>
  </si>
  <si>
    <t>Hệ số khí động áp lực bên trong</t>
  </si>
  <si>
    <t>Trường hợp 1</t>
  </si>
  <si>
    <t>Trường hợp 2</t>
  </si>
  <si>
    <t>CALCULATIONS: WIND PRESSURES FOR ROOF</t>
  </si>
  <si>
    <t>TÍNH TOÁN ÁP LỰC GIÓ</t>
  </si>
  <si>
    <t>Reference height</t>
  </si>
  <si>
    <t>Chiều cao tham chiếu</t>
  </si>
  <si>
    <t xml:space="preserve">Terrain factor </t>
  </si>
  <si>
    <t>Hệ số thay đổi theo độ cao và địa hình</t>
  </si>
  <si>
    <t>(Section 10.2.2)</t>
  </si>
  <si>
    <t>(Mục 10.2.2)</t>
  </si>
  <si>
    <t>TH1</t>
  </si>
  <si>
    <t>TH2</t>
  </si>
  <si>
    <t>Áp lực gió tác dụng lên bề mặt:</t>
  </si>
  <si>
    <t>Roof angle</t>
  </si>
  <si>
    <t>Góc nghiêng mái</t>
  </si>
  <si>
    <t>Roof slope</t>
  </si>
  <si>
    <t>Độ dốc mái</t>
  </si>
  <si>
    <t>CALCULATIONS: WIND PRESSURES FOR ROOF (WIND X)</t>
  </si>
  <si>
    <t>TÍNH TOÁN ÁP LỰC GIÓ LÊN MÁI (PHƯƠNG X)</t>
  </si>
  <si>
    <t>CALCULATIONS: WIND PRESSURES FOR ROOF (WIND Y)</t>
  </si>
  <si>
    <t>TÍNH TOÁN ÁP LỰC GIÓ LÊN MÁI (PHƯƠNG Y)</t>
  </si>
  <si>
    <t>Ridge or trough</t>
  </si>
  <si>
    <t>Đường nóc</t>
  </si>
  <si>
    <t>RC building</t>
  </si>
  <si>
    <t>/ Nhà BTCT</t>
  </si>
  <si>
    <t>/ Nhà thép</t>
  </si>
  <si>
    <t>B [m] =</t>
  </si>
  <si>
    <t>L [m] =</t>
  </si>
  <si>
    <t>h [m] =</t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</si>
  <si>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[deg] =</t>
    </r>
  </si>
  <si>
    <t>i =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</si>
  <si>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-</t>
    </r>
  </si>
  <si>
    <r>
      <t xml:space="preserve"> (</t>
    </r>
    <r>
      <rPr>
        <b/>
        <sz val="11"/>
        <rFont val="Symbol"/>
        <family val="1"/>
        <charset val="2"/>
      </rPr>
      <t>q</t>
    </r>
    <r>
      <rPr>
        <b/>
        <sz val="11"/>
        <rFont val="Calibri"/>
        <family val="2"/>
        <scheme val="minor"/>
      </rPr>
      <t xml:space="preserve"> = 0</t>
    </r>
    <r>
      <rPr>
        <b/>
        <vertAlign val="superscript"/>
        <sz val="11"/>
        <rFont val="Calibri"/>
        <family val="2"/>
        <scheme val="minor"/>
      </rPr>
      <t>O</t>
    </r>
    <r>
      <rPr>
        <b/>
        <sz val="11"/>
        <rFont val="Calibri"/>
        <family val="2"/>
        <scheme val="minor"/>
      </rPr>
      <t>)</t>
    </r>
  </si>
  <si>
    <r>
      <t xml:space="preserve"> (</t>
    </r>
    <r>
      <rPr>
        <b/>
        <sz val="11"/>
        <rFont val="Symbol"/>
        <family val="1"/>
        <charset val="2"/>
      </rPr>
      <t>q</t>
    </r>
    <r>
      <rPr>
        <b/>
        <sz val="11"/>
        <rFont val="Calibri"/>
        <family val="2"/>
        <scheme val="minor"/>
      </rPr>
      <t xml:space="preserve"> = 180</t>
    </r>
    <r>
      <rPr>
        <b/>
        <vertAlign val="superscript"/>
        <sz val="11"/>
        <rFont val="Calibri"/>
        <family val="2"/>
        <scheme val="minor"/>
      </rPr>
      <t>O</t>
    </r>
    <r>
      <rPr>
        <b/>
        <sz val="11"/>
        <rFont val="Calibri"/>
        <family val="2"/>
        <scheme val="minor"/>
      </rPr>
      <t>)</t>
    </r>
  </si>
  <si>
    <r>
      <t xml:space="preserve"> (</t>
    </r>
    <r>
      <rPr>
        <b/>
        <sz val="11"/>
        <rFont val="Symbol"/>
        <family val="1"/>
        <charset val="2"/>
      </rPr>
      <t>q</t>
    </r>
    <r>
      <rPr>
        <b/>
        <sz val="11"/>
        <rFont val="Calibri"/>
        <family val="2"/>
        <scheme val="minor"/>
      </rPr>
      <t xml:space="preserve"> = 90</t>
    </r>
    <r>
      <rPr>
        <b/>
        <vertAlign val="superscript"/>
        <sz val="11"/>
        <rFont val="Calibri"/>
        <family val="2"/>
        <scheme val="minor"/>
      </rPr>
      <t>O</t>
    </r>
    <r>
      <rPr>
        <b/>
        <sz val="11"/>
        <rFont val="Calibri"/>
        <family val="2"/>
        <scheme val="minor"/>
      </rPr>
      <t>)</t>
    </r>
  </si>
  <si>
    <t>HẠNG MỤC</t>
  </si>
  <si>
    <t>NHÀ KHO</t>
  </si>
  <si>
    <t>Điểm cao / High Point</t>
  </si>
  <si>
    <t>Điểm thấp / Low Point</t>
  </si>
  <si>
    <t>TÍNH TOÁN TẢI TRỌNG GIÓ THEO TIÊU CHUẨN VIỆT NAM 2737-2023
(ÁP DỤNG NHÀ MÁI DỐC MỘT PHÍA, MẶT BẰNG HÌNH CHỮ NHẬT)</t>
  </si>
  <si>
    <r>
      <t>Vùng F</t>
    </r>
    <r>
      <rPr>
        <vertAlign val="subscript"/>
        <sz val="11"/>
        <color theme="1"/>
        <rFont val="Calibri"/>
        <family val="2"/>
        <scheme val="minor"/>
      </rPr>
      <t>up</t>
    </r>
  </si>
  <si>
    <t>Vùng G</t>
  </si>
  <si>
    <t>Vùng H</t>
  </si>
  <si>
    <t>Vùng I</t>
  </si>
  <si>
    <r>
      <t>Vùng F</t>
    </r>
    <r>
      <rPr>
        <vertAlign val="subscript"/>
        <sz val="11"/>
        <color theme="1"/>
        <rFont val="Calibri"/>
        <family val="2"/>
        <scheme val="minor"/>
      </rPr>
      <t>low</t>
    </r>
  </si>
  <si>
    <t>Vùng F</t>
  </si>
  <si>
    <t>I. Kích thước hình học</t>
  </si>
  <si>
    <t>Bước cột dọc nhà</t>
  </si>
  <si>
    <t>6+7x8+6</t>
  </si>
  <si>
    <t>Bước cột khung giữa</t>
  </si>
  <si>
    <t>Bước cột khung đầu hồi</t>
  </si>
  <si>
    <t>4x7.5</t>
  </si>
  <si>
    <t>Cổ cột</t>
  </si>
  <si>
    <t>II. Vật liệu</t>
  </si>
  <si>
    <t>Bê tông</t>
  </si>
  <si>
    <t>B25</t>
  </si>
  <si>
    <t>Thép tổ hợp</t>
  </si>
  <si>
    <t>Q345</t>
  </si>
  <si>
    <t>Thép đai</t>
  </si>
  <si>
    <t>CB240-T</t>
  </si>
  <si>
    <t>Thép hình</t>
  </si>
  <si>
    <t>Q235</t>
  </si>
  <si>
    <t>Thép dọc</t>
  </si>
  <si>
    <t>CB400-V</t>
  </si>
  <si>
    <t>III. Tiết diện hình học</t>
  </si>
  <si>
    <t>Khung giữa</t>
  </si>
  <si>
    <t>Khung đầu hồi</t>
  </si>
  <si>
    <t>Kèo</t>
  </si>
  <si>
    <t>800x6+200x12</t>
  </si>
  <si>
    <t>400x6+200x10</t>
  </si>
  <si>
    <t>Cột biên</t>
  </si>
  <si>
    <t>(300-500)x5+200x10</t>
  </si>
  <si>
    <t>400x5+200x10</t>
  </si>
  <si>
    <t>Cột giữa</t>
  </si>
  <si>
    <t>500x5+200x8</t>
  </si>
  <si>
    <t>Giằng X</t>
  </si>
  <si>
    <t>Rod 20</t>
  </si>
  <si>
    <t>C500x500</t>
  </si>
  <si>
    <t>Giằng dọc</t>
  </si>
  <si>
    <t>SHS 100x3</t>
  </si>
  <si>
    <t>Dầm biên</t>
  </si>
  <si>
    <t>B300x600</t>
  </si>
  <si>
    <t>Chiều cao cột trục A</t>
  </si>
  <si>
    <t>Chiều cao cột trục B</t>
  </si>
  <si>
    <t>Cột</t>
  </si>
  <si>
    <t>Open ratio for each wind direction</t>
  </si>
  <si>
    <t>Độ hở của tường chắn</t>
  </si>
  <si>
    <t>Hệ số áp lực trong (phụ lục F12)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</si>
  <si>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).c.G</t>
    </r>
    <r>
      <rPr>
        <vertAlign val="subscript"/>
        <sz val="11"/>
        <rFont val="Calibri"/>
        <family val="2"/>
        <scheme val="minor"/>
      </rPr>
      <t>f</t>
    </r>
  </si>
  <si>
    <r>
      <t>G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</si>
  <si>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[m]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</si>
  <si>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=</t>
    </r>
  </si>
  <si>
    <r>
      <t>kN/m</t>
    </r>
    <r>
      <rPr>
        <vertAlign val="superscript"/>
        <sz val="11"/>
        <rFont val="Calibri"/>
        <family val="2"/>
        <scheme val="minor"/>
      </rPr>
      <t>2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</si>
  <si>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*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* G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 xml:space="preserve"> (kN/m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)=</t>
    </r>
  </si>
  <si>
    <t>DIAGRAM: ZONES OF DUOPITCH ROOF</t>
  </si>
  <si>
    <t>SƠ ĐỒ PHÂN CHIA VÙNG ÁP LỰC GIÓ</t>
  </si>
  <si>
    <t>Gió</t>
  </si>
  <si>
    <t>TÍNH TOÁN HỆ SỐ HIỆU ỨNG GIẬT Gf</t>
  </si>
  <si>
    <t>1. Dữ liệu tính toán</t>
  </si>
  <si>
    <t>Chiều cao nhà từ mặt đất (m)</t>
  </si>
  <si>
    <t>Chiều cao lan can tầng mái:</t>
  </si>
  <si>
    <t>m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</si>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</sst>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&quot;$&quot;#,##0\ ;\(&quot;$&quot;#,##0\)"/>
    <numFmt numFmtId="167" formatCode="0.0%"/>
    <numFmt numFmtId="168" formatCode="0.0"/>
  </numFmts>
  <fonts count="9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12"/>
      <name val="Symbol"/>
      <family val="1"/>
      <charset val="2"/>
    </font>
    <font>
      <sz val="10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sz val="10"/>
      <color rgb="FF0000FF"/>
      <name val="Arial"/>
      <family val="2"/>
    </font>
    <font>
      <vertAlign val="superscript"/>
      <sz val="10"/>
      <color rgb="FF0000FF"/>
      <name val="Arial"/>
      <family val="2"/>
    </font>
    <font>
      <sz val="10"/>
      <name val="Arial"/>
      <family val="2"/>
    </font>
    <font>
      <sz val="10"/>
      <name val="Arial CE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6969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rgb="FFC00000"/>
      <name val="Arial"/>
      <family val="2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C00000"/>
      <name val="Arial"/>
      <family val="2"/>
    </font>
    <font>
      <sz val="20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Arial"/>
      <family val="2"/>
    </font>
    <font>
      <i/>
      <u/>
      <sz val="1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b/>
      <sz val="11"/>
      <name val="Symbol"/>
      <family val="1"/>
      <charset val="2"/>
    </font>
    <font>
      <b/>
      <vertAlign val="superscript"/>
      <sz val="11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rgb="FF0070C0"/>
      <name val="Arial"/>
      <family val="2"/>
    </font>
    <font>
      <sz val="11"/>
      <color rgb="FF0000CC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53">
    <xf numFmtId="0" fontId="0" fillId="0" borderId="0"/>
    <xf numFmtId="0" fontId="18" fillId="2" borderId="0" applyNumberFormat="0" applyBorder="0" applyAlignment="0" applyProtection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5" borderId="0" applyNumberFormat="0" applyBorder="0" applyAlignment="0" applyProtection="0"/>
    <xf numFmtId="0" fontId="18" fillId="8" borderId="0" applyNumberFormat="0" applyBorder="0" applyAlignment="0" applyProtection="0"/>
    <xf numFmtId="0" fontId="18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9" borderId="0" applyNumberFormat="0" applyBorder="0" applyAlignment="0" applyProtection="0"/>
    <xf numFmtId="0" fontId="20" fillId="3" borderId="0" applyNumberFormat="0" applyBorder="0" applyAlignment="0" applyProtection="0"/>
    <xf numFmtId="0" fontId="21" fillId="20" borderId="1" applyNumberFormat="0" applyAlignment="0" applyProtection="0"/>
    <xf numFmtId="0" fontId="22" fillId="21" borderId="2" applyNumberFormat="0" applyAlignment="0" applyProtection="0"/>
    <xf numFmtId="3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23" fillId="0" borderId="0" applyNumberFormat="0" applyFill="0" applyBorder="0" applyAlignment="0" applyProtection="0"/>
    <xf numFmtId="2" fontId="15" fillId="0" borderId="0" applyFont="0" applyFill="0" applyBorder="0" applyAlignment="0" applyProtection="0"/>
    <xf numFmtId="0" fontId="24" fillId="4" borderId="0" applyNumberFormat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5" fillId="0" borderId="3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4" applyNumberFormat="0" applyFill="0" applyAlignment="0" applyProtection="0"/>
    <xf numFmtId="0" fontId="28" fillId="22" borderId="0" applyNumberFormat="0" applyBorder="0" applyAlignment="0" applyProtection="0"/>
    <xf numFmtId="0" fontId="10" fillId="0" borderId="0"/>
    <xf numFmtId="0" fontId="12" fillId="23" borderId="5" applyNumberFormat="0" applyFont="0" applyAlignment="0" applyProtection="0"/>
    <xf numFmtId="0" fontId="29" fillId="20" borderId="6" applyNumberFormat="0" applyAlignment="0" applyProtection="0"/>
    <xf numFmtId="49" fontId="32" fillId="0" borderId="0">
      <alignment horizontal="left" vertical="center"/>
    </xf>
    <xf numFmtId="0" fontId="30" fillId="0" borderId="0" applyNumberFormat="0" applyFill="0" applyBorder="0" applyAlignment="0" applyProtection="0"/>
    <xf numFmtId="0" fontId="15" fillId="0" borderId="7" applyNumberFormat="0" applyFont="0" applyFill="0" applyAlignment="0" applyProtection="0"/>
    <xf numFmtId="0" fontId="31" fillId="0" borderId="0" applyNumberFormat="0" applyFill="0" applyBorder="0" applyAlignment="0" applyProtection="0"/>
    <xf numFmtId="9" fontId="35" fillId="0" borderId="0" applyFont="0" applyFill="0" applyBorder="0" applyAlignment="0" applyProtection="0"/>
    <xf numFmtId="0" fontId="4" fillId="0" borderId="0"/>
    <xf numFmtId="0" fontId="83" fillId="32" borderId="0" applyNumberFormat="0" applyBorder="0" applyAlignment="0" applyProtection="0"/>
    <xf numFmtId="0" fontId="10" fillId="0" borderId="0"/>
    <xf numFmtId="0" fontId="93" fillId="0" borderId="0"/>
  </cellStyleXfs>
  <cellXfs count="374">
    <xf numFmtId="0" fontId="0" fillId="0" borderId="0" xfId="0"/>
    <xf numFmtId="0" fontId="0" fillId="24" borderId="8" xfId="0" applyFill="1" applyBorder="1" applyProtection="1">
      <protection hidden="1"/>
    </xf>
    <xf numFmtId="0" fontId="0" fillId="24" borderId="0" xfId="0" applyFill="1" applyProtection="1">
      <protection hidden="1"/>
    </xf>
    <xf numFmtId="0" fontId="0" fillId="24" borderId="9" xfId="0" applyFill="1" applyBorder="1" applyProtection="1">
      <protection hidden="1"/>
    </xf>
    <xf numFmtId="0" fontId="0" fillId="24" borderId="14" xfId="0" applyFill="1" applyBorder="1" applyProtection="1">
      <protection hidden="1"/>
    </xf>
    <xf numFmtId="0" fontId="0" fillId="24" borderId="15" xfId="0" applyFill="1" applyBorder="1" applyProtection="1">
      <protection hidden="1"/>
    </xf>
    <xf numFmtId="0" fontId="0" fillId="24" borderId="16" xfId="0" applyFill="1" applyBorder="1" applyProtection="1">
      <protection hidden="1"/>
    </xf>
    <xf numFmtId="0" fontId="11" fillId="0" borderId="1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2" fontId="0" fillId="24" borderId="0" xfId="0" applyNumberFormat="1" applyFill="1" applyAlignment="1" applyProtection="1">
      <alignment horizontal="center" vertical="center"/>
      <protection hidden="1"/>
    </xf>
    <xf numFmtId="0" fontId="14" fillId="0" borderId="10" xfId="0" applyFont="1" applyBorder="1" applyAlignment="1">
      <alignment horizontal="center"/>
    </xf>
    <xf numFmtId="0" fontId="33" fillId="0" borderId="10" xfId="0" applyFont="1" applyBorder="1" applyAlignment="1">
      <alignment horizontal="center" vertical="center"/>
    </xf>
    <xf numFmtId="0" fontId="37" fillId="25" borderId="19" xfId="0" applyFont="1" applyFill="1" applyBorder="1" applyAlignment="1">
      <alignment vertical="center"/>
    </xf>
    <xf numFmtId="0" fontId="42" fillId="25" borderId="13" xfId="0" applyFont="1" applyFill="1" applyBorder="1" applyAlignment="1" applyProtection="1">
      <alignment horizontal="left" vertical="center"/>
      <protection hidden="1"/>
    </xf>
    <xf numFmtId="0" fontId="36" fillId="24" borderId="0" xfId="0" applyFont="1" applyFill="1" applyProtection="1">
      <protection hidden="1"/>
    </xf>
    <xf numFmtId="0" fontId="0" fillId="24" borderId="0" xfId="0" applyFill="1"/>
    <xf numFmtId="0" fontId="38" fillId="24" borderId="8" xfId="0" applyFont="1" applyFill="1" applyBorder="1" applyAlignment="1" applyProtection="1">
      <alignment vertical="center"/>
      <protection hidden="1"/>
    </xf>
    <xf numFmtId="0" fontId="38" fillId="24" borderId="9" xfId="0" applyFont="1" applyFill="1" applyBorder="1" applyAlignment="1" applyProtection="1">
      <alignment vertical="center"/>
      <protection hidden="1"/>
    </xf>
    <xf numFmtId="0" fontId="38" fillId="24" borderId="14" xfId="0" applyFont="1" applyFill="1" applyBorder="1" applyAlignment="1" applyProtection="1">
      <alignment vertical="center"/>
      <protection hidden="1"/>
    </xf>
    <xf numFmtId="0" fontId="38" fillId="24" borderId="15" xfId="0" applyFont="1" applyFill="1" applyBorder="1" applyAlignment="1" applyProtection="1">
      <alignment vertical="center"/>
      <protection hidden="1"/>
    </xf>
    <xf numFmtId="0" fontId="38" fillId="24" borderId="16" xfId="0" applyFont="1" applyFill="1" applyBorder="1" applyAlignment="1" applyProtection="1">
      <alignment vertical="center"/>
      <protection hidden="1"/>
    </xf>
    <xf numFmtId="0" fontId="37" fillId="24" borderId="8" xfId="0" applyFont="1" applyFill="1" applyBorder="1" applyAlignment="1">
      <alignment vertical="center"/>
    </xf>
    <xf numFmtId="0" fontId="38" fillId="25" borderId="12" xfId="0" applyFont="1" applyFill="1" applyBorder="1" applyAlignment="1">
      <alignment vertical="center"/>
    </xf>
    <xf numFmtId="0" fontId="38" fillId="25" borderId="8" xfId="0" applyFont="1" applyFill="1" applyBorder="1" applyAlignment="1">
      <alignment vertical="center" shrinkToFit="1"/>
    </xf>
    <xf numFmtId="2" fontId="38" fillId="25" borderId="9" xfId="0" applyNumberFormat="1" applyFont="1" applyFill="1" applyBorder="1" applyAlignment="1" applyProtection="1">
      <alignment vertical="center"/>
      <protection hidden="1"/>
    </xf>
    <xf numFmtId="0" fontId="11" fillId="24" borderId="10" xfId="0" applyFont="1" applyFill="1" applyBorder="1" applyAlignment="1">
      <alignment horizontal="center" vertical="center"/>
    </xf>
    <xf numFmtId="0" fontId="13" fillId="24" borderId="10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2" fontId="48" fillId="0" borderId="10" xfId="0" applyNumberFormat="1" applyFont="1" applyBorder="1" applyAlignment="1">
      <alignment horizontal="center" vertical="center"/>
    </xf>
    <xf numFmtId="0" fontId="48" fillId="0" borderId="10" xfId="0" applyFont="1" applyBorder="1" applyAlignment="1">
      <alignment horizontal="center" vertical="center"/>
    </xf>
    <xf numFmtId="0" fontId="48" fillId="0" borderId="0" xfId="0" applyFont="1"/>
    <xf numFmtId="0" fontId="38" fillId="24" borderId="0" xfId="0" applyFont="1" applyFill="1" applyAlignment="1">
      <alignment horizontal="center" vertical="center"/>
    </xf>
    <xf numFmtId="0" fontId="38" fillId="24" borderId="0" xfId="0" applyFont="1" applyFill="1" applyAlignment="1">
      <alignment horizontal="center" vertical="center" textRotation="90"/>
    </xf>
    <xf numFmtId="0" fontId="37" fillId="24" borderId="0" xfId="0" applyFont="1" applyFill="1" applyAlignment="1">
      <alignment vertical="center"/>
    </xf>
    <xf numFmtId="0" fontId="8" fillId="25" borderId="29" xfId="0" applyFont="1" applyFill="1" applyBorder="1" applyAlignment="1" applyProtection="1">
      <alignment vertical="top"/>
      <protection hidden="1"/>
    </xf>
    <xf numFmtId="0" fontId="8" fillId="25" borderId="30" xfId="0" applyFont="1" applyFill="1" applyBorder="1" applyAlignment="1" applyProtection="1">
      <alignment vertical="top"/>
      <protection hidden="1"/>
    </xf>
    <xf numFmtId="0" fontId="8" fillId="25" borderId="31" xfId="0" applyFont="1" applyFill="1" applyBorder="1" applyAlignment="1" applyProtection="1">
      <alignment vertical="top"/>
      <protection hidden="1"/>
    </xf>
    <xf numFmtId="0" fontId="8" fillId="25" borderId="32" xfId="0" applyFont="1" applyFill="1" applyBorder="1" applyAlignment="1" applyProtection="1">
      <alignment vertical="top"/>
      <protection hidden="1"/>
    </xf>
    <xf numFmtId="0" fontId="8" fillId="25" borderId="21" xfId="0" applyFont="1" applyFill="1" applyBorder="1" applyAlignment="1" applyProtection="1">
      <alignment vertical="top"/>
      <protection hidden="1"/>
    </xf>
    <xf numFmtId="0" fontId="8" fillId="25" borderId="33" xfId="0" applyFont="1" applyFill="1" applyBorder="1" applyAlignment="1" applyProtection="1">
      <alignment vertical="top"/>
      <protection hidden="1"/>
    </xf>
    <xf numFmtId="0" fontId="8" fillId="25" borderId="28" xfId="0" applyFont="1" applyFill="1" applyBorder="1" applyAlignment="1" applyProtection="1">
      <alignment vertical="top"/>
      <protection hidden="1"/>
    </xf>
    <xf numFmtId="0" fontId="8" fillId="25" borderId="34" xfId="0" applyFont="1" applyFill="1" applyBorder="1" applyAlignment="1" applyProtection="1">
      <alignment vertical="top"/>
      <protection hidden="1"/>
    </xf>
    <xf numFmtId="0" fontId="8" fillId="25" borderId="0" xfId="0" applyFont="1" applyFill="1" applyAlignment="1" applyProtection="1">
      <alignment vertical="top"/>
      <protection hidden="1"/>
    </xf>
    <xf numFmtId="0" fontId="38" fillId="24" borderId="0" xfId="0" applyFont="1" applyFill="1" applyAlignment="1" applyProtection="1">
      <alignment horizontal="right" vertical="center"/>
      <protection hidden="1"/>
    </xf>
    <xf numFmtId="0" fontId="38" fillId="24" borderId="0" xfId="0" applyFont="1" applyFill="1" applyAlignment="1" applyProtection="1">
      <alignment vertical="center"/>
      <protection hidden="1"/>
    </xf>
    <xf numFmtId="0" fontId="38" fillId="25" borderId="0" xfId="0" applyFont="1" applyFill="1" applyAlignment="1">
      <alignment horizontal="right" vertical="center"/>
    </xf>
    <xf numFmtId="0" fontId="38" fillId="25" borderId="0" xfId="0" applyFont="1" applyFill="1" applyAlignment="1">
      <alignment vertical="center" shrinkToFit="1"/>
    </xf>
    <xf numFmtId="0" fontId="44" fillId="24" borderId="0" xfId="0" quotePrefix="1" applyFont="1" applyFill="1" applyAlignment="1" applyProtection="1">
      <alignment horizontal="right" vertical="top" indent="1"/>
      <protection hidden="1"/>
    </xf>
    <xf numFmtId="0" fontId="44" fillId="24" borderId="0" xfId="0" applyFont="1" applyFill="1" applyAlignment="1" applyProtection="1">
      <alignment horizontal="right" vertical="top" indent="1"/>
      <protection hidden="1"/>
    </xf>
    <xf numFmtId="0" fontId="40" fillId="24" borderId="0" xfId="0" applyFont="1" applyFill="1" applyProtection="1">
      <protection hidden="1"/>
    </xf>
    <xf numFmtId="0" fontId="38" fillId="24" borderId="0" xfId="0" applyFont="1" applyFill="1" applyAlignment="1" applyProtection="1">
      <alignment vertical="top"/>
      <protection hidden="1"/>
    </xf>
    <xf numFmtId="0" fontId="45" fillId="24" borderId="0" xfId="0" applyFont="1" applyFill="1" applyProtection="1">
      <protection hidden="1"/>
    </xf>
    <xf numFmtId="2" fontId="38" fillId="24" borderId="0" xfId="0" applyNumberFormat="1" applyFont="1" applyFill="1" applyAlignment="1" applyProtection="1">
      <alignment horizontal="center" vertical="center" shrinkToFit="1"/>
      <protection hidden="1"/>
    </xf>
    <xf numFmtId="2" fontId="46" fillId="24" borderId="8" xfId="0" applyNumberFormat="1" applyFont="1" applyFill="1" applyBorder="1" applyAlignment="1">
      <alignment horizontal="center" vertical="center" shrinkToFit="1"/>
    </xf>
    <xf numFmtId="2" fontId="46" fillId="24" borderId="0" xfId="0" applyNumberFormat="1" applyFont="1" applyFill="1" applyAlignment="1">
      <alignment horizontal="center" vertical="center" shrinkToFit="1"/>
    </xf>
    <xf numFmtId="0" fontId="9" fillId="24" borderId="0" xfId="0" applyFont="1" applyFill="1" applyAlignment="1">
      <alignment vertical="center"/>
    </xf>
    <xf numFmtId="0" fontId="9" fillId="24" borderId="0" xfId="0" applyFont="1" applyFill="1" applyAlignment="1">
      <alignment horizontal="right" vertical="center"/>
    </xf>
    <xf numFmtId="2" fontId="38" fillId="24" borderId="0" xfId="0" applyNumberFormat="1" applyFont="1" applyFill="1" applyAlignment="1">
      <alignment horizontal="center" vertical="center" shrinkToFit="1"/>
    </xf>
    <xf numFmtId="0" fontId="0" fillId="26" borderId="10" xfId="0" applyFill="1" applyBorder="1" applyAlignment="1">
      <alignment horizontal="center" vertical="center"/>
    </xf>
    <xf numFmtId="0" fontId="10" fillId="26" borderId="10" xfId="0" applyFont="1" applyFill="1" applyBorder="1"/>
    <xf numFmtId="0" fontId="10" fillId="26" borderId="0" xfId="0" applyFont="1" applyFill="1"/>
    <xf numFmtId="0" fontId="0" fillId="26" borderId="10" xfId="0" applyFill="1" applyBorder="1"/>
    <xf numFmtId="0" fontId="39" fillId="25" borderId="12" xfId="0" applyFont="1" applyFill="1" applyBorder="1" applyAlignment="1" applyProtection="1">
      <alignment vertical="center"/>
      <protection locked="0"/>
    </xf>
    <xf numFmtId="0" fontId="39" fillId="25" borderId="11" xfId="0" applyFont="1" applyFill="1" applyBorder="1" applyAlignment="1" applyProtection="1">
      <alignment vertical="center"/>
      <protection locked="0"/>
    </xf>
    <xf numFmtId="0" fontId="38" fillId="25" borderId="12" xfId="0" applyFont="1" applyFill="1" applyBorder="1" applyAlignment="1" applyProtection="1">
      <alignment vertical="center"/>
      <protection locked="0"/>
    </xf>
    <xf numFmtId="0" fontId="10" fillId="28" borderId="0" xfId="0" applyFont="1" applyFill="1"/>
    <xf numFmtId="0" fontId="7" fillId="25" borderId="15" xfId="0" applyFont="1" applyFill="1" applyBorder="1" applyAlignment="1">
      <alignment horizontal="right" vertical="center"/>
    </xf>
    <xf numFmtId="0" fontId="7" fillId="25" borderId="14" xfId="0" applyFont="1" applyFill="1" applyBorder="1" applyAlignment="1">
      <alignment vertical="center"/>
    </xf>
    <xf numFmtId="0" fontId="7" fillId="25" borderId="15" xfId="0" applyFont="1" applyFill="1" applyBorder="1" applyAlignment="1">
      <alignment vertical="center"/>
    </xf>
    <xf numFmtId="0" fontId="56" fillId="24" borderId="0" xfId="0" applyFont="1" applyFill="1" applyAlignment="1" applyProtection="1">
      <alignment horizontal="right" vertical="center"/>
      <protection hidden="1"/>
    </xf>
    <xf numFmtId="0" fontId="10" fillId="24" borderId="0" xfId="0" applyFont="1" applyFill="1" applyAlignment="1" applyProtection="1">
      <alignment horizontal="right" vertical="center" indent="1"/>
      <protection hidden="1"/>
    </xf>
    <xf numFmtId="0" fontId="53" fillId="24" borderId="0" xfId="0" applyFont="1" applyFill="1" applyAlignment="1" applyProtection="1">
      <alignment vertical="center" textRotation="90"/>
      <protection hidden="1"/>
    </xf>
    <xf numFmtId="0" fontId="49" fillId="25" borderId="32" xfId="0" applyFont="1" applyFill="1" applyBorder="1" applyAlignment="1" applyProtection="1">
      <alignment vertical="top"/>
      <protection hidden="1"/>
    </xf>
    <xf numFmtId="0" fontId="49" fillId="25" borderId="21" xfId="0" applyFont="1" applyFill="1" applyBorder="1" applyAlignment="1" applyProtection="1">
      <alignment vertical="top"/>
      <protection hidden="1"/>
    </xf>
    <xf numFmtId="0" fontId="49" fillId="25" borderId="29" xfId="0" applyFont="1" applyFill="1" applyBorder="1" applyAlignment="1" applyProtection="1">
      <alignment vertical="top"/>
      <protection hidden="1"/>
    </xf>
    <xf numFmtId="0" fontId="49" fillId="25" borderId="30" xfId="0" applyFont="1" applyFill="1" applyBorder="1" applyAlignment="1" applyProtection="1">
      <alignment vertical="top"/>
      <protection hidden="1"/>
    </xf>
    <xf numFmtId="0" fontId="49" fillId="25" borderId="31" xfId="0" applyFont="1" applyFill="1" applyBorder="1" applyAlignment="1" applyProtection="1">
      <alignment vertical="top"/>
      <protection hidden="1"/>
    </xf>
    <xf numFmtId="0" fontId="49" fillId="25" borderId="33" xfId="0" applyFont="1" applyFill="1" applyBorder="1" applyAlignment="1" applyProtection="1">
      <alignment vertical="top"/>
      <protection hidden="1"/>
    </xf>
    <xf numFmtId="0" fontId="49" fillId="25" borderId="28" xfId="0" applyFont="1" applyFill="1" applyBorder="1" applyAlignment="1" applyProtection="1">
      <alignment vertical="top"/>
      <protection hidden="1"/>
    </xf>
    <xf numFmtId="0" fontId="49" fillId="25" borderId="34" xfId="0" applyFont="1" applyFill="1" applyBorder="1" applyAlignment="1" applyProtection="1">
      <alignment vertical="top"/>
      <protection hidden="1"/>
    </xf>
    <xf numFmtId="0" fontId="44" fillId="24" borderId="9" xfId="0" applyFont="1" applyFill="1" applyBorder="1" applyAlignment="1" applyProtection="1">
      <alignment horizontal="right" vertical="top" indent="1"/>
      <protection hidden="1"/>
    </xf>
    <xf numFmtId="0" fontId="33" fillId="24" borderId="15" xfId="0" applyFont="1" applyFill="1" applyBorder="1" applyAlignment="1" applyProtection="1">
      <alignment horizontal="center"/>
      <protection hidden="1"/>
    </xf>
    <xf numFmtId="0" fontId="33" fillId="24" borderId="15" xfId="0" applyFont="1" applyFill="1" applyBorder="1" applyProtection="1">
      <protection hidden="1"/>
    </xf>
    <xf numFmtId="0" fontId="44" fillId="24" borderId="15" xfId="0" applyFont="1" applyFill="1" applyBorder="1" applyAlignment="1" applyProtection="1">
      <alignment horizontal="right" vertical="top" indent="1"/>
      <protection hidden="1"/>
    </xf>
    <xf numFmtId="0" fontId="44" fillId="24" borderId="16" xfId="0" applyFont="1" applyFill="1" applyBorder="1" applyAlignment="1" applyProtection="1">
      <alignment horizontal="right" vertical="top" indent="1"/>
      <protection hidden="1"/>
    </xf>
    <xf numFmtId="0" fontId="6" fillId="25" borderId="29" xfId="0" applyFont="1" applyFill="1" applyBorder="1" applyAlignment="1" applyProtection="1">
      <alignment vertical="top"/>
      <protection hidden="1"/>
    </xf>
    <xf numFmtId="0" fontId="6" fillId="25" borderId="32" xfId="0" applyFont="1" applyFill="1" applyBorder="1" applyAlignment="1" applyProtection="1">
      <alignment vertical="top"/>
      <protection hidden="1"/>
    </xf>
    <xf numFmtId="0" fontId="6" fillId="25" borderId="30" xfId="0" applyFont="1" applyFill="1" applyBorder="1" applyAlignment="1" applyProtection="1">
      <alignment vertical="top"/>
      <protection hidden="1"/>
    </xf>
    <xf numFmtId="0" fontId="6" fillId="25" borderId="31" xfId="0" applyFont="1" applyFill="1" applyBorder="1" applyAlignment="1" applyProtection="1">
      <alignment vertical="top"/>
      <protection hidden="1"/>
    </xf>
    <xf numFmtId="0" fontId="6" fillId="25" borderId="21" xfId="0" applyFont="1" applyFill="1" applyBorder="1" applyAlignment="1" applyProtection="1">
      <alignment vertical="top"/>
      <protection hidden="1"/>
    </xf>
    <xf numFmtId="0" fontId="6" fillId="25" borderId="33" xfId="0" applyFont="1" applyFill="1" applyBorder="1" applyAlignment="1" applyProtection="1">
      <alignment vertical="top"/>
      <protection hidden="1"/>
    </xf>
    <xf numFmtId="0" fontId="6" fillId="25" borderId="28" xfId="0" applyFont="1" applyFill="1" applyBorder="1" applyAlignment="1" applyProtection="1">
      <alignment vertical="top"/>
      <protection hidden="1"/>
    </xf>
    <xf numFmtId="0" fontId="6" fillId="25" borderId="34" xfId="0" applyFont="1" applyFill="1" applyBorder="1" applyAlignment="1" applyProtection="1">
      <alignment vertical="top"/>
      <protection hidden="1"/>
    </xf>
    <xf numFmtId="2" fontId="38" fillId="24" borderId="0" xfId="0" applyNumberFormat="1" applyFont="1" applyFill="1" applyAlignment="1" applyProtection="1">
      <alignment horizontal="center" vertical="center"/>
      <protection hidden="1"/>
    </xf>
    <xf numFmtId="0" fontId="51" fillId="24" borderId="0" xfId="0" applyFont="1" applyFill="1" applyAlignment="1" applyProtection="1">
      <alignment horizontal="center" vertical="center" textRotation="90"/>
      <protection hidden="1"/>
    </xf>
    <xf numFmtId="0" fontId="50" fillId="25" borderId="21" xfId="0" applyFont="1" applyFill="1" applyBorder="1" applyAlignment="1" applyProtection="1">
      <alignment vertical="top"/>
      <protection hidden="1"/>
    </xf>
    <xf numFmtId="0" fontId="50" fillId="25" borderId="0" xfId="0" applyFont="1" applyFill="1" applyAlignment="1" applyProtection="1">
      <alignment vertical="top"/>
      <protection hidden="1"/>
    </xf>
    <xf numFmtId="0" fontId="51" fillId="24" borderId="32" xfId="0" applyFont="1" applyFill="1" applyBorder="1" applyAlignment="1" applyProtection="1">
      <alignment vertical="center" textRotation="90"/>
      <protection hidden="1"/>
    </xf>
    <xf numFmtId="165" fontId="64" fillId="25" borderId="32" xfId="0" applyNumberFormat="1" applyFont="1" applyFill="1" applyBorder="1" applyAlignment="1" applyProtection="1">
      <alignment vertical="top"/>
      <protection hidden="1"/>
    </xf>
    <xf numFmtId="0" fontId="6" fillId="25" borderId="0" xfId="0" applyFont="1" applyFill="1" applyAlignment="1" applyProtection="1">
      <alignment vertical="top"/>
      <protection hidden="1"/>
    </xf>
    <xf numFmtId="165" fontId="49" fillId="25" borderId="0" xfId="0" applyNumberFormat="1" applyFont="1" applyFill="1" applyAlignment="1" applyProtection="1">
      <alignment vertical="top"/>
      <protection hidden="1"/>
    </xf>
    <xf numFmtId="0" fontId="49" fillId="25" borderId="0" xfId="0" applyFont="1" applyFill="1" applyAlignment="1" applyProtection="1">
      <alignment vertical="top"/>
      <protection hidden="1"/>
    </xf>
    <xf numFmtId="165" fontId="50" fillId="25" borderId="0" xfId="0" applyNumberFormat="1" applyFont="1" applyFill="1" applyAlignment="1" applyProtection="1">
      <alignment vertical="top"/>
      <protection hidden="1"/>
    </xf>
    <xf numFmtId="165" fontId="64" fillId="25" borderId="0" xfId="0" applyNumberFormat="1" applyFont="1" applyFill="1" applyAlignment="1" applyProtection="1">
      <alignment vertical="top"/>
      <protection hidden="1"/>
    </xf>
    <xf numFmtId="0" fontId="64" fillId="25" borderId="0" xfId="0" applyFont="1" applyFill="1" applyAlignment="1" applyProtection="1">
      <alignment vertical="top"/>
      <protection hidden="1"/>
    </xf>
    <xf numFmtId="2" fontId="38" fillId="24" borderId="0" xfId="0" applyNumberFormat="1" applyFont="1" applyFill="1" applyAlignment="1" applyProtection="1">
      <alignment horizontal="right" vertical="center"/>
      <protection hidden="1"/>
    </xf>
    <xf numFmtId="0" fontId="33" fillId="24" borderId="0" xfId="0" applyFont="1" applyFill="1" applyAlignment="1" applyProtection="1">
      <alignment horizontal="center"/>
      <protection hidden="1"/>
    </xf>
    <xf numFmtId="0" fontId="33" fillId="24" borderId="0" xfId="0" applyFont="1" applyFill="1" applyProtection="1">
      <protection hidden="1"/>
    </xf>
    <xf numFmtId="2" fontId="38" fillId="24" borderId="0" xfId="0" applyNumberFormat="1" applyFont="1" applyFill="1" applyAlignment="1" applyProtection="1">
      <alignment vertical="center" shrinkToFit="1"/>
      <protection hidden="1"/>
    </xf>
    <xf numFmtId="0" fontId="38" fillId="24" borderId="8" xfId="0" applyFont="1" applyFill="1" applyBorder="1" applyProtection="1">
      <protection hidden="1"/>
    </xf>
    <xf numFmtId="2" fontId="38" fillId="24" borderId="9" xfId="0" applyNumberFormat="1" applyFont="1" applyFill="1" applyBorder="1" applyProtection="1">
      <protection hidden="1"/>
    </xf>
    <xf numFmtId="0" fontId="51" fillId="24" borderId="0" xfId="0" applyFont="1" applyFill="1" applyAlignment="1" applyProtection="1">
      <alignment vertical="center" textRotation="90"/>
      <protection hidden="1"/>
    </xf>
    <xf numFmtId="0" fontId="52" fillId="24" borderId="0" xfId="0" applyFont="1" applyFill="1" applyAlignment="1">
      <alignment vertical="center"/>
    </xf>
    <xf numFmtId="0" fontId="64" fillId="25" borderId="12" xfId="0" applyFont="1" applyFill="1" applyBorder="1" applyAlignment="1" applyProtection="1">
      <alignment vertical="center"/>
      <protection locked="0"/>
    </xf>
    <xf numFmtId="0" fontId="4" fillId="0" borderId="0" xfId="49"/>
    <xf numFmtId="0" fontId="4" fillId="0" borderId="12" xfId="49" applyBorder="1"/>
    <xf numFmtId="0" fontId="4" fillId="0" borderId="11" xfId="49" applyBorder="1"/>
    <xf numFmtId="0" fontId="4" fillId="0" borderId="8" xfId="49" applyBorder="1"/>
    <xf numFmtId="0" fontId="4" fillId="0" borderId="9" xfId="49" applyBorder="1"/>
    <xf numFmtId="0" fontId="63" fillId="0" borderId="0" xfId="49" applyFont="1" applyAlignment="1">
      <alignment horizontal="center" vertical="center"/>
    </xf>
    <xf numFmtId="0" fontId="4" fillId="0" borderId="0" xfId="49" applyAlignment="1">
      <alignment horizontal="right" vertical="center"/>
    </xf>
    <xf numFmtId="0" fontId="4" fillId="0" borderId="14" xfId="49" applyBorder="1"/>
    <xf numFmtId="0" fontId="4" fillId="0" borderId="15" xfId="49" applyBorder="1"/>
    <xf numFmtId="0" fontId="3" fillId="0" borderId="0" xfId="49" applyFont="1"/>
    <xf numFmtId="0" fontId="7" fillId="25" borderId="0" xfId="0" applyFont="1" applyFill="1" applyAlignment="1">
      <alignment horizontal="right" vertical="center"/>
    </xf>
    <xf numFmtId="0" fontId="10" fillId="26" borderId="10" xfId="41" applyFill="1" applyBorder="1"/>
    <xf numFmtId="0" fontId="10" fillId="0" borderId="10" xfId="41" applyBorder="1" applyAlignment="1">
      <alignment horizontal="center" vertical="center"/>
    </xf>
    <xf numFmtId="0" fontId="7" fillId="25" borderId="8" xfId="0" applyFont="1" applyFill="1" applyBorder="1" applyAlignment="1">
      <alignment vertical="center"/>
    </xf>
    <xf numFmtId="0" fontId="7" fillId="25" borderId="0" xfId="0" applyFont="1" applyFill="1" applyAlignment="1">
      <alignment vertical="center"/>
    </xf>
    <xf numFmtId="0" fontId="37" fillId="24" borderId="9" xfId="0" applyFont="1" applyFill="1" applyBorder="1" applyAlignment="1">
      <alignment vertical="center"/>
    </xf>
    <xf numFmtId="0" fontId="10" fillId="26" borderId="0" xfId="41" applyFill="1"/>
    <xf numFmtId="0" fontId="2" fillId="25" borderId="15" xfId="0" applyFont="1" applyFill="1" applyBorder="1" applyAlignment="1">
      <alignment horizontal="right" vertical="center"/>
    </xf>
    <xf numFmtId="0" fontId="2" fillId="25" borderId="8" xfId="0" applyFont="1" applyFill="1" applyBorder="1" applyAlignment="1">
      <alignment vertical="center"/>
    </xf>
    <xf numFmtId="0" fontId="2" fillId="25" borderId="0" xfId="0" applyFont="1" applyFill="1" applyAlignment="1">
      <alignment vertical="center"/>
    </xf>
    <xf numFmtId="0" fontId="2" fillId="25" borderId="0" xfId="0" applyFont="1" applyFill="1" applyAlignment="1">
      <alignment horizontal="right" vertical="center"/>
    </xf>
    <xf numFmtId="0" fontId="2" fillId="25" borderId="14" xfId="0" applyFont="1" applyFill="1" applyBorder="1" applyAlignment="1" applyProtection="1">
      <alignment vertical="center"/>
      <protection hidden="1"/>
    </xf>
    <xf numFmtId="0" fontId="2" fillId="25" borderId="15" xfId="0" applyFont="1" applyFill="1" applyBorder="1" applyAlignment="1" applyProtection="1">
      <alignment vertical="center"/>
      <protection hidden="1"/>
    </xf>
    <xf numFmtId="0" fontId="38" fillId="25" borderId="15" xfId="0" applyFont="1" applyFill="1" applyBorder="1" applyAlignment="1" applyProtection="1">
      <alignment horizontal="right" vertical="center"/>
      <protection hidden="1"/>
    </xf>
    <xf numFmtId="0" fontId="38" fillId="25" borderId="8" xfId="0" applyFont="1" applyFill="1" applyBorder="1" applyAlignment="1" applyProtection="1">
      <alignment vertical="center"/>
      <protection hidden="1"/>
    </xf>
    <xf numFmtId="0" fontId="38" fillId="25" borderId="0" xfId="0" applyFont="1" applyFill="1" applyAlignment="1" applyProtection="1">
      <alignment vertical="center"/>
      <protection hidden="1"/>
    </xf>
    <xf numFmtId="0" fontId="38" fillId="25" borderId="0" xfId="0" applyFont="1" applyFill="1" applyAlignment="1" applyProtection="1">
      <alignment horizontal="right" vertical="center"/>
      <protection hidden="1"/>
    </xf>
    <xf numFmtId="0" fontId="38" fillId="25" borderId="14" xfId="0" applyFont="1" applyFill="1" applyBorder="1" applyAlignment="1" applyProtection="1">
      <alignment vertical="center"/>
      <protection hidden="1"/>
    </xf>
    <xf numFmtId="0" fontId="38" fillId="25" borderId="15" xfId="0" applyFont="1" applyFill="1" applyBorder="1" applyAlignment="1" applyProtection="1">
      <alignment vertical="center"/>
      <protection hidden="1"/>
    </xf>
    <xf numFmtId="0" fontId="2" fillId="25" borderId="25" xfId="0" applyFont="1" applyFill="1" applyBorder="1" applyAlignment="1">
      <alignment vertical="center"/>
    </xf>
    <xf numFmtId="0" fontId="2" fillId="25" borderId="26" xfId="0" applyFont="1" applyFill="1" applyBorder="1" applyAlignment="1">
      <alignment vertical="center"/>
    </xf>
    <xf numFmtId="0" fontId="2" fillId="25" borderId="26" xfId="0" applyFont="1" applyFill="1" applyBorder="1" applyAlignment="1">
      <alignment horizontal="right" vertical="center"/>
    </xf>
    <xf numFmtId="0" fontId="2" fillId="25" borderId="37" xfId="0" applyFont="1" applyFill="1" applyBorder="1" applyAlignment="1">
      <alignment vertical="center"/>
    </xf>
    <xf numFmtId="0" fontId="2" fillId="25" borderId="35" xfId="0" applyFont="1" applyFill="1" applyBorder="1" applyAlignment="1">
      <alignment vertical="center"/>
    </xf>
    <xf numFmtId="0" fontId="2" fillId="25" borderId="35" xfId="0" applyFont="1" applyFill="1" applyBorder="1" applyAlignment="1">
      <alignment horizontal="right" vertical="center"/>
    </xf>
    <xf numFmtId="0" fontId="2" fillId="25" borderId="14" xfId="0" applyFont="1" applyFill="1" applyBorder="1" applyAlignment="1">
      <alignment vertical="center"/>
    </xf>
    <xf numFmtId="0" fontId="2" fillId="25" borderId="15" xfId="0" applyFont="1" applyFill="1" applyBorder="1" applyAlignment="1">
      <alignment vertical="center"/>
    </xf>
    <xf numFmtId="0" fontId="2" fillId="25" borderId="41" xfId="0" applyFont="1" applyFill="1" applyBorder="1" applyAlignment="1">
      <alignment vertical="center"/>
    </xf>
    <xf numFmtId="0" fontId="2" fillId="25" borderId="20" xfId="0" applyFont="1" applyFill="1" applyBorder="1" applyAlignment="1">
      <alignment vertical="center"/>
    </xf>
    <xf numFmtId="0" fontId="2" fillId="25" borderId="20" xfId="0" applyFont="1" applyFill="1" applyBorder="1" applyAlignment="1">
      <alignment horizontal="right" vertical="center"/>
    </xf>
    <xf numFmtId="0" fontId="2" fillId="25" borderId="25" xfId="0" applyFont="1" applyFill="1" applyBorder="1" applyAlignment="1">
      <alignment horizontal="left" vertical="center"/>
    </xf>
    <xf numFmtId="0" fontId="2" fillId="25" borderId="26" xfId="0" applyFont="1" applyFill="1" applyBorder="1" applyAlignment="1">
      <alignment horizontal="center" vertical="center"/>
    </xf>
    <xf numFmtId="0" fontId="2" fillId="25" borderId="37" xfId="0" applyFont="1" applyFill="1" applyBorder="1" applyAlignment="1">
      <alignment horizontal="left" vertical="center"/>
    </xf>
    <xf numFmtId="0" fontId="2" fillId="25" borderId="35" xfId="0" applyFont="1" applyFill="1" applyBorder="1" applyAlignment="1">
      <alignment horizontal="center" vertical="center"/>
    </xf>
    <xf numFmtId="0" fontId="2" fillId="25" borderId="14" xfId="0" applyFont="1" applyFill="1" applyBorder="1" applyAlignment="1">
      <alignment horizontal="left" vertical="center"/>
    </xf>
    <xf numFmtId="9" fontId="10" fillId="0" borderId="10" xfId="41" applyNumberFormat="1" applyBorder="1" applyAlignment="1">
      <alignment horizontal="center" vertical="center"/>
    </xf>
    <xf numFmtId="167" fontId="48" fillId="0" borderId="10" xfId="41" applyNumberFormat="1" applyFont="1" applyBorder="1" applyAlignment="1">
      <alignment horizontal="center" vertical="center"/>
    </xf>
    <xf numFmtId="0" fontId="24" fillId="4" borderId="10" xfId="33" applyBorder="1" applyAlignment="1">
      <alignment horizontal="center" vertical="center"/>
    </xf>
    <xf numFmtId="0" fontId="63" fillId="0" borderId="0" xfId="49" applyFont="1" applyAlignment="1">
      <alignment horizontal="center"/>
    </xf>
    <xf numFmtId="0" fontId="66" fillId="29" borderId="17" xfId="49" applyFont="1" applyFill="1" applyBorder="1" applyAlignment="1">
      <alignment horizontal="left" vertical="center"/>
    </xf>
    <xf numFmtId="0" fontId="66" fillId="29" borderId="12" xfId="49" applyFont="1" applyFill="1" applyBorder="1" applyAlignment="1">
      <alignment horizontal="left" vertical="center"/>
    </xf>
    <xf numFmtId="0" fontId="66" fillId="29" borderId="8" xfId="49" applyFont="1" applyFill="1" applyBorder="1" applyAlignment="1">
      <alignment horizontal="left" vertical="center"/>
    </xf>
    <xf numFmtId="0" fontId="66" fillId="29" borderId="0" xfId="49" applyFont="1" applyFill="1" applyAlignment="1">
      <alignment horizontal="left" vertical="center"/>
    </xf>
    <xf numFmtId="0" fontId="69" fillId="0" borderId="0" xfId="49" applyFont="1" applyAlignment="1">
      <alignment horizontal="center"/>
    </xf>
    <xf numFmtId="0" fontId="69" fillId="0" borderId="9" xfId="49" applyFont="1" applyBorder="1" applyAlignment="1">
      <alignment horizontal="center"/>
    </xf>
    <xf numFmtId="0" fontId="63" fillId="0" borderId="9" xfId="49" applyFont="1" applyBorder="1" applyAlignment="1">
      <alignment horizontal="center"/>
    </xf>
    <xf numFmtId="0" fontId="63" fillId="0" borderId="15" xfId="49" applyFont="1" applyBorder="1" applyAlignment="1">
      <alignment horizontal="center"/>
    </xf>
    <xf numFmtId="0" fontId="63" fillId="0" borderId="16" xfId="49" applyFont="1" applyBorder="1" applyAlignment="1">
      <alignment horizontal="center"/>
    </xf>
    <xf numFmtId="0" fontId="38" fillId="25" borderId="17" xfId="41" applyFont="1" applyFill="1" applyBorder="1" applyAlignment="1">
      <alignment horizontal="left" vertical="center"/>
    </xf>
    <xf numFmtId="0" fontId="38" fillId="25" borderId="12" xfId="41" applyFont="1" applyFill="1" applyBorder="1" applyAlignment="1">
      <alignment horizontal="left" vertical="center"/>
    </xf>
    <xf numFmtId="167" fontId="63" fillId="25" borderId="12" xfId="41" applyNumberFormat="1" applyFont="1" applyFill="1" applyBorder="1" applyAlignment="1">
      <alignment horizontal="center" vertical="center"/>
    </xf>
    <xf numFmtId="167" fontId="63" fillId="25" borderId="11" xfId="41" applyNumberFormat="1" applyFont="1" applyFill="1" applyBorder="1" applyAlignment="1">
      <alignment horizontal="center" vertical="center"/>
    </xf>
    <xf numFmtId="0" fontId="70" fillId="0" borderId="10" xfId="41" applyFont="1" applyBorder="1" applyAlignment="1">
      <alignment horizontal="center" vertical="center"/>
    </xf>
    <xf numFmtId="0" fontId="38" fillId="25" borderId="17" xfId="41" applyFont="1" applyFill="1" applyBorder="1" applyAlignment="1" applyProtection="1">
      <alignment horizontal="center"/>
      <protection hidden="1"/>
    </xf>
    <xf numFmtId="0" fontId="38" fillId="25" borderId="12" xfId="41" applyFont="1" applyFill="1" applyBorder="1" applyAlignment="1" applyProtection="1">
      <alignment horizontal="center"/>
      <protection hidden="1"/>
    </xf>
    <xf numFmtId="0" fontId="38" fillId="25" borderId="11" xfId="41" applyFont="1" applyFill="1" applyBorder="1" applyAlignment="1" applyProtection="1">
      <alignment horizontal="center"/>
      <protection hidden="1"/>
    </xf>
    <xf numFmtId="0" fontId="38" fillId="25" borderId="14" xfId="41" applyFont="1" applyFill="1" applyBorder="1" applyAlignment="1" applyProtection="1">
      <alignment horizontal="center"/>
      <protection hidden="1"/>
    </xf>
    <xf numFmtId="0" fontId="38" fillId="25" borderId="15" xfId="41" applyFont="1" applyFill="1" applyBorder="1" applyAlignment="1" applyProtection="1">
      <alignment horizontal="center"/>
      <protection hidden="1"/>
    </xf>
    <xf numFmtId="0" fontId="38" fillId="25" borderId="16" xfId="41" applyFont="1" applyFill="1" applyBorder="1" applyAlignment="1" applyProtection="1">
      <alignment horizontal="center"/>
      <protection hidden="1"/>
    </xf>
    <xf numFmtId="0" fontId="38" fillId="25" borderId="0" xfId="0" applyFont="1" applyFill="1" applyAlignment="1">
      <alignment horizontal="left" vertical="center" shrinkToFit="1"/>
    </xf>
    <xf numFmtId="0" fontId="38" fillId="24" borderId="0" xfId="0" applyFont="1" applyFill="1" applyAlignment="1" applyProtection="1">
      <alignment horizontal="center" vertical="center" wrapText="1"/>
      <protection hidden="1"/>
    </xf>
    <xf numFmtId="0" fontId="9" fillId="25" borderId="23" xfId="0" applyFont="1" applyFill="1" applyBorder="1" applyAlignment="1">
      <alignment horizontal="center" vertical="center"/>
    </xf>
    <xf numFmtId="0" fontId="9" fillId="25" borderId="24" xfId="0" applyFont="1" applyFill="1" applyBorder="1" applyAlignment="1">
      <alignment horizontal="center" vertical="center"/>
    </xf>
    <xf numFmtId="0" fontId="9" fillId="24" borderId="8" xfId="0" applyFont="1" applyFill="1" applyBorder="1" applyAlignment="1">
      <alignment horizontal="center" vertical="center"/>
    </xf>
    <xf numFmtId="0" fontId="9" fillId="24" borderId="0" xfId="0" applyFont="1" applyFill="1" applyAlignment="1">
      <alignment horizontal="center" vertical="center"/>
    </xf>
    <xf numFmtId="0" fontId="2" fillId="25" borderId="38" xfId="0" applyFont="1" applyFill="1" applyBorder="1" applyAlignment="1">
      <alignment horizontal="right" vertical="center"/>
    </xf>
    <xf numFmtId="0" fontId="2" fillId="25" borderId="39" xfId="0" applyFont="1" applyFill="1" applyBorder="1" applyAlignment="1">
      <alignment horizontal="right" vertical="center"/>
    </xf>
    <xf numFmtId="0" fontId="7" fillId="25" borderId="15" xfId="0" applyFont="1" applyFill="1" applyBorder="1" applyAlignment="1">
      <alignment horizontal="left" vertical="center"/>
    </xf>
    <xf numFmtId="2" fontId="38" fillId="25" borderId="15" xfId="0" applyNumberFormat="1" applyFont="1" applyFill="1" applyBorder="1" applyAlignment="1" applyProtection="1">
      <alignment horizontal="center" vertical="center"/>
      <protection locked="0"/>
    </xf>
    <xf numFmtId="2" fontId="38" fillId="25" borderId="16" xfId="0" applyNumberFormat="1" applyFont="1" applyFill="1" applyBorder="1" applyAlignment="1" applyProtection="1">
      <alignment horizontal="center" vertical="center"/>
      <protection locked="0"/>
    </xf>
    <xf numFmtId="0" fontId="67" fillId="25" borderId="19" xfId="0" applyFont="1" applyFill="1" applyBorder="1" applyAlignment="1">
      <alignment horizontal="center" vertical="center"/>
    </xf>
    <xf numFmtId="0" fontId="67" fillId="25" borderId="18" xfId="0" applyFont="1" applyFill="1" applyBorder="1" applyAlignment="1">
      <alignment horizontal="center" vertical="center"/>
    </xf>
    <xf numFmtId="0" fontId="37" fillId="25" borderId="18" xfId="0" applyFont="1" applyFill="1" applyBorder="1" applyAlignment="1">
      <alignment horizontal="center" vertical="center"/>
    </xf>
    <xf numFmtId="0" fontId="37" fillId="25" borderId="13" xfId="0" applyFont="1" applyFill="1" applyBorder="1" applyAlignment="1">
      <alignment horizontal="center" vertical="center"/>
    </xf>
    <xf numFmtId="0" fontId="2" fillId="25" borderId="39" xfId="0" applyFont="1" applyFill="1" applyBorder="1" applyAlignment="1">
      <alignment horizontal="center" vertical="center"/>
    </xf>
    <xf numFmtId="165" fontId="38" fillId="25" borderId="26" xfId="0" applyNumberFormat="1" applyFont="1" applyFill="1" applyBorder="1" applyAlignment="1">
      <alignment horizontal="center" vertical="center" shrinkToFit="1"/>
    </xf>
    <xf numFmtId="165" fontId="38" fillId="25" borderId="27" xfId="0" applyNumberFormat="1" applyFont="1" applyFill="1" applyBorder="1" applyAlignment="1">
      <alignment horizontal="center" vertical="center" shrinkToFit="1"/>
    </xf>
    <xf numFmtId="2" fontId="46" fillId="24" borderId="8" xfId="0" applyNumberFormat="1" applyFont="1" applyFill="1" applyBorder="1" applyAlignment="1">
      <alignment horizontal="center" vertical="center" shrinkToFit="1"/>
    </xf>
    <xf numFmtId="2" fontId="46" fillId="24" borderId="0" xfId="0" applyNumberFormat="1" applyFont="1" applyFill="1" applyAlignment="1">
      <alignment horizontal="center" vertical="center" shrinkToFit="1"/>
    </xf>
    <xf numFmtId="165" fontId="38" fillId="25" borderId="20" xfId="0" applyNumberFormat="1" applyFont="1" applyFill="1" applyBorder="1" applyAlignment="1">
      <alignment horizontal="center" vertical="center" shrinkToFit="1"/>
    </xf>
    <xf numFmtId="0" fontId="38" fillId="24" borderId="0" xfId="0" applyFont="1" applyFill="1" applyAlignment="1" applyProtection="1">
      <alignment horizontal="right" vertical="center"/>
      <protection hidden="1"/>
    </xf>
    <xf numFmtId="2" fontId="38" fillId="24" borderId="0" xfId="0" applyNumberFormat="1" applyFont="1" applyFill="1" applyAlignment="1" applyProtection="1">
      <alignment horizontal="center" vertical="center"/>
      <protection hidden="1"/>
    </xf>
    <xf numFmtId="2" fontId="38" fillId="24" borderId="0" xfId="0" applyNumberFormat="1" applyFont="1" applyFill="1" applyAlignment="1" applyProtection="1">
      <alignment horizontal="right" vertical="center"/>
      <protection hidden="1"/>
    </xf>
    <xf numFmtId="0" fontId="33" fillId="24" borderId="0" xfId="0" applyFont="1" applyFill="1" applyAlignment="1" applyProtection="1">
      <alignment horizontal="center"/>
      <protection hidden="1"/>
    </xf>
    <xf numFmtId="165" fontId="68" fillId="25" borderId="32" xfId="0" applyNumberFormat="1" applyFont="1" applyFill="1" applyBorder="1" applyAlignment="1" applyProtection="1">
      <alignment horizontal="center" vertical="top"/>
      <protection hidden="1"/>
    </xf>
    <xf numFmtId="0" fontId="68" fillId="25" borderId="0" xfId="0" applyFont="1" applyFill="1" applyAlignment="1" applyProtection="1">
      <alignment horizontal="center" vertical="top"/>
      <protection hidden="1"/>
    </xf>
    <xf numFmtId="0" fontId="68" fillId="25" borderId="21" xfId="0" applyFont="1" applyFill="1" applyBorder="1" applyAlignment="1" applyProtection="1">
      <alignment horizontal="center" vertical="top"/>
      <protection hidden="1"/>
    </xf>
    <xf numFmtId="165" fontId="64" fillId="25" borderId="32" xfId="0" applyNumberFormat="1" applyFont="1" applyFill="1" applyBorder="1" applyAlignment="1" applyProtection="1">
      <alignment horizontal="center" vertical="top"/>
      <protection hidden="1"/>
    </xf>
    <xf numFmtId="0" fontId="64" fillId="25" borderId="0" xfId="0" applyFont="1" applyFill="1" applyAlignment="1" applyProtection="1">
      <alignment horizontal="center" vertical="top"/>
      <protection hidden="1"/>
    </xf>
    <xf numFmtId="0" fontId="64" fillId="25" borderId="21" xfId="0" applyFont="1" applyFill="1" applyBorder="1" applyAlignment="1" applyProtection="1">
      <alignment horizontal="center" vertical="top"/>
      <protection hidden="1"/>
    </xf>
    <xf numFmtId="0" fontId="5" fillId="25" borderId="29" xfId="0" applyFont="1" applyFill="1" applyBorder="1" applyAlignment="1" applyProtection="1">
      <alignment horizontal="center" vertical="top"/>
      <protection hidden="1"/>
    </xf>
    <xf numFmtId="0" fontId="6" fillId="25" borderId="30" xfId="0" applyFont="1" applyFill="1" applyBorder="1" applyAlignment="1" applyProtection="1">
      <alignment horizontal="center" vertical="top"/>
      <protection hidden="1"/>
    </xf>
    <xf numFmtId="0" fontId="6" fillId="25" borderId="31" xfId="0" applyFont="1" applyFill="1" applyBorder="1" applyAlignment="1" applyProtection="1">
      <alignment horizontal="center" vertical="top"/>
      <protection hidden="1"/>
    </xf>
    <xf numFmtId="165" fontId="68" fillId="25" borderId="0" xfId="0" applyNumberFormat="1" applyFont="1" applyFill="1" applyAlignment="1" applyProtection="1">
      <alignment horizontal="center" vertical="top"/>
      <protection hidden="1"/>
    </xf>
    <xf numFmtId="165" fontId="68" fillId="25" borderId="21" xfId="0" applyNumberFormat="1" applyFont="1" applyFill="1" applyBorder="1" applyAlignment="1" applyProtection="1">
      <alignment horizontal="center" vertical="top"/>
      <protection hidden="1"/>
    </xf>
    <xf numFmtId="165" fontId="64" fillId="25" borderId="33" xfId="0" applyNumberFormat="1" applyFont="1" applyFill="1" applyBorder="1" applyAlignment="1" applyProtection="1">
      <alignment horizontal="center" vertical="top"/>
      <protection hidden="1"/>
    </xf>
    <xf numFmtId="0" fontId="64" fillId="25" borderId="28" xfId="0" applyFont="1" applyFill="1" applyBorder="1" applyAlignment="1" applyProtection="1">
      <alignment horizontal="center" vertical="top"/>
      <protection hidden="1"/>
    </xf>
    <xf numFmtId="0" fontId="64" fillId="25" borderId="34" xfId="0" applyFont="1" applyFill="1" applyBorder="1" applyAlignment="1" applyProtection="1">
      <alignment horizontal="center" vertical="top"/>
      <protection hidden="1"/>
    </xf>
    <xf numFmtId="165" fontId="64" fillId="25" borderId="28" xfId="0" applyNumberFormat="1" applyFont="1" applyFill="1" applyBorder="1" applyAlignment="1" applyProtection="1">
      <alignment horizontal="center" vertical="top"/>
      <protection hidden="1"/>
    </xf>
    <xf numFmtId="165" fontId="64" fillId="25" borderId="34" xfId="0" applyNumberFormat="1" applyFont="1" applyFill="1" applyBorder="1" applyAlignment="1" applyProtection="1">
      <alignment horizontal="center" vertical="top"/>
      <protection hidden="1"/>
    </xf>
    <xf numFmtId="0" fontId="9" fillId="24" borderId="0" xfId="0" applyFont="1" applyFill="1" applyAlignment="1">
      <alignment horizontal="left"/>
    </xf>
    <xf numFmtId="0" fontId="9" fillId="24" borderId="0" xfId="0" applyFont="1" applyFill="1" applyAlignment="1">
      <alignment horizontal="right"/>
    </xf>
    <xf numFmtId="0" fontId="61" fillId="29" borderId="17" xfId="44" applyNumberFormat="1" applyFont="1" applyFill="1" applyBorder="1" applyAlignment="1">
      <alignment horizontal="center" vertical="center" wrapText="1"/>
    </xf>
    <xf numFmtId="0" fontId="61" fillId="29" borderId="12" xfId="44" applyNumberFormat="1" applyFont="1" applyFill="1" applyBorder="1" applyAlignment="1">
      <alignment horizontal="center" vertical="center"/>
    </xf>
    <xf numFmtId="0" fontId="61" fillId="29" borderId="8" xfId="44" applyNumberFormat="1" applyFont="1" applyFill="1" applyBorder="1" applyAlignment="1">
      <alignment horizontal="center" vertical="center"/>
    </xf>
    <xf numFmtId="0" fontId="61" fillId="29" borderId="0" xfId="44" applyNumberFormat="1" applyFont="1" applyFill="1" applyAlignment="1">
      <alignment horizontal="center" vertical="center"/>
    </xf>
    <xf numFmtId="0" fontId="62" fillId="30" borderId="12" xfId="44" applyNumberFormat="1" applyFont="1" applyFill="1" applyBorder="1" applyAlignment="1">
      <alignment horizontal="center" vertical="center"/>
    </xf>
    <xf numFmtId="0" fontId="62" fillId="30" borderId="0" xfId="44" applyNumberFormat="1" applyFont="1" applyFill="1" applyAlignment="1">
      <alignment horizontal="center" vertical="center"/>
    </xf>
    <xf numFmtId="0" fontId="62" fillId="30" borderId="11" xfId="44" applyNumberFormat="1" applyFont="1" applyFill="1" applyBorder="1" applyAlignment="1">
      <alignment horizontal="center" vertical="center"/>
    </xf>
    <xf numFmtId="0" fontId="62" fillId="30" borderId="9" xfId="44" applyNumberFormat="1" applyFont="1" applyFill="1" applyBorder="1" applyAlignment="1">
      <alignment horizontal="center" vertical="center"/>
    </xf>
    <xf numFmtId="0" fontId="55" fillId="27" borderId="0" xfId="0" applyFont="1" applyFill="1" applyAlignment="1">
      <alignment horizontal="center" vertical="center"/>
    </xf>
    <xf numFmtId="0" fontId="38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right" vertical="center"/>
    </xf>
    <xf numFmtId="9" fontId="64" fillId="25" borderId="0" xfId="48" applyFont="1" applyFill="1" applyBorder="1" applyAlignment="1" applyProtection="1">
      <alignment horizontal="center" vertical="center"/>
      <protection locked="0"/>
    </xf>
    <xf numFmtId="9" fontId="64" fillId="25" borderId="9" xfId="48" applyFont="1" applyFill="1" applyBorder="1" applyAlignment="1" applyProtection="1">
      <alignment horizontal="center" vertical="center"/>
      <protection locked="0"/>
    </xf>
    <xf numFmtId="0" fontId="37" fillId="25" borderId="19" xfId="0" applyFont="1" applyFill="1" applyBorder="1" applyAlignment="1">
      <alignment horizontal="center" vertical="center"/>
    </xf>
    <xf numFmtId="0" fontId="38" fillId="24" borderId="0" xfId="0" applyFont="1" applyFill="1" applyAlignment="1">
      <alignment horizontal="center" vertical="center" textRotation="90"/>
    </xf>
    <xf numFmtId="0" fontId="38" fillId="25" borderId="17" xfId="0" applyFont="1" applyFill="1" applyBorder="1" applyAlignment="1">
      <alignment horizontal="right" vertical="center" indent="1"/>
    </xf>
    <xf numFmtId="0" fontId="38" fillId="25" borderId="12" xfId="0" applyFont="1" applyFill="1" applyBorder="1" applyAlignment="1">
      <alignment horizontal="right" vertical="center" indent="1"/>
    </xf>
    <xf numFmtId="0" fontId="38" fillId="25" borderId="8" xfId="0" applyFont="1" applyFill="1" applyBorder="1" applyAlignment="1">
      <alignment horizontal="right" vertical="center" indent="1"/>
    </xf>
    <xf numFmtId="0" fontId="38" fillId="25" borderId="0" xfId="0" applyFont="1" applyFill="1" applyAlignment="1">
      <alignment horizontal="right" vertical="center" indent="1"/>
    </xf>
    <xf numFmtId="0" fontId="64" fillId="25" borderId="0" xfId="0" applyFont="1" applyFill="1" applyAlignment="1" applyProtection="1">
      <alignment horizontal="left" vertical="center"/>
      <protection locked="0"/>
    </xf>
    <xf numFmtId="0" fontId="38" fillId="25" borderId="0" xfId="0" applyFont="1" applyFill="1" applyAlignment="1" applyProtection="1">
      <alignment horizontal="left" vertical="center"/>
      <protection locked="0"/>
    </xf>
    <xf numFmtId="0" fontId="38" fillId="25" borderId="9" xfId="0" applyFont="1" applyFill="1" applyBorder="1" applyAlignment="1" applyProtection="1">
      <alignment horizontal="left" vertical="center"/>
      <protection locked="0"/>
    </xf>
    <xf numFmtId="2" fontId="64" fillId="25" borderId="0" xfId="0" applyNumberFormat="1" applyFont="1" applyFill="1" applyAlignment="1" applyProtection="1">
      <alignment horizontal="center" vertical="center"/>
      <protection locked="0"/>
    </xf>
    <xf numFmtId="2" fontId="64" fillId="25" borderId="9" xfId="0" applyNumberFormat="1" applyFont="1" applyFill="1" applyBorder="1" applyAlignment="1" applyProtection="1">
      <alignment horizontal="center" vertical="center"/>
      <protection locked="0"/>
    </xf>
    <xf numFmtId="0" fontId="38" fillId="25" borderId="15" xfId="0" applyFont="1" applyFill="1" applyBorder="1" applyAlignment="1" applyProtection="1">
      <alignment horizontal="right" vertical="center"/>
      <protection hidden="1"/>
    </xf>
    <xf numFmtId="2" fontId="64" fillId="25" borderId="15" xfId="0" applyNumberFormat="1" applyFont="1" applyFill="1" applyBorder="1" applyAlignment="1" applyProtection="1">
      <alignment horizontal="center"/>
      <protection locked="0"/>
    </xf>
    <xf numFmtId="2" fontId="64" fillId="25" borderId="16" xfId="0" applyNumberFormat="1" applyFont="1" applyFill="1" applyBorder="1" applyAlignment="1" applyProtection="1">
      <alignment horizontal="center"/>
      <protection locked="0"/>
    </xf>
    <xf numFmtId="0" fontId="37" fillId="25" borderId="17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1" xfId="0" applyFont="1" applyFill="1" applyBorder="1" applyAlignment="1">
      <alignment horizontal="center" vertical="center"/>
    </xf>
    <xf numFmtId="0" fontId="38" fillId="25" borderId="17" xfId="0" applyFont="1" applyFill="1" applyBorder="1" applyAlignment="1">
      <alignment horizontal="right" vertical="center"/>
    </xf>
    <xf numFmtId="0" fontId="38" fillId="25" borderId="12" xfId="0" applyFont="1" applyFill="1" applyBorder="1" applyAlignment="1">
      <alignment horizontal="right" vertical="center"/>
    </xf>
    <xf numFmtId="2" fontId="64" fillId="25" borderId="12" xfId="0" applyNumberFormat="1" applyFont="1" applyFill="1" applyBorder="1" applyAlignment="1">
      <alignment horizontal="center" vertical="center"/>
    </xf>
    <xf numFmtId="0" fontId="38" fillId="25" borderId="12" xfId="0" applyFont="1" applyFill="1" applyBorder="1" applyAlignment="1">
      <alignment horizontal="left" vertical="center"/>
    </xf>
    <xf numFmtId="0" fontId="64" fillId="25" borderId="12" xfId="0" applyFont="1" applyFill="1" applyBorder="1" applyAlignment="1">
      <alignment horizontal="center" vertical="center"/>
    </xf>
    <xf numFmtId="0" fontId="64" fillId="25" borderId="11" xfId="0" applyFont="1" applyFill="1" applyBorder="1" applyAlignment="1">
      <alignment horizontal="center" vertical="center"/>
    </xf>
    <xf numFmtId="2" fontId="64" fillId="25" borderId="0" xfId="0" applyNumberFormat="1" applyFont="1" applyFill="1" applyAlignment="1">
      <alignment horizontal="center" vertical="center"/>
    </xf>
    <xf numFmtId="2" fontId="64" fillId="25" borderId="9" xfId="0" applyNumberFormat="1" applyFont="1" applyFill="1" applyBorder="1" applyAlignment="1">
      <alignment horizontal="center" vertical="center"/>
    </xf>
    <xf numFmtId="0" fontId="57" fillId="25" borderId="0" xfId="0" applyFont="1" applyFill="1" applyAlignment="1">
      <alignment horizontal="right" vertical="center"/>
    </xf>
    <xf numFmtId="0" fontId="7" fillId="25" borderId="0" xfId="0" applyFont="1" applyFill="1" applyAlignment="1">
      <alignment horizontal="right" vertical="center"/>
    </xf>
    <xf numFmtId="2" fontId="38" fillId="25" borderId="0" xfId="0" applyNumberFormat="1" applyFont="1" applyFill="1" applyAlignment="1" applyProtection="1">
      <alignment horizontal="center" vertical="center"/>
      <protection locked="0"/>
    </xf>
    <xf numFmtId="2" fontId="38" fillId="25" borderId="9" xfId="0" applyNumberFormat="1" applyFont="1" applyFill="1" applyBorder="1" applyAlignment="1" applyProtection="1">
      <alignment horizontal="center" vertical="center"/>
      <protection locked="0"/>
    </xf>
    <xf numFmtId="0" fontId="11" fillId="0" borderId="10" xfId="0" applyFont="1" applyBorder="1" applyAlignment="1">
      <alignment horizontal="center" vertical="center"/>
    </xf>
    <xf numFmtId="0" fontId="38" fillId="25" borderId="0" xfId="0" applyFont="1" applyFill="1" applyAlignment="1">
      <alignment horizontal="center" vertical="center" shrinkToFit="1"/>
    </xf>
    <xf numFmtId="0" fontId="46" fillId="25" borderId="0" xfId="0" applyFont="1" applyFill="1" applyAlignment="1">
      <alignment horizontal="right" vertical="center" shrinkToFit="1"/>
    </xf>
    <xf numFmtId="2" fontId="38" fillId="25" borderId="0" xfId="0" applyNumberFormat="1" applyFont="1" applyFill="1" applyAlignment="1">
      <alignment horizontal="center" vertical="center" shrinkToFit="1"/>
    </xf>
    <xf numFmtId="2" fontId="38" fillId="25" borderId="0" xfId="0" applyNumberFormat="1" applyFont="1" applyFill="1" applyAlignment="1" applyProtection="1">
      <alignment horizontal="center"/>
      <protection hidden="1"/>
    </xf>
    <xf numFmtId="0" fontId="38" fillId="25" borderId="9" xfId="0" applyFont="1" applyFill="1" applyBorder="1" applyAlignment="1" applyProtection="1">
      <alignment horizontal="center"/>
      <protection hidden="1"/>
    </xf>
    <xf numFmtId="0" fontId="11" fillId="0" borderId="10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2" fontId="38" fillId="25" borderId="9" xfId="0" applyNumberFormat="1" applyFont="1" applyFill="1" applyBorder="1" applyAlignment="1" applyProtection="1">
      <alignment horizontal="center"/>
      <protection hidden="1"/>
    </xf>
    <xf numFmtId="0" fontId="7" fillId="25" borderId="0" xfId="0" applyFont="1" applyFill="1" applyAlignment="1">
      <alignment horizontal="left" vertical="center"/>
    </xf>
    <xf numFmtId="0" fontId="11" fillId="0" borderId="19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9" fillId="25" borderId="22" xfId="0" applyFont="1" applyFill="1" applyBorder="1" applyAlignment="1">
      <alignment horizontal="right" vertical="center"/>
    </xf>
    <xf numFmtId="0" fontId="9" fillId="25" borderId="23" xfId="0" applyFont="1" applyFill="1" applyBorder="1" applyAlignment="1">
      <alignment horizontal="right" vertical="center"/>
    </xf>
    <xf numFmtId="0" fontId="2" fillId="25" borderId="40" xfId="0" applyFont="1" applyFill="1" applyBorder="1" applyAlignment="1">
      <alignment horizontal="center" vertical="center"/>
    </xf>
    <xf numFmtId="165" fontId="38" fillId="25" borderId="42" xfId="0" applyNumberFormat="1" applyFont="1" applyFill="1" applyBorder="1" applyAlignment="1">
      <alignment horizontal="center" vertical="center" shrinkToFit="1"/>
    </xf>
    <xf numFmtId="165" fontId="38" fillId="25" borderId="35" xfId="0" applyNumberFormat="1" applyFont="1" applyFill="1" applyBorder="1" applyAlignment="1">
      <alignment horizontal="center" vertical="center" shrinkToFit="1"/>
    </xf>
    <xf numFmtId="165" fontId="38" fillId="25" borderId="36" xfId="0" applyNumberFormat="1" applyFont="1" applyFill="1" applyBorder="1" applyAlignment="1">
      <alignment horizontal="center" vertical="center" shrinkToFit="1"/>
    </xf>
    <xf numFmtId="2" fontId="50" fillId="25" borderId="15" xfId="0" applyNumberFormat="1" applyFont="1" applyFill="1" applyBorder="1" applyAlignment="1">
      <alignment horizontal="center" vertical="center" shrinkToFit="1"/>
    </xf>
    <xf numFmtId="2" fontId="50" fillId="25" borderId="16" xfId="0" applyNumberFormat="1" applyFont="1" applyFill="1" applyBorder="1" applyAlignment="1">
      <alignment horizontal="center" vertical="center" shrinkToFit="1"/>
    </xf>
    <xf numFmtId="2" fontId="68" fillId="25" borderId="26" xfId="0" applyNumberFormat="1" applyFont="1" applyFill="1" applyBorder="1" applyAlignment="1">
      <alignment horizontal="center" vertical="center" shrinkToFit="1"/>
    </xf>
    <xf numFmtId="2" fontId="68" fillId="25" borderId="27" xfId="0" applyNumberFormat="1" applyFont="1" applyFill="1" applyBorder="1" applyAlignment="1">
      <alignment horizontal="center" vertical="center" shrinkToFit="1"/>
    </xf>
    <xf numFmtId="2" fontId="38" fillId="24" borderId="0" xfId="0" applyNumberFormat="1" applyFont="1" applyFill="1" applyAlignment="1">
      <alignment horizontal="center" vertical="center" shrinkToFit="1"/>
    </xf>
    <xf numFmtId="0" fontId="54" fillId="24" borderId="0" xfId="0" applyFont="1" applyFill="1" applyAlignment="1" applyProtection="1">
      <alignment horizontal="center" vertical="center"/>
      <protection hidden="1"/>
    </xf>
    <xf numFmtId="0" fontId="52" fillId="24" borderId="0" xfId="0" applyFont="1" applyFill="1" applyAlignment="1">
      <alignment horizontal="center" vertical="center"/>
    </xf>
    <xf numFmtId="0" fontId="51" fillId="24" borderId="0" xfId="0" applyFont="1" applyFill="1" applyAlignment="1" applyProtection="1">
      <alignment horizontal="center" vertical="center" textRotation="90"/>
      <protection hidden="1"/>
    </xf>
    <xf numFmtId="0" fontId="54" fillId="24" borderId="0" xfId="0" applyFont="1" applyFill="1" applyAlignment="1" applyProtection="1">
      <alignment horizontal="left" vertical="center"/>
      <protection hidden="1"/>
    </xf>
    <xf numFmtId="0" fontId="5" fillId="25" borderId="32" xfId="0" applyFont="1" applyFill="1" applyBorder="1" applyAlignment="1" applyProtection="1">
      <alignment horizontal="center" vertical="top"/>
      <protection hidden="1"/>
    </xf>
    <xf numFmtId="0" fontId="6" fillId="25" borderId="0" xfId="0" applyFont="1" applyFill="1" applyAlignment="1" applyProtection="1">
      <alignment horizontal="center" vertical="top"/>
      <protection hidden="1"/>
    </xf>
    <xf numFmtId="0" fontId="6" fillId="25" borderId="21" xfId="0" applyFont="1" applyFill="1" applyBorder="1" applyAlignment="1" applyProtection="1">
      <alignment horizontal="center" vertical="top"/>
      <protection hidden="1"/>
    </xf>
    <xf numFmtId="0" fontId="38" fillId="24" borderId="0" xfId="0" applyFont="1" applyFill="1" applyAlignment="1" applyProtection="1">
      <alignment horizontal="center" vertical="center"/>
      <protection hidden="1"/>
    </xf>
    <xf numFmtId="0" fontId="53" fillId="24" borderId="0" xfId="0" applyFont="1" applyFill="1" applyAlignment="1" applyProtection="1">
      <alignment horizontal="center" vertical="center" textRotation="90"/>
      <protection hidden="1"/>
    </xf>
    <xf numFmtId="164" fontId="38" fillId="25" borderId="15" xfId="0" applyNumberFormat="1" applyFont="1" applyFill="1" applyBorder="1" applyAlignment="1" applyProtection="1">
      <alignment horizontal="center"/>
      <protection hidden="1"/>
    </xf>
    <xf numFmtId="164" fontId="38" fillId="25" borderId="16" xfId="0" applyNumberFormat="1" applyFont="1" applyFill="1" applyBorder="1" applyAlignment="1" applyProtection="1">
      <alignment horizontal="center"/>
      <protection hidden="1"/>
    </xf>
    <xf numFmtId="0" fontId="65" fillId="29" borderId="19" xfId="0" applyFont="1" applyFill="1" applyBorder="1" applyAlignment="1">
      <alignment horizontal="center" vertical="center"/>
    </xf>
    <xf numFmtId="0" fontId="65" fillId="29" borderId="18" xfId="0" applyFont="1" applyFill="1" applyBorder="1" applyAlignment="1">
      <alignment horizontal="center" vertical="center"/>
    </xf>
    <xf numFmtId="0" fontId="65" fillId="29" borderId="13" xfId="0" applyFont="1" applyFill="1" applyBorder="1" applyAlignment="1">
      <alignment horizontal="center" vertical="center"/>
    </xf>
    <xf numFmtId="2" fontId="38" fillId="24" borderId="0" xfId="0" applyNumberFormat="1" applyFont="1" applyFill="1" applyAlignment="1" applyProtection="1">
      <alignment horizontal="center" vertical="center" shrinkToFit="1"/>
      <protection hidden="1"/>
    </xf>
    <xf numFmtId="0" fontId="8" fillId="25" borderId="30" xfId="0" applyFont="1" applyFill="1" applyBorder="1" applyAlignment="1" applyProtection="1">
      <alignment horizontal="center" vertical="top"/>
      <protection hidden="1"/>
    </xf>
    <xf numFmtId="0" fontId="8" fillId="25" borderId="31" xfId="0" applyFont="1" applyFill="1" applyBorder="1" applyAlignment="1" applyProtection="1">
      <alignment horizontal="center" vertical="top"/>
      <protection hidden="1"/>
    </xf>
    <xf numFmtId="2" fontId="9" fillId="24" borderId="21" xfId="0" applyNumberFormat="1" applyFont="1" applyFill="1" applyBorder="1" applyAlignment="1" applyProtection="1">
      <alignment horizontal="right" vertical="center" textRotation="90" shrinkToFit="1"/>
      <protection hidden="1"/>
    </xf>
    <xf numFmtId="0" fontId="38" fillId="25" borderId="32" xfId="0" applyFont="1" applyFill="1" applyBorder="1" applyAlignment="1" applyProtection="1">
      <alignment horizontal="center" vertical="top"/>
      <protection hidden="1"/>
    </xf>
    <xf numFmtId="0" fontId="38" fillId="25" borderId="0" xfId="0" applyFont="1" applyFill="1" applyAlignment="1" applyProtection="1">
      <alignment horizontal="center" vertical="top"/>
      <protection hidden="1"/>
    </xf>
    <xf numFmtId="0" fontId="38" fillId="25" borderId="21" xfId="0" applyFont="1" applyFill="1" applyBorder="1" applyAlignment="1" applyProtection="1">
      <alignment horizontal="center" vertical="top"/>
      <protection hidden="1"/>
    </xf>
    <xf numFmtId="0" fontId="8" fillId="25" borderId="0" xfId="0" applyFont="1" applyFill="1" applyAlignment="1" applyProtection="1">
      <alignment horizontal="center" vertical="top"/>
      <protection hidden="1"/>
    </xf>
    <xf numFmtId="0" fontId="8" fillId="25" borderId="21" xfId="0" applyFont="1" applyFill="1" applyBorder="1" applyAlignment="1" applyProtection="1">
      <alignment horizontal="center" vertical="top"/>
      <protection hidden="1"/>
    </xf>
    <xf numFmtId="0" fontId="5" fillId="25" borderId="32" xfId="0" applyFont="1" applyFill="1" applyBorder="1" applyAlignment="1" applyProtection="1">
      <alignment horizontal="center" vertical="center"/>
      <protection hidden="1"/>
    </xf>
    <xf numFmtId="0" fontId="6" fillId="25" borderId="0" xfId="0" applyFont="1" applyFill="1" applyAlignment="1" applyProtection="1">
      <alignment horizontal="center" vertical="center"/>
      <protection hidden="1"/>
    </xf>
    <xf numFmtId="0" fontId="6" fillId="25" borderId="21" xfId="0" applyFont="1" applyFill="1" applyBorder="1" applyAlignment="1" applyProtection="1">
      <alignment horizontal="center" vertical="center"/>
      <protection hidden="1"/>
    </xf>
    <xf numFmtId="0" fontId="37" fillId="24" borderId="0" xfId="0" applyFont="1" applyFill="1" applyAlignment="1">
      <alignment horizontal="center" vertical="center"/>
    </xf>
    <xf numFmtId="0" fontId="37" fillId="24" borderId="9" xfId="0" applyFont="1" applyFill="1" applyBorder="1" applyAlignment="1">
      <alignment horizontal="center" vertical="center"/>
    </xf>
    <xf numFmtId="0" fontId="51" fillId="24" borderId="32" xfId="0" applyFont="1" applyFill="1" applyBorder="1" applyAlignment="1" applyProtection="1">
      <alignment horizontal="center" vertical="center" textRotation="90"/>
      <protection hidden="1"/>
    </xf>
    <xf numFmtId="0" fontId="6" fillId="25" borderId="32" xfId="0" applyFont="1" applyFill="1" applyBorder="1" applyAlignment="1" applyProtection="1">
      <alignment horizontal="center" vertical="top"/>
      <protection hidden="1"/>
    </xf>
    <xf numFmtId="0" fontId="10" fillId="24" borderId="0" xfId="0" applyFont="1" applyFill="1" applyAlignment="1">
      <alignment vertical="center"/>
    </xf>
    <xf numFmtId="0" fontId="10" fillId="31" borderId="0" xfId="0" applyFont="1" applyFill="1" applyAlignment="1">
      <alignment vertical="center"/>
    </xf>
    <xf numFmtId="0" fontId="72" fillId="31" borderId="0" xfId="0" applyFont="1" applyFill="1" applyAlignment="1">
      <alignment vertical="center" wrapText="1"/>
    </xf>
    <xf numFmtId="0" fontId="73" fillId="29" borderId="0" xfId="0" applyFont="1" applyFill="1" applyAlignment="1">
      <alignment horizontal="center" vertical="center"/>
    </xf>
    <xf numFmtId="0" fontId="74" fillId="31" borderId="0" xfId="0" applyFont="1" applyFill="1" applyAlignment="1">
      <alignment horizontal="center" vertical="center"/>
    </xf>
    <xf numFmtId="0" fontId="74" fillId="24" borderId="0" xfId="0" applyFont="1" applyFill="1" applyAlignment="1">
      <alignment horizontal="center" vertical="center"/>
    </xf>
    <xf numFmtId="0" fontId="75" fillId="24" borderId="0" xfId="0" applyFont="1" applyFill="1" applyAlignment="1">
      <alignment horizontal="left" vertical="center" indent="1"/>
    </xf>
    <xf numFmtId="0" fontId="76" fillId="24" borderId="0" xfId="0" applyFont="1" applyFill="1" applyAlignment="1">
      <alignment horizontal="center" vertical="center"/>
    </xf>
    <xf numFmtId="0" fontId="10" fillId="24" borderId="0" xfId="0" applyFont="1" applyFill="1" applyAlignment="1">
      <alignment horizontal="left" vertical="center" indent="1"/>
    </xf>
    <xf numFmtId="2" fontId="77" fillId="24" borderId="0" xfId="0" applyNumberFormat="1" applyFont="1" applyFill="1" applyAlignment="1">
      <alignment horizontal="left" vertical="center"/>
    </xf>
    <xf numFmtId="0" fontId="10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" fontId="77" fillId="24" borderId="0" xfId="0" applyNumberFormat="1" applyFont="1" applyFill="1" applyAlignment="1" applyProtection="1">
      <alignment horizontal="left" vertical="center"/>
      <protection locked="0"/>
    </xf>
    <xf numFmtId="2" fontId="10" fillId="24" borderId="0" xfId="0" applyNumberFormat="1" applyFont="1" applyFill="1" applyAlignment="1" applyProtection="1">
      <alignment horizontal="left" vertical="center"/>
      <protection locked="0"/>
    </xf>
    <xf numFmtId="0" fontId="11" fillId="24" borderId="0" xfId="0" applyFont="1" applyFill="1" applyAlignment="1">
      <alignment horizontal="left" vertical="center"/>
    </xf>
    <xf numFmtId="0" fontId="78" fillId="24" borderId="0" xfId="0" applyFont="1" applyFill="1" applyAlignment="1">
      <alignment horizontal="left" vertical="center"/>
    </xf>
    <xf numFmtId="0" fontId="10" fillId="24" borderId="0" xfId="0" applyFont="1" applyFill="1" applyAlignment="1">
      <alignment horizontal="left" vertical="center"/>
    </xf>
    <xf numFmtId="2" fontId="11" fillId="24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 indent="1"/>
    </xf>
    <xf numFmtId="0" fontId="78" fillId="24" borderId="0" xfId="0" applyFont="1" applyFill="1" applyAlignment="1" applyProtection="1">
      <alignment horizontal="left" vertical="center"/>
      <protection locked="0"/>
    </xf>
    <xf numFmtId="0" fontId="0" fillId="31" borderId="0" xfId="0" applyFill="1" applyAlignment="1">
      <alignment horizontal="left" vertical="center"/>
    </xf>
    <xf numFmtId="0" fontId="77" fillId="24" borderId="0" xfId="0" applyFont="1" applyFill="1" applyAlignment="1" applyProtection="1">
      <alignment horizontal="left" vertical="center"/>
      <protection locked="0"/>
    </xf>
    <xf numFmtId="0" fontId="70" fillId="0" borderId="0" xfId="0" applyFont="1" applyAlignment="1">
      <alignment horizontal="left" vertical="center"/>
    </xf>
    <xf numFmtId="165" fontId="10" fillId="24" borderId="0" xfId="0" applyNumberFormat="1" applyFont="1" applyFill="1" applyAlignment="1" applyProtection="1">
      <alignment horizontal="right" vertical="center"/>
      <protection locked="0"/>
    </xf>
    <xf numFmtId="0" fontId="79" fillId="31" borderId="0" xfId="0" applyFont="1" applyFill="1" applyAlignment="1">
      <alignment horizontal="center" vertical="center"/>
    </xf>
    <xf numFmtId="165" fontId="10" fillId="24" borderId="0" xfId="0" applyNumberFormat="1" applyFont="1" applyFill="1" applyAlignment="1" applyProtection="1">
      <alignment horizontal="right" vertical="center"/>
      <protection hidden="1"/>
    </xf>
    <xf numFmtId="2" fontId="10" fillId="24" borderId="0" xfId="0" applyNumberFormat="1" applyFont="1" applyFill="1" applyAlignment="1" applyProtection="1">
      <alignment horizontal="right" vertical="center"/>
      <protection hidden="1"/>
    </xf>
    <xf numFmtId="0" fontId="10" fillId="24" borderId="0" xfId="0" applyFont="1" applyFill="1" applyAlignment="1">
      <alignment horizontal="right" vertical="center"/>
    </xf>
    <xf numFmtId="0" fontId="10" fillId="31" borderId="0" xfId="0" applyFont="1" applyFill="1" applyAlignment="1">
      <alignment horizontal="right" vertical="center"/>
    </xf>
    <xf numFmtId="0" fontId="10" fillId="24" borderId="0" xfId="0" applyFont="1" applyFill="1" applyAlignment="1">
      <alignment horizontal="center" vertical="center"/>
    </xf>
    <xf numFmtId="165" fontId="82" fillId="24" borderId="0" xfId="0" applyNumberFormat="1" applyFont="1" applyFill="1" applyAlignment="1">
      <alignment horizontal="right" vertical="center"/>
    </xf>
    <xf numFmtId="0" fontId="10" fillId="24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168" fontId="77" fillId="24" borderId="0" xfId="0" applyNumberFormat="1" applyFont="1" applyFill="1" applyAlignment="1">
      <alignment horizontal="right" vertical="center"/>
    </xf>
    <xf numFmtId="165" fontId="10" fillId="24" borderId="0" xfId="0" applyNumberFormat="1" applyFont="1" applyFill="1" applyAlignment="1">
      <alignment horizontal="right" vertical="center"/>
    </xf>
    <xf numFmtId="0" fontId="10" fillId="24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165" fontId="83" fillId="32" borderId="0" xfId="50" applyNumberFormat="1" applyBorder="1" applyAlignment="1" applyProtection="1">
      <alignment horizontal="right" vertical="center"/>
      <protection hidden="1"/>
    </xf>
    <xf numFmtId="0" fontId="10" fillId="31" borderId="0" xfId="0" applyFont="1" applyFill="1" applyAlignment="1">
      <alignment horizontal="left" vertical="center"/>
    </xf>
    <xf numFmtId="0" fontId="84" fillId="31" borderId="0" xfId="0" applyFont="1" applyFill="1" applyAlignment="1">
      <alignment vertical="center"/>
    </xf>
    <xf numFmtId="168" fontId="10" fillId="24" borderId="0" xfId="0" applyNumberFormat="1" applyFont="1" applyFill="1" applyAlignment="1">
      <alignment vertical="center"/>
    </xf>
    <xf numFmtId="0" fontId="1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5" fillId="0" borderId="10" xfId="51" applyFont="1" applyBorder="1" applyAlignment="1">
      <alignment horizontal="center" vertical="center"/>
    </xf>
    <xf numFmtId="0" fontId="89" fillId="0" borderId="10" xfId="51" applyFont="1" applyBorder="1" applyAlignment="1">
      <alignment horizontal="center" vertical="center"/>
    </xf>
    <xf numFmtId="0" fontId="92" fillId="0" borderId="10" xfId="51" applyFont="1" applyBorder="1" applyAlignment="1">
      <alignment horizontal="center" vertical="center"/>
    </xf>
    <xf numFmtId="0" fontId="10" fillId="0" borderId="10" xfId="51" applyBorder="1" applyAlignment="1">
      <alignment horizontal="center" vertical="center"/>
    </xf>
    <xf numFmtId="0" fontId="88" fillId="0" borderId="10" xfId="51" applyFont="1" applyBorder="1" applyAlignment="1">
      <alignment horizontal="center" vertical="center"/>
    </xf>
    <xf numFmtId="0" fontId="88" fillId="0" borderId="10" xfId="51" applyFont="1" applyBorder="1" applyAlignment="1">
      <alignment horizontal="left" vertical="center"/>
    </xf>
    <xf numFmtId="2" fontId="88" fillId="0" borderId="10" xfId="5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3" fillId="0" borderId="0" xfId="52"/>
  </cellXfs>
  <cellStyles count="5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Good 2" xfId="50" xr:uid="{FAD40DCC-9BE5-47EB-BABF-3FE5D0E80E45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rmal 3" xfId="49" xr:uid="{D379916C-027B-4881-990D-3D833DB4E555}"/>
    <cellStyle name="Normal 7" xfId="51" xr:uid="{3D3D05FD-CE76-4A35-85FE-AADB4902613F}"/>
    <cellStyle name="Normal 8" xfId="52" xr:uid="{4C261E26-32DA-4A49-94DE-BE0482A4C348}"/>
    <cellStyle name="Note" xfId="42" builtinId="10" customBuiltin="1"/>
    <cellStyle name="Output" xfId="43" builtinId="21" customBuiltin="1"/>
    <cellStyle name="Percent" xfId="48" builtinId="5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0"/>
  <tableStyles count="0" defaultTableStyle="TableStyleMedium9" defaultPivotStyle="PivotStyleLight16"/>
  <colors>
    <mruColors>
      <color rgb="FFFF00FF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B83A3D10-FADF-4560-AB6C-E9F09953C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E9617317-127D-40C7-84E7-3D252DAEF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572D0296-9729-4D9F-AB38-77022CECE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278423</xdr:colOff>
      <xdr:row>29</xdr:row>
      <xdr:rowOff>43962</xdr:rowOff>
    </xdr:from>
    <xdr:to>
      <xdr:col>17</xdr:col>
      <xdr:colOff>432288</xdr:colOff>
      <xdr:row>40</xdr:row>
      <xdr:rowOff>98518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4F7A0A-FAAB-5A03-F9A5-E002E8976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44308" y="2710962"/>
          <a:ext cx="4410807" cy="2150056"/>
        </a:xfrm>
        <a:prstGeom prst="rect">
          <a:avLst/>
        </a:prstGeom>
      </xdr:spPr>
    </xdr:pic>
    <xdr:clientData/>
  </xdr:twoCellAnchor>
  <xdr:twoCellAnchor editAs="oneCell">
    <xdr:from>
      <xdr:col>9</xdr:col>
      <xdr:colOff>36634</xdr:colOff>
      <xdr:row>0</xdr:row>
      <xdr:rowOff>0</xdr:rowOff>
    </xdr:from>
    <xdr:to>
      <xdr:col>18</xdr:col>
      <xdr:colOff>359804</xdr:colOff>
      <xdr:row>29</xdr:row>
      <xdr:rowOff>10833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8D893F-9E95-6655-FF1B-350209E34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4384" y="0"/>
          <a:ext cx="5796382" cy="2677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304801</xdr:colOff>
      <xdr:row>19</xdr:row>
      <xdr:rowOff>0</xdr:rowOff>
    </xdr:from>
    <xdr:to>
      <xdr:col>26</xdr:col>
      <xdr:colOff>200026</xdr:colOff>
      <xdr:row>19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5E4916A-6BFD-46FA-9925-446724075785}"/>
            </a:ext>
          </a:extLst>
        </xdr:cNvPr>
        <xdr:cNvSpPr txBox="1"/>
      </xdr:nvSpPr>
      <xdr:spPr>
        <a:xfrm>
          <a:off x="8010526" y="2171700"/>
          <a:ext cx="20955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l-PL" sz="1100">
              <a:solidFill>
                <a:srgbClr val="969696"/>
              </a:solidFill>
              <a:latin typeface="+mn-lt"/>
            </a:rPr>
            <a:t>    </a:t>
          </a:r>
          <a:endParaRPr lang="en-GB" sz="1100">
            <a:solidFill>
              <a:srgbClr val="969696"/>
            </a:solidFill>
            <a:latin typeface="+mn-lt"/>
          </a:endParaRPr>
        </a:p>
      </xdr:txBody>
    </xdr:sp>
    <xdr:clientData fPrintsWithSheet="0"/>
  </xdr:twoCellAnchor>
  <xdr:twoCellAnchor>
    <xdr:from>
      <xdr:col>2</xdr:col>
      <xdr:colOff>180977</xdr:colOff>
      <xdr:row>62</xdr:row>
      <xdr:rowOff>28576</xdr:rowOff>
    </xdr:from>
    <xdr:to>
      <xdr:col>3</xdr:col>
      <xdr:colOff>17183</xdr:colOff>
      <xdr:row>71</xdr:row>
      <xdr:rowOff>109632</xdr:rowOff>
    </xdr:to>
    <xdr:sp macro="" textlink="#REF!">
      <xdr:nvSpPr>
        <xdr:cNvPr id="18" name="TextBox 17">
          <a:extLst>
            <a:ext uri="{FF2B5EF4-FFF2-40B4-BE49-F238E27FC236}">
              <a16:creationId xmlns:a16="http://schemas.microsoft.com/office/drawing/2014/main" id="{01014FEF-6414-40CC-A0D1-7F01BCEBB2CD}"/>
            </a:ext>
          </a:extLst>
        </xdr:cNvPr>
        <xdr:cNvSpPr txBox="1"/>
      </xdr:nvSpPr>
      <xdr:spPr>
        <a:xfrm rot="16200000">
          <a:off x="-300036" y="16948619"/>
          <a:ext cx="1817967" cy="250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B2176D-F27C-492C-9337-0F09A571D20D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 </a:t>
          </a:fld>
          <a:endParaRPr lang="en-GB" sz="1100">
            <a:latin typeface="+mn-lt"/>
          </a:endParaRPr>
        </a:p>
      </xdr:txBody>
    </xdr:sp>
    <xdr:clientData/>
  </xdr:twoCellAnchor>
  <xdr:twoCellAnchor>
    <xdr:from>
      <xdr:col>2</xdr:col>
      <xdr:colOff>180977</xdr:colOff>
      <xdr:row>82</xdr:row>
      <xdr:rowOff>28576</xdr:rowOff>
    </xdr:from>
    <xdr:to>
      <xdr:col>3</xdr:col>
      <xdr:colOff>17183</xdr:colOff>
      <xdr:row>91</xdr:row>
      <xdr:rowOff>109632</xdr:rowOff>
    </xdr:to>
    <xdr:sp macro="" textlink="#REF!">
      <xdr:nvSpPr>
        <xdr:cNvPr id="21" name="TextBox 20">
          <a:extLst>
            <a:ext uri="{FF2B5EF4-FFF2-40B4-BE49-F238E27FC236}">
              <a16:creationId xmlns:a16="http://schemas.microsoft.com/office/drawing/2014/main" id="{536A9F73-F305-4AE4-96E3-DD9AEB018D8E}"/>
            </a:ext>
          </a:extLst>
        </xdr:cNvPr>
        <xdr:cNvSpPr txBox="1"/>
      </xdr:nvSpPr>
      <xdr:spPr>
        <a:xfrm rot="16200000">
          <a:off x="-294433" y="13076986"/>
          <a:ext cx="1806762" cy="250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B2176D-F27C-492C-9337-0F09A571D20D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 </a:t>
          </a:fld>
          <a:endParaRPr lang="en-GB" sz="1100">
            <a:latin typeface="+mn-lt"/>
          </a:endParaRPr>
        </a:p>
      </xdr:txBody>
    </xdr:sp>
    <xdr:clientData/>
  </xdr:twoCellAnchor>
  <xdr:twoCellAnchor editAs="oneCell">
    <xdr:from>
      <xdr:col>14</xdr:col>
      <xdr:colOff>285750</xdr:colOff>
      <xdr:row>13</xdr:row>
      <xdr:rowOff>70898</xdr:rowOff>
    </xdr:from>
    <xdr:to>
      <xdr:col>25</xdr:col>
      <xdr:colOff>285750</xdr:colOff>
      <xdr:row>22</xdr:row>
      <xdr:rowOff>106625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B840CBC-B8A1-DDCF-0C4C-2FB6B73D8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62096" y="1096667"/>
          <a:ext cx="3531577" cy="1750227"/>
        </a:xfrm>
        <a:prstGeom prst="rect">
          <a:avLst/>
        </a:prstGeom>
      </xdr:spPr>
    </xdr:pic>
    <xdr:clientData/>
  </xdr:twoCellAnchor>
  <xdr:oneCellAnchor>
    <xdr:from>
      <xdr:col>18</xdr:col>
      <xdr:colOff>87924</xdr:colOff>
      <xdr:row>21</xdr:row>
      <xdr:rowOff>29309</xdr:rowOff>
    </xdr:from>
    <xdr:ext cx="447687" cy="233205"/>
    <xdr:sp macro="" textlink="M19">
      <xdr:nvSpPr>
        <xdr:cNvPr id="23" name="TextBox 22">
          <a:extLst>
            <a:ext uri="{FF2B5EF4-FFF2-40B4-BE49-F238E27FC236}">
              <a16:creationId xmlns:a16="http://schemas.microsoft.com/office/drawing/2014/main" id="{5512C5D2-CB40-1BE1-2490-CDF637625130}"/>
            </a:ext>
          </a:extLst>
        </xdr:cNvPr>
        <xdr:cNvSpPr txBox="1"/>
      </xdr:nvSpPr>
      <xdr:spPr>
        <a:xfrm>
          <a:off x="5546482" y="2579078"/>
          <a:ext cx="447687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B31AE5B-9603-4E7F-868B-98DC96507B00}" type="TxLink">
            <a:rPr lang="en-US" sz="900" b="0" i="0" u="none" strike="noStrike">
              <a:solidFill>
                <a:srgbClr val="0000CC"/>
              </a:solidFill>
              <a:latin typeface="Calibri"/>
              <a:ea typeface="Calibri"/>
              <a:cs typeface="Calibri"/>
            </a:rPr>
            <a:pPr/>
            <a:t>68.00</a:t>
          </a:fld>
          <a:endParaRPr lang="en-US" sz="900"/>
        </a:p>
      </xdr:txBody>
    </xdr:sp>
    <xdr:clientData/>
  </xdr:oneCellAnchor>
  <xdr:oneCellAnchor>
    <xdr:from>
      <xdr:col>21</xdr:col>
      <xdr:colOff>239189</xdr:colOff>
      <xdr:row>15</xdr:row>
      <xdr:rowOff>186332</xdr:rowOff>
    </xdr:from>
    <xdr:ext cx="233205" cy="447687"/>
    <xdr:sp macro="" textlink="M18">
      <xdr:nvSpPr>
        <xdr:cNvPr id="24" name="TextBox 23">
          <a:extLst>
            <a:ext uri="{FF2B5EF4-FFF2-40B4-BE49-F238E27FC236}">
              <a16:creationId xmlns:a16="http://schemas.microsoft.com/office/drawing/2014/main" id="{6F6125FE-E335-43DF-953B-F5E06BE4FDD8}"/>
            </a:ext>
          </a:extLst>
        </xdr:cNvPr>
        <xdr:cNvSpPr txBox="1"/>
      </xdr:nvSpPr>
      <xdr:spPr>
        <a:xfrm rot="16200000">
          <a:off x="6579640" y="1700342"/>
          <a:ext cx="447687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983D0C7-74A6-4F22-80A1-DFC60AC4A506}" type="TxLink">
            <a:rPr lang="en-US" sz="900" b="0" i="0" u="none" strike="noStrike">
              <a:solidFill>
                <a:srgbClr val="0000CC"/>
              </a:solidFill>
              <a:latin typeface="Calibri"/>
              <a:ea typeface="Calibri"/>
              <a:cs typeface="Calibri"/>
            </a:rPr>
            <a:pPr/>
            <a:t>30.00</a:t>
          </a:fld>
          <a:endParaRPr lang="en-US" sz="700"/>
        </a:p>
      </xdr:txBody>
    </xdr:sp>
    <xdr:clientData/>
  </xdr:oneCellAnchor>
  <xdr:oneCellAnchor>
    <xdr:from>
      <xdr:col>24</xdr:col>
      <xdr:colOff>35170</xdr:colOff>
      <xdr:row>13</xdr:row>
      <xdr:rowOff>57151</xdr:rowOff>
    </xdr:from>
    <xdr:ext cx="447687" cy="233205"/>
    <xdr:sp macro="" textlink="M20">
      <xdr:nvSpPr>
        <xdr:cNvPr id="25" name="TextBox 24">
          <a:extLst>
            <a:ext uri="{FF2B5EF4-FFF2-40B4-BE49-F238E27FC236}">
              <a16:creationId xmlns:a16="http://schemas.microsoft.com/office/drawing/2014/main" id="{99639753-1B0C-4F9B-940D-59AC31F56AEC}"/>
            </a:ext>
          </a:extLst>
        </xdr:cNvPr>
        <xdr:cNvSpPr txBox="1"/>
      </xdr:nvSpPr>
      <xdr:spPr>
        <a:xfrm>
          <a:off x="7428035" y="1082920"/>
          <a:ext cx="447687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C8AC1F66-93DF-4E38-81DD-73F28107F727}" type="TxLink">
            <a:rPr lang="en-US" sz="900" b="0" i="0" u="none" strike="noStrike">
              <a:solidFill>
                <a:srgbClr val="0000CC"/>
              </a:solidFill>
              <a:latin typeface="Calibri"/>
              <a:ea typeface="Calibri"/>
              <a:cs typeface="Calibri"/>
            </a:rPr>
            <a:pPr/>
            <a:t>10.00</a:t>
          </a:fld>
          <a:endParaRPr lang="en-US" sz="700"/>
        </a:p>
      </xdr:txBody>
    </xdr:sp>
    <xdr:clientData/>
  </xdr:oneCellAnchor>
  <xdr:twoCellAnchor editAs="oneCell">
    <xdr:from>
      <xdr:col>44</xdr:col>
      <xdr:colOff>353524</xdr:colOff>
      <xdr:row>0</xdr:row>
      <xdr:rowOff>0</xdr:rowOff>
    </xdr:from>
    <xdr:to>
      <xdr:col>52</xdr:col>
      <xdr:colOff>545010</xdr:colOff>
      <xdr:row>16</xdr:row>
      <xdr:rowOff>184525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6ED145-6CD9-45A7-B40B-5CA5275C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165274" y="0"/>
          <a:ext cx="5144486" cy="1803775"/>
        </a:xfrm>
        <a:prstGeom prst="rect">
          <a:avLst/>
        </a:prstGeom>
      </xdr:spPr>
    </xdr:pic>
    <xdr:clientData/>
  </xdr:twoCellAnchor>
  <xdr:twoCellAnchor editAs="oneCell">
    <xdr:from>
      <xdr:col>44</xdr:col>
      <xdr:colOff>565639</xdr:colOff>
      <xdr:row>18</xdr:row>
      <xdr:rowOff>11684</xdr:rowOff>
    </xdr:from>
    <xdr:to>
      <xdr:col>53</xdr:col>
      <xdr:colOff>121148</xdr:colOff>
      <xdr:row>34</xdr:row>
      <xdr:rowOff>92169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DB73376-9335-4F05-8661-CEBC502F3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377389" y="2011934"/>
          <a:ext cx="5127634" cy="3427057"/>
        </a:xfrm>
        <a:prstGeom prst="rect">
          <a:avLst/>
        </a:prstGeom>
      </xdr:spPr>
    </xdr:pic>
    <xdr:clientData/>
  </xdr:twoCellAnchor>
  <xdr:twoCellAnchor>
    <xdr:from>
      <xdr:col>3</xdr:col>
      <xdr:colOff>117230</xdr:colOff>
      <xdr:row>67</xdr:row>
      <xdr:rowOff>7327</xdr:rowOff>
    </xdr:from>
    <xdr:to>
      <xdr:col>4</xdr:col>
      <xdr:colOff>308874</xdr:colOff>
      <xdr:row>68</xdr:row>
      <xdr:rowOff>5613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B47D36A5-FBE8-44A5-8920-A6E49527484F}"/>
            </a:ext>
          </a:extLst>
        </xdr:cNvPr>
        <xdr:cNvSpPr/>
      </xdr:nvSpPr>
      <xdr:spPr bwMode="auto">
        <a:xfrm>
          <a:off x="827942" y="12455769"/>
          <a:ext cx="506701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131885</xdr:colOff>
      <xdr:row>87</xdr:row>
      <xdr:rowOff>14654</xdr:rowOff>
    </xdr:from>
    <xdr:to>
      <xdr:col>19</xdr:col>
      <xdr:colOff>45539</xdr:colOff>
      <xdr:row>88</xdr:row>
      <xdr:rowOff>12939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30E69EA5-7ACF-4AEF-ABE5-92EDBF431463}"/>
            </a:ext>
          </a:extLst>
        </xdr:cNvPr>
        <xdr:cNvSpPr/>
      </xdr:nvSpPr>
      <xdr:spPr bwMode="auto">
        <a:xfrm flipH="1">
          <a:off x="5275385" y="16375673"/>
          <a:ext cx="543769" cy="188785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184356</xdr:colOff>
      <xdr:row>114</xdr:row>
      <xdr:rowOff>117231</xdr:rowOff>
    </xdr:from>
    <xdr:to>
      <xdr:col>12</xdr:col>
      <xdr:colOff>60368</xdr:colOff>
      <xdr:row>117</xdr:row>
      <xdr:rowOff>45232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7243BAA6-54A4-431A-BFE1-06A74F47D5FA}"/>
            </a:ext>
          </a:extLst>
        </xdr:cNvPr>
        <xdr:cNvSpPr/>
      </xdr:nvSpPr>
      <xdr:spPr bwMode="auto">
        <a:xfrm rot="5400000" flipH="1">
          <a:off x="3261313" y="21856562"/>
          <a:ext cx="499501" cy="19107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168519</xdr:colOff>
      <xdr:row>118</xdr:row>
      <xdr:rowOff>182195</xdr:rowOff>
    </xdr:from>
    <xdr:to>
      <xdr:col>12</xdr:col>
      <xdr:colOff>44531</xdr:colOff>
      <xdr:row>121</xdr:row>
      <xdr:rowOff>110194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449B9C26-0E1E-4650-816F-A94709D1A323}"/>
            </a:ext>
          </a:extLst>
        </xdr:cNvPr>
        <xdr:cNvSpPr/>
      </xdr:nvSpPr>
      <xdr:spPr bwMode="auto">
        <a:xfrm rot="16200000" flipH="1" flipV="1">
          <a:off x="3245477" y="22683525"/>
          <a:ext cx="499499" cy="19107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897e0139b14c7e2/03%20Spreadsheet/01%20CALCULATION%20REPORT/01%20LOADING/Cal%20Gust%20factor.xlsm" TargetMode="External"/><Relationship Id="rId1" Type="http://schemas.openxmlformats.org/officeDocument/2006/relationships/externalLinkPath" Target="/1897e0139b14c7e2/03%20Spreadsheet/01%20CALCULATION%20REPORT/01%20LOADING/Cal%20Gust%20fa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ustFactor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6542A-14A4-45A9-BAF3-3E94A1ED3C77}">
  <sheetPr>
    <tabColor rgb="FFFF0000"/>
  </sheetPr>
  <dimension ref="A1:AA61"/>
  <sheetViews>
    <sheetView showGridLines="0" view="pageBreakPreview" zoomScaleNormal="100" zoomScaleSheetLayoutView="100" workbookViewId="0">
      <selection activeCell="S11" sqref="S11"/>
    </sheetView>
  </sheetViews>
  <sheetFormatPr defaultRowHeight="12.75"/>
  <cols>
    <col min="1" max="1" width="3" style="323" customWidth="1"/>
    <col min="2" max="2" width="11.85546875" style="322" customWidth="1"/>
    <col min="3" max="3" width="7.5703125" style="322" customWidth="1"/>
    <col min="4" max="4" width="7.7109375" style="322" customWidth="1"/>
    <col min="5" max="5" width="7.5703125" style="322" bestFit="1" customWidth="1"/>
    <col min="6" max="6" width="5.28515625" style="322" customWidth="1"/>
    <col min="7" max="7" width="7.28515625" style="322" bestFit="1" customWidth="1"/>
    <col min="8" max="8" width="8.5703125" style="322" bestFit="1" customWidth="1"/>
    <col min="9" max="9" width="8.28515625" style="322" customWidth="1"/>
    <col min="10" max="10" width="6.5703125" style="322" bestFit="1" customWidth="1"/>
    <col min="11" max="11" width="7.5703125" style="322" bestFit="1" customWidth="1"/>
    <col min="12" max="12" width="7.28515625" style="322" bestFit="1" customWidth="1"/>
    <col min="13" max="13" width="6.85546875" style="322" customWidth="1"/>
    <col min="14" max="14" width="8.85546875" style="322" customWidth="1"/>
    <col min="15" max="15" width="8.85546875" style="323" customWidth="1"/>
    <col min="16" max="16" width="12.85546875" style="323" bestFit="1" customWidth="1"/>
    <col min="17" max="16384" width="9.140625" style="323"/>
  </cols>
  <sheetData>
    <row r="1" spans="1:27" ht="14.25" customHeight="1">
      <c r="A1" s="322"/>
      <c r="P1" s="324"/>
      <c r="Q1" s="324"/>
      <c r="R1" s="324"/>
    </row>
    <row r="2" spans="1:27" ht="24" customHeight="1">
      <c r="A2" s="322"/>
      <c r="B2" s="325" t="s">
        <v>204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6"/>
      <c r="P2" s="324"/>
      <c r="Q2" s="324"/>
      <c r="R2" s="324"/>
    </row>
    <row r="3" spans="1:27" ht="12.75" customHeight="1">
      <c r="A3" s="322"/>
      <c r="B3" s="327"/>
      <c r="C3" s="327"/>
      <c r="D3" s="327"/>
      <c r="E3" s="327"/>
      <c r="F3" s="327"/>
      <c r="G3" s="327"/>
      <c r="H3" s="327"/>
      <c r="I3" s="327"/>
      <c r="J3" s="327"/>
      <c r="K3" s="327"/>
      <c r="L3" s="327"/>
      <c r="M3" s="327"/>
      <c r="N3" s="327"/>
      <c r="O3" s="326"/>
      <c r="P3" s="324"/>
      <c r="Q3" s="324"/>
      <c r="R3" s="324"/>
    </row>
    <row r="4" spans="1:27" ht="12.75" customHeight="1">
      <c r="A4" s="322"/>
      <c r="B4" s="328" t="s">
        <v>205</v>
      </c>
      <c r="C4" s="328"/>
      <c r="D4" s="329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6"/>
      <c r="P4" s="324"/>
      <c r="Q4" s="324"/>
      <c r="R4" s="324"/>
    </row>
    <row r="5" spans="1:27">
      <c r="A5" s="322"/>
      <c r="B5" s="330" t="s">
        <v>206</v>
      </c>
      <c r="C5" s="330"/>
      <c r="D5" s="330"/>
      <c r="E5" s="331">
        <v>13.5</v>
      </c>
      <c r="F5" s="332" t="s">
        <v>207</v>
      </c>
      <c r="G5" s="333"/>
      <c r="H5" s="333"/>
      <c r="I5" s="333"/>
      <c r="J5" s="334">
        <v>0</v>
      </c>
      <c r="K5" s="335" t="s">
        <v>208</v>
      </c>
      <c r="M5" s="336"/>
    </row>
    <row r="6" spans="1:27">
      <c r="A6" s="322"/>
      <c r="B6" s="330" t="s">
        <v>209</v>
      </c>
      <c r="C6" s="330"/>
      <c r="D6" s="337" t="s">
        <v>2</v>
      </c>
      <c r="H6" s="338"/>
      <c r="I6" s="336"/>
      <c r="J6" s="336"/>
      <c r="K6" s="339"/>
      <c r="L6" s="338"/>
      <c r="M6" s="336"/>
    </row>
    <row r="7" spans="1:27">
      <c r="A7" s="322"/>
      <c r="B7" s="330" t="s">
        <v>210</v>
      </c>
      <c r="C7" s="340"/>
      <c r="D7" s="341" t="s">
        <v>1</v>
      </c>
      <c r="E7" s="332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333"/>
      <c r="G7" s="333"/>
      <c r="H7" s="333"/>
      <c r="I7" s="333"/>
      <c r="J7" s="333"/>
      <c r="K7" s="333"/>
      <c r="L7" s="333"/>
      <c r="M7" s="333"/>
      <c r="N7" s="333"/>
      <c r="O7" s="342"/>
    </row>
    <row r="8" spans="1:27">
      <c r="A8" s="322"/>
      <c r="B8" s="330" t="s">
        <v>84</v>
      </c>
      <c r="C8" s="330"/>
      <c r="D8" s="330"/>
      <c r="E8" s="340"/>
      <c r="F8" s="340"/>
      <c r="G8" s="340"/>
      <c r="H8" s="343" t="s">
        <v>211</v>
      </c>
      <c r="I8" s="344"/>
      <c r="J8" s="344"/>
    </row>
    <row r="9" spans="1:27">
      <c r="A9" s="322"/>
      <c r="B9" s="330" t="s">
        <v>212</v>
      </c>
      <c r="C9" s="340"/>
      <c r="D9" s="340"/>
      <c r="E9" s="340"/>
      <c r="F9" s="340"/>
      <c r="G9" s="340"/>
      <c r="H9" s="345">
        <v>1</v>
      </c>
      <c r="J9" s="332" t="s">
        <v>213</v>
      </c>
      <c r="K9" s="333"/>
      <c r="L9" s="333"/>
      <c r="M9" s="333"/>
      <c r="N9" s="333"/>
      <c r="O9" s="342"/>
      <c r="R9" s="346"/>
      <c r="S9" s="346"/>
      <c r="T9" s="346"/>
      <c r="U9" s="346"/>
      <c r="V9" s="346"/>
      <c r="W9" s="346"/>
      <c r="X9" s="346"/>
      <c r="Y9" s="346"/>
      <c r="Z9" s="346"/>
      <c r="AA9" s="346"/>
    </row>
    <row r="10" spans="1:27" ht="15.75">
      <c r="A10" s="322"/>
      <c r="B10" s="330" t="s">
        <v>214</v>
      </c>
      <c r="C10" s="340"/>
      <c r="D10" s="340"/>
      <c r="E10" s="340"/>
      <c r="F10" s="340"/>
      <c r="G10" s="340"/>
      <c r="H10" s="347">
        <f>VLOOKUP(D6,GustFactor!$F$57:$H$61,2,FALSE)</f>
        <v>0.95</v>
      </c>
      <c r="J10" s="332" t="s">
        <v>215</v>
      </c>
      <c r="K10" s="333"/>
      <c r="L10" s="333"/>
      <c r="M10" s="333"/>
      <c r="N10" s="333"/>
      <c r="O10" s="342"/>
      <c r="R10" s="346"/>
      <c r="S10" s="346"/>
      <c r="T10" s="346"/>
      <c r="U10" s="346"/>
      <c r="V10" s="346"/>
      <c r="W10" s="346"/>
      <c r="X10" s="346"/>
      <c r="Y10" s="346"/>
      <c r="Z10" s="346"/>
      <c r="AA10" s="346"/>
    </row>
    <row r="11" spans="1:27" ht="15.75">
      <c r="A11" s="322"/>
      <c r="B11" s="330" t="s">
        <v>216</v>
      </c>
      <c r="C11" s="340"/>
      <c r="D11" s="340"/>
      <c r="E11" s="340"/>
      <c r="F11" s="340"/>
      <c r="G11" s="340"/>
      <c r="H11" s="347">
        <f>H10*0.852</f>
        <v>0.8093999999999999</v>
      </c>
      <c r="J11" s="332" t="s">
        <v>217</v>
      </c>
      <c r="K11" s="333"/>
      <c r="L11" s="333"/>
      <c r="M11" s="333"/>
      <c r="N11" s="333"/>
      <c r="O11" s="342"/>
    </row>
    <row r="12" spans="1:27">
      <c r="A12" s="322"/>
      <c r="B12" s="330" t="s">
        <v>218</v>
      </c>
      <c r="C12" s="340"/>
      <c r="D12" s="340"/>
      <c r="E12" s="340"/>
      <c r="F12" s="340"/>
      <c r="G12" s="340"/>
      <c r="H12" s="348">
        <f>VLOOKUP(D6,GustFactor!$F$57:$H$61,3,FALSE)</f>
        <v>44</v>
      </c>
      <c r="J12" s="332" t="s">
        <v>215</v>
      </c>
      <c r="K12" s="333"/>
      <c r="L12" s="333"/>
      <c r="M12" s="333"/>
      <c r="N12" s="333"/>
      <c r="O12" s="342"/>
    </row>
    <row r="13" spans="1:27" ht="15.75">
      <c r="A13" s="322"/>
      <c r="B13" s="330" t="s">
        <v>219</v>
      </c>
      <c r="C13" s="340"/>
      <c r="D13" s="340"/>
      <c r="E13" s="340"/>
      <c r="F13" s="340"/>
      <c r="G13" s="340"/>
      <c r="H13" s="347">
        <f>VLOOKUP($D$7,Bang8_10,4)</f>
        <v>4.57</v>
      </c>
      <c r="J13" s="332" t="s">
        <v>220</v>
      </c>
      <c r="K13" s="333"/>
      <c r="L13" s="333"/>
      <c r="M13" s="333"/>
      <c r="N13" s="333"/>
      <c r="O13" s="342"/>
    </row>
    <row r="14" spans="1:27" ht="15.75">
      <c r="A14" s="322"/>
      <c r="B14" s="330" t="s">
        <v>221</v>
      </c>
      <c r="C14" s="340"/>
      <c r="D14" s="340"/>
      <c r="E14" s="340"/>
      <c r="F14" s="340"/>
      <c r="G14" s="340"/>
      <c r="H14" s="347">
        <f>VLOOKUP($D$7,Bang8_10,3)</f>
        <v>274.32</v>
      </c>
      <c r="J14" s="332" t="s">
        <v>220</v>
      </c>
      <c r="K14" s="333"/>
      <c r="L14" s="333"/>
      <c r="M14" s="333"/>
      <c r="N14" s="333"/>
      <c r="O14" s="342"/>
    </row>
    <row r="15" spans="1:27">
      <c r="A15" s="322"/>
      <c r="B15" s="330" t="s">
        <v>222</v>
      </c>
      <c r="C15" s="340"/>
      <c r="D15" s="340"/>
      <c r="E15" s="340"/>
      <c r="F15" s="340"/>
      <c r="G15" s="340"/>
      <c r="H15" s="347">
        <f>VLOOKUP($D$7,Bang8_10,5)</f>
        <v>9.5</v>
      </c>
      <c r="J15" s="332" t="s">
        <v>220</v>
      </c>
      <c r="K15" s="333"/>
      <c r="L15" s="333"/>
      <c r="M15" s="333"/>
      <c r="N15" s="333"/>
      <c r="O15" s="342"/>
    </row>
    <row r="16" spans="1:27" ht="15.75">
      <c r="A16" s="322"/>
      <c r="B16" s="330" t="s">
        <v>223</v>
      </c>
      <c r="C16" s="340"/>
      <c r="D16" s="340"/>
      <c r="E16" s="340"/>
      <c r="F16" s="340"/>
      <c r="G16" s="340"/>
      <c r="H16" s="347">
        <f>VLOOKUP(D7,Bang8_10,6)</f>
        <v>1.97</v>
      </c>
      <c r="J16" s="332" t="s">
        <v>220</v>
      </c>
      <c r="K16" s="333"/>
      <c r="L16" s="333"/>
      <c r="M16" s="333"/>
      <c r="N16" s="333"/>
      <c r="O16" s="342"/>
    </row>
    <row r="17" spans="1:15" ht="15.75">
      <c r="A17" s="322"/>
      <c r="B17" s="330" t="s">
        <v>224</v>
      </c>
      <c r="C17" s="340"/>
      <c r="D17" s="340"/>
      <c r="E17" s="340"/>
      <c r="F17" s="340"/>
      <c r="G17" s="340"/>
      <c r="H17" s="347">
        <f>VLOOKUP(D7,Bang8_10,7)</f>
        <v>0.2</v>
      </c>
      <c r="J17" s="332" t="s">
        <v>225</v>
      </c>
      <c r="K17" s="333"/>
      <c r="L17" s="333"/>
      <c r="M17" s="333"/>
      <c r="N17" s="333"/>
      <c r="O17" s="342"/>
    </row>
    <row r="18" spans="1:15">
      <c r="A18" s="322"/>
      <c r="B18" s="330" t="s">
        <v>226</v>
      </c>
      <c r="C18" s="340"/>
      <c r="D18" s="340"/>
      <c r="E18" s="340"/>
      <c r="F18" s="340"/>
      <c r="G18" s="340"/>
      <c r="H18" s="347">
        <f>VLOOKUP(D7,Bang8_10,8)</f>
        <v>152.4</v>
      </c>
      <c r="J18" s="332" t="s">
        <v>225</v>
      </c>
      <c r="K18" s="333"/>
      <c r="L18" s="333"/>
      <c r="M18" s="333"/>
      <c r="N18" s="333"/>
      <c r="O18" s="342"/>
    </row>
    <row r="19" spans="1:15">
      <c r="A19" s="322"/>
      <c r="B19" s="330" t="s">
        <v>227</v>
      </c>
      <c r="C19" s="340"/>
      <c r="D19" s="340"/>
      <c r="E19" s="340"/>
      <c r="F19" s="340"/>
      <c r="G19" s="340"/>
      <c r="H19" s="347">
        <f>VLOOKUP(D7,Bang8_10,9)</f>
        <v>0.2</v>
      </c>
      <c r="J19" s="332" t="s">
        <v>225</v>
      </c>
      <c r="K19" s="333"/>
      <c r="L19" s="333"/>
      <c r="M19" s="333"/>
      <c r="N19" s="333"/>
      <c r="O19" s="342"/>
    </row>
    <row r="20" spans="1:15">
      <c r="A20" s="322"/>
      <c r="B20" s="330" t="s">
        <v>228</v>
      </c>
      <c r="C20" s="340"/>
      <c r="D20" s="340"/>
      <c r="E20" s="340"/>
      <c r="F20" s="340"/>
      <c r="G20" s="340"/>
      <c r="H20" s="347">
        <f>VLOOKUP(D7,Bang8_10,10)</f>
        <v>0.65</v>
      </c>
      <c r="J20" s="332" t="s">
        <v>225</v>
      </c>
      <c r="K20" s="333"/>
      <c r="L20" s="333"/>
      <c r="M20" s="333"/>
      <c r="N20" s="333"/>
      <c r="O20" s="342"/>
    </row>
    <row r="21" spans="1:15">
      <c r="A21" s="322"/>
      <c r="B21" s="330" t="s">
        <v>229</v>
      </c>
      <c r="C21" s="340"/>
      <c r="D21" s="340"/>
      <c r="E21" s="340"/>
      <c r="F21" s="340"/>
      <c r="G21" s="340"/>
      <c r="H21" s="347">
        <f>VLOOKUP(D7,Bang8_10,11)</f>
        <v>0.15384615384615385</v>
      </c>
      <c r="J21" s="332" t="s">
        <v>225</v>
      </c>
      <c r="K21" s="333"/>
      <c r="L21" s="333"/>
      <c r="M21" s="333"/>
      <c r="N21" s="333"/>
      <c r="O21" s="342"/>
    </row>
    <row r="22" spans="1:15" ht="15.75">
      <c r="A22" s="322"/>
      <c r="B22" s="330" t="s">
        <v>230</v>
      </c>
      <c r="C22" s="340"/>
      <c r="D22" s="340"/>
      <c r="E22" s="340"/>
      <c r="F22" s="340"/>
      <c r="G22" s="340"/>
      <c r="H22" s="347">
        <f>$H$17*(10/(0.6*$E$5))^(1/6)</f>
        <v>0.20714883373025728</v>
      </c>
      <c r="J22" s="332" t="s">
        <v>231</v>
      </c>
      <c r="K22" s="333"/>
      <c r="L22" s="333"/>
      <c r="M22" s="333"/>
      <c r="N22" s="333"/>
      <c r="O22" s="342"/>
    </row>
    <row r="23" spans="1:15" ht="15.75">
      <c r="A23" s="322"/>
      <c r="B23" s="330" t="s">
        <v>232</v>
      </c>
      <c r="C23" s="340"/>
      <c r="D23" s="340"/>
      <c r="E23" s="340"/>
      <c r="F23" s="340"/>
      <c r="G23" s="340"/>
      <c r="H23" s="347">
        <f>H18*(0.6*E5/10)^H19</f>
        <v>146.11068296436144</v>
      </c>
      <c r="J23" s="332" t="s">
        <v>233</v>
      </c>
      <c r="K23" s="333"/>
      <c r="L23" s="333"/>
      <c r="M23" s="333"/>
      <c r="N23" s="333"/>
      <c r="O23" s="342"/>
    </row>
    <row r="24" spans="1:15">
      <c r="A24" s="322"/>
      <c r="B24" s="330" t="s">
        <v>234</v>
      </c>
      <c r="C24" s="340"/>
      <c r="D24" s="340"/>
      <c r="E24" s="340"/>
      <c r="F24" s="340"/>
      <c r="G24" s="340"/>
      <c r="H24" s="347">
        <f>IF(H8="Kết cấu BT và BTCT",0.02,IF(H8="Kết cấu thép",0.01,0.015))</f>
        <v>0.01</v>
      </c>
      <c r="J24" s="332" t="s">
        <v>235</v>
      </c>
      <c r="K24" s="333"/>
      <c r="L24" s="333"/>
      <c r="M24" s="333"/>
      <c r="N24" s="333"/>
      <c r="O24" s="342"/>
    </row>
    <row r="25" spans="1:15" ht="15.75">
      <c r="A25" s="322"/>
      <c r="B25" s="330" t="s">
        <v>236</v>
      </c>
      <c r="C25" s="340"/>
      <c r="D25" s="340"/>
      <c r="E25" s="340"/>
      <c r="F25" s="340"/>
      <c r="G25" s="340"/>
      <c r="H25" s="347">
        <f>H12*H20*(0.6*E5/10)^H21</f>
        <v>27.68769519252514</v>
      </c>
      <c r="J25" s="332" t="s">
        <v>237</v>
      </c>
      <c r="K25" s="333"/>
      <c r="L25" s="333"/>
      <c r="M25" s="333"/>
      <c r="N25" s="333"/>
      <c r="O25" s="342"/>
    </row>
    <row r="26" spans="1:15">
      <c r="A26" s="322"/>
      <c r="M26" s="338"/>
      <c r="N26" s="349"/>
      <c r="O26" s="350"/>
    </row>
    <row r="27" spans="1:15">
      <c r="A27" s="322"/>
      <c r="B27" s="351" t="s">
        <v>238</v>
      </c>
      <c r="C27" s="351"/>
      <c r="D27" s="351"/>
      <c r="E27" s="351"/>
      <c r="F27" s="351"/>
      <c r="G27" s="351" t="s">
        <v>239</v>
      </c>
      <c r="H27" s="351"/>
      <c r="I27" s="351"/>
      <c r="J27" s="351"/>
      <c r="K27" s="351"/>
      <c r="L27" s="351"/>
      <c r="M27" s="332" t="s">
        <v>240</v>
      </c>
      <c r="N27" s="333"/>
      <c r="O27" s="342"/>
    </row>
    <row r="28" spans="1:15">
      <c r="A28" s="322"/>
      <c r="B28" s="330" t="str">
        <f>"Chu kỳ dao động (s)"</f>
        <v>Chu kỳ dao động (s)</v>
      </c>
      <c r="C28" s="330"/>
      <c r="D28" s="330"/>
      <c r="E28" s="352">
        <v>1.45</v>
      </c>
      <c r="F28" s="353"/>
      <c r="G28" s="332" t="s">
        <v>241</v>
      </c>
      <c r="H28" s="332"/>
      <c r="I28" s="332"/>
      <c r="J28" s="332"/>
      <c r="K28" s="352">
        <v>1.5</v>
      </c>
      <c r="L28" s="353"/>
      <c r="M28" s="338"/>
      <c r="N28" s="354"/>
      <c r="O28" s="342"/>
    </row>
    <row r="29" spans="1:15">
      <c r="A29" s="322"/>
      <c r="B29" s="330" t="s">
        <v>242</v>
      </c>
      <c r="C29" s="330"/>
      <c r="D29" s="330"/>
      <c r="E29" s="355">
        <v>50</v>
      </c>
      <c r="F29" s="353"/>
      <c r="G29" s="332" t="s">
        <v>242</v>
      </c>
      <c r="H29" s="332"/>
      <c r="I29" s="332"/>
      <c r="J29" s="332"/>
      <c r="K29" s="356">
        <f>E30</f>
        <v>100</v>
      </c>
      <c r="L29" s="353"/>
      <c r="M29" s="338"/>
      <c r="N29" s="354"/>
      <c r="O29" s="342"/>
    </row>
    <row r="30" spans="1:15">
      <c r="A30" s="322"/>
      <c r="B30" s="330" t="s">
        <v>243</v>
      </c>
      <c r="C30" s="340"/>
      <c r="D30" s="340"/>
      <c r="E30" s="355">
        <v>100</v>
      </c>
      <c r="F30" s="353"/>
      <c r="G30" s="332" t="s">
        <v>243</v>
      </c>
      <c r="H30" s="333"/>
      <c r="I30" s="333"/>
      <c r="J30" s="333"/>
      <c r="K30" s="356">
        <f>E29</f>
        <v>50</v>
      </c>
      <c r="L30" s="353"/>
      <c r="M30" s="338"/>
      <c r="N30" s="354"/>
      <c r="O30" s="342"/>
    </row>
    <row r="31" spans="1:15">
      <c r="A31" s="322"/>
      <c r="B31" s="357"/>
      <c r="C31" s="358"/>
      <c r="D31" s="358"/>
      <c r="E31" s="355"/>
      <c r="F31" s="353"/>
      <c r="G31" s="338"/>
      <c r="H31" s="354"/>
      <c r="I31" s="354"/>
      <c r="J31" s="354"/>
      <c r="K31" s="356"/>
      <c r="L31" s="353"/>
      <c r="M31" s="338"/>
      <c r="N31" s="354"/>
      <c r="O31" s="342"/>
    </row>
    <row r="32" spans="1:15">
      <c r="A32" s="322"/>
      <c r="B32" s="328" t="s">
        <v>244</v>
      </c>
      <c r="C32" s="328"/>
      <c r="D32" s="354"/>
      <c r="E32" s="355"/>
      <c r="F32" s="353"/>
      <c r="G32" s="338"/>
      <c r="H32" s="354"/>
      <c r="I32" s="354"/>
      <c r="J32" s="354"/>
      <c r="K32" s="356"/>
      <c r="L32" s="353"/>
      <c r="M32" s="338"/>
      <c r="N32" s="354"/>
      <c r="O32" s="342"/>
    </row>
    <row r="33" spans="1:22" ht="15.75">
      <c r="A33" s="353"/>
      <c r="B33" s="330" t="s">
        <v>245</v>
      </c>
      <c r="C33" s="340"/>
      <c r="D33" s="340"/>
      <c r="E33" s="359">
        <f>IF($E$28&lt;=1,0.85,0.925*((1+1.7*H22*SQRT(3.4^2*E37^2+E36^2*E38^2))/(1+1.7*H22*3.4)))</f>
        <v>0.9438934308721264</v>
      </c>
      <c r="G33" s="332" t="s">
        <v>245</v>
      </c>
      <c r="H33" s="333"/>
      <c r="I33" s="333"/>
      <c r="J33" s="333"/>
      <c r="K33" s="359">
        <f>IF($K$28&lt;=1,0.85,0.925*((1+1.7*H22*SQRT(3.4^2*K37^2+K36^2*K38^2))/(1+1.7*H22*3.4)))</f>
        <v>0.88580526599160792</v>
      </c>
      <c r="M33" s="332" t="s">
        <v>246</v>
      </c>
      <c r="N33" s="333"/>
      <c r="O33" s="342"/>
    </row>
    <row r="34" spans="1:22">
      <c r="A34" s="353"/>
      <c r="B34" s="357"/>
      <c r="C34" s="358"/>
      <c r="D34" s="358"/>
      <c r="E34" s="358"/>
      <c r="G34" s="338"/>
      <c r="H34" s="354"/>
      <c r="I34" s="354"/>
      <c r="J34" s="354"/>
      <c r="K34" s="358"/>
      <c r="M34" s="338"/>
      <c r="N34" s="354"/>
      <c r="O34" s="342"/>
    </row>
    <row r="35" spans="1:22">
      <c r="A35" s="353"/>
      <c r="B35" s="328" t="s">
        <v>247</v>
      </c>
      <c r="C35" s="328"/>
      <c r="D35" s="354"/>
      <c r="E35" s="338"/>
      <c r="G35" s="338"/>
      <c r="H35" s="354"/>
      <c r="I35" s="354"/>
      <c r="J35" s="354"/>
      <c r="K35" s="338"/>
      <c r="M35" s="338"/>
      <c r="N35" s="354"/>
      <c r="O35" s="342"/>
    </row>
    <row r="36" spans="1:22">
      <c r="A36" s="353"/>
      <c r="B36" s="330" t="s">
        <v>248</v>
      </c>
      <c r="C36" s="330"/>
      <c r="D36" s="330"/>
      <c r="E36" s="347">
        <f>SQRT(2*LN(3600/$E$28))+0.577/SQRT(2*LN(3600/$E$28))</f>
        <v>4.0999446318121446</v>
      </c>
      <c r="F36" s="353"/>
      <c r="G36" s="332" t="s">
        <v>248</v>
      </c>
      <c r="H36" s="332"/>
      <c r="I36" s="332"/>
      <c r="J36" s="332"/>
      <c r="K36" s="356">
        <f>SQRT(2*LN(3600/$K$28))+0.577/SQRT(2*LN(3600/$K$28))</f>
        <v>4.0916788284258532</v>
      </c>
      <c r="L36" s="353"/>
      <c r="M36" s="332" t="s">
        <v>249</v>
      </c>
      <c r="N36" s="332"/>
      <c r="O36" s="360"/>
    </row>
    <row r="37" spans="1:22">
      <c r="A37" s="353"/>
      <c r="B37" s="330" t="s">
        <v>250</v>
      </c>
      <c r="C37" s="340"/>
      <c r="D37" s="340"/>
      <c r="E37" s="347">
        <f>SQRT(1/(1+0.63*((E5+E29)/H23)^0.63))</f>
        <v>0.85352262757816644</v>
      </c>
      <c r="G37" s="332" t="s">
        <v>251</v>
      </c>
      <c r="H37" s="333"/>
      <c r="I37" s="333"/>
      <c r="J37" s="333"/>
      <c r="K37" s="347">
        <f>SQRT(1/(1+0.63*((E5+K29)/H23)^0.63))</f>
        <v>0.8065233328361785</v>
      </c>
      <c r="M37" s="332" t="s">
        <v>252</v>
      </c>
      <c r="N37" s="333"/>
      <c r="O37" s="342"/>
    </row>
    <row r="38" spans="1:22">
      <c r="A38" s="353"/>
      <c r="B38" s="330" t="s">
        <v>253</v>
      </c>
      <c r="C38" s="330"/>
      <c r="D38" s="330"/>
      <c r="E38" s="347">
        <f>SQRT(E39*E44*E45*(0.53+0.47*E46)/H24)</f>
        <v>0.48911554289282133</v>
      </c>
      <c r="F38" s="353"/>
      <c r="G38" s="332" t="s">
        <v>253</v>
      </c>
      <c r="H38" s="332"/>
      <c r="I38" s="332"/>
      <c r="J38" s="333"/>
      <c r="K38" s="356">
        <f>SQRT(K39*K44*K45*(0.53+0.47*K46)/H24)</f>
        <v>0.37165376209058926</v>
      </c>
      <c r="L38" s="353"/>
      <c r="M38" s="332" t="s">
        <v>254</v>
      </c>
      <c r="N38" s="332"/>
      <c r="O38" s="360"/>
    </row>
    <row r="39" spans="1:22" ht="16.5">
      <c r="A39" s="353"/>
      <c r="B39" s="330" t="s">
        <v>255</v>
      </c>
      <c r="C39" s="330"/>
      <c r="D39" s="330"/>
      <c r="E39" s="347">
        <f>7.47*E40/(1+10.3*E40)^(5/3)</f>
        <v>6.1970374863139013E-2</v>
      </c>
      <c r="F39" s="353"/>
      <c r="G39" s="332" t="s">
        <v>255</v>
      </c>
      <c r="H39" s="332"/>
      <c r="I39" s="332"/>
      <c r="J39" s="333"/>
      <c r="K39" s="356">
        <f>7.47*K40/(1+10.3*K40)^(5/3)</f>
        <v>6.3292372875814254E-2</v>
      </c>
      <c r="L39" s="353"/>
      <c r="M39" s="332" t="s">
        <v>256</v>
      </c>
      <c r="N39" s="332"/>
      <c r="O39" s="360"/>
      <c r="T39" s="361"/>
      <c r="U39" s="361"/>
      <c r="V39" s="361"/>
    </row>
    <row r="40" spans="1:22" ht="16.5">
      <c r="A40" s="353"/>
      <c r="B40" s="357" t="s">
        <v>257</v>
      </c>
      <c r="C40" s="338"/>
      <c r="D40" s="338"/>
      <c r="E40" s="347">
        <f>H23/E28/H25</f>
        <v>3.6393779818295457</v>
      </c>
      <c r="F40" s="353"/>
      <c r="G40" s="332" t="s">
        <v>257</v>
      </c>
      <c r="H40" s="333"/>
      <c r="I40" s="333"/>
      <c r="J40" s="333"/>
      <c r="K40" s="356">
        <f>H23/K28/H25</f>
        <v>3.518065382435227</v>
      </c>
      <c r="L40" s="353"/>
      <c r="M40" s="332" t="s">
        <v>258</v>
      </c>
      <c r="N40" s="332"/>
      <c r="O40" s="360"/>
      <c r="T40" s="361"/>
      <c r="U40" s="361"/>
      <c r="V40" s="361"/>
    </row>
    <row r="41" spans="1:22" ht="16.5">
      <c r="A41" s="353"/>
      <c r="B41" s="357" t="s">
        <v>259</v>
      </c>
      <c r="C41" s="338"/>
      <c r="D41" s="338"/>
      <c r="E41" s="347">
        <f>4.6*E5/E28/H25</f>
        <v>1.5468093645605696</v>
      </c>
      <c r="F41" s="353"/>
      <c r="G41" s="332" t="s">
        <v>259</v>
      </c>
      <c r="H41" s="333"/>
      <c r="I41" s="333"/>
      <c r="J41" s="333"/>
      <c r="K41" s="356">
        <f>4.6*E5/K28/H25</f>
        <v>1.4952490524085507</v>
      </c>
      <c r="L41" s="353"/>
      <c r="M41" s="332" t="s">
        <v>260</v>
      </c>
      <c r="N41" s="332"/>
      <c r="O41" s="360"/>
      <c r="T41" s="361"/>
      <c r="U41" s="361"/>
      <c r="V41" s="361"/>
    </row>
    <row r="42" spans="1:22" ht="16.5">
      <c r="A42" s="353"/>
      <c r="B42" s="357" t="s">
        <v>261</v>
      </c>
      <c r="C42" s="338"/>
      <c r="D42" s="338"/>
      <c r="E42" s="347">
        <f>4.6*E29/E28/H25</f>
        <v>5.7289235724465541</v>
      </c>
      <c r="F42" s="353"/>
      <c r="G42" s="332" t="s">
        <v>261</v>
      </c>
      <c r="H42" s="333"/>
      <c r="I42" s="333"/>
      <c r="J42" s="333"/>
      <c r="K42" s="356">
        <f>4.6*K29/K28/H25</f>
        <v>11.075918906730003</v>
      </c>
      <c r="L42" s="353"/>
      <c r="M42" s="332" t="s">
        <v>260</v>
      </c>
      <c r="N42" s="332"/>
      <c r="O42" s="360"/>
      <c r="T42" s="361"/>
      <c r="U42" s="361"/>
      <c r="V42" s="361"/>
    </row>
    <row r="43" spans="1:22" ht="15.75">
      <c r="A43" s="353"/>
      <c r="B43" s="357" t="s">
        <v>262</v>
      </c>
      <c r="C43" s="338"/>
      <c r="D43" s="338"/>
      <c r="E43" s="347">
        <f>15.4*E30/E28/H25</f>
        <v>38.358879572033452</v>
      </c>
      <c r="F43" s="353"/>
      <c r="G43" s="332" t="s">
        <v>262</v>
      </c>
      <c r="H43" s="333"/>
      <c r="I43" s="333"/>
      <c r="J43" s="333"/>
      <c r="K43" s="356">
        <f>15.4*K30/K28/H25</f>
        <v>18.540125126482835</v>
      </c>
      <c r="L43" s="353"/>
      <c r="M43" s="332" t="s">
        <v>260</v>
      </c>
      <c r="N43" s="332"/>
      <c r="O43" s="360"/>
    </row>
    <row r="44" spans="1:22">
      <c r="A44" s="353"/>
      <c r="B44" s="357" t="s">
        <v>263</v>
      </c>
      <c r="C44" s="338"/>
      <c r="D44" s="338"/>
      <c r="E44" s="347">
        <f>IF(E41=0,1,(1/E41-(1-EXP(-2*E41))/(2*E41^2)))</f>
        <v>0.44699054338583177</v>
      </c>
      <c r="F44" s="353"/>
      <c r="G44" s="332" t="s">
        <v>263</v>
      </c>
      <c r="H44" s="333"/>
      <c r="I44" s="333"/>
      <c r="J44" s="333"/>
      <c r="K44" s="356">
        <f>IF(K41=0,1,(1/K41-(1-EXP(-2*K41))/(2*K41^2)))</f>
        <v>0.45638879378781028</v>
      </c>
      <c r="L44" s="353"/>
      <c r="M44" s="332" t="s">
        <v>260</v>
      </c>
      <c r="N44" s="332"/>
      <c r="O44" s="360"/>
    </row>
    <row r="45" spans="1:22">
      <c r="A45" s="353"/>
      <c r="B45" s="357" t="s">
        <v>264</v>
      </c>
      <c r="C45" s="338"/>
      <c r="D45" s="338"/>
      <c r="E45" s="347">
        <f>IF(E42=0,1,(1/E42-(1-EXP(-2*E42))/(2*E42^2)))</f>
        <v>0.15931867132505645</v>
      </c>
      <c r="F45" s="353"/>
      <c r="G45" s="332" t="s">
        <v>264</v>
      </c>
      <c r="H45" s="333"/>
      <c r="I45" s="333"/>
      <c r="J45" s="333"/>
      <c r="K45" s="356">
        <f>IF(K42=0,1,(1/K42-(1-EXP(-2*K42))/(2*K42^2)))</f>
        <v>8.6210185065409173E-2</v>
      </c>
      <c r="L45" s="353"/>
      <c r="M45" s="332" t="s">
        <v>260</v>
      </c>
      <c r="N45" s="332"/>
      <c r="O45" s="360"/>
    </row>
    <row r="46" spans="1:22">
      <c r="A46" s="353"/>
      <c r="B46" s="357" t="s">
        <v>265</v>
      </c>
      <c r="C46" s="338"/>
      <c r="D46" s="338"/>
      <c r="E46" s="347">
        <f>IF(E43=0,1,(1/E43-(1-EXP(-2*E43))/(2*E43^2)))</f>
        <v>2.5729771553381429E-2</v>
      </c>
      <c r="F46" s="353"/>
      <c r="G46" s="332" t="s">
        <v>265</v>
      </c>
      <c r="H46" s="333"/>
      <c r="I46" s="333"/>
      <c r="J46" s="333"/>
      <c r="K46" s="356">
        <f>IF(K43=0,1,(1/K43-(1-EXP(-2*K43))/(2*K43^2)))</f>
        <v>5.2482464874613062E-2</v>
      </c>
      <c r="L46" s="353"/>
      <c r="M46" s="332" t="s">
        <v>260</v>
      </c>
      <c r="N46" s="332"/>
      <c r="O46" s="360"/>
    </row>
    <row r="47" spans="1:22">
      <c r="A47" s="322"/>
      <c r="M47" s="362"/>
    </row>
    <row r="48" spans="1:22">
      <c r="M48" s="362"/>
    </row>
    <row r="49" spans="2:13">
      <c r="M49" s="362"/>
    </row>
    <row r="50" spans="2:13">
      <c r="B50" s="363" t="s">
        <v>266</v>
      </c>
      <c r="C50" s="363"/>
      <c r="D50" s="363"/>
      <c r="E50" s="363"/>
      <c r="F50" s="363"/>
      <c r="G50" s="363"/>
      <c r="H50" s="363" t="s">
        <v>267</v>
      </c>
      <c r="I50" s="364"/>
      <c r="J50" s="364"/>
      <c r="K50" s="364"/>
      <c r="L50" s="364"/>
      <c r="M50" s="362"/>
    </row>
    <row r="51" spans="2:13" ht="18.75">
      <c r="B51" s="365" t="s">
        <v>268</v>
      </c>
      <c r="C51" s="365" t="s">
        <v>269</v>
      </c>
      <c r="D51" s="365" t="s">
        <v>270</v>
      </c>
      <c r="E51" s="366" t="s">
        <v>271</v>
      </c>
      <c r="F51" s="365" t="s">
        <v>272</v>
      </c>
      <c r="G51" s="365" t="s">
        <v>273</v>
      </c>
      <c r="H51" s="367" t="s">
        <v>274</v>
      </c>
      <c r="I51" s="365" t="s">
        <v>275</v>
      </c>
      <c r="J51" s="368"/>
      <c r="K51" s="368"/>
      <c r="L51" s="368"/>
      <c r="M51" s="362"/>
    </row>
    <row r="52" spans="2:13" ht="14.25">
      <c r="B52" s="369" t="s">
        <v>14</v>
      </c>
      <c r="C52" s="370" t="s">
        <v>276</v>
      </c>
      <c r="D52" s="369">
        <v>213.36</v>
      </c>
      <c r="E52" s="369">
        <v>2.13</v>
      </c>
      <c r="F52" s="369">
        <v>11.5</v>
      </c>
      <c r="G52" s="369">
        <v>1.99</v>
      </c>
      <c r="H52" s="369">
        <v>0.15</v>
      </c>
      <c r="I52" s="369">
        <v>198.12</v>
      </c>
      <c r="J52" s="371">
        <f>1/8</f>
        <v>0.125</v>
      </c>
      <c r="K52" s="369">
        <v>0.8</v>
      </c>
      <c r="L52" s="371">
        <f>1/9</f>
        <v>0.1111111111111111</v>
      </c>
      <c r="M52" s="362"/>
    </row>
    <row r="53" spans="2:13" ht="14.25">
      <c r="B53" s="369" t="s">
        <v>1</v>
      </c>
      <c r="C53" s="370" t="s">
        <v>277</v>
      </c>
      <c r="D53" s="369">
        <v>274.32</v>
      </c>
      <c r="E53" s="369">
        <v>4.57</v>
      </c>
      <c r="F53" s="369">
        <v>9.5</v>
      </c>
      <c r="G53" s="369">
        <v>1.97</v>
      </c>
      <c r="H53" s="369">
        <v>0.2</v>
      </c>
      <c r="I53" s="369">
        <v>152.4</v>
      </c>
      <c r="J53" s="371">
        <f>1/5</f>
        <v>0.2</v>
      </c>
      <c r="K53" s="369">
        <v>0.65</v>
      </c>
      <c r="L53" s="371">
        <f>1/6.5</f>
        <v>0.15384615384615385</v>
      </c>
    </row>
    <row r="54" spans="2:13" ht="14.25">
      <c r="B54" s="369" t="s">
        <v>0</v>
      </c>
      <c r="C54" s="370" t="s">
        <v>278</v>
      </c>
      <c r="D54" s="369">
        <v>365.76</v>
      </c>
      <c r="E54" s="369">
        <v>9.14</v>
      </c>
      <c r="F54" s="369">
        <v>7</v>
      </c>
      <c r="G54" s="369">
        <v>1.98</v>
      </c>
      <c r="H54" s="369">
        <v>0.3</v>
      </c>
      <c r="I54" s="369">
        <v>97.54</v>
      </c>
      <c r="J54" s="371">
        <f>1/3</f>
        <v>0.33333333333333331</v>
      </c>
      <c r="K54" s="369">
        <v>0.45</v>
      </c>
      <c r="L54" s="371">
        <f>1/4</f>
        <v>0.25</v>
      </c>
    </row>
    <row r="55" spans="2:13">
      <c r="B55" s="372"/>
      <c r="C55" s="372"/>
      <c r="D55" s="372"/>
      <c r="E55" s="372"/>
      <c r="F55" s="372"/>
      <c r="G55" s="372"/>
      <c r="H55" s="372"/>
      <c r="I55" s="372"/>
      <c r="J55" s="372"/>
      <c r="K55" s="372"/>
      <c r="L55" s="372"/>
    </row>
    <row r="56" spans="2:13">
      <c r="B56" s="372"/>
      <c r="C56" s="372"/>
      <c r="D56" s="372"/>
      <c r="E56" s="372"/>
      <c r="F56" s="372"/>
      <c r="G56" s="372"/>
      <c r="H56" s="372"/>
      <c r="I56" s="372"/>
      <c r="J56" s="372"/>
      <c r="K56" s="372"/>
      <c r="L56" s="372"/>
    </row>
    <row r="57" spans="2:13" ht="15">
      <c r="B57" s="372"/>
      <c r="C57" s="372"/>
      <c r="D57" s="372"/>
      <c r="E57" s="372"/>
      <c r="F57" s="373" t="s">
        <v>5</v>
      </c>
      <c r="G57" s="373">
        <v>0.65</v>
      </c>
      <c r="H57" s="373">
        <v>36</v>
      </c>
      <c r="I57" s="372"/>
      <c r="J57" s="372"/>
      <c r="K57" s="372"/>
      <c r="L57" s="372"/>
    </row>
    <row r="58" spans="2:13" ht="15">
      <c r="B58" s="372"/>
      <c r="C58" s="372"/>
      <c r="D58" s="372"/>
      <c r="E58" s="372"/>
      <c r="F58" s="373" t="s">
        <v>2</v>
      </c>
      <c r="G58" s="373">
        <v>0.95</v>
      </c>
      <c r="H58" s="373">
        <v>44</v>
      </c>
      <c r="I58" s="372"/>
      <c r="J58" s="372"/>
      <c r="K58" s="372"/>
      <c r="L58" s="372"/>
    </row>
    <row r="59" spans="2:13" ht="15">
      <c r="B59" s="372"/>
      <c r="C59" s="372"/>
      <c r="D59" s="372"/>
      <c r="E59" s="372"/>
      <c r="F59" s="373" t="s">
        <v>3</v>
      </c>
      <c r="G59" s="373">
        <v>1.25</v>
      </c>
      <c r="H59" s="373">
        <v>50</v>
      </c>
      <c r="I59" s="372"/>
      <c r="J59" s="372"/>
      <c r="K59" s="372"/>
      <c r="L59" s="372"/>
    </row>
    <row r="60" spans="2:13" ht="15">
      <c r="B60" s="372"/>
      <c r="C60" s="372"/>
      <c r="D60" s="372"/>
      <c r="E60" s="372"/>
      <c r="F60" s="373" t="s">
        <v>4</v>
      </c>
      <c r="G60" s="373">
        <v>1.55</v>
      </c>
      <c r="H60" s="373">
        <v>56</v>
      </c>
      <c r="I60" s="372"/>
      <c r="J60" s="372"/>
      <c r="K60" s="372"/>
      <c r="L60" s="372"/>
    </row>
    <row r="61" spans="2:13" ht="15">
      <c r="B61" s="372"/>
      <c r="C61" s="372"/>
      <c r="D61" s="372"/>
      <c r="E61" s="372"/>
      <c r="F61" s="373" t="s">
        <v>11</v>
      </c>
      <c r="G61" s="373">
        <v>1.85</v>
      </c>
      <c r="H61" s="373">
        <v>61</v>
      </c>
      <c r="I61" s="372"/>
      <c r="J61" s="372"/>
      <c r="K61" s="372"/>
      <c r="L61" s="372"/>
    </row>
  </sheetData>
  <dataConsolidate/>
  <mergeCells count="86"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  <mergeCell ref="G40:J40"/>
    <mergeCell ref="M40:N40"/>
    <mergeCell ref="G41:J41"/>
    <mergeCell ref="M41:N41"/>
    <mergeCell ref="G42:J42"/>
    <mergeCell ref="M42:N42"/>
    <mergeCell ref="B38:D38"/>
    <mergeCell ref="G38:J38"/>
    <mergeCell ref="M38:N38"/>
    <mergeCell ref="B39:D39"/>
    <mergeCell ref="G39:J39"/>
    <mergeCell ref="M39:N39"/>
    <mergeCell ref="B35:C35"/>
    <mergeCell ref="B36:D36"/>
    <mergeCell ref="G36:J36"/>
    <mergeCell ref="M36:N36"/>
    <mergeCell ref="B37:D37"/>
    <mergeCell ref="G37:J37"/>
    <mergeCell ref="M37:N37"/>
    <mergeCell ref="B30:D30"/>
    <mergeCell ref="G30:J30"/>
    <mergeCell ref="B32:C32"/>
    <mergeCell ref="B33:D33"/>
    <mergeCell ref="G33:J33"/>
    <mergeCell ref="M33:N33"/>
    <mergeCell ref="B27:F27"/>
    <mergeCell ref="G27:L27"/>
    <mergeCell ref="M27:N27"/>
    <mergeCell ref="B28:D28"/>
    <mergeCell ref="G28:J28"/>
    <mergeCell ref="B29:D29"/>
    <mergeCell ref="G29:J29"/>
    <mergeCell ref="B23:G23"/>
    <mergeCell ref="J23:N23"/>
    <mergeCell ref="B24:G24"/>
    <mergeCell ref="J24:N24"/>
    <mergeCell ref="B25:G25"/>
    <mergeCell ref="J25:N25"/>
    <mergeCell ref="B20:G20"/>
    <mergeCell ref="J20:N20"/>
    <mergeCell ref="B21:G21"/>
    <mergeCell ref="J21:N21"/>
    <mergeCell ref="B22:G22"/>
    <mergeCell ref="J22:N22"/>
    <mergeCell ref="B17:G17"/>
    <mergeCell ref="J17:N17"/>
    <mergeCell ref="B18:G18"/>
    <mergeCell ref="J18:N18"/>
    <mergeCell ref="B19:G19"/>
    <mergeCell ref="J19:N19"/>
    <mergeCell ref="B14:G14"/>
    <mergeCell ref="J14:N14"/>
    <mergeCell ref="B15:G15"/>
    <mergeCell ref="J15:N15"/>
    <mergeCell ref="B16:G16"/>
    <mergeCell ref="J16:N16"/>
    <mergeCell ref="B11:G11"/>
    <mergeCell ref="J11:N11"/>
    <mergeCell ref="B12:G12"/>
    <mergeCell ref="J12:N12"/>
    <mergeCell ref="B13:G13"/>
    <mergeCell ref="J13:N13"/>
    <mergeCell ref="B8:G8"/>
    <mergeCell ref="H8:J8"/>
    <mergeCell ref="B9:G9"/>
    <mergeCell ref="J9:N9"/>
    <mergeCell ref="R9:AA10"/>
    <mergeCell ref="B10:G10"/>
    <mergeCell ref="J10:N10"/>
    <mergeCell ref="B2:N2"/>
    <mergeCell ref="B4:C4"/>
    <mergeCell ref="B5:D5"/>
    <mergeCell ref="F5:I5"/>
    <mergeCell ref="B6:C6"/>
    <mergeCell ref="B7:C7"/>
    <mergeCell ref="E7:N7"/>
  </mergeCells>
  <dataValidations count="3">
    <dataValidation type="list" allowBlank="1" showInputMessage="1" showErrorMessage="1" sqref="D6" xr:uid="{72F6ACB0-A526-4432-BA2B-47B45663FD19}">
      <formula1>"I,II,III,IV,V"</formula1>
    </dataValidation>
    <dataValidation type="list" allowBlank="1" showInputMessage="1" showErrorMessage="1" sqref="D7" xr:uid="{AE356E17-9B9F-4FEB-9A38-09787E3980D9}">
      <formula1>"A,B,C"</formula1>
    </dataValidation>
    <dataValidation type="list" allowBlank="1" showInputMessage="1" showErrorMessage="1" sqref="H8" xr:uid="{477449DF-7626-4DBC-9F03-821BCB947CB9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0EEC-0114-4771-901C-C6327417ACD1}">
  <dimension ref="B1:Q40"/>
  <sheetViews>
    <sheetView showGridLines="0" topLeftCell="A6" zoomScale="130" zoomScaleNormal="130" workbookViewId="0">
      <selection activeCell="T39" sqref="T39"/>
    </sheetView>
  </sheetViews>
  <sheetFormatPr defaultRowHeight="15"/>
  <cols>
    <col min="1" max="1" width="3.42578125" style="114" customWidth="1"/>
    <col min="2" max="2" width="4.140625" style="114" customWidth="1"/>
    <col min="3" max="3" width="9.140625" style="114"/>
    <col min="4" max="4" width="10.5703125" style="114" customWidth="1"/>
    <col min="5" max="16384" width="9.140625" style="114"/>
  </cols>
  <sheetData>
    <row r="1" spans="2:9" hidden="1"/>
    <row r="2" spans="2:9" hidden="1"/>
    <row r="3" spans="2:9" hidden="1"/>
    <row r="4" spans="2:9" hidden="1"/>
    <row r="5" spans="2:9" hidden="1"/>
    <row r="6" spans="2:9">
      <c r="B6" s="163" t="s">
        <v>153</v>
      </c>
      <c r="C6" s="164"/>
      <c r="D6" s="164"/>
      <c r="E6" s="115"/>
      <c r="F6" s="115"/>
      <c r="G6" s="115"/>
      <c r="H6" s="115"/>
      <c r="I6" s="116"/>
    </row>
    <row r="7" spans="2:9">
      <c r="B7" s="117"/>
      <c r="I7" s="118"/>
    </row>
    <row r="8" spans="2:9">
      <c r="B8" s="117"/>
      <c r="C8" s="114" t="s">
        <v>154</v>
      </c>
      <c r="F8" s="162" t="s">
        <v>155</v>
      </c>
      <c r="G8" s="162"/>
      <c r="I8" s="118"/>
    </row>
    <row r="9" spans="2:9">
      <c r="B9" s="117"/>
      <c r="C9" s="114" t="s">
        <v>156</v>
      </c>
      <c r="F9" s="162">
        <v>30</v>
      </c>
      <c r="G9" s="162"/>
      <c r="I9" s="118"/>
    </row>
    <row r="10" spans="2:9">
      <c r="B10" s="117"/>
      <c r="C10" s="114" t="s">
        <v>157</v>
      </c>
      <c r="F10" s="162" t="s">
        <v>158</v>
      </c>
      <c r="G10" s="162"/>
      <c r="I10" s="118"/>
    </row>
    <row r="11" spans="2:9">
      <c r="B11" s="117"/>
      <c r="C11" s="123" t="s">
        <v>189</v>
      </c>
      <c r="F11" s="162">
        <v>8</v>
      </c>
      <c r="G11" s="162"/>
      <c r="I11" s="118"/>
    </row>
    <row r="12" spans="2:9">
      <c r="B12" s="117"/>
      <c r="C12" s="123" t="s">
        <v>190</v>
      </c>
      <c r="F12" s="162">
        <v>11</v>
      </c>
      <c r="G12" s="162"/>
      <c r="I12" s="118"/>
    </row>
    <row r="13" spans="2:9">
      <c r="B13" s="117"/>
      <c r="C13" s="114" t="s">
        <v>159</v>
      </c>
      <c r="F13" s="162">
        <v>1.5</v>
      </c>
      <c r="G13" s="162"/>
      <c r="I13" s="118"/>
    </row>
    <row r="14" spans="2:9">
      <c r="B14" s="117"/>
      <c r="I14" s="118"/>
    </row>
    <row r="15" spans="2:9">
      <c r="B15" s="117"/>
      <c r="I15" s="118"/>
    </row>
    <row r="16" spans="2:9" hidden="1">
      <c r="B16" s="117"/>
      <c r="I16" s="118"/>
    </row>
    <row r="17" spans="2:17" hidden="1">
      <c r="B17" s="117"/>
      <c r="I17" s="118"/>
    </row>
    <row r="18" spans="2:17" hidden="1">
      <c r="B18" s="117"/>
      <c r="I18" s="118"/>
    </row>
    <row r="19" spans="2:17" hidden="1">
      <c r="B19" s="117"/>
      <c r="I19" s="118"/>
    </row>
    <row r="20" spans="2:17" hidden="1">
      <c r="B20" s="117"/>
      <c r="I20" s="118"/>
    </row>
    <row r="21" spans="2:17" hidden="1">
      <c r="B21" s="117"/>
      <c r="I21" s="118"/>
    </row>
    <row r="22" spans="2:17" hidden="1">
      <c r="B22" s="117"/>
      <c r="I22" s="118"/>
    </row>
    <row r="23" spans="2:17" hidden="1">
      <c r="B23" s="117"/>
      <c r="I23" s="118"/>
    </row>
    <row r="24" spans="2:17" hidden="1">
      <c r="B24" s="117"/>
      <c r="I24" s="118"/>
    </row>
    <row r="25" spans="2:17" hidden="1">
      <c r="B25" s="117"/>
      <c r="I25" s="118"/>
    </row>
    <row r="26" spans="2:17">
      <c r="B26" s="165" t="s">
        <v>160</v>
      </c>
      <c r="C26" s="166"/>
      <c r="D26" s="166"/>
      <c r="I26" s="118"/>
      <c r="Q26" s="123"/>
    </row>
    <row r="27" spans="2:17">
      <c r="B27" s="117"/>
      <c r="I27" s="118"/>
      <c r="Q27" s="123"/>
    </row>
    <row r="28" spans="2:17">
      <c r="B28" s="117"/>
      <c r="C28" s="114" t="s">
        <v>161</v>
      </c>
      <c r="D28" s="119" t="s">
        <v>162</v>
      </c>
      <c r="F28" s="120" t="s">
        <v>163</v>
      </c>
      <c r="G28" s="119" t="s">
        <v>164</v>
      </c>
      <c r="I28" s="118"/>
      <c r="Q28" s="123"/>
    </row>
    <row r="29" spans="2:17">
      <c r="B29" s="117"/>
      <c r="C29" s="114" t="s">
        <v>165</v>
      </c>
      <c r="D29" s="119" t="s">
        <v>166</v>
      </c>
      <c r="F29" s="120" t="s">
        <v>167</v>
      </c>
      <c r="G29" s="119" t="s">
        <v>168</v>
      </c>
      <c r="I29" s="118"/>
    </row>
    <row r="30" spans="2:17">
      <c r="B30" s="117"/>
      <c r="C30" s="114" t="s">
        <v>169</v>
      </c>
      <c r="D30" s="119" t="s">
        <v>170</v>
      </c>
      <c r="I30" s="118"/>
    </row>
    <row r="31" spans="2:17">
      <c r="B31" s="117"/>
      <c r="I31" s="118"/>
    </row>
    <row r="32" spans="2:17">
      <c r="B32" s="165" t="s">
        <v>171</v>
      </c>
      <c r="C32" s="166"/>
      <c r="D32" s="166"/>
      <c r="I32" s="118"/>
    </row>
    <row r="33" spans="2:17">
      <c r="B33" s="117"/>
      <c r="I33" s="118"/>
    </row>
    <row r="34" spans="2:17">
      <c r="B34" s="117"/>
      <c r="C34" s="167" t="s">
        <v>172</v>
      </c>
      <c r="D34" s="167"/>
      <c r="E34" s="167"/>
      <c r="G34" s="167" t="s">
        <v>173</v>
      </c>
      <c r="H34" s="167"/>
      <c r="I34" s="168"/>
    </row>
    <row r="35" spans="2:17">
      <c r="B35" s="117"/>
      <c r="C35" s="114" t="s">
        <v>174</v>
      </c>
      <c r="D35" s="162" t="s">
        <v>175</v>
      </c>
      <c r="E35" s="162"/>
      <c r="G35" s="114" t="s">
        <v>174</v>
      </c>
      <c r="H35" s="162" t="s">
        <v>176</v>
      </c>
      <c r="I35" s="169"/>
    </row>
    <row r="36" spans="2:17">
      <c r="B36" s="117"/>
      <c r="C36" s="114" t="s">
        <v>177</v>
      </c>
      <c r="D36" s="162" t="s">
        <v>178</v>
      </c>
      <c r="E36" s="162"/>
      <c r="G36" s="123" t="s">
        <v>191</v>
      </c>
      <c r="H36" s="162" t="s">
        <v>179</v>
      </c>
      <c r="I36" s="169"/>
      <c r="Q36" s="123"/>
    </row>
    <row r="37" spans="2:17">
      <c r="B37" s="117"/>
      <c r="C37" s="114" t="s">
        <v>180</v>
      </c>
      <c r="D37" s="162" t="s">
        <v>181</v>
      </c>
      <c r="E37" s="162"/>
      <c r="H37" s="162"/>
      <c r="I37" s="169"/>
    </row>
    <row r="38" spans="2:17">
      <c r="B38" s="117"/>
      <c r="I38" s="118"/>
    </row>
    <row r="39" spans="2:17">
      <c r="B39" s="117"/>
      <c r="C39" s="114" t="s">
        <v>182</v>
      </c>
      <c r="D39" s="162" t="s">
        <v>183</v>
      </c>
      <c r="E39" s="162"/>
      <c r="G39" s="114" t="s">
        <v>159</v>
      </c>
      <c r="H39" s="162" t="s">
        <v>184</v>
      </c>
      <c r="I39" s="169"/>
    </row>
    <row r="40" spans="2:17">
      <c r="B40" s="121"/>
      <c r="C40" s="122" t="s">
        <v>185</v>
      </c>
      <c r="D40" s="170" t="s">
        <v>186</v>
      </c>
      <c r="E40" s="170"/>
      <c r="F40" s="122"/>
      <c r="G40" s="122" t="s">
        <v>187</v>
      </c>
      <c r="H40" s="170" t="s">
        <v>188</v>
      </c>
      <c r="I40" s="171"/>
    </row>
  </sheetData>
  <mergeCells count="21">
    <mergeCell ref="D39:E39"/>
    <mergeCell ref="H39:I39"/>
    <mergeCell ref="D40:E40"/>
    <mergeCell ref="H40:I40"/>
    <mergeCell ref="D35:E35"/>
    <mergeCell ref="H35:I35"/>
    <mergeCell ref="D36:E36"/>
    <mergeCell ref="H36:I36"/>
    <mergeCell ref="D37:E37"/>
    <mergeCell ref="H37:I37"/>
    <mergeCell ref="F13:G13"/>
    <mergeCell ref="B26:D26"/>
    <mergeCell ref="B32:D32"/>
    <mergeCell ref="C34:E34"/>
    <mergeCell ref="G34:I34"/>
    <mergeCell ref="F12:G12"/>
    <mergeCell ref="B6:D6"/>
    <mergeCell ref="F8:G8"/>
    <mergeCell ref="F9:G9"/>
    <mergeCell ref="F10:G10"/>
    <mergeCell ref="F11:G1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DF1B-4993-4586-9CC7-BF6A82D9FD40}">
  <dimension ref="A1:BI157"/>
  <sheetViews>
    <sheetView tabSelected="1" topLeftCell="A13" zoomScale="130" zoomScaleNormal="130" workbookViewId="0">
      <selection activeCell="AF24" sqref="AF24"/>
    </sheetView>
  </sheetViews>
  <sheetFormatPr defaultRowHeight="12.75"/>
  <cols>
    <col min="1" max="1" width="2.5703125" style="2" customWidth="1"/>
    <col min="2" max="2" width="2" style="2" customWidth="1"/>
    <col min="3" max="3" width="6.140625" style="2" customWidth="1"/>
    <col min="4" max="14" width="4.7109375" style="2" customWidth="1"/>
    <col min="15" max="15" width="4.42578125" style="2" customWidth="1"/>
    <col min="16" max="16" width="5.42578125" style="2" customWidth="1"/>
    <col min="17" max="19" width="4.7109375" style="2" customWidth="1"/>
    <col min="20" max="20" width="5.42578125" style="2" customWidth="1"/>
    <col min="21" max="27" width="4.7109375" style="2" customWidth="1"/>
    <col min="28" max="28" width="2" style="2" customWidth="1"/>
    <col min="29" max="29" width="2.5703125" style="2" customWidth="1"/>
    <col min="30" max="58" width="9.140625" style="15"/>
    <col min="59" max="60" width="26.28515625" style="15" customWidth="1"/>
    <col min="61" max="16384" width="9.140625" style="15"/>
  </cols>
  <sheetData>
    <row r="1" spans="1:60" hidden="1"/>
    <row r="2" spans="1:60" hidden="1"/>
    <row r="3" spans="1:60" hidden="1"/>
    <row r="4" spans="1:60" hidden="1"/>
    <row r="5" spans="1:60" hidden="1"/>
    <row r="6" spans="1:60" hidden="1"/>
    <row r="7" spans="1:60" hidden="1"/>
    <row r="8" spans="1:60" ht="15">
      <c r="A8" s="14"/>
      <c r="B8" s="224"/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5"/>
      <c r="T8" s="225"/>
      <c r="U8" s="225"/>
      <c r="V8" s="225"/>
      <c r="W8" s="225"/>
      <c r="X8" s="225"/>
      <c r="Y8" s="225"/>
      <c r="Z8" s="225"/>
      <c r="AA8" s="225"/>
      <c r="AB8" s="225"/>
    </row>
    <row r="9" spans="1:60">
      <c r="A9" s="14"/>
      <c r="B9" s="226" t="s">
        <v>146</v>
      </c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7"/>
      <c r="W9" s="230" t="s">
        <v>142</v>
      </c>
      <c r="X9" s="230"/>
      <c r="Y9" s="230"/>
      <c r="Z9" s="230" t="s">
        <v>143</v>
      </c>
      <c r="AA9" s="230"/>
      <c r="AB9" s="232"/>
      <c r="AC9" s="234" t="s">
        <v>62</v>
      </c>
      <c r="AD9" s="234"/>
      <c r="AE9" s="65" t="s">
        <v>130</v>
      </c>
      <c r="AF9" s="65" t="s">
        <v>131</v>
      </c>
      <c r="BF9" s="58"/>
      <c r="BG9" s="58" t="s">
        <v>61</v>
      </c>
      <c r="BH9" s="58" t="s">
        <v>62</v>
      </c>
    </row>
    <row r="10" spans="1:60">
      <c r="A10" s="14"/>
      <c r="B10" s="228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31"/>
      <c r="X10" s="231"/>
      <c r="Y10" s="231"/>
      <c r="Z10" s="231"/>
      <c r="AA10" s="231"/>
      <c r="AB10" s="233"/>
      <c r="AC10" s="234"/>
      <c r="AD10" s="234"/>
      <c r="AE10" s="65" t="s">
        <v>41</v>
      </c>
      <c r="AF10" s="65" t="s">
        <v>132</v>
      </c>
      <c r="BF10" s="58">
        <v>1</v>
      </c>
      <c r="BG10" s="59" t="s">
        <v>6</v>
      </c>
      <c r="BH10" s="59" t="s">
        <v>63</v>
      </c>
    </row>
    <row r="11" spans="1:60">
      <c r="A11" s="14"/>
      <c r="B11" s="228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31"/>
      <c r="X11" s="231"/>
      <c r="Y11" s="231"/>
      <c r="Z11" s="231"/>
      <c r="AA11" s="231"/>
      <c r="AB11" s="233"/>
      <c r="AC11" s="234"/>
      <c r="AD11" s="234"/>
      <c r="AI11" s="25" t="s">
        <v>12</v>
      </c>
      <c r="AJ11" s="25" t="s">
        <v>13</v>
      </c>
      <c r="BF11" s="58">
        <v>2</v>
      </c>
      <c r="BG11" s="59" t="s">
        <v>8</v>
      </c>
      <c r="BH11" s="59" t="s">
        <v>64</v>
      </c>
    </row>
    <row r="12" spans="1:60">
      <c r="A12" s="14"/>
      <c r="B12" s="228"/>
      <c r="C12" s="229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31"/>
      <c r="X12" s="231"/>
      <c r="Y12" s="231"/>
      <c r="Z12" s="231"/>
      <c r="AA12" s="231"/>
      <c r="AB12" s="233"/>
      <c r="AC12" s="234"/>
      <c r="AD12" s="234"/>
      <c r="AI12" s="27" t="s">
        <v>5</v>
      </c>
      <c r="AJ12" s="27">
        <v>0.65</v>
      </c>
      <c r="BF12" s="58">
        <v>3</v>
      </c>
      <c r="BG12" s="59" t="s">
        <v>10</v>
      </c>
      <c r="BH12" s="59" t="s">
        <v>65</v>
      </c>
    </row>
    <row r="13" spans="1:60" ht="15">
      <c r="A13" s="14"/>
      <c r="B13" s="109"/>
      <c r="C13" s="44"/>
      <c r="D13" s="44"/>
      <c r="E13" s="44"/>
      <c r="F13" s="44"/>
      <c r="G13" s="44"/>
      <c r="H13" s="44"/>
      <c r="I13" s="6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110"/>
      <c r="AI13" s="27" t="s">
        <v>2</v>
      </c>
      <c r="AJ13" s="27">
        <v>0.95</v>
      </c>
      <c r="BF13" s="58">
        <v>4</v>
      </c>
      <c r="BG13" s="59" t="s">
        <v>66</v>
      </c>
      <c r="BH13" s="59" t="s">
        <v>67</v>
      </c>
    </row>
    <row r="14" spans="1:60" ht="15">
      <c r="B14" s="109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110"/>
      <c r="AI14" s="27" t="s">
        <v>3</v>
      </c>
      <c r="AJ14" s="27">
        <v>1.25</v>
      </c>
      <c r="BF14" s="58">
        <v>5</v>
      </c>
      <c r="BG14" s="59" t="s">
        <v>7</v>
      </c>
      <c r="BH14" s="59" t="s">
        <v>68</v>
      </c>
    </row>
    <row r="15" spans="1:60" ht="15">
      <c r="B15" s="109"/>
      <c r="C15" s="239" t="str">
        <f>VLOOKUP(12,$BF$10:$BH$120,1+MATCH($AC$9,$BG$9:$BH$9,0))</f>
        <v>KÍCH THƯỚC HÌNH HỌC</v>
      </c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7"/>
      <c r="O15" s="44"/>
      <c r="P15" s="33"/>
      <c r="Q15" s="33"/>
      <c r="R15" s="33"/>
      <c r="S15" s="33"/>
      <c r="T15" s="33"/>
      <c r="U15" s="33"/>
      <c r="V15" s="33"/>
      <c r="W15" s="33"/>
      <c r="X15" s="240"/>
      <c r="Y15" s="33"/>
      <c r="Z15" s="33"/>
      <c r="AA15" s="33"/>
      <c r="AB15" s="110"/>
      <c r="AD15" s="25" t="s">
        <v>15</v>
      </c>
      <c r="AE15" s="25" t="s">
        <v>16</v>
      </c>
      <c r="AF15" s="25" t="s">
        <v>17</v>
      </c>
      <c r="AG15" s="26" t="s">
        <v>18</v>
      </c>
      <c r="AH15" s="25" t="s">
        <v>19</v>
      </c>
      <c r="AI15" s="27" t="s">
        <v>4</v>
      </c>
      <c r="AJ15" s="27">
        <v>1.55</v>
      </c>
      <c r="BF15" s="58">
        <v>6</v>
      </c>
      <c r="BG15" s="59" t="s">
        <v>9</v>
      </c>
      <c r="BH15" s="59" t="s">
        <v>69</v>
      </c>
    </row>
    <row r="16" spans="1:60" ht="15">
      <c r="B16" s="109"/>
      <c r="C16" s="241" t="str">
        <f>VLOOKUP(13,$BF$10:$BH$120,1+MATCH($AC$9,$BG$9:$BH$9,0))</f>
        <v>Kết cấu:</v>
      </c>
      <c r="D16" s="242"/>
      <c r="E16" s="242"/>
      <c r="F16" s="242"/>
      <c r="G16" s="64" t="s">
        <v>38</v>
      </c>
      <c r="H16" s="113"/>
      <c r="I16" s="113"/>
      <c r="J16" s="113"/>
      <c r="K16" s="64" t="str">
        <f>IF(AC9="VN","/ Mái dốc một phía","")</f>
        <v>/ Mái dốc một phía</v>
      </c>
      <c r="L16" s="62"/>
      <c r="M16" s="62"/>
      <c r="N16" s="63"/>
      <c r="O16" s="44"/>
      <c r="P16" s="33"/>
      <c r="Q16" s="33"/>
      <c r="R16" s="33"/>
      <c r="S16" s="33"/>
      <c r="T16" s="33"/>
      <c r="U16" s="33"/>
      <c r="V16" s="33"/>
      <c r="W16" s="33"/>
      <c r="X16" s="240"/>
      <c r="Y16" s="33"/>
      <c r="Z16" s="33"/>
      <c r="AA16" s="33"/>
      <c r="AB16" s="110"/>
      <c r="AD16" s="25" t="s">
        <v>14</v>
      </c>
      <c r="AE16" s="25">
        <v>213.36</v>
      </c>
      <c r="AF16" s="25">
        <v>2.13</v>
      </c>
      <c r="AG16" s="25">
        <v>11.5</v>
      </c>
      <c r="AH16" s="25">
        <v>1.99</v>
      </c>
      <c r="AI16" s="27" t="s">
        <v>11</v>
      </c>
      <c r="AJ16" s="27">
        <v>1.85</v>
      </c>
      <c r="BF16" s="58">
        <v>7</v>
      </c>
      <c r="BG16" s="59" t="s">
        <v>70</v>
      </c>
      <c r="BH16" s="59" t="s">
        <v>71</v>
      </c>
    </row>
    <row r="17" spans="2:60" ht="15">
      <c r="B17" s="109"/>
      <c r="C17" s="243" t="str">
        <f>VLOOKUP(15,$BF$10:$BH$120,1+MATCH($AC$9,$BG$9:$BH$9,0))</f>
        <v>Loại kết cấu:</v>
      </c>
      <c r="D17" s="244"/>
      <c r="E17" s="244"/>
      <c r="F17" s="244"/>
      <c r="G17" s="245" t="s">
        <v>41</v>
      </c>
      <c r="H17" s="245"/>
      <c r="I17" s="245"/>
      <c r="J17" s="245"/>
      <c r="K17" s="246" t="str">
        <f>IF(AC9="VN",VLOOKUP(G17,$AE$9:$AF$10,2,TRUE),"")</f>
        <v>/ Nhà thép</v>
      </c>
      <c r="L17" s="246"/>
      <c r="M17" s="246"/>
      <c r="N17" s="247"/>
      <c r="O17" s="44"/>
      <c r="P17" s="33"/>
      <c r="Q17" s="33"/>
      <c r="R17" s="33"/>
      <c r="S17" s="33"/>
      <c r="T17" s="33"/>
      <c r="U17" s="33"/>
      <c r="V17" s="33"/>
      <c r="W17" s="33"/>
      <c r="X17" s="240"/>
      <c r="Y17" s="33"/>
      <c r="Z17" s="33"/>
      <c r="AA17" s="33"/>
      <c r="AB17" s="110"/>
      <c r="AD17" s="25" t="s">
        <v>1</v>
      </c>
      <c r="AE17" s="25">
        <v>274.32</v>
      </c>
      <c r="AF17" s="25">
        <v>4.57</v>
      </c>
      <c r="AG17" s="25">
        <v>9.5</v>
      </c>
      <c r="AH17" s="25">
        <v>1.97</v>
      </c>
      <c r="BF17" s="58">
        <v>8</v>
      </c>
      <c r="BG17" s="59" t="s">
        <v>72</v>
      </c>
      <c r="BH17" s="59" t="s">
        <v>73</v>
      </c>
    </row>
    <row r="18" spans="2:60" ht="15">
      <c r="B18" s="109"/>
      <c r="C18" s="132"/>
      <c r="D18" s="133"/>
      <c r="E18" s="133"/>
      <c r="F18" s="133"/>
      <c r="G18" s="133"/>
      <c r="H18" s="133"/>
      <c r="I18" s="133"/>
      <c r="J18" s="134" t="str">
        <f>VLOOKUP(17,$BF$10:$BH$120,1+MATCH($AC$9,$BG$9:$BH$9,0))</f>
        <v>Chiều rộng nhà / mái</v>
      </c>
      <c r="K18" s="236" t="s">
        <v>133</v>
      </c>
      <c r="L18" s="236"/>
      <c r="M18" s="248">
        <v>30</v>
      </c>
      <c r="N18" s="249"/>
      <c r="O18" s="44"/>
      <c r="P18" s="33"/>
      <c r="Q18" s="33"/>
      <c r="R18" s="33"/>
      <c r="S18" s="33"/>
      <c r="T18" s="33"/>
      <c r="U18" s="33"/>
      <c r="V18" s="33"/>
      <c r="W18" s="33"/>
      <c r="X18" s="240"/>
      <c r="Y18" s="33"/>
      <c r="Z18" s="33"/>
      <c r="AA18" s="33"/>
      <c r="AB18" s="110"/>
      <c r="AD18" s="25" t="s">
        <v>0</v>
      </c>
      <c r="AE18" s="25">
        <v>365.76</v>
      </c>
      <c r="AF18" s="25">
        <v>9.14</v>
      </c>
      <c r="AG18" s="25">
        <v>7</v>
      </c>
      <c r="AH18" s="25">
        <v>1.98</v>
      </c>
      <c r="BF18" s="58">
        <v>9</v>
      </c>
      <c r="BG18" s="59" t="s">
        <v>74</v>
      </c>
      <c r="BH18" s="59" t="s">
        <v>75</v>
      </c>
    </row>
    <row r="19" spans="2:60" ht="15">
      <c r="B19" s="109"/>
      <c r="C19" s="132"/>
      <c r="D19" s="133"/>
      <c r="E19" s="133"/>
      <c r="F19" s="133"/>
      <c r="G19" s="133"/>
      <c r="H19" s="133"/>
      <c r="I19" s="133"/>
      <c r="J19" s="134" t="str">
        <f>VLOOKUP(18,$BF$10:$BH$120,1+MATCH($AC$9,$BG$9:$BH$9,0))</f>
        <v>Chiều dài nhà / mái</v>
      </c>
      <c r="K19" s="236" t="s">
        <v>134</v>
      </c>
      <c r="L19" s="236"/>
      <c r="M19" s="248">
        <v>68</v>
      </c>
      <c r="N19" s="249"/>
      <c r="O19" s="44"/>
      <c r="P19" s="33"/>
      <c r="Q19" s="33"/>
      <c r="R19" s="33"/>
      <c r="S19" s="33"/>
      <c r="T19" s="33"/>
      <c r="U19" s="33"/>
      <c r="V19" s="33"/>
      <c r="W19" s="33"/>
      <c r="X19" s="240"/>
      <c r="Y19" s="33"/>
      <c r="Z19" s="33"/>
      <c r="AA19" s="33"/>
      <c r="AB19" s="110"/>
      <c r="BF19" s="58">
        <v>10</v>
      </c>
      <c r="BG19" s="59" t="s">
        <v>76</v>
      </c>
      <c r="BH19" s="59" t="s">
        <v>77</v>
      </c>
    </row>
    <row r="20" spans="2:60" ht="15">
      <c r="B20" s="109"/>
      <c r="C20" s="132"/>
      <c r="D20" s="133"/>
      <c r="E20" s="133"/>
      <c r="F20" s="133"/>
      <c r="G20" s="133"/>
      <c r="H20" s="133"/>
      <c r="I20" s="133"/>
      <c r="J20" s="134" t="str">
        <f>VLOOKUP(19,$BF$10:$BH$120,1+MATCH($AC$9,$BG$9:$BH$9,0))</f>
        <v>Chiều cao nhà</v>
      </c>
      <c r="K20" s="236" t="s">
        <v>135</v>
      </c>
      <c r="L20" s="236"/>
      <c r="M20" s="262">
        <v>10</v>
      </c>
      <c r="N20" s="263"/>
      <c r="O20" s="44"/>
      <c r="P20" s="33"/>
      <c r="Q20" s="33"/>
      <c r="R20" s="33"/>
      <c r="S20" s="33"/>
      <c r="T20" s="33"/>
      <c r="U20" s="33"/>
      <c r="V20" s="33"/>
      <c r="W20" s="33"/>
      <c r="X20" s="240"/>
      <c r="Y20" s="33"/>
      <c r="Z20" s="33"/>
      <c r="AA20" s="33"/>
      <c r="AB20" s="110"/>
      <c r="BF20" s="58">
        <v>11</v>
      </c>
      <c r="BG20" s="59" t="s">
        <v>78</v>
      </c>
      <c r="BH20" s="59" t="s">
        <v>79</v>
      </c>
    </row>
    <row r="21" spans="2:60" ht="15">
      <c r="B21" s="109"/>
      <c r="C21" s="132"/>
      <c r="D21" s="133"/>
      <c r="E21" s="133"/>
      <c r="F21" s="133"/>
      <c r="G21" s="133"/>
      <c r="H21" s="133"/>
      <c r="I21" s="133"/>
      <c r="J21" s="134" t="str">
        <f>VLOOKUP(39,$BF$10:$BH$120,1+MATCH($AC$9,$BG$9:$BH$9,0))</f>
        <v>Độ dốc mái</v>
      </c>
      <c r="K21" s="236" t="s">
        <v>137</v>
      </c>
      <c r="L21" s="236"/>
      <c r="M21" s="237">
        <v>0.12</v>
      </c>
      <c r="N21" s="238"/>
      <c r="O21" s="44"/>
      <c r="P21" s="33"/>
      <c r="Q21" s="33"/>
      <c r="R21" s="33"/>
      <c r="S21" s="235"/>
      <c r="T21" s="235"/>
      <c r="U21" s="235"/>
      <c r="V21" s="235"/>
      <c r="W21" s="235"/>
      <c r="X21" s="240"/>
      <c r="Y21" s="33"/>
      <c r="Z21" s="33"/>
      <c r="AA21" s="33"/>
      <c r="AB21" s="110"/>
      <c r="BF21" s="58">
        <v>12</v>
      </c>
      <c r="BG21" s="59" t="s">
        <v>32</v>
      </c>
      <c r="BH21" s="59" t="s">
        <v>80</v>
      </c>
    </row>
    <row r="22" spans="2:60" ht="15">
      <c r="B22" s="109"/>
      <c r="C22" s="132"/>
      <c r="D22" s="133"/>
      <c r="E22" s="133"/>
      <c r="F22" s="133"/>
      <c r="G22" s="133"/>
      <c r="H22" s="133"/>
      <c r="I22" s="133"/>
      <c r="J22" s="134" t="str">
        <f>VLOOKUP(38,$BF$10:$BH$120,1+MATCH($AC$9,$BG$9:$BH$9,0))</f>
        <v>Góc nghiêng mái</v>
      </c>
      <c r="K22" s="264" t="s">
        <v>136</v>
      </c>
      <c r="L22" s="265"/>
      <c r="M22" s="266">
        <f>DEGREES(ATAN(M21))</f>
        <v>6.8427734126309403</v>
      </c>
      <c r="N22" s="267"/>
      <c r="O22" s="44"/>
      <c r="P22" s="33"/>
      <c r="Q22" s="33"/>
      <c r="R22" s="33"/>
      <c r="S22" s="31"/>
      <c r="T22" s="31"/>
      <c r="U22" s="31"/>
      <c r="V22" s="31"/>
      <c r="W22" s="31"/>
      <c r="X22" s="32"/>
      <c r="Y22" s="33"/>
      <c r="Z22" s="33"/>
      <c r="AA22" s="33"/>
      <c r="AB22" s="110"/>
      <c r="BF22" s="58">
        <v>13</v>
      </c>
      <c r="BG22" s="59" t="s">
        <v>34</v>
      </c>
      <c r="BH22" s="59" t="s">
        <v>81</v>
      </c>
    </row>
    <row r="23" spans="2:60" ht="18">
      <c r="B23" s="109"/>
      <c r="C23" s="135"/>
      <c r="D23" s="136"/>
      <c r="E23" s="136"/>
      <c r="F23" s="136"/>
      <c r="G23" s="136"/>
      <c r="H23" s="136"/>
      <c r="I23" s="136"/>
      <c r="J23" s="131" t="str">
        <f>VLOOKUP(23,$BF$10:$BH$120,1+MATCH($AC$9,$BG$9:$BH$9,0))</f>
        <v>Hệ số hiệu ứng giật</v>
      </c>
      <c r="K23" s="250" t="s">
        <v>196</v>
      </c>
      <c r="L23" s="250"/>
      <c r="M23" s="251">
        <f>IF(G17="RC building",0.85+M20/2840,0.85+M20/1010)</f>
        <v>0.85990099009900989</v>
      </c>
      <c r="N23" s="252"/>
      <c r="O23" s="44"/>
      <c r="P23" s="33"/>
      <c r="Q23" s="33"/>
      <c r="R23" s="33"/>
      <c r="S23" s="15"/>
      <c r="T23" s="33"/>
      <c r="U23" s="33"/>
      <c r="V23" s="33"/>
      <c r="W23" s="33"/>
      <c r="X23" s="33"/>
      <c r="Y23" s="33"/>
      <c r="Z23" s="33"/>
      <c r="AA23" s="33"/>
      <c r="AB23" s="110"/>
      <c r="BF23" s="58">
        <v>14</v>
      </c>
      <c r="BG23" s="59" t="s">
        <v>82</v>
      </c>
      <c r="BH23" s="59" t="s">
        <v>83</v>
      </c>
    </row>
    <row r="24" spans="2:60" ht="15">
      <c r="B24" s="109"/>
      <c r="O24" s="44"/>
      <c r="P24" s="33"/>
      <c r="Q24" s="33"/>
      <c r="R24" s="33"/>
      <c r="S24" s="33"/>
      <c r="T24" s="33"/>
      <c r="V24" s="33"/>
      <c r="W24" s="33"/>
      <c r="X24" s="33"/>
      <c r="Y24" s="33"/>
      <c r="Z24" s="33"/>
      <c r="AA24" s="33"/>
      <c r="AB24" s="110"/>
      <c r="BF24" s="58">
        <v>15</v>
      </c>
      <c r="BG24" s="59" t="s">
        <v>36</v>
      </c>
      <c r="BH24" s="59" t="s">
        <v>84</v>
      </c>
    </row>
    <row r="25" spans="2:60" ht="15">
      <c r="B25" s="109"/>
      <c r="C25" s="253" t="str">
        <f>VLOOKUP(24,$BF$10:$BH$120,1+MATCH($AC$9,$BG$9:$BH$9,0))</f>
        <v>DỮ LIỆU CÔNG TRÌNH</v>
      </c>
      <c r="D25" s="254"/>
      <c r="E25" s="254"/>
      <c r="F25" s="254"/>
      <c r="G25" s="254"/>
      <c r="H25" s="254"/>
      <c r="I25" s="254"/>
      <c r="J25" s="254"/>
      <c r="K25" s="254"/>
      <c r="L25" s="254"/>
      <c r="M25" s="254"/>
      <c r="N25" s="255"/>
      <c r="O25" s="44"/>
      <c r="P25" s="177" t="str">
        <f>VLOOKUP(44,$BF$10:$BH$120,1+MATCH($AC$9,$BG$9:$BH$9,0))</f>
        <v>Áp lực gió tác dụng lên bề mặt:</v>
      </c>
      <c r="Q25" s="178"/>
      <c r="R25" s="178"/>
      <c r="S25" s="178"/>
      <c r="T25" s="178"/>
      <c r="U25" s="178"/>
      <c r="V25" s="178"/>
      <c r="W25" s="178"/>
      <c r="X25" s="178"/>
      <c r="Y25" s="178"/>
      <c r="Z25" s="178"/>
      <c r="AA25" s="179"/>
      <c r="AB25" s="110"/>
      <c r="BF25" s="58">
        <v>16</v>
      </c>
      <c r="BG25" s="60" t="s">
        <v>85</v>
      </c>
      <c r="BH25" s="60" t="s">
        <v>86</v>
      </c>
    </row>
    <row r="26" spans="2:60" ht="18">
      <c r="B26" s="109"/>
      <c r="C26" s="256" t="str">
        <f>VLOOKUP(25,$BF$10:$BH$120,1+MATCH($AC$9,$BG$9:$BH$9,0))</f>
        <v>Vùng</v>
      </c>
      <c r="D26" s="257"/>
      <c r="E26" s="258" t="s">
        <v>2</v>
      </c>
      <c r="F26" s="258"/>
      <c r="G26" s="22"/>
      <c r="H26" s="22"/>
      <c r="I26" s="259" t="str">
        <f>VLOOKUP(26,$BF$10:$BH$120,1+MATCH($AC$9,$BG$9:$BH$9,0))</f>
        <v>Dạng địa hình</v>
      </c>
      <c r="J26" s="259"/>
      <c r="K26" s="259"/>
      <c r="L26" s="259"/>
      <c r="M26" s="260" t="s">
        <v>1</v>
      </c>
      <c r="N26" s="261"/>
      <c r="O26" s="44"/>
      <c r="P26" s="180" t="s">
        <v>195</v>
      </c>
      <c r="Q26" s="181"/>
      <c r="R26" s="181"/>
      <c r="S26" s="181"/>
      <c r="T26" s="181"/>
      <c r="U26" s="181"/>
      <c r="V26" s="181"/>
      <c r="W26" s="181"/>
      <c r="X26" s="181"/>
      <c r="Y26" s="181"/>
      <c r="Z26" s="181"/>
      <c r="AA26" s="182"/>
      <c r="AB26" s="129"/>
      <c r="BF26" s="58">
        <v>17</v>
      </c>
      <c r="BG26" s="59" t="s">
        <v>87</v>
      </c>
      <c r="BH26" s="59" t="s">
        <v>88</v>
      </c>
    </row>
    <row r="27" spans="2:60" ht="18">
      <c r="B27" s="109"/>
      <c r="C27" s="23"/>
      <c r="D27" s="45" t="s">
        <v>42</v>
      </c>
      <c r="E27" s="269">
        <f>VLOOKUP(E26,$AI$12:$AJ$16,2,FALSE)</f>
        <v>0.95</v>
      </c>
      <c r="F27" s="269"/>
      <c r="G27" s="183" t="s">
        <v>199</v>
      </c>
      <c r="H27" s="183"/>
      <c r="I27" s="46" t="s">
        <v>43</v>
      </c>
      <c r="J27" s="269">
        <f>VLOOKUP(M26,$AD$16:$AH$18,2,FALSE)</f>
        <v>274.32</v>
      </c>
      <c r="K27" s="269"/>
      <c r="L27" s="270" t="s">
        <v>44</v>
      </c>
      <c r="M27" s="270"/>
      <c r="N27" s="24">
        <f>VLOOKUP(M26,$AD$16:$AH$18,4,FALSE)</f>
        <v>9.5</v>
      </c>
      <c r="O27" s="44"/>
      <c r="P27" s="318"/>
      <c r="Q27" s="318"/>
      <c r="R27" s="318"/>
      <c r="S27" s="318"/>
      <c r="T27" s="318"/>
      <c r="U27" s="318"/>
      <c r="V27" s="318"/>
      <c r="W27" s="318"/>
      <c r="X27" s="318"/>
      <c r="Y27" s="318"/>
      <c r="Z27" s="318"/>
      <c r="AA27" s="318"/>
      <c r="AB27" s="319"/>
      <c r="BF27" s="58">
        <v>18</v>
      </c>
      <c r="BG27" s="59" t="s">
        <v>89</v>
      </c>
      <c r="BH27" s="59" t="s">
        <v>90</v>
      </c>
    </row>
    <row r="28" spans="2:60" ht="18">
      <c r="B28" s="109"/>
      <c r="C28" s="23"/>
      <c r="D28" s="45" t="s">
        <v>45</v>
      </c>
      <c r="E28" s="271">
        <f>0.852*E27</f>
        <v>0.8093999999999999</v>
      </c>
      <c r="F28" s="271"/>
      <c r="G28" s="183" t="s">
        <v>199</v>
      </c>
      <c r="H28" s="183"/>
      <c r="I28" s="46" t="s">
        <v>46</v>
      </c>
      <c r="J28" s="269">
        <f>VLOOKUP(M26,$AD$16:$AH$18,3,FALSE)</f>
        <v>4.57</v>
      </c>
      <c r="K28" s="269"/>
      <c r="L28" s="269" t="s">
        <v>47</v>
      </c>
      <c r="M28" s="269"/>
      <c r="N28" s="24">
        <f>VLOOKUP(M26,$AD$16:$AH$18,5,FALSE)</f>
        <v>1.97</v>
      </c>
      <c r="O28" s="44"/>
      <c r="P28" s="12"/>
      <c r="Q28" s="196" t="str">
        <f>VLOOKUP(27,$BF$10:$BH$120,1+MATCH($AC$9,$BG$9:$BH$9,0))</f>
        <v>HỆ SỐ</v>
      </c>
      <c r="R28" s="196"/>
      <c r="S28" s="196"/>
      <c r="T28" s="196"/>
      <c r="U28" s="196"/>
      <c r="V28" s="196"/>
      <c r="W28" s="196"/>
      <c r="X28" s="196"/>
      <c r="Y28" s="196"/>
      <c r="Z28" s="196"/>
      <c r="AA28" s="13"/>
      <c r="AB28" s="110"/>
      <c r="AD28" s="176" t="s">
        <v>194</v>
      </c>
      <c r="AE28" s="176"/>
      <c r="AF28" s="176"/>
      <c r="BF28" s="58">
        <v>19</v>
      </c>
      <c r="BG28" s="59" t="s">
        <v>91</v>
      </c>
      <c r="BH28" s="59" t="s">
        <v>92</v>
      </c>
    </row>
    <row r="29" spans="2:60" ht="18">
      <c r="B29" s="109"/>
      <c r="C29" s="138"/>
      <c r="D29" s="139"/>
      <c r="E29" s="139"/>
      <c r="F29" s="139"/>
      <c r="G29" s="139"/>
      <c r="H29" s="139"/>
      <c r="I29" s="139"/>
      <c r="J29" s="140" t="str">
        <f>VLOOKUP(32,$BF$10:$BH$120,1+MATCH($AC$9,$BG$9:$BH$9,0))</f>
        <v>Chiều cao tham chiếu</v>
      </c>
      <c r="K29" s="139"/>
      <c r="L29" s="140" t="s">
        <v>197</v>
      </c>
      <c r="M29" s="272">
        <f>M20</f>
        <v>10</v>
      </c>
      <c r="N29" s="273"/>
      <c r="O29" s="44"/>
      <c r="P29" s="172" t="str">
        <f>VLOOKUP(43,$BF$10:$BH$120,1+MATCH($AC$9,$BG$9:$BH$9,0))</f>
        <v>Độ hở của tường chắn</v>
      </c>
      <c r="Q29" s="173"/>
      <c r="R29" s="173"/>
      <c r="S29" s="173"/>
      <c r="T29" s="173"/>
      <c r="U29" s="173"/>
      <c r="V29" s="173"/>
      <c r="W29" s="173"/>
      <c r="X29" s="173"/>
      <c r="Y29" s="173"/>
      <c r="Z29" s="174">
        <v>0.05</v>
      </c>
      <c r="AA29" s="175"/>
      <c r="AB29" s="110"/>
      <c r="AD29" s="159">
        <v>0.05</v>
      </c>
      <c r="AE29" s="126">
        <v>0.2</v>
      </c>
      <c r="AF29" s="126">
        <v>-0.2</v>
      </c>
      <c r="BF29" s="58">
        <v>20</v>
      </c>
      <c r="BG29" s="59" t="s">
        <v>93</v>
      </c>
      <c r="BH29" s="60" t="s">
        <v>94</v>
      </c>
    </row>
    <row r="30" spans="2:60" ht="18">
      <c r="B30" s="109"/>
      <c r="C30" s="138"/>
      <c r="D30" s="139"/>
      <c r="E30" s="139"/>
      <c r="F30" s="139"/>
      <c r="G30" s="139"/>
      <c r="H30" s="139"/>
      <c r="I30" s="139"/>
      <c r="J30" s="140" t="str">
        <f>VLOOKUP(33,$BF$10:$BH$120,1+MATCH($AC$9,$BG$9:$BH$9,0))</f>
        <v>Hệ số thay đổi theo độ cao và địa hình</v>
      </c>
      <c r="K30" s="139"/>
      <c r="L30" s="140" t="s">
        <v>198</v>
      </c>
      <c r="M30" s="272">
        <f>MIN(2.01*(M29/J27)^(2/N27),N28)</f>
        <v>1.0009330064908715</v>
      </c>
      <c r="N30" s="276"/>
      <c r="O30" s="44"/>
      <c r="P30" s="127" t="str">
        <f>VLOOKUP(28,$BF$10:$BH$120,1+MATCH($AC$9,$BG$9:$BH$9,0))</f>
        <v>Hệ số khí động áp lực bên trong</v>
      </c>
      <c r="Q30" s="128"/>
      <c r="R30" s="128"/>
      <c r="S30" s="128"/>
      <c r="T30" s="128"/>
      <c r="U30" s="128"/>
      <c r="V30" s="124" t="s">
        <v>138</v>
      </c>
      <c r="W30" s="277" t="str">
        <f>VLOOKUP(29,$BF$10:$BH$120,1+MATCH($AC$9,$BG$9:$BH$9,0))</f>
        <v>Trường hợp 1</v>
      </c>
      <c r="X30" s="277"/>
      <c r="Y30" s="277"/>
      <c r="Z30" s="266">
        <f>AE31</f>
        <v>0.2</v>
      </c>
      <c r="AA30" s="267"/>
      <c r="AB30" s="110"/>
      <c r="AD30" s="159">
        <v>0.3</v>
      </c>
      <c r="AE30" s="126">
        <v>0.8</v>
      </c>
      <c r="AF30" s="126">
        <v>-0.5</v>
      </c>
      <c r="BF30" s="58">
        <v>21</v>
      </c>
      <c r="BG30" s="60" t="s">
        <v>95</v>
      </c>
      <c r="BH30" s="59" t="s">
        <v>96</v>
      </c>
    </row>
    <row r="31" spans="2:60" ht="18">
      <c r="B31" s="109"/>
      <c r="C31" s="141"/>
      <c r="D31" s="142"/>
      <c r="E31" s="142"/>
      <c r="F31" s="142"/>
      <c r="G31" s="142"/>
      <c r="H31" s="142"/>
      <c r="I31" s="142"/>
      <c r="J31" s="137"/>
      <c r="K31" s="142"/>
      <c r="L31" s="137" t="s">
        <v>200</v>
      </c>
      <c r="M31" s="301">
        <f>$E$28*$M$30*$M$23</f>
        <v>0.69665323750648345</v>
      </c>
      <c r="N31" s="302"/>
      <c r="O31" s="44"/>
      <c r="P31" s="67"/>
      <c r="Q31" s="68"/>
      <c r="R31" s="68"/>
      <c r="S31" s="68"/>
      <c r="T31" s="68"/>
      <c r="U31" s="68"/>
      <c r="V31" s="66" t="s">
        <v>138</v>
      </c>
      <c r="W31" s="191" t="str">
        <f>VLOOKUP(30,$BF$10:$BH$120,1+MATCH($AC$9,$BG$9:$BH$9,0))</f>
        <v>Trường hợp 2</v>
      </c>
      <c r="X31" s="191"/>
      <c r="Y31" s="191"/>
      <c r="Z31" s="192">
        <f>AF31</f>
        <v>-0.2</v>
      </c>
      <c r="AA31" s="193"/>
      <c r="AB31" s="110"/>
      <c r="AD31" s="160">
        <f>Z29</f>
        <v>0.05</v>
      </c>
      <c r="AE31" s="161">
        <f>MIN(MAX(2.4*AD31+0.08,AE29),AE30)</f>
        <v>0.2</v>
      </c>
      <c r="AF31" s="161">
        <f>MIN(MAX(-1.2*AD31-0.14,AF30),AF29)</f>
        <v>-0.2</v>
      </c>
      <c r="BF31" s="58">
        <v>22</v>
      </c>
      <c r="BG31" s="59" t="s">
        <v>97</v>
      </c>
      <c r="BH31" s="59" t="s">
        <v>98</v>
      </c>
    </row>
    <row r="32" spans="2:60" ht="15">
      <c r="B32" s="109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44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110"/>
      <c r="BF32" s="58">
        <v>23</v>
      </c>
      <c r="BG32" s="59" t="s">
        <v>99</v>
      </c>
      <c r="BH32" s="59" t="s">
        <v>100</v>
      </c>
    </row>
    <row r="33" spans="2:60" ht="17.25">
      <c r="B33" s="109"/>
      <c r="C33" s="194" t="str">
        <f>VLOOKUP(31,$BF$10:$BH$120,1+MATCH($AC$9,$BG$9:$BH$9,0))</f>
        <v>TÍNH TOÁN ÁP LỰC GIÓ</v>
      </c>
      <c r="D33" s="195"/>
      <c r="E33" s="195"/>
      <c r="F33" s="195"/>
      <c r="G33" s="195"/>
      <c r="H33" s="195"/>
      <c r="I33" s="195"/>
      <c r="J33" s="195"/>
      <c r="K33" s="196" t="s">
        <v>139</v>
      </c>
      <c r="L33" s="197"/>
      <c r="M33" s="21"/>
      <c r="N33" s="33"/>
      <c r="O33" s="44"/>
      <c r="Q33" s="194" t="str">
        <f>VLOOKUP(31,$BF$10:$BH$120,1+MATCH($AC$9,$BG$9:$BH$9,0))</f>
        <v>TÍNH TOÁN ÁP LỰC GIÓ</v>
      </c>
      <c r="R33" s="195"/>
      <c r="S33" s="195"/>
      <c r="T33" s="195"/>
      <c r="U33" s="195"/>
      <c r="V33" s="195"/>
      <c r="W33" s="195"/>
      <c r="X33" s="195"/>
      <c r="Y33" s="196" t="s">
        <v>140</v>
      </c>
      <c r="Z33" s="197"/>
      <c r="AA33" s="48"/>
      <c r="AB33" s="110"/>
      <c r="BF33" s="58">
        <v>24</v>
      </c>
      <c r="BG33" s="59" t="s">
        <v>33</v>
      </c>
      <c r="BH33" s="59" t="s">
        <v>101</v>
      </c>
    </row>
    <row r="34" spans="2:60" ht="15">
      <c r="B34" s="109"/>
      <c r="C34" s="281" t="str">
        <f>VLOOKUP(25,$BF$10:$BH$120,1+MATCH($AC$9,$BG$9:$BH$9,0))</f>
        <v>Vùng</v>
      </c>
      <c r="D34" s="282"/>
      <c r="E34" s="282"/>
      <c r="F34" s="282"/>
      <c r="G34" s="185" t="s">
        <v>21</v>
      </c>
      <c r="H34" s="185"/>
      <c r="I34" s="185" t="s">
        <v>22</v>
      </c>
      <c r="J34" s="185"/>
      <c r="K34" s="185" t="s">
        <v>23</v>
      </c>
      <c r="L34" s="186"/>
      <c r="M34" s="187"/>
      <c r="N34" s="188"/>
      <c r="O34" s="44"/>
      <c r="Q34" s="189" t="str">
        <f>VLOOKUP(25,$BF$10:$BH$120,1+MATCH($AC$9,$BG$9:$BH$9,0))</f>
        <v>Vùng</v>
      </c>
      <c r="R34" s="190"/>
      <c r="S34" s="190"/>
      <c r="T34" s="190"/>
      <c r="U34" s="198" t="s">
        <v>21</v>
      </c>
      <c r="V34" s="198"/>
      <c r="W34" s="198" t="s">
        <v>22</v>
      </c>
      <c r="X34" s="198"/>
      <c r="Y34" s="198" t="s">
        <v>23</v>
      </c>
      <c r="Z34" s="283"/>
      <c r="AA34" s="48"/>
      <c r="AB34" s="110"/>
      <c r="BF34" s="58">
        <v>25</v>
      </c>
      <c r="BG34" s="59" t="s">
        <v>12</v>
      </c>
      <c r="BH34" s="59" t="s">
        <v>102</v>
      </c>
    </row>
    <row r="35" spans="2:60" ht="18">
      <c r="B35" s="109"/>
      <c r="C35" s="143" t="str">
        <f>VLOOKUP(35,$BF$10:$BH$120,1+MATCH($AC$9,$BG$9:$BH$9,0))</f>
        <v>TH1</v>
      </c>
      <c r="D35" s="144"/>
      <c r="E35" s="144"/>
      <c r="F35" s="145" t="s">
        <v>39</v>
      </c>
      <c r="G35" s="199">
        <f>AE47</f>
        <v>-1.5525782108306885</v>
      </c>
      <c r="H35" s="199"/>
      <c r="I35" s="199">
        <f>AF47</f>
        <v>-1.1262891292572021</v>
      </c>
      <c r="J35" s="199"/>
      <c r="K35" s="199">
        <f>AG47</f>
        <v>-0.54471683502197266</v>
      </c>
      <c r="L35" s="200"/>
      <c r="M35" s="201"/>
      <c r="N35" s="202"/>
      <c r="O35" s="44"/>
      <c r="Q35" s="151"/>
      <c r="R35" s="152"/>
      <c r="S35" s="152"/>
      <c r="T35" s="153" t="s">
        <v>39</v>
      </c>
      <c r="U35" s="203">
        <f>AM47</f>
        <v>-2.336855411529541</v>
      </c>
      <c r="V35" s="203"/>
      <c r="W35" s="203">
        <f>AN47</f>
        <v>-1.2999999523162842</v>
      </c>
      <c r="X35" s="203"/>
      <c r="Y35" s="203">
        <f>AO47</f>
        <v>-0.81842774152755737</v>
      </c>
      <c r="Z35" s="284"/>
      <c r="AA35" s="48"/>
      <c r="AB35" s="110"/>
      <c r="BF35" s="58">
        <v>26</v>
      </c>
      <c r="BG35" s="59" t="s">
        <v>35</v>
      </c>
      <c r="BH35" s="59" t="s">
        <v>103</v>
      </c>
    </row>
    <row r="36" spans="2:60" ht="18">
      <c r="B36" s="109"/>
      <c r="C36" s="146" t="str">
        <f>VLOOKUP(36,$BF$10:$BH$120,1+MATCH($AC$9,$BG$9:$BH$9,0))</f>
        <v>TH2</v>
      </c>
      <c r="D36" s="147"/>
      <c r="E36" s="147"/>
      <c r="F36" s="148" t="s">
        <v>39</v>
      </c>
      <c r="G36" s="285">
        <f>AH47</f>
        <v>3.6855470389127731E-2</v>
      </c>
      <c r="H36" s="285"/>
      <c r="I36" s="285">
        <f>AI47</f>
        <v>3.6855470389127731E-2</v>
      </c>
      <c r="J36" s="285"/>
      <c r="K36" s="285">
        <f>AJ47</f>
        <v>3.6855470389127731E-2</v>
      </c>
      <c r="L36" s="286"/>
      <c r="M36" s="201"/>
      <c r="N36" s="202"/>
      <c r="O36" s="44"/>
      <c r="Q36" s="151"/>
      <c r="R36" s="152"/>
      <c r="S36" s="152"/>
      <c r="T36" s="153" t="s">
        <v>59</v>
      </c>
      <c r="U36" s="203">
        <f>$M$31*U35</f>
        <v>-1.6279778880266005</v>
      </c>
      <c r="V36" s="203"/>
      <c r="W36" s="203">
        <f t="shared" ref="W36" si="0">$M$31*W35</f>
        <v>-0.90564917553941349</v>
      </c>
      <c r="X36" s="203"/>
      <c r="Y36" s="203">
        <f t="shared" ref="Y36" si="1">$M$31*Y35</f>
        <v>-0.57016033580029224</v>
      </c>
      <c r="Z36" s="284"/>
      <c r="AA36" s="48"/>
      <c r="AB36" s="110"/>
      <c r="BF36" s="58">
        <v>27</v>
      </c>
      <c r="BG36" s="59" t="s">
        <v>37</v>
      </c>
      <c r="BH36" s="59" t="s">
        <v>104</v>
      </c>
    </row>
    <row r="37" spans="2:60" ht="18">
      <c r="B37" s="109"/>
      <c r="C37" s="143" t="str">
        <f>VLOOKUP(35,$BF$10:$BH$120,1+MATCH($AC$9,$BG$9:$BH$9,0))</f>
        <v>TH1</v>
      </c>
      <c r="D37" s="144"/>
      <c r="E37" s="144"/>
      <c r="F37" s="145" t="s">
        <v>59</v>
      </c>
      <c r="G37" s="199">
        <f>$M$31*G35</f>
        <v>-1.0816086370572227</v>
      </c>
      <c r="H37" s="199"/>
      <c r="I37" s="199">
        <f t="shared" ref="I37" si="2">$M$31*I35</f>
        <v>-0.78463296826538809</v>
      </c>
      <c r="J37" s="199"/>
      <c r="K37" s="199">
        <f t="shared" ref="K37" si="3">$M$31*K35</f>
        <v>-0.37947874664234227</v>
      </c>
      <c r="L37" s="200"/>
      <c r="M37" s="201"/>
      <c r="N37" s="202"/>
      <c r="O37" s="44"/>
      <c r="Q37" s="143" t="str">
        <f>VLOOKUP(35,$BF$10:$BH$120,1+MATCH($AC$9,$BG$9:$BH$9,0))</f>
        <v>TH1</v>
      </c>
      <c r="R37" s="144"/>
      <c r="S37" s="144"/>
      <c r="T37" s="145" t="s">
        <v>50</v>
      </c>
      <c r="U37" s="199">
        <f>$Z$30</f>
        <v>0.2</v>
      </c>
      <c r="V37" s="199"/>
      <c r="W37" s="199">
        <f>$Z$30</f>
        <v>0.2</v>
      </c>
      <c r="X37" s="199"/>
      <c r="Y37" s="199">
        <f>$Z$30</f>
        <v>0.2</v>
      </c>
      <c r="Z37" s="200"/>
      <c r="AA37" s="48"/>
      <c r="AB37" s="110"/>
      <c r="BF37" s="58">
        <v>28</v>
      </c>
      <c r="BG37" s="61" t="s">
        <v>105</v>
      </c>
      <c r="BH37" s="59" t="s">
        <v>106</v>
      </c>
    </row>
    <row r="38" spans="2:60" ht="18">
      <c r="B38" s="109"/>
      <c r="C38" s="146" t="str">
        <f>VLOOKUP(36,$BF$10:$BH$120,1+MATCH($AC$9,$BG$9:$BH$9,0))</f>
        <v>TH2</v>
      </c>
      <c r="D38" s="147"/>
      <c r="E38" s="147"/>
      <c r="F38" s="148" t="s">
        <v>59</v>
      </c>
      <c r="G38" s="285">
        <f>$M$31*G36</f>
        <v>2.5675482766410171E-2</v>
      </c>
      <c r="H38" s="285"/>
      <c r="I38" s="285">
        <f t="shared" ref="I38" si="4">$M$31*I36</f>
        <v>2.5675482766410171E-2</v>
      </c>
      <c r="J38" s="285"/>
      <c r="K38" s="285">
        <f>$M$31*K36</f>
        <v>2.5675482766410171E-2</v>
      </c>
      <c r="L38" s="286"/>
      <c r="M38" s="201"/>
      <c r="N38" s="202"/>
      <c r="O38" s="44"/>
      <c r="Q38" s="146" t="str">
        <f>VLOOKUP(36,$BF$10:$BH$120,1+MATCH($AC$9,$BG$9:$BH$9,0))</f>
        <v>TH2</v>
      </c>
      <c r="R38" s="147"/>
      <c r="S38" s="147"/>
      <c r="T38" s="148" t="s">
        <v>50</v>
      </c>
      <c r="U38" s="285">
        <f>$Z$31</f>
        <v>-0.2</v>
      </c>
      <c r="V38" s="285"/>
      <c r="W38" s="285">
        <f>$Z$31</f>
        <v>-0.2</v>
      </c>
      <c r="X38" s="285"/>
      <c r="Y38" s="285">
        <f>$Z$31</f>
        <v>-0.2</v>
      </c>
      <c r="Z38" s="286"/>
      <c r="AA38" s="48"/>
      <c r="AB38" s="110"/>
      <c r="AD38" s="268" t="s">
        <v>24</v>
      </c>
      <c r="AE38" s="278" t="s">
        <v>25</v>
      </c>
      <c r="AF38" s="279"/>
      <c r="AG38" s="279"/>
      <c r="AH38" s="279"/>
      <c r="AI38" s="279"/>
      <c r="AJ38" s="280"/>
      <c r="AK38"/>
      <c r="AL38" s="268" t="s">
        <v>24</v>
      </c>
      <c r="AM38" s="268" t="s">
        <v>28</v>
      </c>
      <c r="AN38" s="268"/>
      <c r="AO38" s="268"/>
      <c r="AP38"/>
      <c r="AQ38" s="268" t="s">
        <v>24</v>
      </c>
      <c r="AR38" s="268" t="s">
        <v>29</v>
      </c>
      <c r="AS38" s="268"/>
      <c r="AT38" s="268"/>
      <c r="AU38" s="268"/>
      <c r="AV38" s="268"/>
      <c r="BF38" s="58">
        <v>29</v>
      </c>
      <c r="BG38" s="59" t="s">
        <v>48</v>
      </c>
      <c r="BH38" s="59" t="s">
        <v>107</v>
      </c>
    </row>
    <row r="39" spans="2:60" ht="18">
      <c r="B39" s="109"/>
      <c r="C39" s="143" t="str">
        <f>VLOOKUP(35,$BF$10:$BH$120,1+MATCH($AC$9,$BG$9:$BH$9,0))</f>
        <v>TH1</v>
      </c>
      <c r="D39" s="144"/>
      <c r="E39" s="144"/>
      <c r="F39" s="145" t="s">
        <v>50</v>
      </c>
      <c r="G39" s="199">
        <f>IF(G35&lt;0,$Z$30,$Z$31)</f>
        <v>0.2</v>
      </c>
      <c r="H39" s="199"/>
      <c r="I39" s="199">
        <f>IF(I35&lt;0,$Z$30,$Z$31)</f>
        <v>0.2</v>
      </c>
      <c r="J39" s="199"/>
      <c r="K39" s="199">
        <f>IF(K35&lt;0,$Z$30,$Z$31)</f>
        <v>0.2</v>
      </c>
      <c r="L39" s="200"/>
      <c r="M39" s="201"/>
      <c r="N39" s="202"/>
      <c r="O39" s="44"/>
      <c r="Q39" s="143" t="str">
        <f>VLOOKUP(35,$BF$10:$BH$120,1+MATCH($AC$9,$BG$9:$BH$9,0))</f>
        <v>TH1</v>
      </c>
      <c r="R39" s="144"/>
      <c r="S39" s="144"/>
      <c r="T39" s="145" t="s">
        <v>60</v>
      </c>
      <c r="U39" s="199">
        <f>$M$31*U37</f>
        <v>0.1393306475012967</v>
      </c>
      <c r="V39" s="199"/>
      <c r="W39" s="199">
        <f t="shared" ref="W39" si="5">$M$31*W37</f>
        <v>0.1393306475012967</v>
      </c>
      <c r="X39" s="199"/>
      <c r="Y39" s="199">
        <f t="shared" ref="Y39" si="6">$M$31*Y37</f>
        <v>0.1393306475012967</v>
      </c>
      <c r="Z39" s="200"/>
      <c r="AA39" s="48"/>
      <c r="AB39" s="110"/>
      <c r="AD39" s="268"/>
      <c r="AE39" s="274" t="s">
        <v>26</v>
      </c>
      <c r="AF39" s="275"/>
      <c r="AG39" s="275"/>
      <c r="AH39" s="274" t="s">
        <v>27</v>
      </c>
      <c r="AI39" s="275"/>
      <c r="AJ39" s="275"/>
      <c r="AK39"/>
      <c r="AL39" s="268"/>
      <c r="AM39" s="268"/>
      <c r="AN39" s="268"/>
      <c r="AO39" s="268"/>
      <c r="AP39"/>
      <c r="AQ39" s="268"/>
      <c r="AR39" s="268"/>
      <c r="AS39" s="268"/>
      <c r="AT39" s="268"/>
      <c r="AU39" s="268"/>
      <c r="AV39" s="268"/>
      <c r="BF39" s="58">
        <v>30</v>
      </c>
      <c r="BG39" s="59" t="s">
        <v>49</v>
      </c>
      <c r="BH39" s="59" t="s">
        <v>108</v>
      </c>
    </row>
    <row r="40" spans="2:60" ht="18">
      <c r="B40" s="109"/>
      <c r="C40" s="146" t="str">
        <f>VLOOKUP(36,$BF$10:$BH$120,1+MATCH($AC$9,$BG$9:$BH$9,0))</f>
        <v>TH2</v>
      </c>
      <c r="D40" s="147"/>
      <c r="E40" s="147"/>
      <c r="F40" s="148" t="s">
        <v>50</v>
      </c>
      <c r="G40" s="285">
        <f>IF(G36&lt;0,$Z$30,$Z$31)</f>
        <v>-0.2</v>
      </c>
      <c r="H40" s="285"/>
      <c r="I40" s="285">
        <f>IF(I36&lt;0,$Z$30,$Z$31)</f>
        <v>-0.2</v>
      </c>
      <c r="J40" s="285"/>
      <c r="K40" s="285">
        <f>IF(K36&lt;0,$Z$30,$Z$31)</f>
        <v>-0.2</v>
      </c>
      <c r="L40" s="286"/>
      <c r="M40" s="201"/>
      <c r="N40" s="202"/>
      <c r="O40" s="44"/>
      <c r="P40" s="44"/>
      <c r="Q40" s="146" t="str">
        <f>VLOOKUP(36,$BF$10:$BH$120,1+MATCH($AC$9,$BG$9:$BH$9,0))</f>
        <v>TH2</v>
      </c>
      <c r="R40" s="147"/>
      <c r="S40" s="147"/>
      <c r="T40" s="148" t="s">
        <v>60</v>
      </c>
      <c r="U40" s="285">
        <f>$M$31*U38</f>
        <v>-0.1393306475012967</v>
      </c>
      <c r="V40" s="285"/>
      <c r="W40" s="285">
        <f t="shared" ref="W40" si="7">$M$31*W38</f>
        <v>-0.1393306475012967</v>
      </c>
      <c r="X40" s="285"/>
      <c r="Y40" s="285">
        <f t="shared" ref="Y40" si="8">$M$31*Y38</f>
        <v>-0.1393306475012967</v>
      </c>
      <c r="Z40" s="286"/>
      <c r="AA40" s="48"/>
      <c r="AB40" s="110"/>
      <c r="AD40" s="268"/>
      <c r="AE40" s="7" t="s">
        <v>21</v>
      </c>
      <c r="AF40" s="7" t="s">
        <v>22</v>
      </c>
      <c r="AG40" s="7" t="s">
        <v>23</v>
      </c>
      <c r="AH40" s="7" t="s">
        <v>21</v>
      </c>
      <c r="AI40" s="7" t="s">
        <v>22</v>
      </c>
      <c r="AJ40" s="7" t="s">
        <v>23</v>
      </c>
      <c r="AK40"/>
      <c r="AL40" s="268"/>
      <c r="AM40" s="7" t="s">
        <v>21</v>
      </c>
      <c r="AN40" s="7" t="s">
        <v>22</v>
      </c>
      <c r="AO40" s="7" t="s">
        <v>23</v>
      </c>
      <c r="AP40"/>
      <c r="AQ40" s="268"/>
      <c r="AR40" s="7" t="s">
        <v>30</v>
      </c>
      <c r="AS40" s="7" t="s">
        <v>31</v>
      </c>
      <c r="AT40" s="7" t="s">
        <v>22</v>
      </c>
      <c r="AU40" s="7" t="s">
        <v>23</v>
      </c>
      <c r="AV40" s="7" t="s">
        <v>5</v>
      </c>
      <c r="BF40" s="58">
        <v>31</v>
      </c>
      <c r="BG40" s="59" t="s">
        <v>109</v>
      </c>
      <c r="BH40" s="59" t="s">
        <v>110</v>
      </c>
    </row>
    <row r="41" spans="2:60" ht="18">
      <c r="B41" s="109"/>
      <c r="C41" s="143" t="str">
        <f>VLOOKUP(35,$BF$10:$BH$120,1+MATCH($AC$9,$BG$9:$BH$9,0))</f>
        <v>TH1</v>
      </c>
      <c r="D41" s="144"/>
      <c r="E41" s="144"/>
      <c r="F41" s="145" t="s">
        <v>60</v>
      </c>
      <c r="G41" s="199">
        <f>$M$31*G39</f>
        <v>0.1393306475012967</v>
      </c>
      <c r="H41" s="199"/>
      <c r="I41" s="199">
        <f t="shared" ref="I41" si="9">$M$31*I39</f>
        <v>0.1393306475012967</v>
      </c>
      <c r="J41" s="199"/>
      <c r="K41" s="199">
        <f t="shared" ref="K41" si="10">$M$31*K39</f>
        <v>0.1393306475012967</v>
      </c>
      <c r="L41" s="200"/>
      <c r="M41" s="53"/>
      <c r="N41" s="54"/>
      <c r="O41" s="44"/>
      <c r="P41" s="44"/>
      <c r="Q41" s="143" t="str">
        <f>VLOOKUP(35,$BF$10:$BH$120,1+MATCH($AC$9,$BG$9:$BH$9,0))</f>
        <v>TH1</v>
      </c>
      <c r="R41" s="144"/>
      <c r="S41" s="144"/>
      <c r="T41" s="145" t="s">
        <v>51</v>
      </c>
      <c r="U41" s="289">
        <f>U36-U39</f>
        <v>-1.7673085355278972</v>
      </c>
      <c r="V41" s="289"/>
      <c r="W41" s="289">
        <f t="shared" ref="W41" si="11">W36-W39</f>
        <v>-1.0449798230407101</v>
      </c>
      <c r="X41" s="289"/>
      <c r="Y41" s="289">
        <f t="shared" ref="Y41" si="12">Y36-Y39</f>
        <v>-0.709490983301589</v>
      </c>
      <c r="Z41" s="290"/>
      <c r="AA41" s="48"/>
      <c r="AB41" s="110"/>
      <c r="AD41" s="10">
        <v>5</v>
      </c>
      <c r="AE41" s="8">
        <v>-1.7</v>
      </c>
      <c r="AF41" s="8">
        <v>-1.2</v>
      </c>
      <c r="AG41" s="8">
        <v>-0.6</v>
      </c>
      <c r="AH41" s="8">
        <v>0</v>
      </c>
      <c r="AI41" s="8">
        <v>0</v>
      </c>
      <c r="AJ41" s="8">
        <v>0</v>
      </c>
      <c r="AK41"/>
      <c r="AL41" s="10">
        <v>5</v>
      </c>
      <c r="AM41" s="8">
        <v>-2.2999999999999998</v>
      </c>
      <c r="AN41" s="8">
        <v>-1.3</v>
      </c>
      <c r="AO41" s="8">
        <v>-0.8</v>
      </c>
      <c r="AP41"/>
      <c r="AQ41" s="10">
        <v>5</v>
      </c>
      <c r="AR41" s="11">
        <v>-2.1</v>
      </c>
      <c r="AS41" s="11">
        <v>-2.1</v>
      </c>
      <c r="AT41" s="11">
        <v>-1.8</v>
      </c>
      <c r="AU41" s="11">
        <v>-0.6</v>
      </c>
      <c r="AV41" s="11">
        <v>-0.5</v>
      </c>
      <c r="BF41" s="58">
        <v>32</v>
      </c>
      <c r="BG41" s="59" t="s">
        <v>111</v>
      </c>
      <c r="BH41" s="59" t="s">
        <v>112</v>
      </c>
    </row>
    <row r="42" spans="2:60" ht="18">
      <c r="B42" s="109"/>
      <c r="C42" s="146" t="str">
        <f>VLOOKUP(36,$BF$10:$BH$120,1+MATCH($AC$9,$BG$9:$BH$9,0))</f>
        <v>TH2</v>
      </c>
      <c r="D42" s="147"/>
      <c r="E42" s="147"/>
      <c r="F42" s="148" t="s">
        <v>60</v>
      </c>
      <c r="G42" s="285">
        <f>$M$31*G40</f>
        <v>-0.1393306475012967</v>
      </c>
      <c r="H42" s="285"/>
      <c r="I42" s="285">
        <f t="shared" ref="I42" si="13">$M$31*I40</f>
        <v>-0.1393306475012967</v>
      </c>
      <c r="J42" s="285"/>
      <c r="K42" s="285">
        <f t="shared" ref="K42" si="14">$M$31*K40</f>
        <v>-0.1393306475012967</v>
      </c>
      <c r="L42" s="286"/>
      <c r="M42" s="53"/>
      <c r="N42" s="54"/>
      <c r="O42" s="44"/>
      <c r="P42" s="44"/>
      <c r="Q42" s="149" t="str">
        <f>VLOOKUP(36,$BF$10:$BH$120,1+MATCH($AC$9,$BG$9:$BH$9,0))</f>
        <v>TH2</v>
      </c>
      <c r="R42" s="150"/>
      <c r="S42" s="150"/>
      <c r="T42" s="131" t="s">
        <v>51</v>
      </c>
      <c r="U42" s="287">
        <f>U36-U40</f>
        <v>-1.4886472405253037</v>
      </c>
      <c r="V42" s="287"/>
      <c r="W42" s="287">
        <f t="shared" ref="W42" si="15">W36-W40</f>
        <v>-0.76631852803811684</v>
      </c>
      <c r="X42" s="287"/>
      <c r="Y42" s="287">
        <f t="shared" ref="Y42" si="16">Y36-Y40</f>
        <v>-0.43082968829899554</v>
      </c>
      <c r="Z42" s="288"/>
      <c r="AA42" s="48"/>
      <c r="AB42" s="110"/>
      <c r="AD42" s="10">
        <v>15</v>
      </c>
      <c r="AE42" s="8">
        <v>-0.9</v>
      </c>
      <c r="AF42" s="8">
        <v>-0.8</v>
      </c>
      <c r="AG42" s="8">
        <v>-0.3</v>
      </c>
      <c r="AH42" s="8">
        <v>0.2</v>
      </c>
      <c r="AI42" s="8">
        <v>0.2</v>
      </c>
      <c r="AJ42" s="8">
        <v>0.2</v>
      </c>
      <c r="AK42"/>
      <c r="AL42" s="10">
        <v>15</v>
      </c>
      <c r="AM42" s="8">
        <v>-2.5</v>
      </c>
      <c r="AN42" s="8">
        <v>-1.3</v>
      </c>
      <c r="AO42" s="8">
        <v>-0.9</v>
      </c>
      <c r="AP42"/>
      <c r="AQ42" s="10">
        <v>15</v>
      </c>
      <c r="AR42" s="11">
        <v>-2.4</v>
      </c>
      <c r="AS42" s="11">
        <v>-1.6</v>
      </c>
      <c r="AT42" s="11">
        <v>-1.9</v>
      </c>
      <c r="AU42" s="11">
        <v>-0.8</v>
      </c>
      <c r="AV42" s="11">
        <v>-0.7</v>
      </c>
      <c r="BF42" s="58">
        <v>33</v>
      </c>
      <c r="BG42" s="59" t="s">
        <v>113</v>
      </c>
      <c r="BH42" s="59" t="s">
        <v>114</v>
      </c>
    </row>
    <row r="43" spans="2:60" ht="18">
      <c r="B43" s="109"/>
      <c r="C43" s="143" t="str">
        <f>VLOOKUP(35,$BF$10:$BH$120,1+MATCH($AC$9,$BG$9:$BH$9,0))</f>
        <v>TH1</v>
      </c>
      <c r="D43" s="144"/>
      <c r="E43" s="144"/>
      <c r="F43" s="145" t="s">
        <v>51</v>
      </c>
      <c r="G43" s="289">
        <f>G37-G41</f>
        <v>-1.2209392845585194</v>
      </c>
      <c r="H43" s="289"/>
      <c r="I43" s="289">
        <f>I37-I41</f>
        <v>-0.92396361576668484</v>
      </c>
      <c r="J43" s="289"/>
      <c r="K43" s="289">
        <f>K37-K41</f>
        <v>-0.51880939414363891</v>
      </c>
      <c r="L43" s="290"/>
      <c r="M43" s="201"/>
      <c r="N43" s="202"/>
      <c r="O43" s="44"/>
      <c r="P43" s="44"/>
      <c r="AA43" s="48"/>
      <c r="AB43" s="110"/>
      <c r="AD43" s="10">
        <v>30</v>
      </c>
      <c r="AE43" s="8">
        <v>-0.5</v>
      </c>
      <c r="AF43" s="8">
        <v>-0.5</v>
      </c>
      <c r="AG43" s="8">
        <v>-0.2</v>
      </c>
      <c r="AH43" s="8">
        <v>0.7</v>
      </c>
      <c r="AI43" s="8">
        <v>0.7</v>
      </c>
      <c r="AJ43" s="8">
        <v>0.4</v>
      </c>
      <c r="AK43"/>
      <c r="AL43" s="10">
        <v>30</v>
      </c>
      <c r="AM43" s="8">
        <v>-1.1000000000000001</v>
      </c>
      <c r="AN43" s="8">
        <v>-0.8</v>
      </c>
      <c r="AO43" s="8">
        <v>-0.8</v>
      </c>
      <c r="AP43"/>
      <c r="AQ43" s="10">
        <v>30</v>
      </c>
      <c r="AR43" s="11">
        <v>-2.1</v>
      </c>
      <c r="AS43" s="11">
        <v>-1.3</v>
      </c>
      <c r="AT43" s="11">
        <v>-1.5</v>
      </c>
      <c r="AU43" s="11">
        <v>-1</v>
      </c>
      <c r="AV43" s="11">
        <v>-0.8</v>
      </c>
      <c r="BF43" s="58">
        <v>34</v>
      </c>
      <c r="BG43" s="59" t="s">
        <v>115</v>
      </c>
      <c r="BH43" s="59" t="s">
        <v>116</v>
      </c>
    </row>
    <row r="44" spans="2:60" ht="18">
      <c r="B44" s="109"/>
      <c r="C44" s="149" t="str">
        <f>VLOOKUP(36,$BF$10:$BH$120,1+MATCH($AC$9,$BG$9:$BH$9,0))</f>
        <v>TH2</v>
      </c>
      <c r="D44" s="150"/>
      <c r="E44" s="150"/>
      <c r="F44" s="131" t="s">
        <v>51</v>
      </c>
      <c r="G44" s="287">
        <f>G38-G42</f>
        <v>0.16500613026770689</v>
      </c>
      <c r="H44" s="287"/>
      <c r="I44" s="287">
        <f>I38-I42</f>
        <v>0.16500613026770689</v>
      </c>
      <c r="J44" s="287"/>
      <c r="K44" s="287">
        <f>K38-K42</f>
        <v>0.16500613026770689</v>
      </c>
      <c r="L44" s="288"/>
      <c r="M44" s="201"/>
      <c r="N44" s="202"/>
      <c r="O44" s="44"/>
      <c r="P44" s="44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48"/>
      <c r="AB44" s="110"/>
      <c r="AD44" s="10">
        <v>45</v>
      </c>
      <c r="AE44" s="8">
        <v>0</v>
      </c>
      <c r="AF44" s="8">
        <v>0</v>
      </c>
      <c r="AG44" s="8">
        <v>0</v>
      </c>
      <c r="AH44" s="8">
        <v>0.7</v>
      </c>
      <c r="AI44" s="8">
        <v>0.7</v>
      </c>
      <c r="AJ44" s="8">
        <v>0.6</v>
      </c>
      <c r="AK44"/>
      <c r="AL44" s="10">
        <v>45</v>
      </c>
      <c r="AM44" s="8">
        <v>-0.6</v>
      </c>
      <c r="AN44" s="8">
        <v>-0.5</v>
      </c>
      <c r="AO44" s="8">
        <v>-0.7</v>
      </c>
      <c r="AP44"/>
      <c r="AQ44" s="10">
        <v>45</v>
      </c>
      <c r="AR44" s="11">
        <v>-1.5</v>
      </c>
      <c r="AS44" s="11">
        <v>-1.3</v>
      </c>
      <c r="AT44" s="11">
        <v>-1.4</v>
      </c>
      <c r="AU44" s="11">
        <v>-1</v>
      </c>
      <c r="AV44" s="11">
        <v>-0.9</v>
      </c>
      <c r="BF44" s="58">
        <v>35</v>
      </c>
      <c r="BG44" s="59" t="s">
        <v>48</v>
      </c>
      <c r="BH44" s="59" t="s">
        <v>117</v>
      </c>
    </row>
    <row r="45" spans="2:60" ht="15">
      <c r="B45" s="109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7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48"/>
      <c r="AB45" s="110"/>
      <c r="AD45" s="10">
        <v>60</v>
      </c>
      <c r="AE45" s="8">
        <v>0.7</v>
      </c>
      <c r="AF45" s="8">
        <v>0.7</v>
      </c>
      <c r="AG45" s="8">
        <v>0.7</v>
      </c>
      <c r="AH45" s="8">
        <v>0.7</v>
      </c>
      <c r="AI45" s="8">
        <v>0.7</v>
      </c>
      <c r="AJ45" s="8">
        <v>0.7</v>
      </c>
      <c r="AK45"/>
      <c r="AL45" s="10">
        <v>60</v>
      </c>
      <c r="AM45" s="8">
        <v>-0.5</v>
      </c>
      <c r="AN45" s="8">
        <v>-0.5</v>
      </c>
      <c r="AO45" s="8">
        <v>-0.5</v>
      </c>
      <c r="AP45"/>
      <c r="AQ45" s="10">
        <v>60</v>
      </c>
      <c r="AR45" s="11">
        <v>-1.2</v>
      </c>
      <c r="AS45" s="11">
        <v>-1.2</v>
      </c>
      <c r="AT45" s="11">
        <v>-1.2</v>
      </c>
      <c r="AU45" s="11">
        <v>-1</v>
      </c>
      <c r="AV45" s="11">
        <v>-0.7</v>
      </c>
      <c r="BF45" s="58">
        <v>36</v>
      </c>
      <c r="BG45" s="59" t="s">
        <v>49</v>
      </c>
      <c r="BH45" s="59" t="s">
        <v>118</v>
      </c>
    </row>
    <row r="46" spans="2:60" ht="17.25">
      <c r="B46" s="109"/>
      <c r="C46" s="194" t="str">
        <f>VLOOKUP(31,$BF$10:$BH$120,1+MATCH($AC$9,$BG$9:$BH$9,0))</f>
        <v>TÍNH TOÁN ÁP LỰC GIÓ</v>
      </c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6" t="s">
        <v>141</v>
      </c>
      <c r="P46" s="197"/>
      <c r="AA46" s="48"/>
      <c r="AB46" s="110"/>
      <c r="AD46" s="10">
        <v>75</v>
      </c>
      <c r="AE46" s="8">
        <v>0.8</v>
      </c>
      <c r="AF46" s="8">
        <v>0.8</v>
      </c>
      <c r="AG46" s="8">
        <v>0.8</v>
      </c>
      <c r="AH46" s="8">
        <v>0.8</v>
      </c>
      <c r="AI46" s="8">
        <v>0.8</v>
      </c>
      <c r="AJ46" s="8">
        <v>0.8</v>
      </c>
      <c r="AK46"/>
      <c r="AL46" s="10">
        <v>75</v>
      </c>
      <c r="AM46" s="8">
        <v>-0.5</v>
      </c>
      <c r="AN46" s="8">
        <v>-0.5</v>
      </c>
      <c r="AO46" s="8">
        <v>-0.5</v>
      </c>
      <c r="AP46"/>
      <c r="AQ46" s="10">
        <v>75</v>
      </c>
      <c r="AR46" s="11">
        <v>-1.2</v>
      </c>
      <c r="AS46" s="11">
        <v>-1.2</v>
      </c>
      <c r="AT46" s="11">
        <v>-1.2</v>
      </c>
      <c r="AU46" s="11">
        <v>-1</v>
      </c>
      <c r="AV46" s="11">
        <v>-0.5</v>
      </c>
      <c r="BF46" s="58">
        <v>37</v>
      </c>
      <c r="BG46" s="60" t="s">
        <v>20</v>
      </c>
      <c r="BH46" s="60" t="s">
        <v>119</v>
      </c>
    </row>
    <row r="47" spans="2:60" ht="18">
      <c r="B47" s="109"/>
      <c r="C47" s="189" t="str">
        <f>VLOOKUP(25,$BF$10:$BH$120,1+MATCH($AC$9,$BG$9:$BH$9,0))</f>
        <v>Vùng</v>
      </c>
      <c r="D47" s="190"/>
      <c r="E47" s="190"/>
      <c r="F47" s="190"/>
      <c r="G47" s="198" t="s">
        <v>52</v>
      </c>
      <c r="H47" s="198"/>
      <c r="I47" s="198" t="s">
        <v>53</v>
      </c>
      <c r="J47" s="198"/>
      <c r="K47" s="198" t="s">
        <v>22</v>
      </c>
      <c r="L47" s="198"/>
      <c r="M47" s="198" t="s">
        <v>23</v>
      </c>
      <c r="N47" s="198"/>
      <c r="O47" s="198" t="s">
        <v>5</v>
      </c>
      <c r="P47" s="283"/>
      <c r="Z47" s="48"/>
      <c r="AA47" s="48"/>
      <c r="AB47" s="110"/>
      <c r="AD47" s="28">
        <f>M22</f>
        <v>6.8427734126309403</v>
      </c>
      <c r="AE47" s="29">
        <f t="shared" ref="AE47:AJ47" si="17">noisuy1chieu($AD$47,$AD$41:$AD$46,AE41:AE46)</f>
        <v>-1.5525782108306885</v>
      </c>
      <c r="AF47" s="29">
        <f t="shared" si="17"/>
        <v>-1.1262891292572021</v>
      </c>
      <c r="AG47" s="29">
        <f t="shared" si="17"/>
        <v>-0.54471683502197266</v>
      </c>
      <c r="AH47" s="29">
        <f t="shared" si="17"/>
        <v>3.6855470389127731E-2</v>
      </c>
      <c r="AI47" s="29">
        <f t="shared" si="17"/>
        <v>3.6855470389127731E-2</v>
      </c>
      <c r="AJ47" s="29">
        <f t="shared" si="17"/>
        <v>3.6855470389127731E-2</v>
      </c>
      <c r="AK47" s="30"/>
      <c r="AL47" s="28">
        <f>M22</f>
        <v>6.8427734126309403</v>
      </c>
      <c r="AM47" s="29">
        <f>noisuy1chieu($AL$47,$AL$41:$AL$46,AM41:AM46)</f>
        <v>-2.336855411529541</v>
      </c>
      <c r="AN47" s="29">
        <f>noisuy1chieu($AL$47,$AL$41:$AL$46,AN41:AN46)</f>
        <v>-1.2999999523162842</v>
      </c>
      <c r="AO47" s="29">
        <f>noisuy1chieu($AL$47,$AL$41:$AL$46,AO41:AO46)</f>
        <v>-0.81842774152755737</v>
      </c>
      <c r="AP47" s="30"/>
      <c r="AQ47" s="28">
        <f>M22</f>
        <v>6.8427734126309403</v>
      </c>
      <c r="AR47" s="29">
        <f>noisuy1chieu($AQ$47,$AQ$41:$AQ$46,AR41:AR46)</f>
        <v>-2.1552832126617432</v>
      </c>
      <c r="AS47" s="29">
        <f>noisuy1chieu($AQ$47,$AQ$41:$AQ$46,AS41:AS46)</f>
        <v>-2.0078611373901367</v>
      </c>
      <c r="AT47" s="29">
        <f>noisuy1chieu($AQ$47,$AQ$41:$AQ$46,AT41:AT46)</f>
        <v>-1.8184276819229126</v>
      </c>
      <c r="AU47" s="29">
        <f>noisuy1chieu($AQ$47,$AQ$41:$AQ$46,AU41:AU46)</f>
        <v>-0.63685548305511475</v>
      </c>
      <c r="AV47" s="29">
        <f>noisuy1chieu($AQ$47,$AQ$41:$AQ$46,AV41:AV46)</f>
        <v>-0.53685545921325684</v>
      </c>
      <c r="BF47" s="58">
        <v>38</v>
      </c>
      <c r="BG47" s="59" t="s">
        <v>120</v>
      </c>
      <c r="BH47" s="59" t="s">
        <v>121</v>
      </c>
    </row>
    <row r="48" spans="2:60" ht="18">
      <c r="B48" s="109"/>
      <c r="C48" s="151"/>
      <c r="D48" s="152"/>
      <c r="E48" s="152"/>
      <c r="F48" s="153" t="s">
        <v>39</v>
      </c>
      <c r="G48" s="203">
        <f>AR47</f>
        <v>-2.1552832126617432</v>
      </c>
      <c r="H48" s="203"/>
      <c r="I48" s="203">
        <f>AS47</f>
        <v>-2.0078611373901367</v>
      </c>
      <c r="J48" s="203"/>
      <c r="K48" s="203">
        <f>AT47</f>
        <v>-1.8184276819229126</v>
      </c>
      <c r="L48" s="203"/>
      <c r="M48" s="203">
        <f>AU47</f>
        <v>-0.63685548305511475</v>
      </c>
      <c r="N48" s="203"/>
      <c r="O48" s="203">
        <f>AV47</f>
        <v>-0.53685545921325684</v>
      </c>
      <c r="P48" s="284"/>
      <c r="Q48" s="55"/>
      <c r="R48" s="55"/>
      <c r="S48" s="55"/>
      <c r="T48" s="56"/>
      <c r="U48" s="291"/>
      <c r="V48" s="291"/>
      <c r="W48" s="291"/>
      <c r="X48" s="291"/>
      <c r="Y48" s="291"/>
      <c r="Z48" s="291"/>
      <c r="AA48" s="48"/>
      <c r="AB48" s="110"/>
      <c r="AF48" s="70"/>
      <c r="AG48" s="9"/>
      <c r="AH48" s="9"/>
      <c r="BF48" s="58">
        <v>39</v>
      </c>
      <c r="BG48" s="59" t="s">
        <v>122</v>
      </c>
      <c r="BH48" s="59" t="s">
        <v>123</v>
      </c>
    </row>
    <row r="49" spans="2:61" ht="18">
      <c r="B49" s="109"/>
      <c r="C49" s="151"/>
      <c r="D49" s="152"/>
      <c r="E49" s="152"/>
      <c r="F49" s="153" t="s">
        <v>59</v>
      </c>
      <c r="G49" s="203">
        <f>$M$31*G48</f>
        <v>-1.501485027844178</v>
      </c>
      <c r="H49" s="203"/>
      <c r="I49" s="203">
        <f t="shared" ref="I49" si="18">$M$31*I48</f>
        <v>-1.3987829618262888</v>
      </c>
      <c r="J49" s="203"/>
      <c r="K49" s="203">
        <f t="shared" ref="K49" si="19">$M$31*K48</f>
        <v>-1.2668135317830069</v>
      </c>
      <c r="L49" s="203"/>
      <c r="M49" s="203">
        <f t="shared" ref="M49" si="20">$M$31*M48</f>
        <v>-0.44366743409410109</v>
      </c>
      <c r="N49" s="203"/>
      <c r="O49" s="203">
        <f t="shared" ref="O49" si="21">$M$31*O48</f>
        <v>-0.37400209373394527</v>
      </c>
      <c r="P49" s="284"/>
      <c r="Q49" s="55"/>
      <c r="R49" s="55"/>
      <c r="S49" s="55"/>
      <c r="T49" s="56"/>
      <c r="U49" s="57"/>
      <c r="V49" s="57"/>
      <c r="W49" s="57"/>
      <c r="X49" s="57"/>
      <c r="Y49" s="57"/>
      <c r="Z49" s="57"/>
      <c r="AA49" s="48"/>
      <c r="AB49" s="110"/>
      <c r="AF49" s="70"/>
      <c r="AG49" s="9"/>
      <c r="AI49" s="9"/>
      <c r="BF49" s="58">
        <v>40</v>
      </c>
      <c r="BG49" s="59" t="s">
        <v>124</v>
      </c>
      <c r="BH49" s="59" t="s">
        <v>125</v>
      </c>
    </row>
    <row r="50" spans="2:61" ht="18">
      <c r="B50" s="109"/>
      <c r="C50" s="154" t="str">
        <f>VLOOKUP(35,$BF$10:$BH$120,1+MATCH($AC$9,$BG$9:$BH$9,0))</f>
        <v>TH1</v>
      </c>
      <c r="D50" s="155"/>
      <c r="E50" s="155"/>
      <c r="F50" s="155" t="s">
        <v>50</v>
      </c>
      <c r="G50" s="199">
        <f>$Z$30</f>
        <v>0.2</v>
      </c>
      <c r="H50" s="199"/>
      <c r="I50" s="199">
        <f>$Z$30</f>
        <v>0.2</v>
      </c>
      <c r="J50" s="199"/>
      <c r="K50" s="199">
        <f>$Z$30</f>
        <v>0.2</v>
      </c>
      <c r="L50" s="199"/>
      <c r="M50" s="199">
        <f>$Z$30</f>
        <v>0.2</v>
      </c>
      <c r="N50" s="199"/>
      <c r="O50" s="199">
        <f>$Z$30</f>
        <v>0.2</v>
      </c>
      <c r="P50" s="200"/>
      <c r="Q50" s="55"/>
      <c r="R50" s="55"/>
      <c r="S50" s="55"/>
      <c r="T50" s="56"/>
      <c r="U50" s="291"/>
      <c r="V50" s="291"/>
      <c r="W50" s="291"/>
      <c r="X50" s="291"/>
      <c r="Y50" s="291"/>
      <c r="Z50" s="291"/>
      <c r="AA50" s="48"/>
      <c r="AB50" s="110"/>
      <c r="AF50" s="70"/>
      <c r="AH50" s="9"/>
      <c r="AI50" s="9"/>
      <c r="BF50" s="58">
        <v>41</v>
      </c>
      <c r="BG50" s="59" t="s">
        <v>126</v>
      </c>
      <c r="BH50" s="59" t="s">
        <v>127</v>
      </c>
    </row>
    <row r="51" spans="2:61" ht="18">
      <c r="B51" s="109"/>
      <c r="C51" s="156" t="str">
        <f>VLOOKUP(36,$BF$10:$BH$120,1+MATCH($AC$9,$BG$9:$BH$9,0))</f>
        <v>TH2</v>
      </c>
      <c r="D51" s="157"/>
      <c r="E51" s="157"/>
      <c r="F51" s="157" t="s">
        <v>50</v>
      </c>
      <c r="G51" s="285">
        <f>$Z$31</f>
        <v>-0.2</v>
      </c>
      <c r="H51" s="285"/>
      <c r="I51" s="285">
        <f>$Z$31</f>
        <v>-0.2</v>
      </c>
      <c r="J51" s="285"/>
      <c r="K51" s="285">
        <f>$Z$31</f>
        <v>-0.2</v>
      </c>
      <c r="L51" s="285"/>
      <c r="M51" s="285">
        <f>$Z$31</f>
        <v>-0.2</v>
      </c>
      <c r="N51" s="285"/>
      <c r="O51" s="285">
        <f>$Z$31</f>
        <v>-0.2</v>
      </c>
      <c r="P51" s="286"/>
      <c r="Q51" s="55"/>
      <c r="R51" s="55"/>
      <c r="S51" s="55"/>
      <c r="T51" s="56"/>
      <c r="U51" s="57"/>
      <c r="V51" s="57"/>
      <c r="W51" s="57"/>
      <c r="X51" s="57"/>
      <c r="Y51" s="57"/>
      <c r="Z51" s="57"/>
      <c r="AA51" s="48"/>
      <c r="AB51" s="110"/>
      <c r="AG51" s="9"/>
      <c r="AH51" s="9"/>
      <c r="AI51" s="9"/>
      <c r="BF51" s="58">
        <v>42</v>
      </c>
      <c r="BG51" s="59" t="s">
        <v>128</v>
      </c>
      <c r="BH51" s="59" t="s">
        <v>129</v>
      </c>
    </row>
    <row r="52" spans="2:61" ht="18">
      <c r="B52" s="109"/>
      <c r="C52" s="154" t="str">
        <f>VLOOKUP(35,$BF$10:$BH$120,1+MATCH($AC$9,$BG$9:$BH$9,0))</f>
        <v>TH1</v>
      </c>
      <c r="D52" s="144"/>
      <c r="E52" s="144"/>
      <c r="F52" s="145" t="s">
        <v>60</v>
      </c>
      <c r="G52" s="199">
        <f>$M$31*G50</f>
        <v>0.1393306475012967</v>
      </c>
      <c r="H52" s="199"/>
      <c r="I52" s="199">
        <f t="shared" ref="I52" si="22">$M$31*I50</f>
        <v>0.1393306475012967</v>
      </c>
      <c r="J52" s="199"/>
      <c r="K52" s="199">
        <f t="shared" ref="K52" si="23">$M$31*K50</f>
        <v>0.1393306475012967</v>
      </c>
      <c r="L52" s="199"/>
      <c r="M52" s="199">
        <f t="shared" ref="M52" si="24">$M$31*M50</f>
        <v>0.1393306475012967</v>
      </c>
      <c r="N52" s="199"/>
      <c r="O52" s="199">
        <f t="shared" ref="O52" si="25">$M$31*O50</f>
        <v>0.1393306475012967</v>
      </c>
      <c r="P52" s="200"/>
      <c r="Q52" s="55"/>
      <c r="R52" s="55"/>
      <c r="S52" s="55"/>
      <c r="T52" s="56"/>
      <c r="U52" s="57"/>
      <c r="V52" s="57"/>
      <c r="W52" s="57"/>
      <c r="X52" s="57"/>
      <c r="Y52" s="57"/>
      <c r="Z52" s="57"/>
      <c r="AA52" s="48"/>
      <c r="AB52" s="110"/>
      <c r="AF52" s="70"/>
      <c r="AG52" s="9"/>
      <c r="AH52" s="9"/>
      <c r="AI52" s="9"/>
      <c r="BF52" s="58">
        <v>43</v>
      </c>
      <c r="BG52" s="125" t="s">
        <v>192</v>
      </c>
      <c r="BH52" s="125" t="s">
        <v>193</v>
      </c>
    </row>
    <row r="53" spans="2:61" ht="18">
      <c r="B53" s="109"/>
      <c r="C53" s="156" t="str">
        <f>VLOOKUP(36,$BF$10:$BH$120,1+MATCH($AC$9,$BG$9:$BH$9,0))</f>
        <v>TH2</v>
      </c>
      <c r="D53" s="147"/>
      <c r="E53" s="147"/>
      <c r="F53" s="148" t="s">
        <v>60</v>
      </c>
      <c r="G53" s="285">
        <f>$M$31*G51</f>
        <v>-0.1393306475012967</v>
      </c>
      <c r="H53" s="285"/>
      <c r="I53" s="285">
        <f t="shared" ref="I53" si="26">$M$31*I51</f>
        <v>-0.1393306475012967</v>
      </c>
      <c r="J53" s="285"/>
      <c r="K53" s="285">
        <f t="shared" ref="K53" si="27">$M$31*K51</f>
        <v>-0.1393306475012967</v>
      </c>
      <c r="L53" s="285"/>
      <c r="M53" s="285">
        <f t="shared" ref="M53" si="28">$M$31*M51</f>
        <v>-0.1393306475012967</v>
      </c>
      <c r="N53" s="285"/>
      <c r="O53" s="285">
        <f t="shared" ref="O53" si="29">$M$31*O51</f>
        <v>-0.1393306475012967</v>
      </c>
      <c r="P53" s="286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110"/>
      <c r="AF53" s="70"/>
      <c r="AG53" s="9"/>
      <c r="AH53" s="9"/>
      <c r="AI53" s="9"/>
      <c r="BF53" s="58">
        <v>44</v>
      </c>
      <c r="BG53" s="130" t="s">
        <v>20</v>
      </c>
      <c r="BH53" s="130" t="s">
        <v>119</v>
      </c>
    </row>
    <row r="54" spans="2:61" ht="18.75" customHeight="1">
      <c r="B54" s="109"/>
      <c r="C54" s="154" t="str">
        <f>VLOOKUP(35,$BF$10:$BH$120,1+MATCH($AC$9,$BG$9:$BH$9,0))</f>
        <v>TH1</v>
      </c>
      <c r="D54" s="144"/>
      <c r="E54" s="144"/>
      <c r="F54" s="145" t="s">
        <v>51</v>
      </c>
      <c r="G54" s="289">
        <f>G49-G52</f>
        <v>-1.6408156753454748</v>
      </c>
      <c r="H54" s="289"/>
      <c r="I54" s="289">
        <f t="shared" ref="I54" si="30">I49-I52</f>
        <v>-1.5381136093275856</v>
      </c>
      <c r="J54" s="289"/>
      <c r="K54" s="289">
        <f t="shared" ref="K54" si="31">K49-K52</f>
        <v>-1.4061441792843037</v>
      </c>
      <c r="L54" s="289"/>
      <c r="M54" s="289">
        <f t="shared" ref="M54" si="32">M49-M52</f>
        <v>-0.58299808159539779</v>
      </c>
      <c r="N54" s="289"/>
      <c r="O54" s="289">
        <f t="shared" ref="O54" si="33">O49-O52</f>
        <v>-0.51333274123524197</v>
      </c>
      <c r="P54" s="290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110"/>
      <c r="AF54" s="70"/>
      <c r="AG54" s="9"/>
      <c r="AH54" s="9"/>
      <c r="AI54" s="9"/>
      <c r="AL54" s="292"/>
      <c r="AM54" s="292"/>
      <c r="BF54" s="58">
        <v>45</v>
      </c>
      <c r="BG54" s="125" t="s">
        <v>201</v>
      </c>
      <c r="BH54" s="125" t="s">
        <v>202</v>
      </c>
    </row>
    <row r="55" spans="2:61" ht="20.25" customHeight="1">
      <c r="B55" s="109"/>
      <c r="C55" s="158" t="str">
        <f>VLOOKUP(36,$BF$10:$BH$120,1+MATCH($AC$9,$BG$9:$BH$9,0))</f>
        <v>TH2</v>
      </c>
      <c r="D55" s="150"/>
      <c r="E55" s="150"/>
      <c r="F55" s="131" t="s">
        <v>51</v>
      </c>
      <c r="G55" s="287">
        <f>G49-G53</f>
        <v>-1.3621543803428813</v>
      </c>
      <c r="H55" s="287"/>
      <c r="I55" s="287">
        <f t="shared" ref="I55" si="34">I49-I53</f>
        <v>-1.2594523143249921</v>
      </c>
      <c r="J55" s="287"/>
      <c r="K55" s="287">
        <f t="shared" ref="K55" si="35">K49-K53</f>
        <v>-1.1274828842817102</v>
      </c>
      <c r="L55" s="287"/>
      <c r="M55" s="287">
        <f t="shared" ref="M55" si="36">M49-M53</f>
        <v>-0.30433678659280439</v>
      </c>
      <c r="N55" s="287"/>
      <c r="O55" s="287">
        <f t="shared" ref="O55" si="37">O49-O53</f>
        <v>-0.23467144623264857</v>
      </c>
      <c r="P55" s="28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110"/>
      <c r="AE55" s="112"/>
      <c r="AF55" s="293"/>
      <c r="AG55" s="112"/>
      <c r="AH55" s="112"/>
      <c r="AI55" s="112"/>
      <c r="AJ55" s="293"/>
      <c r="AK55" s="112"/>
      <c r="AL55" s="292"/>
      <c r="AM55" s="292"/>
      <c r="BF55" s="58">
        <v>46</v>
      </c>
      <c r="BG55" s="61"/>
      <c r="BH55" s="61"/>
    </row>
    <row r="56" spans="2:61" ht="15" customHeight="1">
      <c r="B56" s="109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7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110"/>
      <c r="AE56" s="112"/>
      <c r="AF56" s="293"/>
      <c r="AG56" s="112"/>
      <c r="AH56" s="112"/>
      <c r="AI56" s="112"/>
      <c r="AJ56" s="293"/>
      <c r="AK56" s="112"/>
      <c r="BF56" s="58">
        <v>47</v>
      </c>
      <c r="BG56" s="61"/>
      <c r="BH56" s="61"/>
    </row>
    <row r="57" spans="2:61" ht="15" customHeight="1">
      <c r="B57" s="109"/>
      <c r="C57" s="303" t="str">
        <f>VLOOKUP(45,$BF$10:$BH$120,1+MATCH($AC$9,$BG$9:$BH$9,0))</f>
        <v>SƠ ĐỒ PHÂN CHIA VÙNG ÁP LỰC GIÓ</v>
      </c>
      <c r="D57" s="304"/>
      <c r="E57" s="304"/>
      <c r="F57" s="304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304"/>
      <c r="R57" s="304"/>
      <c r="S57" s="304"/>
      <c r="T57" s="304"/>
      <c r="U57" s="304"/>
      <c r="V57" s="304"/>
      <c r="W57" s="304"/>
      <c r="X57" s="304"/>
      <c r="Y57" s="304"/>
      <c r="Z57" s="304"/>
      <c r="AA57" s="305"/>
      <c r="AB57" s="110"/>
      <c r="AE57" s="112"/>
      <c r="AF57" s="293"/>
      <c r="AG57" s="112"/>
      <c r="AH57" s="112"/>
      <c r="AI57" s="112"/>
      <c r="AJ57" s="293"/>
      <c r="AK57" s="112"/>
      <c r="BF57" s="58">
        <v>48</v>
      </c>
      <c r="BG57" s="61"/>
      <c r="BH57" s="61"/>
      <c r="BI57" s="125"/>
    </row>
    <row r="58" spans="2:61" ht="15" customHeight="1">
      <c r="B58" s="109"/>
      <c r="C58" s="16"/>
      <c r="D58" s="44"/>
      <c r="E58" s="44"/>
      <c r="F58" s="44"/>
      <c r="G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17"/>
      <c r="AB58" s="110"/>
      <c r="AE58" s="112"/>
      <c r="AF58" s="293"/>
      <c r="AG58" s="112"/>
      <c r="AH58" s="112"/>
      <c r="AI58" s="112"/>
      <c r="AJ58" s="293"/>
      <c r="AK58" s="112"/>
      <c r="BF58" s="58">
        <v>50</v>
      </c>
      <c r="BG58" s="61"/>
      <c r="BH58" s="61"/>
    </row>
    <row r="59" spans="2:61" ht="15" customHeight="1">
      <c r="B59" s="109"/>
      <c r="C59" s="16"/>
      <c r="D59" s="44"/>
      <c r="E59" s="44"/>
      <c r="F59" s="44"/>
      <c r="G59" s="44"/>
      <c r="R59" s="306" t="s">
        <v>40</v>
      </c>
      <c r="S59" s="306"/>
      <c r="T59" s="306"/>
      <c r="U59" s="306"/>
      <c r="V59" s="306"/>
      <c r="W59" s="306"/>
      <c r="X59" s="306"/>
      <c r="Y59" s="306"/>
      <c r="Z59" s="306"/>
      <c r="AA59" s="17"/>
      <c r="AB59" s="110"/>
      <c r="AE59" s="112"/>
      <c r="AF59" s="293"/>
      <c r="AG59" s="112"/>
      <c r="AH59" s="112"/>
      <c r="AI59" s="112"/>
      <c r="AJ59" s="293"/>
      <c r="AK59" s="112"/>
      <c r="BF59" s="58"/>
      <c r="BG59" s="61"/>
      <c r="BH59" s="61"/>
    </row>
    <row r="60" spans="2:61" ht="15.75" customHeight="1" thickBot="1">
      <c r="B60" s="109"/>
      <c r="C60" s="16"/>
      <c r="D60" s="44"/>
      <c r="E60" s="44"/>
      <c r="F60" s="44"/>
      <c r="G60" s="44"/>
      <c r="H60" s="207" t="s">
        <v>144</v>
      </c>
      <c r="I60" s="207"/>
      <c r="J60" s="207"/>
      <c r="K60" s="207"/>
      <c r="L60" s="207"/>
      <c r="M60" s="207"/>
      <c r="N60" s="207"/>
      <c r="O60" s="207"/>
      <c r="P60" s="207"/>
      <c r="Q60" s="207"/>
      <c r="R60" s="52"/>
      <c r="S60" s="52"/>
      <c r="T60" s="52"/>
      <c r="U60" s="52"/>
      <c r="V60" s="52"/>
      <c r="W60" s="52"/>
      <c r="X60" s="52"/>
      <c r="Y60" s="52"/>
      <c r="Z60" s="52"/>
      <c r="AA60" s="17"/>
      <c r="AB60" s="110"/>
      <c r="AE60" s="112"/>
      <c r="AF60" s="293"/>
      <c r="AG60" s="112"/>
      <c r="AH60" s="112"/>
      <c r="AI60" s="112"/>
      <c r="AJ60" s="293"/>
      <c r="AK60" s="112"/>
      <c r="BF60" s="58"/>
      <c r="BG60" s="61"/>
      <c r="BH60" s="61"/>
    </row>
    <row r="61" spans="2:61" ht="18" customHeight="1">
      <c r="B61" s="109"/>
      <c r="C61" s="16"/>
      <c r="D61" s="44"/>
      <c r="E61" s="44"/>
      <c r="F61" s="294"/>
      <c r="G61" s="309"/>
      <c r="H61" s="214" t="s">
        <v>147</v>
      </c>
      <c r="I61" s="307"/>
      <c r="J61" s="308"/>
      <c r="K61" s="34"/>
      <c r="L61" s="35"/>
      <c r="M61" s="36"/>
      <c r="N61" s="35"/>
      <c r="O61" s="35"/>
      <c r="P61" s="35"/>
      <c r="Q61" s="36"/>
      <c r="T61" s="111"/>
      <c r="U61" s="49"/>
      <c r="V61" s="204" t="s">
        <v>54</v>
      </c>
      <c r="W61" s="204"/>
      <c r="X61" s="205">
        <f>M18</f>
        <v>30</v>
      </c>
      <c r="Y61" s="205"/>
      <c r="Z61" s="49"/>
      <c r="AA61" s="17"/>
      <c r="AB61" s="110"/>
      <c r="AE61" s="112"/>
      <c r="AF61" s="293"/>
      <c r="AG61" s="112"/>
      <c r="AH61" s="112"/>
      <c r="AI61" s="112"/>
      <c r="AJ61" s="293"/>
      <c r="AK61" s="112"/>
      <c r="BF61" s="58"/>
      <c r="BG61" s="61"/>
      <c r="BH61" s="61"/>
    </row>
    <row r="62" spans="2:61" ht="15" customHeight="1">
      <c r="B62" s="109"/>
      <c r="C62" s="16"/>
      <c r="D62" s="44"/>
      <c r="E62" s="44"/>
      <c r="F62" s="294"/>
      <c r="G62" s="309"/>
      <c r="H62" s="208" t="str">
        <f>ROUND(G54,2) &amp; " kPa"</f>
        <v>-1.64 kPa</v>
      </c>
      <c r="I62" s="209"/>
      <c r="J62" s="210"/>
      <c r="K62" s="37"/>
      <c r="L62" s="42"/>
      <c r="M62" s="38"/>
      <c r="N62" s="42"/>
      <c r="O62" s="42"/>
      <c r="P62" s="42"/>
      <c r="Q62" s="38"/>
      <c r="T62" s="111"/>
      <c r="U62" s="49"/>
      <c r="V62" s="204" t="s">
        <v>58</v>
      </c>
      <c r="W62" s="204"/>
      <c r="X62" s="205">
        <f>M19</f>
        <v>68</v>
      </c>
      <c r="Y62" s="205"/>
      <c r="Z62" s="49"/>
      <c r="AA62" s="17"/>
      <c r="AB62" s="110"/>
      <c r="AE62" s="112"/>
      <c r="AF62" s="293"/>
      <c r="AG62" s="112"/>
      <c r="AH62" s="112"/>
      <c r="AI62" s="112"/>
      <c r="AJ62" s="293"/>
      <c r="AK62" s="112"/>
      <c r="BF62" s="58"/>
      <c r="BG62" s="61"/>
      <c r="BH62" s="61"/>
    </row>
    <row r="63" spans="2:61" ht="15.75" customHeight="1" thickBot="1">
      <c r="B63" s="109"/>
      <c r="C63" s="16"/>
      <c r="D63" s="44"/>
      <c r="E63" s="44"/>
      <c r="F63" s="294"/>
      <c r="G63" s="309"/>
      <c r="H63" s="219" t="str">
        <f>ROUND(G55,2)&amp; " kPa"</f>
        <v>-1.36 kPa</v>
      </c>
      <c r="I63" s="220"/>
      <c r="J63" s="221"/>
      <c r="K63" s="37"/>
      <c r="L63" s="42"/>
      <c r="M63" s="38"/>
      <c r="N63" s="42"/>
      <c r="O63" s="42"/>
      <c r="P63" s="42"/>
      <c r="Q63" s="38"/>
      <c r="T63" s="111"/>
      <c r="U63" s="49"/>
      <c r="V63" s="204" t="s">
        <v>55</v>
      </c>
      <c r="W63" s="204"/>
      <c r="X63" s="205">
        <f>M20</f>
        <v>10</v>
      </c>
      <c r="Y63" s="205"/>
      <c r="Z63" s="49"/>
      <c r="AA63" s="17"/>
      <c r="AB63" s="110"/>
      <c r="AE63" s="112"/>
      <c r="AF63" s="293"/>
      <c r="AG63" s="112"/>
      <c r="AH63" s="112"/>
      <c r="AI63" s="112"/>
      <c r="AJ63" s="293"/>
      <c r="AK63" s="112"/>
      <c r="BF63" s="58"/>
      <c r="BG63" s="61"/>
      <c r="BH63" s="61"/>
    </row>
    <row r="64" spans="2:61" ht="15" customHeight="1">
      <c r="B64" s="109"/>
      <c r="C64" s="16"/>
      <c r="D64" s="44"/>
      <c r="E64" s="44"/>
      <c r="F64" s="294"/>
      <c r="G64" s="309"/>
      <c r="H64" s="74"/>
      <c r="I64" s="75"/>
      <c r="J64" s="76"/>
      <c r="K64" s="37"/>
      <c r="L64" s="42"/>
      <c r="M64" s="38"/>
      <c r="N64" s="42"/>
      <c r="O64" s="42"/>
      <c r="P64" s="42"/>
      <c r="Q64" s="38"/>
      <c r="T64" s="206" t="s">
        <v>56</v>
      </c>
      <c r="U64" s="206"/>
      <c r="V64" s="206"/>
      <c r="W64" s="206"/>
      <c r="X64" s="205">
        <f>MIN(X61,2*X63)</f>
        <v>20</v>
      </c>
      <c r="Y64" s="205"/>
      <c r="Z64" s="44" t="s">
        <v>57</v>
      </c>
      <c r="AA64" s="17"/>
      <c r="AB64" s="110"/>
      <c r="AE64" s="112"/>
      <c r="AF64" s="293"/>
      <c r="AG64" s="112"/>
      <c r="AH64" s="112"/>
      <c r="AI64" s="112"/>
      <c r="AJ64" s="293"/>
      <c r="AK64" s="112"/>
      <c r="BF64" s="58"/>
      <c r="BG64" s="61"/>
      <c r="BH64" s="61"/>
    </row>
    <row r="65" spans="2:60" ht="15" customHeight="1">
      <c r="B65" s="109"/>
      <c r="C65" s="16"/>
      <c r="D65" s="44"/>
      <c r="E65" s="44"/>
      <c r="F65" s="294"/>
      <c r="G65" s="309"/>
      <c r="H65" s="72"/>
      <c r="I65" s="101"/>
      <c r="J65" s="73"/>
      <c r="K65" s="37"/>
      <c r="L65" s="42"/>
      <c r="M65" s="38"/>
      <c r="N65" s="42"/>
      <c r="O65" s="42"/>
      <c r="P65" s="42"/>
      <c r="Q65" s="38"/>
      <c r="R65" s="97"/>
      <c r="S65" s="49"/>
      <c r="T65" s="49"/>
      <c r="U65" s="49"/>
      <c r="V65" s="49"/>
      <c r="W65" s="49"/>
      <c r="X65" s="49"/>
      <c r="Y65" s="49"/>
      <c r="Z65" s="49"/>
      <c r="AA65" s="17"/>
      <c r="AB65" s="110"/>
      <c r="AE65" s="112"/>
      <c r="AF65" s="293"/>
      <c r="AG65" s="112"/>
      <c r="AH65" s="112"/>
      <c r="AI65" s="112"/>
      <c r="AJ65" s="293"/>
      <c r="AK65" s="112"/>
      <c r="BF65" s="58"/>
      <c r="BG65" s="61"/>
      <c r="BH65" s="61"/>
    </row>
    <row r="66" spans="2:60" ht="15" customHeight="1">
      <c r="B66" s="109"/>
      <c r="C66" s="16"/>
      <c r="D66" s="44"/>
      <c r="E66" s="44"/>
      <c r="F66" s="294"/>
      <c r="G66" s="309"/>
      <c r="H66" s="72"/>
      <c r="I66" s="101"/>
      <c r="J66" s="73"/>
      <c r="K66" s="37"/>
      <c r="L66" s="42"/>
      <c r="M66" s="38"/>
      <c r="N66" s="42"/>
      <c r="O66" s="42"/>
      <c r="P66" s="42"/>
      <c r="Q66" s="38"/>
      <c r="R66" s="97"/>
      <c r="S66" s="49"/>
      <c r="AA66" s="17"/>
      <c r="AB66" s="110"/>
      <c r="AE66" s="112"/>
      <c r="AF66" s="293"/>
      <c r="AG66" s="112"/>
      <c r="AH66" s="112"/>
      <c r="AI66" s="112"/>
      <c r="AJ66" s="293"/>
      <c r="AK66" s="112"/>
      <c r="BF66" s="58"/>
      <c r="BG66" s="61"/>
      <c r="BH66" s="61"/>
    </row>
    <row r="67" spans="2:60" ht="15" customHeight="1">
      <c r="B67" s="109"/>
      <c r="C67" s="16"/>
      <c r="D67" s="299" t="s">
        <v>203</v>
      </c>
      <c r="E67" s="299"/>
      <c r="F67" s="294"/>
      <c r="G67" s="309"/>
      <c r="H67" s="310" t="s">
        <v>148</v>
      </c>
      <c r="I67" s="311"/>
      <c r="J67" s="312"/>
      <c r="K67" s="296" t="s">
        <v>149</v>
      </c>
      <c r="L67" s="313"/>
      <c r="M67" s="314"/>
      <c r="N67" s="315" t="s">
        <v>150</v>
      </c>
      <c r="O67" s="316"/>
      <c r="P67" s="316"/>
      <c r="Q67" s="317"/>
      <c r="R67" s="97"/>
      <c r="S67" s="50"/>
      <c r="AA67" s="17"/>
      <c r="AB67" s="110"/>
      <c r="AE67" s="112"/>
      <c r="AF67" s="293"/>
      <c r="AG67" s="112"/>
      <c r="AH67" s="112"/>
      <c r="AI67" s="112"/>
      <c r="AJ67" s="293"/>
      <c r="AK67" s="112"/>
      <c r="BF67" s="58"/>
      <c r="BG67" s="61"/>
      <c r="BH67" s="61"/>
    </row>
    <row r="68" spans="2:60" ht="15" customHeight="1">
      <c r="B68" s="109"/>
      <c r="C68" s="16"/>
      <c r="D68" s="44"/>
      <c r="E68" s="44"/>
      <c r="F68" s="294"/>
      <c r="G68" s="309"/>
      <c r="H68" s="208" t="str">
        <f>ROUND(K54,2)&amp; " kPa"</f>
        <v>-1.41 kPa</v>
      </c>
      <c r="I68" s="209"/>
      <c r="J68" s="210"/>
      <c r="K68" s="208" t="str">
        <f>ROUND(M54,2)&amp;" kPa"</f>
        <v>-0.58 kPa</v>
      </c>
      <c r="L68" s="209"/>
      <c r="M68" s="210"/>
      <c r="N68" s="208" t="str">
        <f>ROUND(O54,2)&amp; " kPa"</f>
        <v>-0.51 kPa</v>
      </c>
      <c r="O68" s="209"/>
      <c r="P68" s="209"/>
      <c r="Q68" s="210"/>
      <c r="R68" s="97"/>
      <c r="S68" s="50"/>
      <c r="AA68" s="17"/>
      <c r="AB68" s="110"/>
      <c r="AE68" s="112"/>
      <c r="AF68" s="293"/>
      <c r="AG68" s="112"/>
      <c r="AH68" s="112"/>
      <c r="AI68" s="112"/>
      <c r="AJ68" s="293"/>
      <c r="AK68" s="112"/>
      <c r="BF68" s="58"/>
      <c r="BG68" s="61"/>
      <c r="BH68" s="61"/>
    </row>
    <row r="69" spans="2:60" ht="15" customHeight="1">
      <c r="B69" s="109"/>
      <c r="C69" s="16"/>
      <c r="D69" s="44"/>
      <c r="E69" s="44"/>
      <c r="F69" s="294"/>
      <c r="G69" s="309"/>
      <c r="H69" s="211" t="str">
        <f>ROUND(K55,2)&amp; " kPa"</f>
        <v>-1.13 kPa</v>
      </c>
      <c r="I69" s="212"/>
      <c r="J69" s="213"/>
      <c r="K69" s="211" t="str">
        <f>ROUND(M55,2)&amp; " kPa"</f>
        <v>-0.3 kPa</v>
      </c>
      <c r="L69" s="212"/>
      <c r="M69" s="213"/>
      <c r="N69" s="211" t="str">
        <f>ROUND(O55,2)&amp; " kPa"</f>
        <v>-0.23 kPa</v>
      </c>
      <c r="O69" s="212"/>
      <c r="P69" s="212"/>
      <c r="Q69" s="213"/>
      <c r="R69" s="97"/>
      <c r="S69" s="50"/>
      <c r="AA69" s="17"/>
      <c r="AB69" s="110"/>
      <c r="AE69" s="112"/>
      <c r="AF69" s="293"/>
      <c r="AG69" s="112"/>
      <c r="AH69" s="112"/>
      <c r="AI69" s="112"/>
      <c r="AJ69" s="293"/>
      <c r="AK69" s="112"/>
      <c r="BF69" s="58"/>
      <c r="BG69" s="61"/>
      <c r="BH69" s="61"/>
    </row>
    <row r="70" spans="2:60" ht="15" customHeight="1">
      <c r="B70" s="109"/>
      <c r="C70" s="16"/>
      <c r="D70" s="44"/>
      <c r="E70" s="44"/>
      <c r="F70" s="294"/>
      <c r="G70" s="309"/>
      <c r="H70" s="72"/>
      <c r="I70" s="101"/>
      <c r="J70" s="73"/>
      <c r="K70" s="37"/>
      <c r="L70" s="42"/>
      <c r="M70" s="38"/>
      <c r="N70" s="42"/>
      <c r="O70" s="42"/>
      <c r="P70" s="42"/>
      <c r="Q70" s="38"/>
      <c r="R70" s="97"/>
      <c r="S70" s="50"/>
      <c r="T70" s="50"/>
      <c r="U70" s="50"/>
      <c r="V70" s="50"/>
      <c r="W70" s="50"/>
      <c r="X70" s="50"/>
      <c r="Y70" s="50"/>
      <c r="Z70" s="50"/>
      <c r="AA70" s="17"/>
      <c r="AB70" s="110"/>
      <c r="AE70" s="112"/>
      <c r="AF70" s="293"/>
      <c r="AG70" s="112"/>
      <c r="AH70" s="112"/>
      <c r="AI70" s="112"/>
      <c r="AJ70" s="293"/>
      <c r="AK70" s="112"/>
      <c r="BF70" s="58"/>
      <c r="BG70" s="61"/>
      <c r="BH70" s="61"/>
    </row>
    <row r="71" spans="2:60" ht="15" customHeight="1">
      <c r="B71" s="109"/>
      <c r="C71" s="16"/>
      <c r="D71" s="44"/>
      <c r="E71" s="44"/>
      <c r="F71" s="294"/>
      <c r="G71" s="309"/>
      <c r="H71" s="72"/>
      <c r="I71" s="101"/>
      <c r="J71" s="73"/>
      <c r="K71" s="37"/>
      <c r="L71" s="42"/>
      <c r="M71" s="38"/>
      <c r="N71" s="42"/>
      <c r="O71" s="42"/>
      <c r="P71" s="42"/>
      <c r="Q71" s="38"/>
      <c r="R71" s="97"/>
      <c r="S71" s="50"/>
      <c r="T71" s="50"/>
      <c r="U71" s="50"/>
      <c r="V71" s="50"/>
      <c r="W71" s="50"/>
      <c r="X71" s="50"/>
      <c r="Y71" s="50"/>
      <c r="Z71" s="50"/>
      <c r="AA71" s="17"/>
      <c r="AB71" s="110"/>
      <c r="AE71" s="112"/>
      <c r="AF71" s="293"/>
      <c r="AG71" s="112"/>
      <c r="AH71" s="112"/>
      <c r="AI71" s="112"/>
      <c r="AJ71" s="293"/>
      <c r="AK71" s="112"/>
      <c r="BF71" s="58"/>
      <c r="BG71" s="61"/>
      <c r="BH71" s="61"/>
    </row>
    <row r="72" spans="2:60" ht="15.75" customHeight="1" thickBot="1">
      <c r="B72" s="109"/>
      <c r="C72" s="16"/>
      <c r="D72" s="44"/>
      <c r="E72" s="44"/>
      <c r="F72" s="294"/>
      <c r="G72" s="309"/>
      <c r="H72" s="77"/>
      <c r="I72" s="78"/>
      <c r="J72" s="79"/>
      <c r="K72" s="37"/>
      <c r="L72" s="42"/>
      <c r="M72" s="38"/>
      <c r="N72" s="42"/>
      <c r="O72" s="42"/>
      <c r="P72" s="42"/>
      <c r="Q72" s="38"/>
      <c r="R72" s="97"/>
      <c r="S72" s="50"/>
      <c r="T72" s="50"/>
      <c r="U72" s="50"/>
      <c r="V72" s="50"/>
      <c r="W72" s="50"/>
      <c r="X72" s="50"/>
      <c r="Y72" s="50"/>
      <c r="Z72" s="50"/>
      <c r="AA72" s="17"/>
      <c r="AB72" s="110"/>
      <c r="AE72" s="112"/>
      <c r="AF72" s="293"/>
      <c r="AG72" s="112"/>
      <c r="AH72" s="112"/>
      <c r="AI72" s="112"/>
      <c r="AJ72" s="293"/>
      <c r="AK72" s="112"/>
      <c r="BF72" s="58"/>
      <c r="BG72" s="61"/>
      <c r="BH72" s="61"/>
    </row>
    <row r="73" spans="2:60" ht="18" customHeight="1">
      <c r="B73" s="109"/>
      <c r="C73" s="16"/>
      <c r="D73" s="44"/>
      <c r="E73" s="44"/>
      <c r="F73" s="294"/>
      <c r="G73" s="309"/>
      <c r="H73" s="214" t="s">
        <v>151</v>
      </c>
      <c r="I73" s="307"/>
      <c r="J73" s="308"/>
      <c r="K73" s="37"/>
      <c r="L73" s="42"/>
      <c r="M73" s="38"/>
      <c r="N73" s="42"/>
      <c r="O73" s="42"/>
      <c r="P73" s="42"/>
      <c r="Q73" s="38"/>
      <c r="R73" s="97"/>
      <c r="S73" s="50"/>
      <c r="T73" s="50"/>
      <c r="U73" s="50"/>
      <c r="V73" s="50"/>
      <c r="W73" s="50"/>
      <c r="X73" s="50"/>
      <c r="Y73" s="50"/>
      <c r="Z73" s="50"/>
      <c r="AA73" s="17"/>
      <c r="AB73" s="110"/>
      <c r="AE73" s="112"/>
      <c r="AF73" s="293"/>
      <c r="AG73" s="112"/>
      <c r="AH73" s="112"/>
      <c r="AI73" s="112"/>
      <c r="AJ73" s="293"/>
      <c r="AK73" s="112"/>
      <c r="BF73" s="58"/>
      <c r="BG73" s="61"/>
      <c r="BH73" s="61"/>
    </row>
    <row r="74" spans="2:60" ht="15" customHeight="1">
      <c r="B74" s="109"/>
      <c r="C74" s="16"/>
      <c r="D74" s="44"/>
      <c r="E74" s="44"/>
      <c r="F74" s="294"/>
      <c r="G74" s="309"/>
      <c r="H74" s="208" t="str">
        <f>ROUND(I54,2)&amp; " kPa"</f>
        <v>-1.54 kPa</v>
      </c>
      <c r="I74" s="209"/>
      <c r="J74" s="210"/>
      <c r="K74" s="37"/>
      <c r="L74" s="42"/>
      <c r="M74" s="38"/>
      <c r="N74" s="42"/>
      <c r="O74" s="42"/>
      <c r="P74" s="42"/>
      <c r="Q74" s="38"/>
      <c r="R74" s="97"/>
      <c r="S74" s="51"/>
      <c r="T74" s="51"/>
      <c r="U74" s="51"/>
      <c r="V74" s="51"/>
      <c r="W74" s="51"/>
      <c r="X74" s="51"/>
      <c r="Y74" s="51"/>
      <c r="Z74" s="51"/>
      <c r="AA74" s="17"/>
      <c r="AB74" s="110"/>
      <c r="AE74" s="112"/>
      <c r="AF74" s="293"/>
      <c r="AG74" s="112"/>
      <c r="AH74" s="112"/>
      <c r="AI74" s="112"/>
      <c r="AJ74" s="293"/>
      <c r="AK74" s="112"/>
      <c r="BF74" s="58"/>
      <c r="BG74" s="61"/>
      <c r="BH74" s="61"/>
    </row>
    <row r="75" spans="2:60" ht="15.75" customHeight="1" thickBot="1">
      <c r="B75" s="109"/>
      <c r="C75" s="16"/>
      <c r="D75" s="44"/>
      <c r="E75" s="44"/>
      <c r="F75" s="44"/>
      <c r="G75" s="44"/>
      <c r="H75" s="219" t="str">
        <f>ROUND(I55,2)&amp; " kPa"</f>
        <v>-1.26 kPa</v>
      </c>
      <c r="I75" s="220"/>
      <c r="J75" s="221"/>
      <c r="K75" s="39"/>
      <c r="L75" s="40"/>
      <c r="M75" s="41"/>
      <c r="N75" s="40"/>
      <c r="O75" s="40"/>
      <c r="P75" s="40"/>
      <c r="Q75" s="41"/>
      <c r="R75" s="48"/>
      <c r="S75" s="48"/>
      <c r="T75" s="48"/>
      <c r="U75" s="48"/>
      <c r="V75" s="48"/>
      <c r="W75" s="48"/>
      <c r="X75" s="48"/>
      <c r="Y75" s="48"/>
      <c r="Z75" s="48"/>
      <c r="AA75" s="80"/>
      <c r="AB75" s="110"/>
      <c r="AE75" s="112"/>
      <c r="AF75" s="293"/>
      <c r="AG75" s="112"/>
      <c r="AH75" s="112"/>
      <c r="AI75" s="112"/>
      <c r="AJ75" s="293"/>
      <c r="AK75" s="112"/>
      <c r="BF75" s="58"/>
      <c r="BG75" s="61"/>
      <c r="BH75" s="61"/>
    </row>
    <row r="76" spans="2:60" ht="15" customHeight="1">
      <c r="B76" s="109"/>
      <c r="C76" s="16"/>
      <c r="D76" s="44"/>
      <c r="E76" s="44"/>
      <c r="F76" s="44"/>
      <c r="G76" s="44"/>
      <c r="H76" s="207" t="s">
        <v>145</v>
      </c>
      <c r="I76" s="207"/>
      <c r="J76" s="207"/>
      <c r="K76" s="207"/>
      <c r="L76" s="207"/>
      <c r="M76" s="207"/>
      <c r="N76" s="207"/>
      <c r="O76" s="207"/>
      <c r="P76" s="207"/>
      <c r="Q76" s="207"/>
      <c r="R76" s="107"/>
      <c r="S76" s="48"/>
      <c r="T76" s="48"/>
      <c r="U76" s="48"/>
      <c r="V76" s="48"/>
      <c r="W76" s="48"/>
      <c r="X76" s="48"/>
      <c r="Y76" s="48"/>
      <c r="Z76" s="48"/>
      <c r="AA76" s="80"/>
      <c r="AB76" s="110"/>
      <c r="AE76" s="112"/>
      <c r="AF76" s="293"/>
      <c r="AG76" s="112"/>
      <c r="AH76" s="112"/>
      <c r="AI76" s="112"/>
      <c r="AJ76" s="293"/>
      <c r="AK76" s="112"/>
      <c r="BF76" s="58"/>
      <c r="BG76" s="61"/>
      <c r="BH76" s="61"/>
    </row>
    <row r="77" spans="2:60" ht="15" customHeight="1">
      <c r="B77" s="109"/>
      <c r="C77" s="18"/>
      <c r="D77" s="19"/>
      <c r="E77" s="19"/>
      <c r="F77" s="19"/>
      <c r="G77" s="19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2"/>
      <c r="S77" s="83"/>
      <c r="T77" s="83"/>
      <c r="U77" s="83"/>
      <c r="V77" s="83"/>
      <c r="W77" s="83"/>
      <c r="X77" s="83"/>
      <c r="Y77" s="83"/>
      <c r="Z77" s="83"/>
      <c r="AA77" s="84"/>
      <c r="AB77" s="110"/>
      <c r="AE77" s="112"/>
      <c r="AF77" s="293"/>
      <c r="AG77" s="112"/>
      <c r="AH77" s="112"/>
      <c r="AI77" s="112"/>
      <c r="AJ77" s="293"/>
      <c r="AK77" s="112"/>
      <c r="BF77" s="58"/>
      <c r="BG77" s="61"/>
      <c r="BH77" s="61"/>
    </row>
    <row r="78" spans="2:60" ht="15" customHeight="1">
      <c r="B78" s="109"/>
      <c r="C78" s="16"/>
      <c r="D78" s="44"/>
      <c r="E78" s="44"/>
      <c r="F78" s="44"/>
      <c r="G78" s="44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7"/>
      <c r="S78" s="48"/>
      <c r="T78" s="48"/>
      <c r="U78" s="48"/>
      <c r="V78" s="48"/>
      <c r="W78" s="48"/>
      <c r="X78" s="48"/>
      <c r="Y78" s="48"/>
      <c r="Z78" s="48"/>
      <c r="AA78" s="80"/>
      <c r="AB78" s="110"/>
      <c r="AE78" s="112"/>
      <c r="AF78" s="293"/>
      <c r="AG78" s="112"/>
      <c r="AH78" s="112"/>
      <c r="AI78" s="112"/>
      <c r="AJ78" s="293"/>
      <c r="AK78" s="112"/>
      <c r="BF78" s="58"/>
      <c r="BG78" s="61"/>
      <c r="BH78" s="61"/>
    </row>
    <row r="79" spans="2:60" ht="15" customHeight="1">
      <c r="B79" s="109"/>
      <c r="C79" s="16"/>
      <c r="D79" s="44"/>
      <c r="E79" s="44"/>
      <c r="F79" s="44"/>
      <c r="G79" s="44"/>
      <c r="R79" s="306" t="s">
        <v>40</v>
      </c>
      <c r="S79" s="306"/>
      <c r="T79" s="306"/>
      <c r="U79" s="306"/>
      <c r="V79" s="306"/>
      <c r="W79" s="306"/>
      <c r="X79" s="306"/>
      <c r="Y79" s="306"/>
      <c r="Z79" s="306"/>
      <c r="AA79" s="17"/>
      <c r="AB79" s="110"/>
      <c r="AE79" s="112"/>
      <c r="AF79" s="293"/>
      <c r="AG79" s="112"/>
      <c r="AH79" s="112"/>
      <c r="AI79" s="112"/>
      <c r="AJ79" s="293"/>
      <c r="AK79" s="112"/>
      <c r="BF79" s="58"/>
      <c r="BG79" s="61"/>
      <c r="BH79" s="61"/>
    </row>
    <row r="80" spans="2:60" ht="15.75" customHeight="1" thickBot="1">
      <c r="B80" s="109"/>
      <c r="C80" s="16"/>
      <c r="D80" s="44"/>
      <c r="E80" s="44"/>
      <c r="F80" s="44"/>
      <c r="G80" s="44"/>
      <c r="H80" s="207" t="s">
        <v>144</v>
      </c>
      <c r="I80" s="207"/>
      <c r="J80" s="207"/>
      <c r="K80" s="207"/>
      <c r="L80" s="207"/>
      <c r="M80" s="207"/>
      <c r="N80" s="207"/>
      <c r="O80" s="207"/>
      <c r="P80" s="207"/>
      <c r="Q80" s="207"/>
      <c r="R80" s="52"/>
      <c r="S80" s="52"/>
      <c r="T80" s="52"/>
      <c r="U80" s="52"/>
      <c r="V80" s="52"/>
      <c r="W80" s="52"/>
      <c r="X80" s="52"/>
      <c r="Y80" s="52"/>
      <c r="Z80" s="52"/>
      <c r="AA80" s="17"/>
      <c r="AB80" s="110"/>
      <c r="AE80" s="112"/>
      <c r="AF80" s="293"/>
      <c r="AG80" s="112"/>
      <c r="AH80" s="112"/>
      <c r="AI80" s="112"/>
      <c r="AJ80" s="293"/>
      <c r="AK80" s="112"/>
      <c r="BF80" s="58"/>
      <c r="BG80" s="61"/>
      <c r="BH80" s="61"/>
    </row>
    <row r="81" spans="2:60" ht="18" customHeight="1">
      <c r="B81" s="109"/>
      <c r="C81" s="16"/>
      <c r="D81" s="44"/>
      <c r="E81" s="44"/>
      <c r="F81" s="294"/>
      <c r="G81" s="309"/>
      <c r="H81" s="85"/>
      <c r="I81" s="87"/>
      <c r="J81" s="87"/>
      <c r="K81" s="87"/>
      <c r="L81" s="85"/>
      <c r="M81" s="87"/>
      <c r="N81" s="88"/>
      <c r="O81" s="214" t="s">
        <v>147</v>
      </c>
      <c r="P81" s="307"/>
      <c r="Q81" s="308"/>
      <c r="R81" s="320"/>
      <c r="S81" s="49"/>
      <c r="T81" s="111"/>
      <c r="U81" s="49"/>
      <c r="V81" s="204" t="s">
        <v>54</v>
      </c>
      <c r="W81" s="204"/>
      <c r="X81" s="205">
        <f>X61</f>
        <v>30</v>
      </c>
      <c r="Y81" s="205"/>
      <c r="Z81" s="49"/>
      <c r="AA81" s="17"/>
      <c r="AB81" s="110"/>
      <c r="AE81" s="112"/>
      <c r="AF81" s="293"/>
      <c r="AG81" s="112"/>
      <c r="AH81" s="112"/>
      <c r="AI81" s="112"/>
      <c r="AJ81" s="293"/>
      <c r="AK81" s="112"/>
      <c r="BF81" s="58"/>
      <c r="BG81" s="61"/>
      <c r="BH81" s="61"/>
    </row>
    <row r="82" spans="2:60" ht="15" customHeight="1">
      <c r="B82" s="109"/>
      <c r="C82" s="16"/>
      <c r="D82" s="44"/>
      <c r="E82" s="44"/>
      <c r="F82" s="294"/>
      <c r="G82" s="309"/>
      <c r="H82" s="86"/>
      <c r="I82" s="99"/>
      <c r="J82" s="99"/>
      <c r="K82" s="99"/>
      <c r="L82" s="86"/>
      <c r="M82" s="99"/>
      <c r="N82" s="89"/>
      <c r="O82" s="208" t="str">
        <f>ROUND(G54,2)&amp; " kPa"</f>
        <v>-1.64 kPa</v>
      </c>
      <c r="P82" s="209"/>
      <c r="Q82" s="210"/>
      <c r="R82" s="320"/>
      <c r="S82" s="49"/>
      <c r="T82" s="111"/>
      <c r="U82" s="49"/>
      <c r="V82" s="204" t="s">
        <v>58</v>
      </c>
      <c r="W82" s="204"/>
      <c r="X82" s="205">
        <f>X62</f>
        <v>68</v>
      </c>
      <c r="Y82" s="205"/>
      <c r="Z82" s="49"/>
      <c r="AA82" s="17"/>
      <c r="AB82" s="110"/>
      <c r="AE82" s="112"/>
      <c r="AF82" s="293"/>
      <c r="AG82" s="112"/>
      <c r="AH82" s="112"/>
      <c r="AI82" s="112"/>
      <c r="AJ82" s="293"/>
      <c r="AK82" s="112"/>
      <c r="BF82" s="58"/>
      <c r="BG82" s="61"/>
      <c r="BH82" s="61"/>
    </row>
    <row r="83" spans="2:60" ht="15.75" customHeight="1" thickBot="1">
      <c r="B83" s="109"/>
      <c r="C83" s="16"/>
      <c r="D83" s="44"/>
      <c r="E83" s="44"/>
      <c r="F83" s="294"/>
      <c r="G83" s="309"/>
      <c r="H83" s="86"/>
      <c r="I83" s="99"/>
      <c r="J83" s="99"/>
      <c r="K83" s="99"/>
      <c r="L83" s="86"/>
      <c r="M83" s="99"/>
      <c r="N83" s="89"/>
      <c r="O83" s="219" t="str">
        <f>ROUND(G55,2)&amp; " kPa"</f>
        <v>-1.36 kPa</v>
      </c>
      <c r="P83" s="220"/>
      <c r="Q83" s="221"/>
      <c r="R83" s="320"/>
      <c r="S83" s="49"/>
      <c r="T83" s="111"/>
      <c r="U83" s="49"/>
      <c r="V83" s="204" t="s">
        <v>55</v>
      </c>
      <c r="W83" s="204"/>
      <c r="X83" s="205">
        <f>X63</f>
        <v>10</v>
      </c>
      <c r="Y83" s="205"/>
      <c r="Z83" s="49"/>
      <c r="AA83" s="17"/>
      <c r="AB83" s="110"/>
      <c r="AE83" s="112"/>
      <c r="AF83" s="293"/>
      <c r="AG83" s="112"/>
      <c r="AH83" s="112"/>
      <c r="AI83" s="112"/>
      <c r="AJ83" s="293"/>
      <c r="AK83" s="112"/>
      <c r="BF83" s="58"/>
      <c r="BG83" s="61"/>
      <c r="BH83" s="61"/>
    </row>
    <row r="84" spans="2:60" ht="15" customHeight="1">
      <c r="B84" s="109"/>
      <c r="C84" s="16"/>
      <c r="D84" s="44"/>
      <c r="E84" s="44"/>
      <c r="F84" s="294"/>
      <c r="G84" s="309"/>
      <c r="H84" s="86"/>
      <c r="I84" s="99"/>
      <c r="J84" s="99"/>
      <c r="K84" s="99"/>
      <c r="L84" s="86"/>
      <c r="M84" s="99"/>
      <c r="N84" s="89"/>
      <c r="O84" s="85"/>
      <c r="P84" s="87"/>
      <c r="Q84" s="88"/>
      <c r="R84" s="320"/>
      <c r="S84" s="49"/>
      <c r="T84" s="206" t="s">
        <v>56</v>
      </c>
      <c r="U84" s="206"/>
      <c r="V84" s="206"/>
      <c r="W84" s="206"/>
      <c r="X84" s="205">
        <f>MIN(X81,2*X83)</f>
        <v>20</v>
      </c>
      <c r="Y84" s="205"/>
      <c r="Z84" s="44" t="s">
        <v>57</v>
      </c>
      <c r="AA84" s="17"/>
      <c r="AB84" s="110"/>
      <c r="AE84" s="112"/>
      <c r="AF84" s="293"/>
      <c r="AG84" s="112"/>
      <c r="AH84" s="112"/>
      <c r="AI84" s="112"/>
      <c r="AJ84" s="293"/>
      <c r="AK84" s="112"/>
      <c r="BF84" s="58"/>
      <c r="BG84" s="61"/>
      <c r="BH84" s="61"/>
    </row>
    <row r="85" spans="2:60" ht="15" customHeight="1">
      <c r="B85" s="109"/>
      <c r="C85" s="16"/>
      <c r="D85" s="44"/>
      <c r="E85" s="44"/>
      <c r="F85" s="294"/>
      <c r="G85" s="309"/>
      <c r="H85" s="86"/>
      <c r="I85" s="99"/>
      <c r="J85" s="99"/>
      <c r="K85" s="99"/>
      <c r="L85" s="86"/>
      <c r="M85" s="99"/>
      <c r="N85" s="89"/>
      <c r="O85" s="86"/>
      <c r="P85" s="99"/>
      <c r="Q85" s="89"/>
      <c r="R85" s="320"/>
      <c r="S85" s="49"/>
      <c r="T85" s="49"/>
      <c r="U85" s="49"/>
      <c r="V85" s="49"/>
      <c r="W85" s="49"/>
      <c r="X85" s="49"/>
      <c r="Y85" s="49"/>
      <c r="Z85" s="49"/>
      <c r="AA85" s="17"/>
      <c r="AB85" s="110"/>
      <c r="AE85" s="112"/>
      <c r="AF85" s="293"/>
      <c r="AG85" s="112"/>
      <c r="AH85" s="112"/>
      <c r="AI85" s="112"/>
      <c r="AJ85" s="293"/>
      <c r="AK85" s="112"/>
      <c r="BF85" s="58"/>
      <c r="BG85" s="61"/>
      <c r="BH85" s="61"/>
    </row>
    <row r="86" spans="2:60" ht="15" customHeight="1">
      <c r="B86" s="109"/>
      <c r="C86" s="16"/>
      <c r="D86" s="44"/>
      <c r="E86" s="44"/>
      <c r="F86" s="294"/>
      <c r="G86" s="309"/>
      <c r="H86" s="86"/>
      <c r="I86" s="99"/>
      <c r="J86" s="99"/>
      <c r="K86" s="99"/>
      <c r="L86" s="86"/>
      <c r="M86" s="99"/>
      <c r="N86" s="89"/>
      <c r="O86" s="86"/>
      <c r="P86" s="99"/>
      <c r="Q86" s="89"/>
      <c r="R86" s="320"/>
      <c r="S86" s="49"/>
      <c r="T86" s="49"/>
      <c r="U86" s="49"/>
      <c r="V86" s="49"/>
      <c r="W86" s="49"/>
      <c r="X86" s="49"/>
      <c r="Y86" s="49"/>
      <c r="Z86" s="49"/>
      <c r="AA86" s="17"/>
      <c r="AB86" s="110"/>
      <c r="AE86" s="112"/>
      <c r="AF86" s="293"/>
      <c r="AG86" s="112"/>
      <c r="AH86" s="112"/>
      <c r="AI86" s="112"/>
      <c r="AJ86" s="293"/>
      <c r="AK86" s="112"/>
      <c r="BF86" s="58"/>
      <c r="BG86" s="61"/>
      <c r="BH86" s="61"/>
    </row>
    <row r="87" spans="2:60" ht="15" customHeight="1">
      <c r="B87" s="109"/>
      <c r="C87" s="16"/>
      <c r="D87" s="299"/>
      <c r="E87" s="299"/>
      <c r="F87" s="294"/>
      <c r="G87" s="309"/>
      <c r="H87" s="321" t="str">
        <f>N67</f>
        <v>Vùng I</v>
      </c>
      <c r="I87" s="297"/>
      <c r="J87" s="297"/>
      <c r="K87" s="298"/>
      <c r="L87" s="321" t="str">
        <f>K67</f>
        <v>Vùng H</v>
      </c>
      <c r="M87" s="297"/>
      <c r="N87" s="298"/>
      <c r="O87" s="321" t="str">
        <f>H67</f>
        <v>Vùng G</v>
      </c>
      <c r="P87" s="297"/>
      <c r="Q87" s="298"/>
      <c r="R87" s="320"/>
      <c r="S87" s="50" t="s">
        <v>203</v>
      </c>
      <c r="T87" s="50"/>
      <c r="U87" s="50"/>
      <c r="V87" s="50"/>
      <c r="W87" s="50"/>
      <c r="X87" s="50"/>
      <c r="Y87" s="50"/>
      <c r="Z87" s="50"/>
      <c r="AA87" s="17"/>
      <c r="AB87" s="110"/>
      <c r="AE87" s="112"/>
      <c r="AF87" s="293"/>
      <c r="AG87" s="112"/>
      <c r="AH87" s="112"/>
      <c r="AI87" s="112"/>
      <c r="AJ87" s="293"/>
      <c r="AK87" s="112"/>
      <c r="BF87" s="58"/>
      <c r="BG87" s="61"/>
      <c r="BH87" s="61"/>
    </row>
    <row r="88" spans="2:60" ht="15" customHeight="1">
      <c r="B88" s="109"/>
      <c r="C88" s="16"/>
      <c r="D88" s="44"/>
      <c r="E88" s="44"/>
      <c r="F88" s="294"/>
      <c r="G88" s="309"/>
      <c r="H88" s="208" t="str">
        <f>N68</f>
        <v>-0.51 kPa</v>
      </c>
      <c r="I88" s="209"/>
      <c r="J88" s="209"/>
      <c r="K88" s="210"/>
      <c r="L88" s="208" t="str">
        <f>K68</f>
        <v>-0.58 kPa</v>
      </c>
      <c r="M88" s="209"/>
      <c r="N88" s="210"/>
      <c r="O88" s="208" t="str">
        <f>H68</f>
        <v>-1.41 kPa</v>
      </c>
      <c r="P88" s="209"/>
      <c r="Q88" s="210"/>
      <c r="R88" s="320"/>
      <c r="S88" s="50"/>
      <c r="T88" s="50"/>
      <c r="U88" s="50"/>
      <c r="V88" s="50"/>
      <c r="W88" s="50"/>
      <c r="X88" s="50"/>
      <c r="Y88" s="50"/>
      <c r="Z88" s="50"/>
      <c r="AA88" s="17"/>
      <c r="AB88" s="110"/>
      <c r="AE88" s="112"/>
      <c r="AF88" s="293"/>
      <c r="AG88" s="112"/>
      <c r="AH88" s="112"/>
      <c r="AI88" s="112"/>
      <c r="AJ88" s="293"/>
      <c r="AK88" s="112"/>
      <c r="BF88" s="58"/>
      <c r="BG88" s="61"/>
      <c r="BH88" s="61"/>
    </row>
    <row r="89" spans="2:60" ht="15" customHeight="1">
      <c r="B89" s="109"/>
      <c r="C89" s="16"/>
      <c r="D89" s="44"/>
      <c r="E89" s="44"/>
      <c r="F89" s="294"/>
      <c r="G89" s="309"/>
      <c r="H89" s="211" t="str">
        <f>N69</f>
        <v>-0.23 kPa</v>
      </c>
      <c r="I89" s="212"/>
      <c r="J89" s="212"/>
      <c r="K89" s="213"/>
      <c r="L89" s="211" t="str">
        <f>K69</f>
        <v>-0.3 kPa</v>
      </c>
      <c r="M89" s="212"/>
      <c r="N89" s="213"/>
      <c r="O89" s="211" t="str">
        <f>H69</f>
        <v>-1.13 kPa</v>
      </c>
      <c r="P89" s="212"/>
      <c r="Q89" s="213"/>
      <c r="R89" s="320"/>
      <c r="S89" s="50"/>
      <c r="T89" s="50"/>
      <c r="U89" s="50"/>
      <c r="V89" s="50"/>
      <c r="W89" s="50"/>
      <c r="X89" s="50"/>
      <c r="Y89" s="50"/>
      <c r="Z89" s="50"/>
      <c r="AA89" s="17"/>
      <c r="AB89" s="110"/>
      <c r="AE89" s="112"/>
      <c r="AF89" s="293"/>
      <c r="AG89" s="112"/>
      <c r="AH89" s="112"/>
      <c r="AI89" s="112"/>
      <c r="AJ89" s="293"/>
      <c r="AK89" s="112"/>
      <c r="BF89" s="58"/>
      <c r="BG89" s="61"/>
      <c r="BH89" s="61"/>
    </row>
    <row r="90" spans="2:60" ht="15" customHeight="1">
      <c r="B90" s="109"/>
      <c r="C90" s="16"/>
      <c r="D90" s="44"/>
      <c r="E90" s="44"/>
      <c r="F90" s="294"/>
      <c r="G90" s="309"/>
      <c r="H90" s="86"/>
      <c r="I90" s="99"/>
      <c r="J90" s="99"/>
      <c r="K90" s="99"/>
      <c r="L90" s="86"/>
      <c r="M90" s="99"/>
      <c r="N90" s="89"/>
      <c r="O90" s="86"/>
      <c r="P90" s="99"/>
      <c r="Q90" s="89"/>
      <c r="R90" s="320"/>
      <c r="S90" s="50"/>
      <c r="T90" s="50"/>
      <c r="U90" s="50"/>
      <c r="V90" s="50"/>
      <c r="W90" s="50"/>
      <c r="X90" s="50"/>
      <c r="Y90" s="50"/>
      <c r="Z90" s="50"/>
      <c r="AA90" s="17"/>
      <c r="AB90" s="110"/>
      <c r="AE90" s="112"/>
      <c r="AF90" s="293"/>
      <c r="AG90" s="112"/>
      <c r="AH90" s="112"/>
      <c r="AI90" s="112"/>
      <c r="AJ90" s="293"/>
      <c r="AK90" s="112"/>
      <c r="BF90" s="58"/>
      <c r="BG90" s="61"/>
      <c r="BH90" s="61"/>
    </row>
    <row r="91" spans="2:60" ht="15" customHeight="1">
      <c r="B91" s="109"/>
      <c r="C91" s="16"/>
      <c r="D91" s="44"/>
      <c r="E91" s="44"/>
      <c r="F91" s="294"/>
      <c r="G91" s="309"/>
      <c r="H91" s="86"/>
      <c r="I91" s="99"/>
      <c r="J91" s="99"/>
      <c r="K91" s="99"/>
      <c r="L91" s="86"/>
      <c r="M91" s="99"/>
      <c r="N91" s="89"/>
      <c r="O91" s="86"/>
      <c r="P91" s="99"/>
      <c r="Q91" s="89"/>
      <c r="R91" s="320"/>
      <c r="S91" s="50"/>
      <c r="T91" s="50"/>
      <c r="U91" s="50"/>
      <c r="V91" s="50"/>
      <c r="W91" s="50"/>
      <c r="X91" s="50"/>
      <c r="Y91" s="50"/>
      <c r="Z91" s="50"/>
      <c r="AA91" s="17"/>
      <c r="AB91" s="110"/>
      <c r="AE91" s="112"/>
      <c r="AF91" s="293"/>
      <c r="AG91" s="112"/>
      <c r="AH91" s="112"/>
      <c r="AI91" s="112"/>
      <c r="AJ91" s="293"/>
      <c r="AK91" s="112"/>
      <c r="BF91" s="58"/>
      <c r="BG91" s="61"/>
      <c r="BH91" s="61"/>
    </row>
    <row r="92" spans="2:60" ht="15.75" customHeight="1" thickBot="1">
      <c r="B92" s="109"/>
      <c r="C92" s="16"/>
      <c r="D92" s="44"/>
      <c r="E92" s="44"/>
      <c r="F92" s="294"/>
      <c r="G92" s="309"/>
      <c r="H92" s="86"/>
      <c r="I92" s="99"/>
      <c r="J92" s="99"/>
      <c r="K92" s="99"/>
      <c r="L92" s="86"/>
      <c r="M92" s="99"/>
      <c r="N92" s="89"/>
      <c r="O92" s="90"/>
      <c r="P92" s="91"/>
      <c r="Q92" s="92"/>
      <c r="R92" s="320"/>
      <c r="S92" s="50"/>
      <c r="T92" s="50"/>
      <c r="U92" s="50"/>
      <c r="V92" s="50"/>
      <c r="W92" s="50"/>
      <c r="X92" s="50"/>
      <c r="Y92" s="50"/>
      <c r="Z92" s="50"/>
      <c r="AA92" s="17"/>
      <c r="AB92" s="110"/>
      <c r="AE92" s="112"/>
      <c r="AF92" s="293"/>
      <c r="AG92" s="112"/>
      <c r="AH92" s="112"/>
      <c r="AI92" s="112"/>
      <c r="AJ92" s="293"/>
      <c r="AK92" s="112"/>
      <c r="BF92" s="58"/>
      <c r="BG92" s="61"/>
      <c r="BH92" s="61"/>
    </row>
    <row r="93" spans="2:60" ht="18" customHeight="1">
      <c r="B93" s="109"/>
      <c r="C93" s="16"/>
      <c r="D93" s="44"/>
      <c r="E93" s="44"/>
      <c r="F93" s="294"/>
      <c r="G93" s="309"/>
      <c r="H93" s="86"/>
      <c r="I93" s="99"/>
      <c r="J93" s="99"/>
      <c r="K93" s="99"/>
      <c r="L93" s="86"/>
      <c r="M93" s="99"/>
      <c r="N93" s="89"/>
      <c r="O93" s="214" t="s">
        <v>151</v>
      </c>
      <c r="P93" s="215"/>
      <c r="Q93" s="216"/>
      <c r="R93" s="320"/>
      <c r="S93" s="50"/>
      <c r="T93" s="50"/>
      <c r="U93" s="50"/>
      <c r="V93" s="50"/>
      <c r="W93" s="50"/>
      <c r="X93" s="50"/>
      <c r="Y93" s="50"/>
      <c r="Z93" s="50"/>
      <c r="AA93" s="17"/>
      <c r="AB93" s="110"/>
      <c r="AE93" s="112"/>
      <c r="AF93" s="293"/>
      <c r="AG93" s="112"/>
      <c r="AH93" s="112"/>
      <c r="AI93" s="112"/>
      <c r="AJ93" s="293"/>
      <c r="AK93" s="112"/>
      <c r="BF93" s="58"/>
      <c r="BG93" s="61"/>
      <c r="BH93" s="61"/>
    </row>
    <row r="94" spans="2:60" ht="15" customHeight="1">
      <c r="B94" s="109"/>
      <c r="C94" s="16"/>
      <c r="D94" s="44"/>
      <c r="E94" s="44"/>
      <c r="F94" s="294"/>
      <c r="G94" s="309"/>
      <c r="H94" s="86"/>
      <c r="I94" s="99"/>
      <c r="J94" s="99"/>
      <c r="K94" s="99"/>
      <c r="L94" s="86"/>
      <c r="M94" s="99"/>
      <c r="N94" s="89"/>
      <c r="O94" s="208" t="str">
        <f>H74</f>
        <v>-1.54 kPa</v>
      </c>
      <c r="P94" s="209"/>
      <c r="Q94" s="210"/>
      <c r="R94" s="320"/>
      <c r="S94" s="51"/>
      <c r="T94" s="51"/>
      <c r="U94" s="51"/>
      <c r="V94" s="51"/>
      <c r="W94" s="51"/>
      <c r="X94" s="51"/>
      <c r="Y94" s="51"/>
      <c r="Z94" s="51"/>
      <c r="AA94" s="17"/>
      <c r="AB94" s="110"/>
      <c r="AE94" s="112"/>
      <c r="AF94" s="293"/>
      <c r="AG94" s="112"/>
      <c r="AH94" s="112"/>
      <c r="AI94" s="112"/>
      <c r="AJ94" s="293"/>
      <c r="AK94" s="112"/>
      <c r="BF94" s="58"/>
      <c r="BG94" s="61"/>
      <c r="BH94" s="61"/>
    </row>
    <row r="95" spans="2:60" ht="15.75" customHeight="1" thickBot="1">
      <c r="B95" s="109"/>
      <c r="C95" s="16"/>
      <c r="D95" s="44"/>
      <c r="E95" s="44"/>
      <c r="F95" s="44"/>
      <c r="G95" s="44"/>
      <c r="H95" s="90"/>
      <c r="I95" s="91"/>
      <c r="J95" s="91"/>
      <c r="K95" s="91"/>
      <c r="L95" s="90"/>
      <c r="M95" s="91"/>
      <c r="N95" s="92"/>
      <c r="O95" s="219" t="str">
        <f>H75</f>
        <v>-1.26 kPa</v>
      </c>
      <c r="P95" s="220"/>
      <c r="Q95" s="221"/>
      <c r="R95" s="48"/>
      <c r="S95" s="48"/>
      <c r="T95" s="48"/>
      <c r="U95" s="48"/>
      <c r="V95" s="48"/>
      <c r="W95" s="48"/>
      <c r="X95" s="48"/>
      <c r="Y95" s="48"/>
      <c r="Z95" s="48"/>
      <c r="AA95" s="80"/>
      <c r="AB95" s="110"/>
      <c r="AE95" s="112"/>
      <c r="AF95" s="293"/>
      <c r="AG95" s="112"/>
      <c r="AH95" s="112"/>
      <c r="AI95" s="112"/>
      <c r="AJ95" s="293"/>
      <c r="AK95" s="112"/>
      <c r="BF95" s="58"/>
      <c r="BG95" s="61"/>
      <c r="BH95" s="61"/>
    </row>
    <row r="96" spans="2:60" ht="15" customHeight="1">
      <c r="B96" s="109"/>
      <c r="C96" s="16"/>
      <c r="D96" s="44"/>
      <c r="E96" s="44"/>
      <c r="F96" s="44"/>
      <c r="G96" s="44"/>
      <c r="H96" s="207" t="s">
        <v>145</v>
      </c>
      <c r="I96" s="207"/>
      <c r="J96" s="207"/>
      <c r="K96" s="207"/>
      <c r="L96" s="207"/>
      <c r="M96" s="207"/>
      <c r="N96" s="207"/>
      <c r="O96" s="207"/>
      <c r="P96" s="207"/>
      <c r="Q96" s="207"/>
      <c r="R96" s="107"/>
      <c r="S96" s="48"/>
      <c r="T96" s="48"/>
      <c r="U96" s="48"/>
      <c r="V96" s="48"/>
      <c r="W96" s="48"/>
      <c r="X96" s="48"/>
      <c r="Y96" s="48"/>
      <c r="Z96" s="48"/>
      <c r="AA96" s="80"/>
      <c r="AB96" s="110"/>
      <c r="AE96" s="112"/>
      <c r="AF96" s="293"/>
      <c r="AG96" s="112"/>
      <c r="AH96" s="112"/>
      <c r="AI96" s="112"/>
      <c r="AJ96" s="293"/>
      <c r="AK96" s="112"/>
      <c r="BF96" s="58"/>
      <c r="BG96" s="61"/>
      <c r="BH96" s="61"/>
    </row>
    <row r="97" spans="2:60" ht="15.75" customHeight="1">
      <c r="B97" s="109"/>
      <c r="C97" s="18"/>
      <c r="D97" s="19"/>
      <c r="E97" s="19"/>
      <c r="F97" s="19"/>
      <c r="G97" s="19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2"/>
      <c r="S97" s="83"/>
      <c r="T97" s="83"/>
      <c r="U97" s="83"/>
      <c r="V97" s="83"/>
      <c r="W97" s="83"/>
      <c r="X97" s="83"/>
      <c r="Y97" s="83"/>
      <c r="Z97" s="83"/>
      <c r="AA97" s="84"/>
      <c r="AB97" s="110"/>
      <c r="AD97" s="71"/>
      <c r="AE97" s="112"/>
      <c r="AF97" s="293"/>
      <c r="AG97" s="112"/>
      <c r="AH97" s="112"/>
      <c r="AI97" s="112"/>
      <c r="AJ97" s="293"/>
      <c r="AK97" s="112"/>
      <c r="AL97" s="295"/>
      <c r="AM97" s="295"/>
      <c r="AN97" s="295"/>
      <c r="BF97" s="58"/>
      <c r="BG97" s="61"/>
      <c r="BH97" s="61"/>
    </row>
    <row r="98" spans="2:60" ht="15" customHeight="1">
      <c r="B98" s="109"/>
      <c r="C98" s="16"/>
      <c r="D98" s="44"/>
      <c r="E98" s="44"/>
      <c r="F98" s="29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9"/>
      <c r="U98" s="49"/>
      <c r="V98" s="49"/>
      <c r="W98" s="49"/>
      <c r="X98" s="49"/>
      <c r="Y98" s="49"/>
      <c r="Z98" s="49"/>
      <c r="AA98" s="17"/>
      <c r="AB98" s="110"/>
      <c r="AD98" s="300"/>
      <c r="AE98" s="293"/>
      <c r="AF98" s="112"/>
      <c r="AG98" s="112"/>
      <c r="AH98" s="112"/>
      <c r="AI98" s="112"/>
      <c r="AJ98" s="112"/>
      <c r="AK98" s="293"/>
      <c r="AL98" s="300"/>
      <c r="BF98" s="58">
        <v>51</v>
      </c>
      <c r="BG98" s="61"/>
      <c r="BH98" s="61"/>
    </row>
    <row r="99" spans="2:60" ht="15.75" customHeight="1" thickBot="1">
      <c r="B99" s="109"/>
      <c r="C99" s="16"/>
      <c r="D99" s="44"/>
      <c r="E99" s="44"/>
      <c r="F99" s="294"/>
      <c r="G99" s="44"/>
      <c r="H99" s="207" t="s">
        <v>144</v>
      </c>
      <c r="I99" s="207"/>
      <c r="J99" s="207"/>
      <c r="K99" s="207"/>
      <c r="L99" s="207"/>
      <c r="M99" s="207"/>
      <c r="N99" s="207"/>
      <c r="O99" s="207"/>
      <c r="P99" s="207"/>
      <c r="Q99" s="207"/>
      <c r="R99" s="44"/>
      <c r="S99" s="44"/>
      <c r="T99" s="49"/>
      <c r="U99" s="49"/>
      <c r="V99" s="49"/>
      <c r="W99" s="49"/>
      <c r="X99" s="49"/>
      <c r="Y99" s="49"/>
      <c r="Z99" s="49"/>
      <c r="AA99" s="17"/>
      <c r="AB99" s="110"/>
      <c r="AD99" s="300"/>
      <c r="AE99" s="293"/>
      <c r="AF99" s="112"/>
      <c r="AG99" s="112"/>
      <c r="AH99" s="112"/>
      <c r="AI99" s="112"/>
      <c r="AJ99" s="112"/>
      <c r="AK99" s="293"/>
      <c r="AL99" s="300"/>
      <c r="BF99" s="58">
        <v>52</v>
      </c>
      <c r="BG99" s="61"/>
      <c r="BH99" s="61"/>
    </row>
    <row r="100" spans="2:60" ht="15" customHeight="1">
      <c r="B100" s="109"/>
      <c r="C100" s="16"/>
      <c r="D100" s="44"/>
      <c r="E100" s="44"/>
      <c r="F100" s="294"/>
      <c r="G100" s="44"/>
      <c r="H100" s="85"/>
      <c r="I100" s="87"/>
      <c r="J100" s="87"/>
      <c r="K100" s="87"/>
      <c r="L100" s="87"/>
      <c r="M100" s="87"/>
      <c r="N100" s="87"/>
      <c r="O100" s="87"/>
      <c r="P100" s="35"/>
      <c r="Q100" s="36"/>
      <c r="R100" s="44"/>
      <c r="S100" s="44"/>
      <c r="T100" s="111"/>
      <c r="U100" s="49"/>
      <c r="V100" s="204" t="s">
        <v>54</v>
      </c>
      <c r="W100" s="204"/>
      <c r="X100" s="205">
        <f>M19</f>
        <v>68</v>
      </c>
      <c r="Y100" s="205"/>
      <c r="Z100" s="49"/>
      <c r="AA100" s="17"/>
      <c r="AB100" s="110"/>
      <c r="AD100" s="300"/>
      <c r="AE100" s="293"/>
      <c r="AF100" s="112"/>
      <c r="AG100" s="112"/>
      <c r="AH100" s="112"/>
      <c r="AI100" s="112"/>
      <c r="AJ100" s="112"/>
      <c r="AK100" s="293"/>
      <c r="AL100" s="300"/>
      <c r="BF100" s="58"/>
      <c r="BG100" s="61"/>
      <c r="BH100" s="61"/>
    </row>
    <row r="101" spans="2:60" ht="15" customHeight="1">
      <c r="B101" s="109"/>
      <c r="C101" s="16"/>
      <c r="D101" s="44"/>
      <c r="E101" s="44"/>
      <c r="F101" s="294"/>
      <c r="G101" s="44"/>
      <c r="H101" s="86"/>
      <c r="I101" s="99"/>
      <c r="J101" s="99"/>
      <c r="K101" s="99"/>
      <c r="L101" s="99"/>
      <c r="M101" s="99"/>
      <c r="N101" s="99"/>
      <c r="O101" s="100"/>
      <c r="P101" s="101"/>
      <c r="Q101" s="73"/>
      <c r="R101" s="44"/>
      <c r="S101" s="44"/>
      <c r="T101" s="111"/>
      <c r="U101" s="49"/>
      <c r="V101" s="204" t="s">
        <v>58</v>
      </c>
      <c r="W101" s="204"/>
      <c r="X101" s="205">
        <f>M18</f>
        <v>30</v>
      </c>
      <c r="Y101" s="205"/>
      <c r="Z101" s="49"/>
      <c r="AA101" s="17"/>
      <c r="AB101" s="110"/>
      <c r="AD101" s="300"/>
      <c r="AE101" s="293"/>
      <c r="AF101" s="112"/>
      <c r="AG101" s="112"/>
      <c r="AH101" s="112"/>
      <c r="AI101" s="112"/>
      <c r="AJ101" s="112"/>
      <c r="AK101" s="293"/>
      <c r="AL101" s="300"/>
      <c r="BF101" s="58">
        <v>57</v>
      </c>
      <c r="BG101" s="61"/>
      <c r="BH101" s="61"/>
    </row>
    <row r="102" spans="2:60" ht="15" customHeight="1">
      <c r="B102" s="109"/>
      <c r="C102" s="16"/>
      <c r="D102" s="44"/>
      <c r="E102" s="44"/>
      <c r="F102" s="294"/>
      <c r="G102" s="44"/>
      <c r="H102" s="86"/>
      <c r="I102" s="99"/>
      <c r="J102" s="99"/>
      <c r="K102" s="99"/>
      <c r="L102" s="99"/>
      <c r="M102" s="99"/>
      <c r="N102" s="99"/>
      <c r="O102" s="102"/>
      <c r="P102" s="96"/>
      <c r="Q102" s="95"/>
      <c r="R102" s="44"/>
      <c r="S102" s="44"/>
      <c r="T102" s="111"/>
      <c r="U102" s="49"/>
      <c r="V102" s="204" t="s">
        <v>55</v>
      </c>
      <c r="W102" s="204"/>
      <c r="X102" s="205">
        <f>M20</f>
        <v>10</v>
      </c>
      <c r="Y102" s="205"/>
      <c r="Z102" s="49"/>
      <c r="AA102" s="17"/>
      <c r="AB102" s="110"/>
      <c r="AD102" s="300"/>
      <c r="AE102" s="293"/>
      <c r="AF102" s="112"/>
      <c r="AG102" s="112"/>
      <c r="AH102" s="112"/>
      <c r="AI102" s="112"/>
      <c r="AJ102" s="112"/>
      <c r="AK102" s="293"/>
      <c r="AL102" s="300"/>
      <c r="BF102" s="58">
        <v>58</v>
      </c>
      <c r="BG102" s="61"/>
      <c r="BH102" s="61"/>
    </row>
    <row r="103" spans="2:60" ht="15" customHeight="1">
      <c r="B103" s="109"/>
      <c r="C103" s="16"/>
      <c r="D103" s="299"/>
      <c r="E103" s="299"/>
      <c r="F103" s="294"/>
      <c r="G103" s="44"/>
      <c r="H103" s="86"/>
      <c r="I103" s="99"/>
      <c r="J103" s="99"/>
      <c r="K103" s="99"/>
      <c r="L103" s="99"/>
      <c r="M103" s="99"/>
      <c r="N103" s="99"/>
      <c r="O103" s="99"/>
      <c r="P103" s="99"/>
      <c r="Q103" s="89"/>
      <c r="R103" s="44"/>
      <c r="S103" s="44"/>
      <c r="T103" s="206" t="s">
        <v>56</v>
      </c>
      <c r="U103" s="206"/>
      <c r="V103" s="206"/>
      <c r="W103" s="206"/>
      <c r="X103" s="205">
        <f>MIN(X100,2*X102)</f>
        <v>20</v>
      </c>
      <c r="Y103" s="205"/>
      <c r="Z103" s="44" t="s">
        <v>57</v>
      </c>
      <c r="AA103" s="17"/>
      <c r="AB103" s="110"/>
      <c r="AD103" s="300"/>
      <c r="AE103" s="293"/>
      <c r="AF103" s="112"/>
      <c r="AG103" s="112"/>
      <c r="AH103" s="112"/>
      <c r="AI103" s="112"/>
      <c r="AJ103" s="112"/>
      <c r="AK103" s="293"/>
      <c r="AL103" s="300"/>
      <c r="BF103" s="58">
        <v>59</v>
      </c>
      <c r="BG103" s="61"/>
      <c r="BH103" s="61"/>
    </row>
    <row r="104" spans="2:60" ht="15" customHeight="1">
      <c r="B104" s="109"/>
      <c r="C104" s="16"/>
      <c r="D104" s="44"/>
      <c r="E104" s="44"/>
      <c r="F104" s="294"/>
      <c r="G104" s="44"/>
      <c r="H104" s="296" t="s">
        <v>149</v>
      </c>
      <c r="I104" s="297"/>
      <c r="J104" s="297"/>
      <c r="K104" s="297"/>
      <c r="L104" s="297"/>
      <c r="M104" s="297"/>
      <c r="N104" s="297"/>
      <c r="O104" s="297"/>
      <c r="P104" s="297"/>
      <c r="Q104" s="298"/>
      <c r="R104" s="44"/>
      <c r="S104" s="44"/>
      <c r="T104" s="50"/>
      <c r="U104" s="50"/>
      <c r="V104" s="50"/>
      <c r="W104" s="50"/>
      <c r="X104" s="50"/>
      <c r="Y104" s="50"/>
      <c r="Z104" s="50"/>
      <c r="AA104" s="17"/>
      <c r="AB104" s="110"/>
      <c r="AD104" s="300"/>
      <c r="AE104" s="293"/>
      <c r="AF104" s="112"/>
      <c r="AG104" s="112"/>
      <c r="AH104" s="112"/>
      <c r="AI104" s="112"/>
      <c r="AJ104" s="112"/>
      <c r="AK104" s="293"/>
      <c r="AL104" s="300"/>
      <c r="BF104" s="58">
        <v>60</v>
      </c>
      <c r="BG104" s="61"/>
      <c r="BH104" s="61"/>
    </row>
    <row r="105" spans="2:60" ht="15" customHeight="1">
      <c r="B105" s="109"/>
      <c r="C105" s="16"/>
      <c r="D105" s="44"/>
      <c r="E105" s="44"/>
      <c r="F105" s="294"/>
      <c r="G105" s="44"/>
      <c r="H105" s="208" t="str">
        <f>ROUND(K43,2)&amp; " kPa"</f>
        <v>-0.52 kPa</v>
      </c>
      <c r="I105" s="209"/>
      <c r="J105" s="209"/>
      <c r="K105" s="209"/>
      <c r="L105" s="209"/>
      <c r="M105" s="209"/>
      <c r="N105" s="209"/>
      <c r="O105" s="209"/>
      <c r="P105" s="209"/>
      <c r="Q105" s="210"/>
      <c r="R105" s="44"/>
      <c r="S105" s="44"/>
      <c r="T105" s="50"/>
      <c r="U105" s="50"/>
      <c r="V105" s="50"/>
      <c r="W105" s="50"/>
      <c r="X105" s="50"/>
      <c r="Y105" s="50"/>
      <c r="Z105" s="50"/>
      <c r="AA105" s="17"/>
      <c r="AB105" s="110"/>
      <c r="AD105" s="300"/>
      <c r="AE105" s="293"/>
      <c r="AF105" s="112"/>
      <c r="AG105" s="112"/>
      <c r="AH105" s="112"/>
      <c r="AI105" s="112"/>
      <c r="AJ105" s="112"/>
      <c r="AK105" s="293"/>
      <c r="AL105" s="300"/>
      <c r="BF105" s="58">
        <v>61</v>
      </c>
      <c r="BG105" s="61"/>
      <c r="BH105" s="61"/>
    </row>
    <row r="106" spans="2:60" ht="15" customHeight="1">
      <c r="B106" s="109"/>
      <c r="C106" s="16"/>
      <c r="D106" s="44"/>
      <c r="E106" s="44"/>
      <c r="F106" s="294"/>
      <c r="G106" s="44"/>
      <c r="H106" s="211" t="str">
        <f>ROUND(K44,2)&amp; " kPa"</f>
        <v>0.17 kPa</v>
      </c>
      <c r="I106" s="212"/>
      <c r="J106" s="212"/>
      <c r="K106" s="212"/>
      <c r="L106" s="212"/>
      <c r="M106" s="212"/>
      <c r="N106" s="212"/>
      <c r="O106" s="212"/>
      <c r="P106" s="212"/>
      <c r="Q106" s="213"/>
      <c r="R106" s="44"/>
      <c r="S106" s="44"/>
      <c r="T106" s="50"/>
      <c r="U106" s="50"/>
      <c r="V106" s="50"/>
      <c r="W106" s="50"/>
      <c r="X106" s="50"/>
      <c r="Y106" s="50"/>
      <c r="Z106" s="50"/>
      <c r="AA106" s="17"/>
      <c r="AB106" s="110"/>
      <c r="AD106" s="300"/>
      <c r="AE106" s="293"/>
      <c r="AF106" s="112"/>
      <c r="AG106" s="112"/>
      <c r="AH106" s="112"/>
      <c r="AI106" s="112"/>
      <c r="AJ106" s="112"/>
      <c r="AK106" s="293"/>
      <c r="AL106" s="300"/>
      <c r="BF106" s="58">
        <v>62</v>
      </c>
      <c r="BG106" s="61"/>
      <c r="BH106" s="61"/>
    </row>
    <row r="107" spans="2:60" ht="15" customHeight="1">
      <c r="B107" s="109"/>
      <c r="C107" s="16"/>
      <c r="D107" s="44"/>
      <c r="E107" s="44"/>
      <c r="F107" s="294"/>
      <c r="G107" s="44"/>
      <c r="H107" s="98"/>
      <c r="I107" s="104"/>
      <c r="J107" s="104"/>
      <c r="K107" s="104"/>
      <c r="L107" s="103"/>
      <c r="M107" s="104"/>
      <c r="N107" s="104"/>
      <c r="O107" s="102"/>
      <c r="P107" s="96"/>
      <c r="Q107" s="95"/>
      <c r="R107" s="44"/>
      <c r="S107" s="44"/>
      <c r="T107" s="50"/>
      <c r="U107" s="50"/>
      <c r="V107" s="50"/>
      <c r="W107" s="50"/>
      <c r="X107" s="50"/>
      <c r="Y107" s="50"/>
      <c r="Z107" s="50"/>
      <c r="AA107" s="17"/>
      <c r="AB107" s="110"/>
      <c r="AD107" s="300"/>
      <c r="AE107" s="293"/>
      <c r="AF107" s="112"/>
      <c r="AG107" s="112"/>
      <c r="AH107" s="112"/>
      <c r="AI107" s="112"/>
      <c r="AJ107" s="112"/>
      <c r="AK107" s="293"/>
      <c r="AL107" s="300"/>
      <c r="BF107" s="58">
        <v>63</v>
      </c>
      <c r="BG107" s="61"/>
      <c r="BH107" s="61"/>
    </row>
    <row r="108" spans="2:60" ht="15" customHeight="1">
      <c r="B108" s="109"/>
      <c r="C108" s="16"/>
      <c r="D108" s="44"/>
      <c r="E108" s="44"/>
      <c r="F108" s="294"/>
      <c r="G108" s="44"/>
      <c r="H108" s="86"/>
      <c r="I108" s="99"/>
      <c r="J108" s="99"/>
      <c r="K108" s="99"/>
      <c r="L108" s="99"/>
      <c r="M108" s="99"/>
      <c r="N108" s="99"/>
      <c r="O108" s="99"/>
      <c r="P108" s="99"/>
      <c r="Q108" s="89"/>
      <c r="R108" s="44"/>
      <c r="S108" s="44"/>
      <c r="T108" s="50"/>
      <c r="U108" s="50"/>
      <c r="V108" s="50"/>
      <c r="W108" s="50"/>
      <c r="X108" s="50"/>
      <c r="Y108" s="50"/>
      <c r="Z108" s="50"/>
      <c r="AA108" s="17"/>
      <c r="AB108" s="110"/>
      <c r="AD108" s="300"/>
      <c r="AE108" s="293"/>
      <c r="AF108" s="112"/>
      <c r="AG108" s="112"/>
      <c r="AH108" s="112"/>
      <c r="AI108" s="112"/>
      <c r="AJ108" s="112"/>
      <c r="AK108" s="293"/>
      <c r="AL108" s="300"/>
      <c r="BF108" s="58">
        <v>64</v>
      </c>
      <c r="BG108" s="61"/>
      <c r="BH108" s="61"/>
    </row>
    <row r="109" spans="2:60" ht="15" customHeight="1">
      <c r="B109" s="109"/>
      <c r="C109" s="16"/>
      <c r="D109" s="44"/>
      <c r="E109" s="44"/>
      <c r="F109" s="294"/>
      <c r="G109" s="44"/>
      <c r="H109" s="86"/>
      <c r="I109" s="99"/>
      <c r="J109" s="99"/>
      <c r="K109" s="99"/>
      <c r="L109" s="99"/>
      <c r="M109" s="99"/>
      <c r="N109" s="99"/>
      <c r="O109" s="99"/>
      <c r="P109" s="99"/>
      <c r="Q109" s="89"/>
      <c r="R109" s="44"/>
      <c r="S109" s="44"/>
      <c r="T109" s="51"/>
      <c r="U109" s="51"/>
      <c r="V109" s="51"/>
      <c r="W109" s="51"/>
      <c r="X109" s="51"/>
      <c r="Y109" s="51"/>
      <c r="Z109" s="51"/>
      <c r="AA109" s="17"/>
      <c r="AB109" s="110"/>
      <c r="AD109" s="300"/>
      <c r="AE109" s="293"/>
      <c r="AF109" s="112"/>
      <c r="AG109" s="112"/>
      <c r="AH109" s="112"/>
      <c r="AI109" s="112"/>
      <c r="AJ109" s="112"/>
      <c r="AK109" s="293"/>
      <c r="AL109" s="300"/>
      <c r="BF109" s="58">
        <v>66</v>
      </c>
      <c r="BG109" s="61"/>
      <c r="BH109" s="61"/>
    </row>
    <row r="110" spans="2:60" ht="15.75" customHeight="1" thickBot="1">
      <c r="B110" s="109"/>
      <c r="C110" s="16"/>
      <c r="D110" s="44"/>
      <c r="E110" s="44"/>
      <c r="F110" s="94"/>
      <c r="G110" s="44"/>
      <c r="H110" s="86"/>
      <c r="I110" s="99"/>
      <c r="J110" s="99"/>
      <c r="K110" s="99"/>
      <c r="L110" s="99"/>
      <c r="M110" s="99"/>
      <c r="N110" s="99"/>
      <c r="O110" s="99"/>
      <c r="P110" s="99"/>
      <c r="Q110" s="89"/>
      <c r="R110" s="44"/>
      <c r="S110" s="44"/>
      <c r="T110" s="51"/>
      <c r="U110" s="51"/>
      <c r="V110" s="51"/>
      <c r="W110" s="51"/>
      <c r="X110" s="51"/>
      <c r="Y110" s="51"/>
      <c r="Z110" s="51"/>
      <c r="AA110" s="17"/>
      <c r="AB110" s="110"/>
      <c r="AD110" s="300"/>
      <c r="AE110" s="293"/>
      <c r="AF110" s="112"/>
      <c r="AG110" s="112"/>
      <c r="AH110" s="112"/>
      <c r="AI110" s="112"/>
      <c r="AJ110" s="112"/>
      <c r="AK110" s="293"/>
      <c r="AL110" s="300"/>
      <c r="BF110" s="58">
        <v>67</v>
      </c>
      <c r="BG110" s="61"/>
      <c r="BH110" s="61"/>
    </row>
    <row r="111" spans="2:60" ht="15" customHeight="1">
      <c r="B111" s="109"/>
      <c r="C111" s="16"/>
      <c r="D111" s="44"/>
      <c r="E111" s="44"/>
      <c r="F111" s="94"/>
      <c r="G111" s="44"/>
      <c r="H111" s="214" t="s">
        <v>152</v>
      </c>
      <c r="I111" s="215"/>
      <c r="J111" s="216"/>
      <c r="K111" s="214" t="s">
        <v>148</v>
      </c>
      <c r="L111" s="215"/>
      <c r="M111" s="215"/>
      <c r="N111" s="216"/>
      <c r="O111" s="214" t="s">
        <v>152</v>
      </c>
      <c r="P111" s="215"/>
      <c r="Q111" s="216"/>
      <c r="R111" s="44"/>
      <c r="S111" s="44"/>
      <c r="T111" s="51"/>
      <c r="U111" s="51"/>
      <c r="V111" s="51"/>
      <c r="W111" s="51"/>
      <c r="X111" s="51"/>
      <c r="Y111" s="51"/>
      <c r="Z111" s="51"/>
      <c r="AA111" s="17"/>
      <c r="AB111" s="110"/>
      <c r="AD111" s="300"/>
      <c r="AE111" s="293"/>
      <c r="AF111" s="112"/>
      <c r="AG111" s="112"/>
      <c r="AH111" s="112"/>
      <c r="AI111" s="112"/>
      <c r="AJ111" s="112"/>
      <c r="AK111" s="293"/>
      <c r="AL111" s="300"/>
      <c r="BF111" s="58">
        <v>68</v>
      </c>
      <c r="BG111" s="61"/>
      <c r="BH111" s="61"/>
    </row>
    <row r="112" spans="2:60" ht="15" customHeight="1">
      <c r="B112" s="109"/>
      <c r="C112" s="16"/>
      <c r="D112" s="44"/>
      <c r="E112" s="44"/>
      <c r="F112" s="94"/>
      <c r="G112" s="44"/>
      <c r="H112" s="208" t="str">
        <f>ROUND(G43,2)&amp; " kPa"</f>
        <v>-1.22 kPa</v>
      </c>
      <c r="I112" s="209"/>
      <c r="J112" s="210"/>
      <c r="K112" s="208" t="str">
        <f>ROUND(I43,2)&amp; " kPa"</f>
        <v>-0.92 kPa</v>
      </c>
      <c r="L112" s="209"/>
      <c r="M112" s="209"/>
      <c r="N112" s="210"/>
      <c r="O112" s="208" t="str">
        <f>H112</f>
        <v>-1.22 kPa</v>
      </c>
      <c r="P112" s="217"/>
      <c r="Q112" s="218"/>
      <c r="R112" s="44"/>
      <c r="S112" s="44"/>
      <c r="T112" s="51"/>
      <c r="U112" s="51"/>
      <c r="V112" s="51"/>
      <c r="W112" s="51"/>
      <c r="X112" s="51"/>
      <c r="Y112" s="51"/>
      <c r="Z112" s="51"/>
      <c r="AA112" s="17"/>
      <c r="AB112" s="110"/>
      <c r="AD112" s="300"/>
      <c r="AE112" s="293"/>
      <c r="AF112" s="112"/>
      <c r="AG112" s="112"/>
      <c r="AH112" s="112"/>
      <c r="AI112" s="112"/>
      <c r="AJ112" s="112"/>
      <c r="AK112" s="293"/>
      <c r="AL112" s="300"/>
      <c r="BF112" s="58">
        <v>69</v>
      </c>
      <c r="BG112" s="61"/>
      <c r="BH112" s="61"/>
    </row>
    <row r="113" spans="2:60" ht="15.75" customHeight="1" thickBot="1">
      <c r="B113" s="109"/>
      <c r="C113" s="16"/>
      <c r="D113" s="44"/>
      <c r="E113" s="44"/>
      <c r="F113" s="94"/>
      <c r="G113" s="44"/>
      <c r="H113" s="219" t="str">
        <f>ROUND(G44,2)&amp; " kPa"</f>
        <v>0.17 kPa</v>
      </c>
      <c r="I113" s="220"/>
      <c r="J113" s="221"/>
      <c r="K113" s="219" t="str">
        <f>ROUND(I44,2)&amp; " kPa"</f>
        <v>0.17 kPa</v>
      </c>
      <c r="L113" s="220"/>
      <c r="M113" s="220"/>
      <c r="N113" s="221"/>
      <c r="O113" s="219" t="str">
        <f>H113</f>
        <v>0.17 kPa</v>
      </c>
      <c r="P113" s="222"/>
      <c r="Q113" s="223"/>
      <c r="R113" s="44"/>
      <c r="S113" s="44"/>
      <c r="T113" s="51"/>
      <c r="U113" s="51"/>
      <c r="V113" s="51"/>
      <c r="W113" s="51"/>
      <c r="X113" s="51"/>
      <c r="Y113" s="51"/>
      <c r="Z113" s="51"/>
      <c r="AA113" s="17"/>
      <c r="AB113" s="110"/>
      <c r="AD113" s="300"/>
      <c r="AE113" s="293"/>
      <c r="AF113" s="112"/>
      <c r="AG113" s="112"/>
      <c r="AH113" s="112"/>
      <c r="AI113" s="112"/>
      <c r="AJ113" s="112"/>
      <c r="AK113" s="293"/>
      <c r="AL113" s="300"/>
      <c r="BF113" s="58"/>
      <c r="BG113" s="61"/>
      <c r="BH113" s="61"/>
    </row>
    <row r="114" spans="2:60" ht="15" customHeight="1">
      <c r="B114" s="109"/>
      <c r="C114" s="16"/>
      <c r="D114" s="44"/>
      <c r="E114" s="44"/>
      <c r="F114" s="94"/>
      <c r="G114" s="44"/>
      <c r="H114" s="207" t="s">
        <v>145</v>
      </c>
      <c r="I114" s="207"/>
      <c r="J114" s="207"/>
      <c r="K114" s="207"/>
      <c r="L114" s="207"/>
      <c r="M114" s="207"/>
      <c r="N114" s="207"/>
      <c r="O114" s="207"/>
      <c r="P114" s="207"/>
      <c r="Q114" s="207"/>
      <c r="R114" s="44"/>
      <c r="S114" s="44"/>
      <c r="T114" s="51"/>
      <c r="U114" s="51"/>
      <c r="V114" s="51"/>
      <c r="W114" s="51"/>
      <c r="X114" s="51"/>
      <c r="Y114" s="51"/>
      <c r="Z114" s="51"/>
      <c r="AA114" s="17"/>
      <c r="AB114" s="110"/>
      <c r="AD114" s="300"/>
      <c r="AE114" s="293"/>
      <c r="AF114" s="112"/>
      <c r="AG114" s="112"/>
      <c r="AH114" s="112"/>
      <c r="AI114" s="112"/>
      <c r="AJ114" s="112"/>
      <c r="AK114" s="293"/>
      <c r="AL114" s="300"/>
      <c r="BF114" s="58"/>
      <c r="BG114" s="61"/>
      <c r="BH114" s="61"/>
    </row>
    <row r="115" spans="2:60" ht="15" customHeight="1">
      <c r="B115" s="109"/>
      <c r="C115" s="16"/>
      <c r="D115" s="44"/>
      <c r="E115" s="44"/>
      <c r="F115" s="9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51"/>
      <c r="U115" s="51"/>
      <c r="V115" s="51"/>
      <c r="W115" s="51"/>
      <c r="X115" s="51"/>
      <c r="Y115" s="51"/>
      <c r="Z115" s="51"/>
      <c r="AA115" s="17"/>
      <c r="AB115" s="110"/>
      <c r="AD115" s="300"/>
      <c r="AE115" s="293"/>
      <c r="AF115" s="112"/>
      <c r="AG115" s="112"/>
      <c r="AH115" s="112"/>
      <c r="AI115" s="112"/>
      <c r="AJ115" s="112"/>
      <c r="AK115" s="293"/>
      <c r="AL115" s="300"/>
      <c r="BF115" s="58"/>
      <c r="BG115" s="61"/>
      <c r="BH115" s="61"/>
    </row>
    <row r="116" spans="2:60" ht="15" customHeight="1">
      <c r="B116" s="109"/>
      <c r="C116" s="16"/>
      <c r="D116" s="44"/>
      <c r="E116" s="44"/>
      <c r="F116" s="94"/>
      <c r="G116" s="44"/>
      <c r="H116" s="44"/>
      <c r="I116" s="44"/>
      <c r="J116" s="44"/>
      <c r="K116" s="44"/>
      <c r="L116" s="44"/>
      <c r="M116" s="184" t="s">
        <v>203</v>
      </c>
      <c r="N116" s="44"/>
      <c r="O116" s="44"/>
      <c r="P116" s="44"/>
      <c r="Q116" s="44"/>
      <c r="R116" s="44"/>
      <c r="S116" s="44"/>
      <c r="T116" s="51"/>
      <c r="U116" s="51"/>
      <c r="V116" s="51"/>
      <c r="W116" s="51"/>
      <c r="X116" s="51"/>
      <c r="Y116" s="51"/>
      <c r="Z116" s="51"/>
      <c r="AA116" s="17"/>
      <c r="AB116" s="110"/>
      <c r="AD116" s="300"/>
      <c r="AE116" s="293"/>
      <c r="AF116" s="112"/>
      <c r="AG116" s="112"/>
      <c r="AH116" s="112"/>
      <c r="AI116" s="112"/>
      <c r="AJ116" s="112"/>
      <c r="AK116" s="293"/>
      <c r="AL116" s="300"/>
      <c r="BF116" s="58"/>
      <c r="BG116" s="61"/>
      <c r="BH116" s="61"/>
    </row>
    <row r="117" spans="2:60" ht="15" customHeight="1">
      <c r="B117" s="109"/>
      <c r="C117" s="16"/>
      <c r="D117" s="44"/>
      <c r="E117" s="44"/>
      <c r="F117" s="94"/>
      <c r="G117" s="44"/>
      <c r="H117" s="44"/>
      <c r="I117" s="44"/>
      <c r="J117" s="44"/>
      <c r="K117" s="44"/>
      <c r="L117" s="44"/>
      <c r="M117" s="184"/>
      <c r="N117" s="44"/>
      <c r="O117" s="44"/>
      <c r="P117" s="44"/>
      <c r="Q117" s="44"/>
      <c r="R117" s="44"/>
      <c r="S117" s="44"/>
      <c r="T117" s="51"/>
      <c r="U117" s="51"/>
      <c r="V117" s="51"/>
      <c r="W117" s="51"/>
      <c r="X117" s="51"/>
      <c r="Y117" s="51"/>
      <c r="Z117" s="51"/>
      <c r="AA117" s="17"/>
      <c r="AB117" s="110"/>
      <c r="AD117" s="300"/>
      <c r="AE117" s="293"/>
      <c r="AF117" s="112"/>
      <c r="AG117" s="112"/>
      <c r="AH117" s="112"/>
      <c r="AI117" s="112"/>
      <c r="AJ117" s="112"/>
      <c r="AK117" s="293"/>
      <c r="AL117" s="300"/>
      <c r="BF117" s="58"/>
      <c r="BG117" s="61"/>
      <c r="BH117" s="61"/>
    </row>
    <row r="118" spans="2:60" ht="15" customHeight="1">
      <c r="B118" s="109"/>
      <c r="C118" s="18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20"/>
      <c r="AB118" s="110"/>
      <c r="AD118" s="300"/>
      <c r="AE118" s="293"/>
      <c r="AF118" s="112"/>
      <c r="AG118" s="112"/>
      <c r="AH118" s="112"/>
      <c r="AI118" s="112"/>
      <c r="AJ118" s="112"/>
      <c r="AK118" s="293"/>
      <c r="AL118" s="300"/>
      <c r="BF118" s="58"/>
      <c r="BG118" s="61"/>
      <c r="BH118" s="61"/>
    </row>
    <row r="119" spans="2:60" s="2" customFormat="1" ht="15">
      <c r="B119" s="109"/>
      <c r="C119" s="16"/>
      <c r="D119" s="44"/>
      <c r="E119" s="44"/>
      <c r="F119" s="44"/>
      <c r="G119" s="44"/>
      <c r="H119" s="43"/>
      <c r="I119" s="43"/>
      <c r="J119" s="93"/>
      <c r="K119" s="93"/>
      <c r="L119" s="44"/>
      <c r="M119" s="43"/>
      <c r="N119" s="43"/>
      <c r="O119" s="93"/>
      <c r="P119" s="93"/>
      <c r="Q119" s="105"/>
      <c r="R119" s="105"/>
      <c r="S119" s="105"/>
      <c r="T119" s="105"/>
      <c r="U119" s="93"/>
      <c r="V119" s="93"/>
      <c r="W119" s="44"/>
      <c r="X119" s="44"/>
      <c r="Y119" s="44"/>
      <c r="Z119" s="44"/>
      <c r="AA119" s="17"/>
      <c r="AB119" s="110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58"/>
      <c r="BG119" s="61"/>
      <c r="BH119" s="61"/>
    </row>
    <row r="120" spans="2:60" ht="15">
      <c r="B120" s="1"/>
      <c r="C120" s="16"/>
      <c r="D120" s="44"/>
      <c r="E120" s="44"/>
      <c r="F120" s="44"/>
      <c r="G120" s="44"/>
      <c r="H120" s="204"/>
      <c r="I120" s="204"/>
      <c r="J120" s="205"/>
      <c r="K120" s="205"/>
      <c r="L120" s="44"/>
      <c r="M120" s="184" t="s">
        <v>203</v>
      </c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108"/>
      <c r="Y120" s="108"/>
      <c r="Z120" s="108"/>
      <c r="AA120" s="17"/>
      <c r="AB120" s="3"/>
      <c r="BF120" s="58">
        <v>70</v>
      </c>
      <c r="BG120" s="61"/>
      <c r="BH120" s="61"/>
    </row>
    <row r="121" spans="2:60" ht="15">
      <c r="B121" s="1"/>
      <c r="C121" s="16"/>
      <c r="D121" s="44"/>
      <c r="E121" s="44"/>
      <c r="F121" s="44"/>
      <c r="G121" s="44"/>
      <c r="H121" s="44"/>
      <c r="I121" s="44"/>
      <c r="J121" s="44"/>
      <c r="K121" s="44"/>
      <c r="L121" s="44"/>
      <c r="M121" s="184"/>
      <c r="N121" s="44"/>
      <c r="O121" s="44"/>
      <c r="P121" s="44"/>
      <c r="Q121" s="44"/>
      <c r="R121" s="44"/>
      <c r="S121" s="44"/>
      <c r="T121" s="52"/>
      <c r="U121" s="52"/>
      <c r="V121" s="52"/>
      <c r="W121" s="52"/>
      <c r="X121" s="52"/>
      <c r="Y121" s="52"/>
      <c r="Z121" s="52"/>
      <c r="AA121" s="17"/>
      <c r="AB121" s="3"/>
    </row>
    <row r="122" spans="2:60" ht="15">
      <c r="B122" s="1"/>
      <c r="C122" s="16"/>
      <c r="D122" s="44"/>
      <c r="E122" s="44"/>
      <c r="F122" s="29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9"/>
      <c r="U122" s="49"/>
      <c r="V122" s="49"/>
      <c r="W122" s="49"/>
      <c r="X122" s="49"/>
      <c r="Y122" s="49"/>
      <c r="Z122" s="49"/>
      <c r="AA122" s="17"/>
      <c r="AB122" s="3"/>
    </row>
    <row r="123" spans="2:60" ht="15.75" thickBot="1">
      <c r="B123" s="1"/>
      <c r="C123" s="16"/>
      <c r="D123" s="44"/>
      <c r="E123" s="44"/>
      <c r="F123" s="294"/>
      <c r="G123" s="44"/>
      <c r="H123" s="207" t="s">
        <v>144</v>
      </c>
      <c r="I123" s="207"/>
      <c r="J123" s="207"/>
      <c r="K123" s="207"/>
      <c r="L123" s="207"/>
      <c r="M123" s="207"/>
      <c r="N123" s="207"/>
      <c r="O123" s="207"/>
      <c r="P123" s="207"/>
      <c r="Q123" s="207"/>
      <c r="R123" s="44"/>
      <c r="S123" s="44"/>
      <c r="T123" s="49"/>
      <c r="U123" s="49"/>
      <c r="V123" s="49"/>
      <c r="W123" s="49"/>
      <c r="X123" s="49"/>
      <c r="Y123" s="49"/>
      <c r="Z123" s="49"/>
      <c r="AA123" s="17"/>
      <c r="AB123" s="3"/>
    </row>
    <row r="124" spans="2:60" ht="15">
      <c r="B124" s="1"/>
      <c r="C124" s="16"/>
      <c r="D124" s="44"/>
      <c r="E124" s="44"/>
      <c r="F124" s="294"/>
      <c r="G124" s="44"/>
      <c r="H124" s="214" t="s">
        <v>152</v>
      </c>
      <c r="I124" s="215"/>
      <c r="J124" s="216"/>
      <c r="K124" s="214" t="s">
        <v>148</v>
      </c>
      <c r="L124" s="215"/>
      <c r="M124" s="215"/>
      <c r="N124" s="216"/>
      <c r="O124" s="214" t="s">
        <v>152</v>
      </c>
      <c r="P124" s="215"/>
      <c r="Q124" s="216"/>
      <c r="R124" s="44"/>
      <c r="S124" s="44"/>
      <c r="T124" s="111"/>
      <c r="U124" s="49"/>
      <c r="V124" s="204" t="s">
        <v>54</v>
      </c>
      <c r="W124" s="204"/>
      <c r="X124" s="205">
        <f>X100</f>
        <v>68</v>
      </c>
      <c r="Y124" s="205"/>
      <c r="Z124" s="49"/>
      <c r="AA124" s="17"/>
      <c r="AB124" s="3"/>
    </row>
    <row r="125" spans="2:60" ht="15">
      <c r="B125" s="1"/>
      <c r="C125" s="16"/>
      <c r="D125" s="44"/>
      <c r="E125" s="44"/>
      <c r="F125" s="294"/>
      <c r="G125" s="44"/>
      <c r="H125" s="208" t="str">
        <f>ROUND(U41,2)&amp; " kPa"</f>
        <v>-1.77 kPa</v>
      </c>
      <c r="I125" s="209"/>
      <c r="J125" s="210"/>
      <c r="K125" s="208" t="str">
        <f>ROUND(W41,2)&amp; " kPa"</f>
        <v>-1.04 kPa</v>
      </c>
      <c r="L125" s="209"/>
      <c r="M125" s="209"/>
      <c r="N125" s="210"/>
      <c r="O125" s="208" t="str">
        <f>H125</f>
        <v>-1.77 kPa</v>
      </c>
      <c r="P125" s="217"/>
      <c r="Q125" s="218"/>
      <c r="R125" s="44"/>
      <c r="S125" s="44"/>
      <c r="T125" s="111"/>
      <c r="U125" s="49"/>
      <c r="V125" s="204" t="s">
        <v>58</v>
      </c>
      <c r="W125" s="204"/>
      <c r="X125" s="205">
        <f t="shared" ref="X125:X127" si="38">X101</f>
        <v>30</v>
      </c>
      <c r="Y125" s="205"/>
      <c r="Z125" s="49"/>
      <c r="AA125" s="17"/>
      <c r="AB125" s="3"/>
    </row>
    <row r="126" spans="2:60" ht="15.75" thickBot="1">
      <c r="B126" s="1"/>
      <c r="C126" s="16"/>
      <c r="D126" s="44"/>
      <c r="E126" s="44"/>
      <c r="F126" s="294"/>
      <c r="G126" s="44"/>
      <c r="H126" s="219" t="str">
        <f>ROUND(U42,2)&amp; " kPa"</f>
        <v>-1.49 kPa</v>
      </c>
      <c r="I126" s="220"/>
      <c r="J126" s="221"/>
      <c r="K126" s="219" t="str">
        <f>ROUND(W42,2)&amp; " kPa"</f>
        <v>-0.77 kPa</v>
      </c>
      <c r="L126" s="220"/>
      <c r="M126" s="220"/>
      <c r="N126" s="221"/>
      <c r="O126" s="219" t="str">
        <f>H126</f>
        <v>-1.49 kPa</v>
      </c>
      <c r="P126" s="222"/>
      <c r="Q126" s="223"/>
      <c r="R126" s="44"/>
      <c r="S126" s="44"/>
      <c r="T126" s="111"/>
      <c r="U126" s="49"/>
      <c r="V126" s="204" t="s">
        <v>55</v>
      </c>
      <c r="W126" s="204"/>
      <c r="X126" s="205">
        <f t="shared" si="38"/>
        <v>10</v>
      </c>
      <c r="Y126" s="205"/>
      <c r="Z126" s="49"/>
      <c r="AA126" s="17"/>
      <c r="AB126" s="3"/>
    </row>
    <row r="127" spans="2:60" ht="15">
      <c r="B127" s="1"/>
      <c r="C127" s="16"/>
      <c r="D127" s="299"/>
      <c r="E127" s="299"/>
      <c r="F127" s="294"/>
      <c r="G127" s="44"/>
      <c r="H127" s="85"/>
      <c r="I127" s="87"/>
      <c r="J127" s="87"/>
      <c r="K127" s="87"/>
      <c r="L127" s="87"/>
      <c r="M127" s="87"/>
      <c r="N127" s="87"/>
      <c r="O127" s="87"/>
      <c r="P127" s="35"/>
      <c r="Q127" s="36"/>
      <c r="R127" s="44"/>
      <c r="S127" s="44"/>
      <c r="T127" s="206" t="s">
        <v>56</v>
      </c>
      <c r="U127" s="206"/>
      <c r="V127" s="206"/>
      <c r="W127" s="206"/>
      <c r="X127" s="205">
        <f t="shared" si="38"/>
        <v>20</v>
      </c>
      <c r="Y127" s="205"/>
      <c r="Z127" s="44" t="s">
        <v>57</v>
      </c>
      <c r="AA127" s="17"/>
      <c r="AB127" s="3"/>
    </row>
    <row r="128" spans="2:60" ht="15">
      <c r="B128" s="1"/>
      <c r="C128" s="16"/>
      <c r="D128" s="44"/>
      <c r="E128" s="44"/>
      <c r="F128" s="294"/>
      <c r="G128" s="44"/>
      <c r="H128" s="86"/>
      <c r="I128" s="99"/>
      <c r="J128" s="99"/>
      <c r="K128" s="99"/>
      <c r="L128" s="99"/>
      <c r="M128" s="99"/>
      <c r="N128" s="99"/>
      <c r="O128" s="100"/>
      <c r="P128" s="101"/>
      <c r="Q128" s="73"/>
      <c r="R128" s="44"/>
      <c r="S128" s="44"/>
      <c r="T128" s="50"/>
      <c r="U128" s="50"/>
      <c r="V128" s="50"/>
      <c r="W128" s="50"/>
      <c r="X128" s="50"/>
      <c r="Y128" s="50"/>
      <c r="Z128" s="50"/>
      <c r="AA128" s="17"/>
      <c r="AB128" s="3"/>
    </row>
    <row r="129" spans="2:28" ht="15">
      <c r="B129" s="1"/>
      <c r="C129" s="16"/>
      <c r="D129" s="44"/>
      <c r="E129" s="44"/>
      <c r="F129" s="294"/>
      <c r="G129" s="44"/>
      <c r="H129" s="86"/>
      <c r="I129" s="99"/>
      <c r="J129" s="99"/>
      <c r="K129" s="99"/>
      <c r="L129" s="99"/>
      <c r="M129" s="99"/>
      <c r="N129" s="99"/>
      <c r="O129" s="102"/>
      <c r="P129" s="96"/>
      <c r="Q129" s="95"/>
      <c r="R129" s="44"/>
      <c r="S129" s="44"/>
      <c r="T129" s="50"/>
      <c r="U129" s="50"/>
      <c r="V129" s="50"/>
      <c r="W129" s="50"/>
      <c r="X129" s="50"/>
      <c r="Y129" s="50"/>
      <c r="Z129" s="50"/>
      <c r="AA129" s="17"/>
      <c r="AB129" s="3"/>
    </row>
    <row r="130" spans="2:28" ht="15">
      <c r="B130" s="1"/>
      <c r="C130" s="16"/>
      <c r="D130" s="44"/>
      <c r="E130" s="44"/>
      <c r="F130" s="294"/>
      <c r="G130" s="44"/>
      <c r="H130" s="86"/>
      <c r="I130" s="99"/>
      <c r="J130" s="99"/>
      <c r="K130" s="99"/>
      <c r="L130" s="99"/>
      <c r="M130" s="99"/>
      <c r="N130" s="99"/>
      <c r="O130" s="99"/>
      <c r="P130" s="99"/>
      <c r="Q130" s="89"/>
      <c r="R130" s="44"/>
      <c r="S130" s="44"/>
      <c r="T130" s="50"/>
      <c r="U130" s="50"/>
      <c r="V130" s="50"/>
      <c r="W130" s="50"/>
      <c r="X130" s="50"/>
      <c r="Y130" s="50"/>
      <c r="Z130" s="50"/>
      <c r="AA130" s="17"/>
      <c r="AB130" s="3"/>
    </row>
    <row r="131" spans="2:28" ht="15">
      <c r="B131" s="1"/>
      <c r="C131" s="16"/>
      <c r="D131" s="44"/>
      <c r="E131" s="44"/>
      <c r="F131" s="294"/>
      <c r="G131" s="44"/>
      <c r="H131" s="296" t="s">
        <v>149</v>
      </c>
      <c r="I131" s="297"/>
      <c r="J131" s="297"/>
      <c r="K131" s="297"/>
      <c r="L131" s="297"/>
      <c r="M131" s="297"/>
      <c r="N131" s="297"/>
      <c r="O131" s="297"/>
      <c r="P131" s="297"/>
      <c r="Q131" s="298"/>
      <c r="R131" s="44"/>
      <c r="S131" s="44"/>
      <c r="T131" s="50"/>
      <c r="U131" s="50"/>
      <c r="V131" s="50"/>
      <c r="W131" s="50"/>
      <c r="X131" s="50"/>
      <c r="Y131" s="50"/>
      <c r="Z131" s="50"/>
      <c r="AA131" s="17"/>
      <c r="AB131" s="3"/>
    </row>
    <row r="132" spans="2:28" ht="15">
      <c r="B132" s="1"/>
      <c r="C132" s="16"/>
      <c r="D132" s="44"/>
      <c r="E132" s="44"/>
      <c r="F132" s="294"/>
      <c r="G132" s="44"/>
      <c r="H132" s="208" t="str">
        <f>ROUND(Y41,2)&amp; " kPa"</f>
        <v>-0.71 kPa</v>
      </c>
      <c r="I132" s="209"/>
      <c r="J132" s="209"/>
      <c r="K132" s="209"/>
      <c r="L132" s="209"/>
      <c r="M132" s="209"/>
      <c r="N132" s="209"/>
      <c r="O132" s="209"/>
      <c r="P132" s="209"/>
      <c r="Q132" s="210"/>
      <c r="R132" s="44"/>
      <c r="S132" s="44"/>
      <c r="T132" s="50"/>
      <c r="U132" s="50"/>
      <c r="V132" s="50"/>
      <c r="W132" s="50"/>
      <c r="X132" s="50"/>
      <c r="Y132" s="50"/>
      <c r="Z132" s="50"/>
      <c r="AA132" s="17"/>
      <c r="AB132" s="3"/>
    </row>
    <row r="133" spans="2:28" ht="15">
      <c r="B133" s="1"/>
      <c r="C133" s="16"/>
      <c r="D133" s="44"/>
      <c r="E133" s="44"/>
      <c r="F133" s="294"/>
      <c r="G133" s="44"/>
      <c r="H133" s="211" t="str">
        <f>ROUND(Y42,2)&amp; " kPa"</f>
        <v>-0.43 kPa</v>
      </c>
      <c r="I133" s="212"/>
      <c r="J133" s="212"/>
      <c r="K133" s="212"/>
      <c r="L133" s="212"/>
      <c r="M133" s="212"/>
      <c r="N133" s="212"/>
      <c r="O133" s="212"/>
      <c r="P133" s="212"/>
      <c r="Q133" s="213"/>
      <c r="R133" s="44"/>
      <c r="S133" s="44"/>
      <c r="T133" s="51"/>
      <c r="U133" s="51"/>
      <c r="V133" s="51"/>
      <c r="W133" s="51"/>
      <c r="X133" s="51"/>
      <c r="Y133" s="51"/>
      <c r="Z133" s="51"/>
      <c r="AA133" s="17"/>
      <c r="AB133" s="3"/>
    </row>
    <row r="134" spans="2:28" ht="15">
      <c r="B134" s="1"/>
      <c r="C134" s="16"/>
      <c r="D134" s="44"/>
      <c r="E134" s="44"/>
      <c r="F134" s="94"/>
      <c r="G134" s="44"/>
      <c r="H134" s="98"/>
      <c r="I134" s="104"/>
      <c r="J134" s="104"/>
      <c r="K134" s="104"/>
      <c r="L134" s="103"/>
      <c r="M134" s="104"/>
      <c r="N134" s="104"/>
      <c r="O134" s="102"/>
      <c r="P134" s="96"/>
      <c r="Q134" s="95"/>
      <c r="R134" s="44"/>
      <c r="S134" s="44"/>
      <c r="T134" s="51"/>
      <c r="U134" s="51"/>
      <c r="V134" s="51"/>
      <c r="W134" s="51"/>
      <c r="X134" s="51"/>
      <c r="Y134" s="51"/>
      <c r="Z134" s="51"/>
      <c r="AA134" s="17"/>
      <c r="AB134" s="3"/>
    </row>
    <row r="135" spans="2:28" ht="15">
      <c r="B135" s="1"/>
      <c r="C135" s="16"/>
      <c r="D135" s="44"/>
      <c r="E135" s="44"/>
      <c r="F135" s="94"/>
      <c r="G135" s="44"/>
      <c r="H135" s="86"/>
      <c r="I135" s="99"/>
      <c r="J135" s="99"/>
      <c r="K135" s="99"/>
      <c r="L135" s="99"/>
      <c r="M135" s="99"/>
      <c r="N135" s="99"/>
      <c r="O135" s="99"/>
      <c r="P135" s="99"/>
      <c r="Q135" s="89"/>
      <c r="R135" s="44"/>
      <c r="S135" s="44"/>
      <c r="T135" s="51"/>
      <c r="U135" s="51"/>
      <c r="V135" s="51"/>
      <c r="W135" s="51"/>
      <c r="X135" s="51"/>
      <c r="Y135" s="51"/>
      <c r="Z135" s="51"/>
      <c r="AA135" s="17"/>
      <c r="AB135" s="3"/>
    </row>
    <row r="136" spans="2:28" ht="15">
      <c r="B136" s="1"/>
      <c r="C136" s="16"/>
      <c r="D136" s="44"/>
      <c r="E136" s="44"/>
      <c r="F136" s="94"/>
      <c r="G136" s="44"/>
      <c r="H136" s="86"/>
      <c r="I136" s="99"/>
      <c r="J136" s="99"/>
      <c r="K136" s="99"/>
      <c r="L136" s="99"/>
      <c r="M136" s="99"/>
      <c r="N136" s="99"/>
      <c r="O136" s="99"/>
      <c r="P136" s="99"/>
      <c r="Q136" s="89"/>
      <c r="R136" s="44"/>
      <c r="S136" s="44"/>
      <c r="T136" s="51"/>
      <c r="U136" s="51"/>
      <c r="V136" s="51"/>
      <c r="W136" s="51"/>
      <c r="X136" s="51"/>
      <c r="Y136" s="51"/>
      <c r="Z136" s="51"/>
      <c r="AA136" s="17"/>
      <c r="AB136" s="3"/>
    </row>
    <row r="137" spans="2:28" ht="15.75" thickBot="1">
      <c r="B137" s="1"/>
      <c r="C137" s="16"/>
      <c r="D137" s="44"/>
      <c r="E137" s="44"/>
      <c r="F137" s="94"/>
      <c r="G137" s="44"/>
      <c r="H137" s="90"/>
      <c r="I137" s="91"/>
      <c r="J137" s="91"/>
      <c r="K137" s="91"/>
      <c r="L137" s="91"/>
      <c r="M137" s="91"/>
      <c r="N137" s="91"/>
      <c r="O137" s="91"/>
      <c r="P137" s="91"/>
      <c r="Q137" s="92"/>
      <c r="R137" s="44"/>
      <c r="S137" s="44"/>
      <c r="T137" s="51"/>
      <c r="U137" s="51"/>
      <c r="V137" s="51"/>
      <c r="W137" s="51"/>
      <c r="X137" s="51"/>
      <c r="Y137" s="51"/>
      <c r="Z137" s="51"/>
      <c r="AA137" s="17"/>
      <c r="AB137" s="3"/>
    </row>
    <row r="138" spans="2:28" ht="15">
      <c r="B138" s="1"/>
      <c r="C138" s="16"/>
      <c r="D138" s="44"/>
      <c r="E138" s="44"/>
      <c r="F138" s="94"/>
      <c r="G138" s="44"/>
      <c r="H138" s="207" t="s">
        <v>145</v>
      </c>
      <c r="I138" s="207"/>
      <c r="J138" s="207"/>
      <c r="K138" s="207"/>
      <c r="L138" s="207"/>
      <c r="M138" s="207"/>
      <c r="N138" s="207"/>
      <c r="O138" s="207"/>
      <c r="P138" s="207"/>
      <c r="Q138" s="207"/>
      <c r="R138" s="44"/>
      <c r="S138" s="44"/>
      <c r="T138" s="51"/>
      <c r="U138" s="51"/>
      <c r="V138" s="51"/>
      <c r="W138" s="51"/>
      <c r="X138" s="51"/>
      <c r="Y138" s="51"/>
      <c r="Z138" s="51"/>
      <c r="AA138" s="17"/>
      <c r="AB138" s="3"/>
    </row>
    <row r="139" spans="2:28">
      <c r="B139" s="4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6"/>
    </row>
    <row r="144" spans="2:28">
      <c r="H144" s="15"/>
      <c r="I144" s="15"/>
      <c r="J144" s="15"/>
      <c r="K144" s="15"/>
      <c r="L144" s="15"/>
      <c r="M144" s="15"/>
      <c r="N144" s="15"/>
      <c r="O144" s="15"/>
      <c r="P144" s="15"/>
      <c r="Q144" s="15"/>
    </row>
    <row r="145" spans="8:17">
      <c r="H145" s="15"/>
      <c r="I145" s="15"/>
      <c r="J145" s="15"/>
      <c r="K145" s="15"/>
      <c r="L145" s="15"/>
      <c r="M145" s="15"/>
      <c r="N145" s="15"/>
      <c r="O145" s="15"/>
      <c r="P145" s="15"/>
      <c r="Q145" s="15"/>
    </row>
    <row r="146" spans="8:17">
      <c r="H146" s="15"/>
      <c r="I146" s="15"/>
      <c r="J146" s="15"/>
      <c r="K146" s="15"/>
      <c r="L146" s="15"/>
      <c r="M146" s="15"/>
      <c r="N146" s="15"/>
      <c r="O146" s="15"/>
      <c r="P146" s="15"/>
      <c r="Q146" s="15"/>
    </row>
    <row r="147" spans="8:17">
      <c r="H147" s="15"/>
      <c r="I147" s="15"/>
      <c r="J147" s="15"/>
      <c r="K147" s="15"/>
      <c r="L147" s="15"/>
      <c r="M147" s="15"/>
      <c r="N147" s="15"/>
      <c r="O147" s="15"/>
      <c r="P147" s="15"/>
      <c r="Q147" s="15"/>
    </row>
    <row r="148" spans="8:17">
      <c r="H148" s="15"/>
      <c r="I148" s="15"/>
      <c r="J148" s="15"/>
      <c r="K148" s="15"/>
      <c r="L148" s="15"/>
      <c r="M148" s="15"/>
      <c r="N148" s="15"/>
      <c r="O148" s="15"/>
      <c r="P148" s="15"/>
      <c r="Q148" s="15"/>
    </row>
    <row r="149" spans="8:17">
      <c r="H149" s="15"/>
      <c r="I149" s="15"/>
      <c r="J149" s="15"/>
      <c r="K149" s="15"/>
      <c r="L149" s="15"/>
      <c r="M149" s="15"/>
      <c r="N149" s="15"/>
      <c r="O149" s="15"/>
      <c r="P149" s="15"/>
      <c r="Q149" s="15"/>
    </row>
    <row r="150" spans="8:17">
      <c r="H150" s="15"/>
      <c r="I150" s="15"/>
      <c r="J150" s="15"/>
      <c r="K150" s="15"/>
      <c r="L150" s="15"/>
      <c r="M150" s="15"/>
      <c r="N150" s="15"/>
      <c r="O150" s="15"/>
      <c r="P150" s="15"/>
      <c r="Q150" s="15"/>
    </row>
    <row r="151" spans="8:17">
      <c r="H151" s="15"/>
      <c r="I151" s="15"/>
      <c r="J151" s="15"/>
      <c r="K151" s="15"/>
      <c r="L151" s="15"/>
      <c r="M151" s="15"/>
      <c r="N151" s="15"/>
      <c r="O151" s="15"/>
      <c r="P151" s="15"/>
      <c r="Q151" s="15"/>
    </row>
    <row r="152" spans="8:17">
      <c r="H152" s="15"/>
      <c r="I152" s="15"/>
      <c r="J152" s="15"/>
      <c r="K152" s="15"/>
      <c r="L152" s="15"/>
      <c r="M152" s="15"/>
      <c r="N152" s="15"/>
      <c r="O152" s="15"/>
      <c r="P152" s="15"/>
      <c r="Q152" s="15"/>
    </row>
    <row r="153" spans="8:17">
      <c r="H153" s="15"/>
      <c r="I153" s="15"/>
      <c r="J153" s="15"/>
      <c r="K153" s="15"/>
      <c r="L153" s="15"/>
      <c r="M153" s="15"/>
      <c r="N153" s="15"/>
      <c r="O153" s="15"/>
      <c r="P153" s="15"/>
      <c r="Q153" s="15"/>
    </row>
    <row r="154" spans="8:17">
      <c r="H154" s="15"/>
      <c r="I154" s="15"/>
      <c r="J154" s="15"/>
      <c r="K154" s="15"/>
      <c r="L154" s="15"/>
      <c r="M154" s="15"/>
      <c r="N154" s="15"/>
      <c r="O154" s="15"/>
      <c r="P154" s="15"/>
      <c r="Q154" s="15"/>
    </row>
    <row r="155" spans="8:17">
      <c r="H155" s="15"/>
      <c r="I155" s="15"/>
      <c r="J155" s="15"/>
      <c r="K155" s="15"/>
      <c r="L155" s="15"/>
      <c r="M155" s="15"/>
      <c r="N155" s="15"/>
      <c r="O155" s="15"/>
      <c r="P155" s="15"/>
      <c r="Q155" s="15"/>
    </row>
    <row r="156" spans="8:17">
      <c r="H156" s="15"/>
      <c r="I156" s="15"/>
      <c r="J156" s="15"/>
      <c r="K156" s="15"/>
      <c r="L156" s="15"/>
      <c r="M156" s="15"/>
      <c r="N156" s="15"/>
      <c r="O156" s="15"/>
      <c r="P156" s="15"/>
      <c r="Q156" s="15"/>
    </row>
    <row r="157" spans="8:17">
      <c r="H157" s="15"/>
      <c r="I157" s="15"/>
      <c r="J157" s="15"/>
      <c r="K157" s="15"/>
      <c r="L157" s="15"/>
      <c r="M157" s="15"/>
      <c r="N157" s="15"/>
      <c r="O157" s="15"/>
      <c r="P157" s="15"/>
      <c r="Q157" s="15"/>
    </row>
  </sheetData>
  <mergeCells count="313">
    <mergeCell ref="P27:AB27"/>
    <mergeCell ref="D87:E87"/>
    <mergeCell ref="H80:Q80"/>
    <mergeCell ref="R79:Z79"/>
    <mergeCell ref="F81:F94"/>
    <mergeCell ref="G81:G84"/>
    <mergeCell ref="R81:R94"/>
    <mergeCell ref="O81:Q81"/>
    <mergeCell ref="O82:Q82"/>
    <mergeCell ref="O83:Q83"/>
    <mergeCell ref="O93:Q93"/>
    <mergeCell ref="O94:Q94"/>
    <mergeCell ref="O87:Q87"/>
    <mergeCell ref="G91:G94"/>
    <mergeCell ref="G85:G90"/>
    <mergeCell ref="O88:Q88"/>
    <mergeCell ref="O89:Q89"/>
    <mergeCell ref="L87:N87"/>
    <mergeCell ref="L88:N88"/>
    <mergeCell ref="L89:N89"/>
    <mergeCell ref="H87:K87"/>
    <mergeCell ref="H88:K88"/>
    <mergeCell ref="H89:K89"/>
    <mergeCell ref="N69:Q69"/>
    <mergeCell ref="G61:G64"/>
    <mergeCell ref="G65:G70"/>
    <mergeCell ref="H76:Q76"/>
    <mergeCell ref="H67:J67"/>
    <mergeCell ref="H68:J68"/>
    <mergeCell ref="H69:J69"/>
    <mergeCell ref="K67:M67"/>
    <mergeCell ref="K68:M68"/>
    <mergeCell ref="K69:M69"/>
    <mergeCell ref="N67:Q67"/>
    <mergeCell ref="N68:Q68"/>
    <mergeCell ref="H75:J75"/>
    <mergeCell ref="F122:F133"/>
    <mergeCell ref="D127:E127"/>
    <mergeCell ref="H131:Q131"/>
    <mergeCell ref="H138:Q138"/>
    <mergeCell ref="M31:N31"/>
    <mergeCell ref="C57:AA57"/>
    <mergeCell ref="V61:W61"/>
    <mergeCell ref="X61:Y61"/>
    <mergeCell ref="V63:W63"/>
    <mergeCell ref="X63:Y63"/>
    <mergeCell ref="T64:W64"/>
    <mergeCell ref="X64:Y64"/>
    <mergeCell ref="V62:W62"/>
    <mergeCell ref="X62:Y62"/>
    <mergeCell ref="R59:Z59"/>
    <mergeCell ref="H60:Q60"/>
    <mergeCell ref="H61:J61"/>
    <mergeCell ref="H62:J62"/>
    <mergeCell ref="H63:J63"/>
    <mergeCell ref="H73:J73"/>
    <mergeCell ref="H74:J74"/>
    <mergeCell ref="D67:E67"/>
    <mergeCell ref="G71:G74"/>
    <mergeCell ref="F61:F74"/>
    <mergeCell ref="D103:E103"/>
    <mergeCell ref="AK98:AK118"/>
    <mergeCell ref="AL98:AL118"/>
    <mergeCell ref="AD98:AD118"/>
    <mergeCell ref="AE98:AE118"/>
    <mergeCell ref="H113:J113"/>
    <mergeCell ref="K111:N111"/>
    <mergeCell ref="K112:N112"/>
    <mergeCell ref="K113:N113"/>
    <mergeCell ref="O112:Q112"/>
    <mergeCell ref="X100:Y100"/>
    <mergeCell ref="V101:W101"/>
    <mergeCell ref="X101:Y101"/>
    <mergeCell ref="V102:W102"/>
    <mergeCell ref="X102:Y102"/>
    <mergeCell ref="T103:W103"/>
    <mergeCell ref="X103:Y103"/>
    <mergeCell ref="X81:Y81"/>
    <mergeCell ref="V82:W82"/>
    <mergeCell ref="X82:Y82"/>
    <mergeCell ref="V83:W83"/>
    <mergeCell ref="X83:Y83"/>
    <mergeCell ref="T84:W84"/>
    <mergeCell ref="X84:Y84"/>
    <mergeCell ref="F98:F109"/>
    <mergeCell ref="AL97:AN97"/>
    <mergeCell ref="H105:Q105"/>
    <mergeCell ref="H104:Q104"/>
    <mergeCell ref="H106:Q106"/>
    <mergeCell ref="V100:W100"/>
    <mergeCell ref="O95:Q95"/>
    <mergeCell ref="H96:Q96"/>
    <mergeCell ref="AL54:AM55"/>
    <mergeCell ref="G55:H55"/>
    <mergeCell ref="I55:J55"/>
    <mergeCell ref="K55:L55"/>
    <mergeCell ref="M55:N55"/>
    <mergeCell ref="G52:H52"/>
    <mergeCell ref="I52:J52"/>
    <mergeCell ref="K52:L52"/>
    <mergeCell ref="M52:N52"/>
    <mergeCell ref="O52:P52"/>
    <mergeCell ref="G53:H53"/>
    <mergeCell ref="I53:J53"/>
    <mergeCell ref="K53:L53"/>
    <mergeCell ref="M53:N53"/>
    <mergeCell ref="O53:P53"/>
    <mergeCell ref="O55:P55"/>
    <mergeCell ref="AF55:AF97"/>
    <mergeCell ref="AJ55:AJ97"/>
    <mergeCell ref="G54:H54"/>
    <mergeCell ref="I54:J54"/>
    <mergeCell ref="K54:L54"/>
    <mergeCell ref="M54:N54"/>
    <mergeCell ref="O54:P54"/>
    <mergeCell ref="V81:W81"/>
    <mergeCell ref="W50:X50"/>
    <mergeCell ref="Y50:Z50"/>
    <mergeCell ref="G51:H51"/>
    <mergeCell ref="I51:J51"/>
    <mergeCell ref="K51:L51"/>
    <mergeCell ref="M51:N51"/>
    <mergeCell ref="O51:P51"/>
    <mergeCell ref="G50:H50"/>
    <mergeCell ref="I50:J50"/>
    <mergeCell ref="K50:L50"/>
    <mergeCell ref="M50:N50"/>
    <mergeCell ref="O50:P50"/>
    <mergeCell ref="U50:V50"/>
    <mergeCell ref="W48:X48"/>
    <mergeCell ref="Y48:Z48"/>
    <mergeCell ref="G49:H49"/>
    <mergeCell ref="I49:J49"/>
    <mergeCell ref="K49:L49"/>
    <mergeCell ref="M49:N49"/>
    <mergeCell ref="O49:P49"/>
    <mergeCell ref="G48:H48"/>
    <mergeCell ref="I48:J48"/>
    <mergeCell ref="K48:L48"/>
    <mergeCell ref="M48:N48"/>
    <mergeCell ref="O48:P48"/>
    <mergeCell ref="U48:V48"/>
    <mergeCell ref="C46:N46"/>
    <mergeCell ref="O46:P46"/>
    <mergeCell ref="C47:F47"/>
    <mergeCell ref="G47:H47"/>
    <mergeCell ref="I47:J47"/>
    <mergeCell ref="K47:L47"/>
    <mergeCell ref="M47:N47"/>
    <mergeCell ref="O47:P47"/>
    <mergeCell ref="G43:H43"/>
    <mergeCell ref="I43:J43"/>
    <mergeCell ref="K43:L43"/>
    <mergeCell ref="M43:N43"/>
    <mergeCell ref="G44:H44"/>
    <mergeCell ref="I44:J44"/>
    <mergeCell ref="K44:L44"/>
    <mergeCell ref="M44:N44"/>
    <mergeCell ref="G42:H42"/>
    <mergeCell ref="I42:J42"/>
    <mergeCell ref="K42:L42"/>
    <mergeCell ref="U42:V42"/>
    <mergeCell ref="W42:X42"/>
    <mergeCell ref="Y42:Z42"/>
    <mergeCell ref="Y40:Z40"/>
    <mergeCell ref="G41:H41"/>
    <mergeCell ref="I41:J41"/>
    <mergeCell ref="K41:L41"/>
    <mergeCell ref="U41:V41"/>
    <mergeCell ref="W41:X41"/>
    <mergeCell ref="Y41:Z41"/>
    <mergeCell ref="G40:H40"/>
    <mergeCell ref="I40:J40"/>
    <mergeCell ref="K40:L40"/>
    <mergeCell ref="M40:N40"/>
    <mergeCell ref="U40:V40"/>
    <mergeCell ref="W40:X40"/>
    <mergeCell ref="Y38:Z38"/>
    <mergeCell ref="G39:H39"/>
    <mergeCell ref="I39:J39"/>
    <mergeCell ref="K39:L39"/>
    <mergeCell ref="M39:N39"/>
    <mergeCell ref="U39:V39"/>
    <mergeCell ref="W39:X39"/>
    <mergeCell ref="Y39:Z39"/>
    <mergeCell ref="G38:H38"/>
    <mergeCell ref="I38:J38"/>
    <mergeCell ref="K38:L38"/>
    <mergeCell ref="M38:N38"/>
    <mergeCell ref="U38:V38"/>
    <mergeCell ref="W38:X38"/>
    <mergeCell ref="W35:X35"/>
    <mergeCell ref="Y35:Z35"/>
    <mergeCell ref="Y36:Z36"/>
    <mergeCell ref="G37:H37"/>
    <mergeCell ref="I37:J37"/>
    <mergeCell ref="K37:L37"/>
    <mergeCell ref="M37:N37"/>
    <mergeCell ref="U37:V37"/>
    <mergeCell ref="W37:X37"/>
    <mergeCell ref="Y37:Z37"/>
    <mergeCell ref="G36:H36"/>
    <mergeCell ref="I36:J36"/>
    <mergeCell ref="K36:L36"/>
    <mergeCell ref="M36:N36"/>
    <mergeCell ref="U36:V36"/>
    <mergeCell ref="W36:X36"/>
    <mergeCell ref="AL38:AL40"/>
    <mergeCell ref="AM38:AO39"/>
    <mergeCell ref="AQ38:AQ40"/>
    <mergeCell ref="AR38:AV39"/>
    <mergeCell ref="E27:F27"/>
    <mergeCell ref="J27:K27"/>
    <mergeCell ref="L27:M27"/>
    <mergeCell ref="E28:F28"/>
    <mergeCell ref="J28:K28"/>
    <mergeCell ref="L28:M28"/>
    <mergeCell ref="Y33:Z33"/>
    <mergeCell ref="M29:N29"/>
    <mergeCell ref="AE39:AG39"/>
    <mergeCell ref="AH39:AJ39"/>
    <mergeCell ref="M30:N30"/>
    <mergeCell ref="Q28:Z28"/>
    <mergeCell ref="W30:Y30"/>
    <mergeCell ref="Z30:AA30"/>
    <mergeCell ref="AD38:AD40"/>
    <mergeCell ref="AE38:AJ38"/>
    <mergeCell ref="C34:F34"/>
    <mergeCell ref="G34:H34"/>
    <mergeCell ref="W34:X34"/>
    <mergeCell ref="Y34:Z34"/>
    <mergeCell ref="K23:L23"/>
    <mergeCell ref="M23:N23"/>
    <mergeCell ref="C25:N25"/>
    <mergeCell ref="C26:D26"/>
    <mergeCell ref="E26:F26"/>
    <mergeCell ref="I26:L26"/>
    <mergeCell ref="M26:N26"/>
    <mergeCell ref="K20:L20"/>
    <mergeCell ref="M20:N20"/>
    <mergeCell ref="K22:L22"/>
    <mergeCell ref="M22:N22"/>
    <mergeCell ref="B8:R8"/>
    <mergeCell ref="S8:AB8"/>
    <mergeCell ref="B9:V12"/>
    <mergeCell ref="W9:Y12"/>
    <mergeCell ref="Z9:AB12"/>
    <mergeCell ref="AC9:AD12"/>
    <mergeCell ref="H99:Q99"/>
    <mergeCell ref="O111:Q111"/>
    <mergeCell ref="O113:Q113"/>
    <mergeCell ref="H111:J111"/>
    <mergeCell ref="H112:J112"/>
    <mergeCell ref="S21:W21"/>
    <mergeCell ref="K21:L21"/>
    <mergeCell ref="M21:N21"/>
    <mergeCell ref="C15:N15"/>
    <mergeCell ref="X15:X21"/>
    <mergeCell ref="C16:F16"/>
    <mergeCell ref="C17:F17"/>
    <mergeCell ref="G17:J17"/>
    <mergeCell ref="K17:N17"/>
    <mergeCell ref="K18:L18"/>
    <mergeCell ref="M18:N18"/>
    <mergeCell ref="K19:L19"/>
    <mergeCell ref="M19:N19"/>
    <mergeCell ref="H132:Q132"/>
    <mergeCell ref="H133:Q133"/>
    <mergeCell ref="H124:J124"/>
    <mergeCell ref="K124:N124"/>
    <mergeCell ref="O124:Q124"/>
    <mergeCell ref="H125:J125"/>
    <mergeCell ref="K125:N125"/>
    <mergeCell ref="O125:Q125"/>
    <mergeCell ref="H126:J126"/>
    <mergeCell ref="K126:N126"/>
    <mergeCell ref="O126:Q126"/>
    <mergeCell ref="V124:W124"/>
    <mergeCell ref="X124:Y124"/>
    <mergeCell ref="V125:W125"/>
    <mergeCell ref="X125:Y125"/>
    <mergeCell ref="V126:W126"/>
    <mergeCell ref="X126:Y126"/>
    <mergeCell ref="T127:W127"/>
    <mergeCell ref="X127:Y127"/>
    <mergeCell ref="H114:Q114"/>
    <mergeCell ref="H120:I120"/>
    <mergeCell ref="J120:K120"/>
    <mergeCell ref="H123:Q123"/>
    <mergeCell ref="P29:Y29"/>
    <mergeCell ref="Z29:AA29"/>
    <mergeCell ref="AD28:AF28"/>
    <mergeCell ref="P25:AA25"/>
    <mergeCell ref="P26:AA26"/>
    <mergeCell ref="G27:H27"/>
    <mergeCell ref="G28:H28"/>
    <mergeCell ref="M116:M117"/>
    <mergeCell ref="M120:M121"/>
    <mergeCell ref="I34:J34"/>
    <mergeCell ref="K34:L34"/>
    <mergeCell ref="M34:N34"/>
    <mergeCell ref="Q34:T34"/>
    <mergeCell ref="W31:Y31"/>
    <mergeCell ref="Z31:AA31"/>
    <mergeCell ref="C33:J33"/>
    <mergeCell ref="K33:L33"/>
    <mergeCell ref="Q33:X33"/>
    <mergeCell ref="U34:V34"/>
    <mergeCell ref="G35:H35"/>
    <mergeCell ref="I35:J35"/>
    <mergeCell ref="K35:L35"/>
    <mergeCell ref="M35:N35"/>
    <mergeCell ref="U35:V35"/>
  </mergeCells>
  <dataValidations disablePrompts="1" count="5">
    <dataValidation type="list" allowBlank="1" showInputMessage="1" showErrorMessage="1" sqref="G17:J17" xr:uid="{142320BC-2725-41A6-8CCB-348E08FB605B}">
      <formula1>$AE$9:$AE$10</formula1>
    </dataValidation>
    <dataValidation type="list" allowBlank="1" showInputMessage="1" showErrorMessage="1" sqref="AC9:AD12" xr:uid="{70C467D9-5840-44AC-A392-498537457372}">
      <formula1>$BG$9:$BH$9</formula1>
    </dataValidation>
    <dataValidation type="list" allowBlank="1" showInputMessage="1" showErrorMessage="1" sqref="M26:N26" xr:uid="{2D9765AB-965F-4372-9B4C-5CD67DBF7DA1}">
      <formula1>"A,B,C"</formula1>
    </dataValidation>
    <dataValidation type="list" allowBlank="1" showInputMessage="1" showErrorMessage="1" sqref="E26:F26" xr:uid="{E20204E9-8841-451F-B745-35E4B4066F96}">
      <formula1>"I,II,III,IV,V"</formula1>
    </dataValidation>
    <dataValidation type="list" allowBlank="1" showInputMessage="1" showErrorMessage="1" sqref="G16:J16 L16:N16" xr:uid="{D162412E-8FC9-4ACD-A0D2-75795309FC67}">
      <formula1>"Monopitch roofs"</formula1>
    </dataValidation>
  </dataValidations>
  <pageMargins left="0.7" right="0.7" top="0.75" bottom="0.75" header="0.3" footer="0.3"/>
  <pageSetup orientation="portrait" r:id="rId1"/>
  <ignoredErrors>
    <ignoredError sqref="K16:K17 M22:M23 Z30:AA31" unlockedFormula="1"/>
    <ignoredError sqref="Q38 Q40 C36 C38 C40 C42" formula="1"/>
    <ignoredError sqref="X103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GustFactor</vt:lpstr>
      <vt:lpstr>MODEL</vt:lpstr>
      <vt:lpstr>TCVN</vt:lpstr>
      <vt:lpstr>Bang8_10</vt:lpstr>
      <vt:lpstr>GustFactor!Print_Area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2015-12-11T09:20:04Z</cp:lastPrinted>
  <dcterms:created xsi:type="dcterms:W3CDTF">2000-02-14T22:01:47Z</dcterms:created>
  <dcterms:modified xsi:type="dcterms:W3CDTF">2024-11-16T15:29:08Z</dcterms:modified>
  <cp:category>Structural Enginnering Analysis/Design</cp:category>
</cp:coreProperties>
</file>